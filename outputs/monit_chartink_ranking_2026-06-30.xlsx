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Universe'!$A$1:$J$426</definedName>
    <definedName name="_xlnm._FilterDatabase" localSheetId="3" hidden="1">'Confluence Overlap'!$A$1:$K$90</definedName>
    <definedName name="_xlnm._FilterDatabase" localSheetId="4" hidden="1">'Monit Non Financial'!$A$1:$CE$370</definedName>
    <definedName name="_xlnm._FilterDatabase" localSheetId="5" hidden="1">'Monit Banks NBFC'!$A$1:$CA$57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Financial'!$A$1:$CG$93</definedName>
    <definedName name="_xlnm._FilterDatabase" localSheetId="9" hidden="1">'Scan Match Banks NBFC'!$A$1:$CC$9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30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25" customWidth="1" min="3" max="3"/>
    <col width="40" customWidth="1" min="4" max="4"/>
    <col width="22" customWidth="1" min="5" max="5"/>
    <col width="48" customWidth="1" min="6" max="6"/>
    <col width="25" customWidth="1" min="7" max="7"/>
    <col width="19" customWidth="1" min="8" max="8"/>
    <col width="11" customWidth="1" min="9" max="9"/>
    <col width="49" customWidth="1" min="10" max="10"/>
    <col width="21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498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68</v>
      </c>
      <c r="G6" s="19" t="n">
        <v>14526.13</v>
      </c>
      <c r="H6" s="18" t="inlineStr">
        <is>
          <t>Potential Leader</t>
        </is>
      </c>
      <c r="J6" s="18" t="inlineStr">
        <is>
          <t>healthcare</t>
        </is>
      </c>
      <c r="K6" s="16" t="n">
        <v>296</v>
      </c>
      <c r="L6" s="16" t="n">
        <v>268</v>
      </c>
      <c r="M6" s="20" t="inlineStr">
        <is>
          <t>10.4%</t>
        </is>
      </c>
    </row>
    <row r="7">
      <c r="A7" s="16" t="n">
        <v>2</v>
      </c>
      <c r="B7" s="17" t="n">
        <v>486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66</v>
      </c>
      <c r="G7" s="19" t="n">
        <v>5605.76</v>
      </c>
      <c r="H7" s="18" t="inlineStr">
        <is>
          <t>Potential Leader</t>
        </is>
      </c>
      <c r="J7" s="18" t="inlineStr">
        <is>
          <t>building materials</t>
        </is>
      </c>
      <c r="K7" s="16" t="n">
        <v>71</v>
      </c>
      <c r="L7" s="16" t="n">
        <v>67</v>
      </c>
      <c r="M7" s="20" t="inlineStr">
        <is>
          <t>6.0%</t>
        </is>
      </c>
    </row>
    <row r="8">
      <c r="A8" s="16" t="n">
        <v>3</v>
      </c>
      <c r="B8" s="17" t="n">
        <v>480</v>
      </c>
      <c r="C8" s="17" t="inlineStr">
        <is>
          <t>ARVIND</t>
        </is>
      </c>
      <c r="D8" s="18" t="inlineStr">
        <is>
          <t>Arvind Limited</t>
        </is>
      </c>
      <c r="E8" s="18" t="inlineStr">
        <is>
          <t>textiles</t>
        </is>
      </c>
      <c r="F8" s="16" t="n">
        <v>65</v>
      </c>
      <c r="G8" s="19" t="n">
        <v>14403.2</v>
      </c>
      <c r="H8" s="18" t="inlineStr">
        <is>
          <t>Potential Leader</t>
        </is>
      </c>
      <c r="J8" s="18" t="inlineStr">
        <is>
          <t>fmcg</t>
        </is>
      </c>
      <c r="K8" s="16" t="n">
        <v>103</v>
      </c>
      <c r="L8" s="16" t="n">
        <v>98</v>
      </c>
      <c r="M8" s="20" t="inlineStr">
        <is>
          <t>5.1%</t>
        </is>
      </c>
    </row>
    <row r="9">
      <c r="A9" s="16" t="n">
        <v>4</v>
      </c>
      <c r="B9" s="17" t="n">
        <v>480</v>
      </c>
      <c r="C9" s="17" t="inlineStr">
        <is>
          <t>NITINSPIN</t>
        </is>
      </c>
      <c r="D9" s="18" t="inlineStr">
        <is>
          <t>Nitin Spinners Limited</t>
        </is>
      </c>
      <c r="E9" s="18" t="inlineStr">
        <is>
          <t>textiles</t>
        </is>
      </c>
      <c r="F9" s="16" t="n">
        <v>65</v>
      </c>
      <c r="G9" s="19" t="n">
        <v>3148.04</v>
      </c>
      <c r="H9" s="18" t="inlineStr">
        <is>
          <t>Potential Leader</t>
        </is>
      </c>
      <c r="J9" s="18" t="inlineStr">
        <is>
          <t>plastic products</t>
        </is>
      </c>
      <c r="K9" s="16" t="n">
        <v>6</v>
      </c>
      <c r="L9" s="16" t="n">
        <v>6</v>
      </c>
      <c r="M9" s="20" t="inlineStr">
        <is>
          <t>0.0%</t>
        </is>
      </c>
    </row>
    <row r="10">
      <c r="A10" s="16" t="n">
        <v>5</v>
      </c>
      <c r="B10" s="17" t="n">
        <v>480</v>
      </c>
      <c r="C10" s="17" t="inlineStr">
        <is>
          <t>WELCORP</t>
        </is>
      </c>
      <c r="D10" s="18" t="inlineStr">
        <is>
          <t>Welspun Corp Limited</t>
        </is>
      </c>
      <c r="E10" s="18" t="inlineStr">
        <is>
          <t>industrials</t>
        </is>
      </c>
      <c r="F10" s="16" t="n">
        <v>65</v>
      </c>
      <c r="G10" s="19" t="n">
        <v>39853.49</v>
      </c>
      <c r="H10" s="18" t="inlineStr">
        <is>
          <t>Potential Leader</t>
        </is>
      </c>
      <c r="J10" s="18" t="inlineStr">
        <is>
          <t>telecom</t>
        </is>
      </c>
      <c r="K10" s="16" t="n">
        <v>16</v>
      </c>
      <c r="L10" s="16" t="n">
        <v>16</v>
      </c>
      <c r="M10" s="20" t="inlineStr">
        <is>
          <t>0.0%</t>
        </is>
      </c>
    </row>
    <row r="11">
      <c r="A11" s="16" t="n">
        <v>6</v>
      </c>
      <c r="B11" s="17" t="n">
        <v>474</v>
      </c>
      <c r="C11" s="17" t="inlineStr">
        <is>
          <t>STLTECH</t>
        </is>
      </c>
      <c r="D11" s="18" t="inlineStr">
        <is>
          <t>Sterlite Technologies Limited</t>
        </is>
      </c>
      <c r="E11" s="18" t="inlineStr">
        <is>
          <t>industrials</t>
        </is>
      </c>
      <c r="F11" s="16" t="n">
        <v>64</v>
      </c>
      <c r="G11" s="19" t="n">
        <v>30486.32</v>
      </c>
      <c r="H11" s="18" t="inlineStr">
        <is>
          <t>Potential Leader</t>
        </is>
      </c>
      <c r="J11" s="18" t="inlineStr">
        <is>
          <t>textiles</t>
        </is>
      </c>
      <c r="K11" s="16" t="n">
        <v>82</v>
      </c>
      <c r="L11" s="16" t="n">
        <v>85</v>
      </c>
      <c r="M11" s="21" t="inlineStr">
        <is>
          <t>-3.5%</t>
        </is>
      </c>
    </row>
    <row r="12">
      <c r="A12" s="16" t="n">
        <v>7</v>
      </c>
      <c r="B12" s="17" t="n">
        <v>474</v>
      </c>
      <c r="C12" s="17" t="inlineStr">
        <is>
          <t>STYLAMIND</t>
        </is>
      </c>
      <c r="D12" s="18" t="inlineStr">
        <is>
          <t>Stylam Industries Ltd</t>
        </is>
      </c>
      <c r="E12" s="18" t="inlineStr">
        <is>
          <t>building materials</t>
        </is>
      </c>
      <c r="F12" s="16" t="n">
        <v>64</v>
      </c>
      <c r="G12" s="19" t="n">
        <v>5572.01</v>
      </c>
      <c r="H12" s="18" t="inlineStr">
        <is>
          <t>Potential Leader</t>
        </is>
      </c>
      <c r="J12" s="18" t="inlineStr">
        <is>
          <t>consumer discretionary</t>
        </is>
      </c>
      <c r="K12" s="16" t="n">
        <v>160</v>
      </c>
      <c r="L12" s="16" t="n">
        <v>166</v>
      </c>
      <c r="M12" s="21" t="inlineStr">
        <is>
          <t>-3.6%</t>
        </is>
      </c>
    </row>
    <row r="13">
      <c r="A13" s="16" t="n">
        <v>8</v>
      </c>
      <c r="B13" s="17" t="n">
        <v>462</v>
      </c>
      <c r="C13" s="17" t="inlineStr">
        <is>
          <t>ADANIGREEN</t>
        </is>
      </c>
      <c r="D13" s="18" t="inlineStr">
        <is>
          <t>Adani Green Energy Ltd</t>
        </is>
      </c>
      <c r="E13" s="18" t="inlineStr">
        <is>
          <t>power &amp; utilities</t>
        </is>
      </c>
      <c r="F13" s="16" t="n">
        <v>62</v>
      </c>
      <c r="G13" s="19" t="n">
        <v>247488.22</v>
      </c>
      <c r="H13" s="18" t="inlineStr">
        <is>
          <t>Potential Leader</t>
        </is>
      </c>
      <c r="J13" s="18" t="inlineStr">
        <is>
          <t>power &amp; utilities</t>
        </is>
      </c>
      <c r="K13" s="16" t="n">
        <v>19</v>
      </c>
      <c r="L13" s="16" t="n">
        <v>20</v>
      </c>
      <c r="M13" s="21" t="inlineStr">
        <is>
          <t>-5.0%</t>
        </is>
      </c>
    </row>
    <row r="14">
      <c r="A14" s="16" t="n">
        <v>9</v>
      </c>
      <c r="B14" s="17" t="n">
        <v>462</v>
      </c>
      <c r="C14" s="17" t="inlineStr">
        <is>
          <t>SHILPAMED</t>
        </is>
      </c>
      <c r="D14" s="18" t="inlineStr">
        <is>
          <t>Shilpa Medicare Limited</t>
        </is>
      </c>
      <c r="E14" s="18" t="inlineStr">
        <is>
          <t>healthcare</t>
        </is>
      </c>
      <c r="F14" s="16" t="n">
        <v>62</v>
      </c>
      <c r="G14" s="19" t="n">
        <v>11218.57</v>
      </c>
      <c r="H14" s="18" t="inlineStr">
        <is>
          <t>Potential Leader</t>
        </is>
      </c>
      <c r="J14" s="18" t="inlineStr">
        <is>
          <t>auto</t>
        </is>
      </c>
      <c r="K14" s="16" t="n">
        <v>159</v>
      </c>
      <c r="L14" s="16" t="n">
        <v>169</v>
      </c>
      <c r="M14" s="21" t="inlineStr">
        <is>
          <t>-5.9%</t>
        </is>
      </c>
    </row>
    <row r="15">
      <c r="A15" s="16" t="n">
        <v>10</v>
      </c>
      <c r="B15" s="17" t="n">
        <v>438</v>
      </c>
      <c r="C15" s="17" t="inlineStr">
        <is>
          <t>NINSYS</t>
        </is>
      </c>
      <c r="D15" s="18" t="inlineStr">
        <is>
          <t>NINtec Systems Ltd</t>
        </is>
      </c>
      <c r="E15" s="18" t="inlineStr">
        <is>
          <t>i.t</t>
        </is>
      </c>
      <c r="F15" s="16" t="n">
        <v>58</v>
      </c>
      <c r="G15" s="19" t="n">
        <v>1501.03</v>
      </c>
      <c r="H15" s="18" t="inlineStr">
        <is>
          <t>Potential Leader</t>
        </is>
      </c>
      <c r="J15" s="18" t="inlineStr">
        <is>
          <t>i.t</t>
        </is>
      </c>
      <c r="K15" s="16" t="n">
        <v>74</v>
      </c>
      <c r="L15" s="16" t="n">
        <v>81</v>
      </c>
      <c r="M15" s="21" t="inlineStr">
        <is>
          <t>-8.6%</t>
        </is>
      </c>
    </row>
    <row r="16">
      <c r="A16" s="16" t="n">
        <v>11</v>
      </c>
      <c r="B16" s="17" t="n">
        <v>432</v>
      </c>
      <c r="C16" s="17" t="inlineStr">
        <is>
          <t>NRBBEARING</t>
        </is>
      </c>
      <c r="D16" s="18" t="inlineStr">
        <is>
          <t>Nrb Bearing Limited</t>
        </is>
      </c>
      <c r="E16" s="18" t="inlineStr">
        <is>
          <t>industrials</t>
        </is>
      </c>
      <c r="F16" s="16" t="n">
        <v>57</v>
      </c>
      <c r="G16" s="19" t="n">
        <v>4165.73</v>
      </c>
      <c r="H16" s="18" t="inlineStr">
        <is>
          <t>Potential Leader</t>
        </is>
      </c>
      <c r="J16" s="18" t="inlineStr">
        <is>
          <t>realty</t>
        </is>
      </c>
      <c r="K16" s="16" t="n">
        <v>109</v>
      </c>
      <c r="L16" s="16" t="n">
        <v>127</v>
      </c>
      <c r="M16" s="21" t="inlineStr">
        <is>
          <t>-14.2%</t>
        </is>
      </c>
    </row>
    <row r="17">
      <c r="A17" s="16" t="n">
        <v>12</v>
      </c>
      <c r="B17" s="17" t="n">
        <v>432</v>
      </c>
      <c r="C17" s="17" t="inlineStr">
        <is>
          <t>SIGMAADV</t>
        </is>
      </c>
      <c r="D17" s="18" t="inlineStr">
        <is>
          <t>Sigma Advanced System Ltd</t>
        </is>
      </c>
      <c r="E17" s="18" t="inlineStr">
        <is>
          <t>aerospace &amp; defence</t>
        </is>
      </c>
      <c r="F17" s="16" t="n">
        <v>57</v>
      </c>
      <c r="G17" s="19" t="n">
        <v>10297.69</v>
      </c>
      <c r="H17" s="18" t="inlineStr">
        <is>
          <t>Potential Leader</t>
        </is>
      </c>
      <c r="J17" s="18" t="inlineStr">
        <is>
          <t>chemicals</t>
        </is>
      </c>
      <c r="K17" s="16" t="n">
        <v>110</v>
      </c>
      <c r="L17" s="16" t="n">
        <v>130</v>
      </c>
      <c r="M17" s="21" t="inlineStr">
        <is>
          <t>-15.4%</t>
        </is>
      </c>
    </row>
    <row r="18">
      <c r="A18" s="16" t="n">
        <v>13</v>
      </c>
      <c r="B18" s="17" t="n">
        <v>432</v>
      </c>
      <c r="C18" s="17" t="inlineStr">
        <is>
          <t>TALBROAUTO</t>
        </is>
      </c>
      <c r="D18" s="18" t="inlineStr">
        <is>
          <t>Talbros Automotive Components Limited</t>
        </is>
      </c>
      <c r="E18" s="18" t="inlineStr">
        <is>
          <t>auto</t>
        </is>
      </c>
      <c r="F18" s="16" t="n">
        <v>57</v>
      </c>
      <c r="G18" s="19" t="n">
        <v>2568.2</v>
      </c>
      <c r="H18" s="18" t="inlineStr">
        <is>
          <t>Potential Leader</t>
        </is>
      </c>
      <c r="J18" s="18" t="inlineStr">
        <is>
          <t>media</t>
        </is>
      </c>
      <c r="K18" s="16" t="n">
        <v>10</v>
      </c>
      <c r="L18" s="16" t="n">
        <v>12</v>
      </c>
      <c r="M18" s="21" t="inlineStr">
        <is>
          <t>-16.7%</t>
        </is>
      </c>
    </row>
    <row r="19">
      <c r="A19" s="16" t="n">
        <v>14</v>
      </c>
      <c r="B19" s="17" t="n">
        <v>408</v>
      </c>
      <c r="C19" s="17" t="inlineStr">
        <is>
          <t>ADANIENT</t>
        </is>
      </c>
      <c r="D19" s="18" t="inlineStr">
        <is>
          <t>Adani Enterprises Limited</t>
        </is>
      </c>
      <c r="E19" s="18" t="inlineStr">
        <is>
          <t>services</t>
        </is>
      </c>
      <c r="F19" s="16" t="n">
        <v>53</v>
      </c>
      <c r="G19" s="19" t="n">
        <v>382957.17</v>
      </c>
      <c r="H19" s="18" t="inlineStr">
        <is>
          <t>Potential Leader</t>
        </is>
      </c>
      <c r="J19" s="18" t="inlineStr">
        <is>
          <t>financials</t>
        </is>
      </c>
      <c r="K19" s="16" t="n">
        <v>203</v>
      </c>
      <c r="L19" s="16" t="n">
        <v>244</v>
      </c>
      <c r="M19" s="21" t="inlineStr">
        <is>
          <t>-16.8%</t>
        </is>
      </c>
    </row>
    <row r="20">
      <c r="A20" s="16" t="n">
        <v>15</v>
      </c>
      <c r="B20" s="17" t="n">
        <v>408</v>
      </c>
      <c r="C20" s="17" t="inlineStr">
        <is>
          <t>SAILIFE</t>
        </is>
      </c>
      <c r="D20" s="18" t="inlineStr">
        <is>
          <t>Sai Life Sciences Ltd</t>
        </is>
      </c>
      <c r="E20" s="18" t="inlineStr">
        <is>
          <t>healthcare</t>
        </is>
      </c>
      <c r="F20" s="16" t="n">
        <v>53</v>
      </c>
      <c r="G20" s="19" t="n">
        <v>26427.93</v>
      </c>
      <c r="H20" s="18" t="inlineStr">
        <is>
          <t>Potential Leader</t>
        </is>
      </c>
      <c r="J20" s="18" t="inlineStr">
        <is>
          <t>transportation</t>
        </is>
      </c>
      <c r="K20" s="16" t="n">
        <v>41</v>
      </c>
      <c r="L20" s="16" t="n">
        <v>50</v>
      </c>
      <c r="M20" s="21" t="inlineStr">
        <is>
          <t>-18.0%</t>
        </is>
      </c>
    </row>
    <row r="21">
      <c r="A21" s="16" t="n">
        <v>16</v>
      </c>
      <c r="B21" s="17" t="n">
        <v>390</v>
      </c>
      <c r="C21" s="17" t="inlineStr">
        <is>
          <t>RRKABEL</t>
        </is>
      </c>
      <c r="D21" s="18" t="inlineStr">
        <is>
          <t>R R Kabel Ltd</t>
        </is>
      </c>
      <c r="E21" s="18" t="inlineStr">
        <is>
          <t>industrials</t>
        </is>
      </c>
      <c r="F21" s="16" t="n">
        <v>50</v>
      </c>
      <c r="G21" s="19" t="n">
        <v>28302.39</v>
      </c>
      <c r="H21" s="18" t="inlineStr">
        <is>
          <t>Potential Leader</t>
        </is>
      </c>
    </row>
    <row r="22">
      <c r="A22" s="16" t="n">
        <v>17</v>
      </c>
      <c r="B22" s="17" t="n">
        <v>378</v>
      </c>
      <c r="C22" s="17" t="inlineStr">
        <is>
          <t>INDOBORAX</t>
        </is>
      </c>
      <c r="D22" s="18" t="inlineStr">
        <is>
          <t>Indo Borax &amp; Chemicals Ltd</t>
        </is>
      </c>
      <c r="E22" s="18" t="inlineStr">
        <is>
          <t>chemicals</t>
        </is>
      </c>
      <c r="F22" s="16" t="n">
        <v>48</v>
      </c>
      <c r="G22" s="19" t="n">
        <v>1234.82</v>
      </c>
      <c r="H22" s="18" t="inlineStr">
        <is>
          <t>Potential Leader</t>
        </is>
      </c>
    </row>
    <row r="23">
      <c r="A23" s="16" t="n">
        <v>18</v>
      </c>
      <c r="B23" s="17" t="n">
        <v>372</v>
      </c>
      <c r="C23" s="17" t="inlineStr">
        <is>
          <t>BLSE</t>
        </is>
      </c>
      <c r="D23" s="18" t="inlineStr">
        <is>
          <t>BLS E-Services Ltd</t>
        </is>
      </c>
      <c r="E23" s="18" t="inlineStr">
        <is>
          <t>i.t</t>
        </is>
      </c>
      <c r="F23" s="16" t="n">
        <v>47</v>
      </c>
      <c r="G23" s="19" t="n">
        <v>2115.87</v>
      </c>
      <c r="H23" s="18" t="inlineStr">
        <is>
          <t>Potential Leader</t>
        </is>
      </c>
    </row>
    <row r="24">
      <c r="A24" s="16" t="n">
        <v>19</v>
      </c>
      <c r="B24" s="17" t="n">
        <v>372</v>
      </c>
      <c r="C24" s="17" t="inlineStr">
        <is>
          <t>CEMPRO</t>
        </is>
      </c>
      <c r="D24" s="18" t="inlineStr">
        <is>
          <t>Cemindia Projects Ltd</t>
        </is>
      </c>
      <c r="E24" s="18" t="inlineStr">
        <is>
          <t>realty</t>
        </is>
      </c>
      <c r="F24" s="16" t="n">
        <v>47</v>
      </c>
      <c r="G24" s="19" t="n">
        <v>21521.55</v>
      </c>
      <c r="H24" s="18" t="inlineStr">
        <is>
          <t>Potential Leader</t>
        </is>
      </c>
    </row>
    <row r="25">
      <c r="A25" s="16" t="n">
        <v>20</v>
      </c>
      <c r="B25" s="17" t="n">
        <v>372</v>
      </c>
      <c r="C25" s="17" t="inlineStr">
        <is>
          <t>RATEGAIN</t>
        </is>
      </c>
      <c r="D25" s="18" t="inlineStr">
        <is>
          <t>Rategain Travel Technologies Ltd</t>
        </is>
      </c>
      <c r="E25" s="18" t="inlineStr">
        <is>
          <t>i.t</t>
        </is>
      </c>
      <c r="F25" s="16" t="n">
        <v>47</v>
      </c>
      <c r="G25" s="19" t="n">
        <v>10214.22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MANBA</t>
        </is>
      </c>
      <c r="B30" s="18" t="inlineStr">
        <is>
          <t>Manba Finance Ltd</t>
        </is>
      </c>
      <c r="C30" s="18" t="inlineStr">
        <is>
          <t>financials</t>
        </is>
      </c>
      <c r="D30" s="16" t="n">
        <v>10</v>
      </c>
      <c r="E30" s="16" t="n">
        <v>0</v>
      </c>
      <c r="F30" s="19" t="n">
        <v>662.46</v>
      </c>
      <c r="J30" s="17" t="inlineStr">
        <is>
          <t>SATIN</t>
        </is>
      </c>
      <c r="K30" s="18" t="inlineStr">
        <is>
          <t>financials</t>
        </is>
      </c>
      <c r="L30" s="19" t="n">
        <v>297</v>
      </c>
      <c r="M30" s="19" t="n">
        <v>2605.9</v>
      </c>
      <c r="N30" s="16" t="n">
        <v>27</v>
      </c>
    </row>
    <row r="31">
      <c r="A31" s="17" t="inlineStr">
        <is>
          <t>NCLIND</t>
        </is>
      </c>
      <c r="B31" s="18" t="inlineStr">
        <is>
          <t>Ncl Industries Limited</t>
        </is>
      </c>
      <c r="C31" s="18" t="inlineStr">
        <is>
          <t>building materials</t>
        </is>
      </c>
      <c r="D31" s="16" t="n">
        <v>10</v>
      </c>
      <c r="E31" s="16" t="n">
        <v>1</v>
      </c>
      <c r="F31" s="19" t="n">
        <v>878.42</v>
      </c>
      <c r="J31" s="17" t="inlineStr">
        <is>
          <t>KTKBANK</t>
        </is>
      </c>
      <c r="K31" s="18" t="inlineStr">
        <is>
          <t>bank</t>
        </is>
      </c>
      <c r="L31" s="19" t="n">
        <v>295</v>
      </c>
      <c r="M31" s="19" t="n">
        <v>10156.85</v>
      </c>
      <c r="N31" s="16" t="n">
        <v>18</v>
      </c>
    </row>
    <row r="32">
      <c r="A32" s="17" t="inlineStr">
        <is>
          <t>NIBE</t>
        </is>
      </c>
      <c r="B32" s="18" t="inlineStr">
        <is>
          <t>NIBE Ltd</t>
        </is>
      </c>
      <c r="C32" s="18" t="inlineStr">
        <is>
          <t>aerospace &amp; defence</t>
        </is>
      </c>
      <c r="D32" s="16" t="n">
        <v>10</v>
      </c>
      <c r="E32" s="16" t="n">
        <v>2</v>
      </c>
      <c r="F32" s="19" t="n">
        <v>2506.05</v>
      </c>
      <c r="J32" s="17" t="inlineStr">
        <is>
          <t>BAJAJCON</t>
        </is>
      </c>
      <c r="K32" s="18" t="inlineStr">
        <is>
          <t>fmcg</t>
        </is>
      </c>
      <c r="L32" s="19" t="n">
        <v>292</v>
      </c>
      <c r="M32" s="19" t="n">
        <v>7799.87</v>
      </c>
      <c r="N32" s="16" t="n">
        <v>27</v>
      </c>
    </row>
    <row r="33">
      <c r="A33" s="17" t="inlineStr">
        <is>
          <t>INDHOTEL</t>
        </is>
      </c>
      <c r="B33" s="18" t="inlineStr">
        <is>
          <t>The Indian Hotels Company Limited</t>
        </is>
      </c>
      <c r="C33" s="18" t="inlineStr">
        <is>
          <t>services</t>
        </is>
      </c>
      <c r="D33" s="16" t="n">
        <v>10</v>
      </c>
      <c r="E33" s="16" t="n">
        <v>2</v>
      </c>
      <c r="F33" s="19" t="n">
        <v>100643.78</v>
      </c>
      <c r="J33" s="17" t="inlineStr">
        <is>
          <t>PGHL</t>
        </is>
      </c>
      <c r="K33" s="18" t="inlineStr">
        <is>
          <t>healthcare</t>
        </is>
      </c>
      <c r="L33" s="19" t="n">
        <v>285</v>
      </c>
      <c r="M33" s="19" t="n">
        <v>10368.8</v>
      </c>
      <c r="N33" s="16" t="n">
        <v>30</v>
      </c>
    </row>
    <row r="34">
      <c r="A34" s="17" t="inlineStr">
        <is>
          <t>KKCL</t>
        </is>
      </c>
      <c r="B34" s="18" t="inlineStr">
        <is>
          <t>Kewal Kiran Clothing Limited</t>
        </is>
      </c>
      <c r="C34" s="18" t="inlineStr">
        <is>
          <t>consumer discretionary</t>
        </is>
      </c>
      <c r="D34" s="16" t="n">
        <v>10</v>
      </c>
      <c r="E34" s="16" t="n">
        <v>2</v>
      </c>
      <c r="F34" s="19" t="n">
        <v>3048.29</v>
      </c>
      <c r="J34" s="17" t="inlineStr">
        <is>
          <t>RPTECH</t>
        </is>
      </c>
      <c r="K34" s="18" t="inlineStr">
        <is>
          <t>services</t>
        </is>
      </c>
      <c r="L34" s="19" t="n">
        <v>285</v>
      </c>
      <c r="M34" s="19" t="n">
        <v>4963.23</v>
      </c>
      <c r="N34" s="16" t="n">
        <v>28</v>
      </c>
    </row>
    <row r="35">
      <c r="A35" s="17" t="inlineStr">
        <is>
          <t>SETL</t>
        </is>
      </c>
      <c r="B35" s="18" t="inlineStr">
        <is>
          <t>Standard Enginnering Technology Ltd</t>
        </is>
      </c>
      <c r="C35" s="18" t="inlineStr">
        <is>
          <t>industrials</t>
        </is>
      </c>
      <c r="D35" s="16" t="n">
        <v>10</v>
      </c>
      <c r="E35" s="16" t="n">
        <v>2</v>
      </c>
      <c r="F35" s="19" t="n">
        <v>4656.73</v>
      </c>
      <c r="J35" s="17" t="inlineStr">
        <is>
          <t>NORTHARC</t>
        </is>
      </c>
      <c r="K35" s="18" t="inlineStr">
        <is>
          <t>financials</t>
        </is>
      </c>
      <c r="L35" s="19" t="n">
        <v>285</v>
      </c>
      <c r="M35" s="19" t="n">
        <v>4727.59</v>
      </c>
      <c r="N35" s="16" t="n">
        <v>20</v>
      </c>
    </row>
    <row r="36">
      <c r="A36" s="17" t="inlineStr">
        <is>
          <t>BORORENEW</t>
        </is>
      </c>
      <c r="B36" s="18" t="inlineStr">
        <is>
          <t>Borosil Renewables Ltd</t>
        </is>
      </c>
      <c r="C36" s="18" t="inlineStr">
        <is>
          <t>building materials</t>
        </is>
      </c>
      <c r="D36" s="16" t="n">
        <v>10</v>
      </c>
      <c r="E36" s="16" t="n">
        <v>0</v>
      </c>
      <c r="F36" s="19" t="n">
        <v>8483.530000000001</v>
      </c>
      <c r="J36" s="17" t="inlineStr">
        <is>
          <t>STYLAMIND</t>
        </is>
      </c>
      <c r="K36" s="18" t="inlineStr">
        <is>
          <t>building materials</t>
        </is>
      </c>
      <c r="L36" s="19" t="n">
        <v>283</v>
      </c>
      <c r="M36" s="19" t="n">
        <v>5572.01</v>
      </c>
      <c r="N36" s="16" t="n">
        <v>30</v>
      </c>
    </row>
    <row r="37">
      <c r="A37" s="17" t="inlineStr">
        <is>
          <t>SAREGAMA</t>
        </is>
      </c>
      <c r="B37" s="18" t="inlineStr">
        <is>
          <t>Saregama India Limited</t>
        </is>
      </c>
      <c r="C37" s="18" t="inlineStr">
        <is>
          <t>media</t>
        </is>
      </c>
      <c r="D37" s="16" t="n">
        <v>10</v>
      </c>
      <c r="E37" s="16" t="n">
        <v>1</v>
      </c>
      <c r="F37" s="19" t="n">
        <v>9619.27</v>
      </c>
      <c r="J37" s="17" t="inlineStr">
        <is>
          <t>IOLCP</t>
        </is>
      </c>
      <c r="K37" s="18" t="inlineStr">
        <is>
          <t>healthcare</t>
        </is>
      </c>
      <c r="L37" s="19" t="n">
        <v>282</v>
      </c>
      <c r="M37" s="19" t="n">
        <v>4177.78</v>
      </c>
      <c r="N37" s="16" t="n">
        <v>28</v>
      </c>
    </row>
    <row r="38">
      <c r="A38" s="17" t="inlineStr">
        <is>
          <t>BLUSPRING</t>
        </is>
      </c>
      <c r="B38" s="18" t="inlineStr">
        <is>
          <t>Bluspring Enterprises Ltd</t>
        </is>
      </c>
      <c r="C38" s="18" t="inlineStr">
        <is>
          <t>miscellaneous</t>
        </is>
      </c>
      <c r="D38" s="16" t="n">
        <v>10</v>
      </c>
      <c r="E38" s="16" t="n">
        <v>0</v>
      </c>
      <c r="F38" s="19" t="n">
        <v>1653.43</v>
      </c>
      <c r="J38" s="17" t="inlineStr">
        <is>
          <t>RANEHOLDIN</t>
        </is>
      </c>
      <c r="K38" s="18" t="inlineStr">
        <is>
          <t>financials</t>
        </is>
      </c>
      <c r="L38" s="19" t="n">
        <v>282</v>
      </c>
      <c r="M38" s="19" t="n">
        <v>2438.65</v>
      </c>
      <c r="N38" s="16" t="n">
        <v>20</v>
      </c>
    </row>
    <row r="39">
      <c r="A39" s="17" t="inlineStr">
        <is>
          <t>PANACHE</t>
        </is>
      </c>
      <c r="B39" s="18" t="inlineStr">
        <is>
          <t>Panache Digilife Ltd</t>
        </is>
      </c>
      <c r="C39" s="18" t="inlineStr">
        <is>
          <t>i.t</t>
        </is>
      </c>
      <c r="D39" s="16" t="n">
        <v>10</v>
      </c>
      <c r="E39" s="16" t="n">
        <v>1</v>
      </c>
      <c r="F39" s="19" t="n">
        <v>697.8099999999999</v>
      </c>
      <c r="J39" s="17" t="inlineStr">
        <is>
          <t>INDOBORAX</t>
        </is>
      </c>
      <c r="K39" s="18" t="inlineStr">
        <is>
          <t>chemicals</t>
        </is>
      </c>
      <c r="L39" s="19" t="n">
        <v>280</v>
      </c>
      <c r="M39" s="19" t="n">
        <v>1234.82</v>
      </c>
      <c r="N39" s="16" t="n">
        <v>30</v>
      </c>
    </row>
    <row r="40">
      <c r="A40" s="17" t="inlineStr">
        <is>
          <t>TEJASNET</t>
        </is>
      </c>
      <c r="B40" s="18" t="inlineStr">
        <is>
          <t>Tejas Networks Ltd</t>
        </is>
      </c>
      <c r="C40" s="18" t="inlineStr">
        <is>
          <t>telecom</t>
        </is>
      </c>
      <c r="D40" s="16" t="n">
        <v>10</v>
      </c>
      <c r="E40" s="16" t="n">
        <v>1</v>
      </c>
      <c r="F40" s="19" t="n">
        <v>10727.61</v>
      </c>
      <c r="J40" s="17" t="inlineStr">
        <is>
          <t>IBULLSLTD</t>
        </is>
      </c>
      <c r="K40" s="18" t="inlineStr">
        <is>
          <t>miscellaneous</t>
        </is>
      </c>
      <c r="L40" s="19" t="n">
        <v>280</v>
      </c>
      <c r="M40" s="19" t="n">
        <v>6268.86</v>
      </c>
      <c r="N40" s="16" t="n">
        <v>30</v>
      </c>
    </row>
    <row r="41">
      <c r="A41" s="17" t="inlineStr">
        <is>
          <t>TBOTEK</t>
        </is>
      </c>
      <c r="B41" s="18" t="inlineStr">
        <is>
          <t>TBO Tek Ltd</t>
        </is>
      </c>
      <c r="C41" s="18" t="inlineStr">
        <is>
          <t>i.t</t>
        </is>
      </c>
      <c r="D41" s="16" t="n">
        <v>10</v>
      </c>
      <c r="E41" s="16" t="n">
        <v>2</v>
      </c>
      <c r="F41" s="19" t="n">
        <v>15635.56</v>
      </c>
      <c r="J41" s="17" t="inlineStr">
        <is>
          <t>SURYODAY</t>
        </is>
      </c>
      <c r="K41" s="18" t="inlineStr">
        <is>
          <t>bank</t>
        </is>
      </c>
      <c r="L41" s="19" t="n">
        <v>280</v>
      </c>
      <c r="M41" s="19" t="n">
        <v>1844.66</v>
      </c>
      <c r="N41" s="16" t="n">
        <v>29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124.19</v>
      </c>
      <c r="D47" s="28" t="n">
        <v>265</v>
      </c>
      <c r="E47" s="17" t="inlineStr">
        <is>
          <t>CIANAGRO</t>
        </is>
      </c>
      <c r="F47" s="18" t="inlineStr">
        <is>
          <t>CIAN Agro Industries &amp; Infrastructure Limited</t>
        </is>
      </c>
      <c r="G47" s="18" t="inlineStr">
        <is>
          <t>Consumer Defensive</t>
        </is>
      </c>
      <c r="H47" s="19" t="n">
        <v>4815.67</v>
      </c>
    </row>
    <row r="48">
      <c r="A48" s="16" t="n">
        <v>2</v>
      </c>
      <c r="B48" s="27" t="n">
        <v>99</v>
      </c>
      <c r="C48" s="28" t="n">
        <v>115.46</v>
      </c>
      <c r="D48" s="28" t="n">
        <v>0</v>
      </c>
      <c r="E48" s="17" t="inlineStr">
        <is>
          <t>AHLWEST</t>
        </is>
      </c>
      <c r="F48" s="18" t="inlineStr">
        <is>
          <t>Asian Hotels (West) Limited</t>
        </is>
      </c>
      <c r="G48" s="18" t="inlineStr">
        <is>
          <t>Consumer Cyclical</t>
        </is>
      </c>
      <c r="H48" s="19" t="n">
        <v>652.76</v>
      </c>
    </row>
    <row r="49">
      <c r="A49" s="16" t="n">
        <v>3</v>
      </c>
      <c r="B49" s="27" t="n">
        <v>99</v>
      </c>
      <c r="C49" s="28" t="n">
        <v>112.86</v>
      </c>
      <c r="D49" s="28" t="n">
        <v>250</v>
      </c>
      <c r="E49" s="17" t="inlineStr">
        <is>
          <t>SIGMAADV</t>
        </is>
      </c>
      <c r="F49" s="18" t="inlineStr">
        <is>
          <t>Sigma Advanced System Ltd</t>
        </is>
      </c>
      <c r="G49" s="18" t="inlineStr">
        <is>
          <t>aerospace &amp; defence</t>
        </is>
      </c>
      <c r="H49" s="19" t="n">
        <v>10297.69</v>
      </c>
    </row>
    <row r="50">
      <c r="A50" s="16" t="n">
        <v>4</v>
      </c>
      <c r="B50" s="27" t="n">
        <v>98</v>
      </c>
      <c r="C50" s="28" t="n">
        <v>110.46</v>
      </c>
      <c r="D50" s="28" t="n">
        <v>218</v>
      </c>
      <c r="E50" s="17" t="inlineStr">
        <is>
          <t>STLTECH</t>
        </is>
      </c>
      <c r="F50" s="18" t="inlineStr">
        <is>
          <t>Sterlite Technologies Limited</t>
        </is>
      </c>
      <c r="G50" s="18" t="inlineStr">
        <is>
          <t>industrials</t>
        </is>
      </c>
      <c r="H50" s="19" t="n">
        <v>30486.32</v>
      </c>
    </row>
    <row r="51">
      <c r="A51" s="16" t="n">
        <v>5</v>
      </c>
      <c r="B51" s="27" t="n">
        <v>98</v>
      </c>
      <c r="C51" s="28" t="n">
        <v>90.31999999999999</v>
      </c>
      <c r="D51" s="28" t="n">
        <v>270</v>
      </c>
      <c r="E51" s="17" t="inlineStr">
        <is>
          <t>BHAGYANGR</t>
        </is>
      </c>
      <c r="F51" s="18" t="inlineStr">
        <is>
          <t>Bhagyanagar India</t>
        </is>
      </c>
      <c r="G51" s="18" t="inlineStr">
        <is>
          <t>power &amp; utilities</t>
        </is>
      </c>
      <c r="H51" s="19" t="n">
        <v>1317.39</v>
      </c>
    </row>
    <row r="52">
      <c r="A52" s="16" t="n">
        <v>6</v>
      </c>
      <c r="B52" s="27" t="n">
        <v>98</v>
      </c>
      <c r="C52" s="28" t="n">
        <v>86.20999999999999</v>
      </c>
      <c r="D52" s="28" t="n">
        <v>277</v>
      </c>
      <c r="E52" s="17" t="inlineStr">
        <is>
          <t>CUPID</t>
        </is>
      </c>
      <c r="F52" s="18" t="inlineStr">
        <is>
          <t>Cupid Limited</t>
        </is>
      </c>
      <c r="G52" s="18" t="inlineStr">
        <is>
          <t>fmcg</t>
        </is>
      </c>
      <c r="H52" s="19" t="n">
        <v>25333.41</v>
      </c>
    </row>
    <row r="53">
      <c r="A53" s="16" t="n">
        <v>7</v>
      </c>
      <c r="B53" s="27" t="n">
        <v>98</v>
      </c>
      <c r="C53" s="28" t="n">
        <v>75.70999999999999</v>
      </c>
      <c r="D53" s="28" t="n">
        <v>255</v>
      </c>
      <c r="E53" s="17" t="inlineStr">
        <is>
          <t>HFCL</t>
        </is>
      </c>
      <c r="F53" s="18" t="inlineStr">
        <is>
          <t>HFCL Ltd</t>
        </is>
      </c>
      <c r="G53" s="18" t="inlineStr">
        <is>
          <t>telecom</t>
        </is>
      </c>
      <c r="H53" s="19" t="n">
        <v>32285</v>
      </c>
    </row>
    <row r="54">
      <c r="A54" s="16" t="n">
        <v>8</v>
      </c>
      <c r="B54" s="27" t="n">
        <v>98</v>
      </c>
      <c r="C54" s="28" t="n">
        <v>73.91</v>
      </c>
      <c r="D54" s="28" t="n">
        <v>248</v>
      </c>
      <c r="E54" s="17" t="inlineStr">
        <is>
          <t>SWANDEF</t>
        </is>
      </c>
      <c r="F54" s="18" t="inlineStr">
        <is>
          <t>Swan Defence and Heavy Industries Ltd</t>
        </is>
      </c>
      <c r="G54" s="18" t="inlineStr">
        <is>
          <t>transportation</t>
        </is>
      </c>
      <c r="H54" s="19" t="n">
        <v>11610.09</v>
      </c>
    </row>
    <row r="55">
      <c r="A55" s="16" t="n">
        <v>9</v>
      </c>
      <c r="B55" s="27" t="n">
        <v>97</v>
      </c>
      <c r="C55" s="28" t="n">
        <v>72.84</v>
      </c>
      <c r="D55" s="28" t="n">
        <v>248</v>
      </c>
      <c r="E55" s="17" t="inlineStr">
        <is>
          <t>UFBL</t>
        </is>
      </c>
      <c r="F55" s="18" t="inlineStr">
        <is>
          <t>United Foodbrands Ltd</t>
        </is>
      </c>
      <c r="G55" s="18" t="inlineStr">
        <is>
          <t>consumer discretionary</t>
        </is>
      </c>
      <c r="H55" s="19" t="n">
        <v>2565.44</v>
      </c>
    </row>
    <row r="56">
      <c r="A56" s="16" t="n">
        <v>10</v>
      </c>
      <c r="B56" s="27" t="n">
        <v>97</v>
      </c>
      <c r="C56" s="28" t="n">
        <v>68.04000000000001</v>
      </c>
      <c r="D56" s="28" t="n">
        <v>277</v>
      </c>
      <c r="E56" s="17" t="inlineStr">
        <is>
          <t>MODINSU</t>
        </is>
      </c>
      <c r="F56" s="18" t="inlineStr">
        <is>
          <t>Modern Insulators Limited</t>
        </is>
      </c>
      <c r="G56" s="18" t="inlineStr">
        <is>
          <t>Technology</t>
        </is>
      </c>
      <c r="H56" s="19" t="n">
        <v>2534.22</v>
      </c>
    </row>
    <row r="57">
      <c r="A57" s="16" t="n">
        <v>11</v>
      </c>
      <c r="B57" s="27" t="n">
        <v>97</v>
      </c>
      <c r="C57" s="28" t="n">
        <v>67.83</v>
      </c>
      <c r="D57" s="28" t="n">
        <v>295</v>
      </c>
      <c r="E57" s="17" t="inlineStr">
        <is>
          <t>VMARCIND</t>
        </is>
      </c>
      <c r="F57" s="18" t="inlineStr">
        <is>
          <t>VMARCIND</t>
        </is>
      </c>
      <c r="G57" s="18" t="inlineStr">
        <is>
          <t>unknown</t>
        </is>
      </c>
      <c r="H57" s="19" t="n">
        <v>441.28</v>
      </c>
    </row>
    <row r="58">
      <c r="A58" s="16" t="n">
        <v>12</v>
      </c>
      <c r="B58" s="27" t="n">
        <v>97</v>
      </c>
      <c r="C58" s="28" t="n">
        <v>61.95</v>
      </c>
      <c r="D58" s="28" t="n">
        <v>277</v>
      </c>
      <c r="E58" s="17" t="inlineStr">
        <is>
          <t>BLISSGVS</t>
        </is>
      </c>
      <c r="F58" s="18" t="inlineStr">
        <is>
          <t>Bliss Gvs Pharma Limited</t>
        </is>
      </c>
      <c r="G58" s="18" t="inlineStr">
        <is>
          <t>healthcare</t>
        </is>
      </c>
      <c r="H58" s="19" t="n">
        <v>5605.76</v>
      </c>
    </row>
    <row r="59">
      <c r="A59" s="16" t="n">
        <v>13</v>
      </c>
      <c r="B59" s="27" t="n">
        <v>96</v>
      </c>
      <c r="C59" s="28" t="n">
        <v>59.22</v>
      </c>
      <c r="D59" s="28" t="n">
        <v>267</v>
      </c>
      <c r="E59" s="17" t="inlineStr">
        <is>
          <t>VENUSREM</t>
        </is>
      </c>
      <c r="F59" s="18" t="inlineStr">
        <is>
          <t>Venus Remedies Limited</t>
        </is>
      </c>
      <c r="G59" s="18" t="inlineStr">
        <is>
          <t>healthcare</t>
        </is>
      </c>
      <c r="H59" s="19" t="n">
        <v>2579.83</v>
      </c>
    </row>
    <row r="60">
      <c r="A60" s="16" t="n">
        <v>14</v>
      </c>
      <c r="B60" s="27" t="n">
        <v>96</v>
      </c>
      <c r="C60" s="28" t="n">
        <v>58.05</v>
      </c>
      <c r="D60" s="28" t="n">
        <v>280</v>
      </c>
      <c r="E60" s="17" t="inlineStr">
        <is>
          <t>IBULLSLTD</t>
        </is>
      </c>
      <c r="F60" s="18" t="inlineStr">
        <is>
          <t>Indiabulls Limited</t>
        </is>
      </c>
      <c r="G60" s="18" t="inlineStr">
        <is>
          <t>miscellaneous</t>
        </is>
      </c>
      <c r="H60" s="19" t="n">
        <v>6268.86</v>
      </c>
    </row>
    <row r="61">
      <c r="A61" s="16" t="n">
        <v>15</v>
      </c>
      <c r="B61" s="27" t="n">
        <v>96</v>
      </c>
      <c r="C61" s="28" t="n">
        <v>55.47</v>
      </c>
      <c r="D61" s="28" t="n">
        <v>270</v>
      </c>
      <c r="E61" s="17" t="inlineStr">
        <is>
          <t>INDOTECH</t>
        </is>
      </c>
      <c r="F61" s="18" t="inlineStr">
        <is>
          <t>Indo Tech Transformers Limited</t>
        </is>
      </c>
      <c r="G61" s="18" t="inlineStr">
        <is>
          <t>industrials</t>
        </is>
      </c>
      <c r="H61" s="19" t="n">
        <v>3272.98</v>
      </c>
    </row>
    <row r="62">
      <c r="A62" s="16" t="n">
        <v>16</v>
      </c>
      <c r="B62" s="27" t="n">
        <v>96</v>
      </c>
      <c r="C62" s="28" t="n">
        <v>52.36</v>
      </c>
      <c r="D62" s="28" t="n">
        <v>270</v>
      </c>
      <c r="E62" s="17" t="inlineStr">
        <is>
          <t>RAMCOSYS</t>
        </is>
      </c>
      <c r="F62" s="18" t="inlineStr">
        <is>
          <t>Ramco Systems Limited</t>
        </is>
      </c>
      <c r="G62" s="18" t="inlineStr">
        <is>
          <t>i.t</t>
        </is>
      </c>
      <c r="H62" s="19" t="n">
        <v>2967.51</v>
      </c>
    </row>
    <row r="63">
      <c r="A63" s="16" t="n">
        <v>17</v>
      </c>
      <c r="B63" s="27" t="n">
        <v>96</v>
      </c>
      <c r="C63" s="28" t="n">
        <v>52.31</v>
      </c>
      <c r="D63" s="28" t="n">
        <v>257</v>
      </c>
      <c r="E63" s="17" t="inlineStr">
        <is>
          <t>APOLLO</t>
        </is>
      </c>
      <c r="F63" s="18" t="inlineStr">
        <is>
          <t>Apollo Micro Systems Ltd</t>
        </is>
      </c>
      <c r="G63" s="18" t="inlineStr">
        <is>
          <t>aerospace &amp; defence</t>
        </is>
      </c>
      <c r="H63" s="19" t="n">
        <v>15042.42</v>
      </c>
    </row>
    <row r="64">
      <c r="A64" s="16" t="n">
        <v>18</v>
      </c>
      <c r="B64" s="27" t="n">
        <v>95</v>
      </c>
      <c r="C64" s="28" t="n">
        <v>49.38</v>
      </c>
      <c r="D64" s="28" t="n">
        <v>285</v>
      </c>
      <c r="E64" s="17" t="inlineStr">
        <is>
          <t>RPTECH</t>
        </is>
      </c>
      <c r="F64" s="18" t="inlineStr">
        <is>
          <t>Rashi Peripherals Ltd</t>
        </is>
      </c>
      <c r="G64" s="18" t="inlineStr">
        <is>
          <t>services</t>
        </is>
      </c>
      <c r="H64" s="19" t="n">
        <v>4963.23</v>
      </c>
    </row>
    <row r="65">
      <c r="A65" s="16" t="n">
        <v>19</v>
      </c>
      <c r="B65" s="27" t="n">
        <v>95</v>
      </c>
      <c r="C65" s="28" t="n">
        <v>47.6</v>
      </c>
      <c r="D65" s="28" t="n">
        <v>275</v>
      </c>
      <c r="E65" s="17" t="inlineStr">
        <is>
          <t>CEMPRO</t>
        </is>
      </c>
      <c r="F65" s="18" t="inlineStr">
        <is>
          <t>Cemindia Projects Ltd</t>
        </is>
      </c>
      <c r="G65" s="18" t="inlineStr">
        <is>
          <t>realty</t>
        </is>
      </c>
      <c r="H65" s="19" t="n">
        <v>21521.55</v>
      </c>
    </row>
    <row r="66">
      <c r="A66" s="16" t="n">
        <v>20</v>
      </c>
      <c r="B66" s="27" t="n">
        <v>95</v>
      </c>
      <c r="C66" s="28" t="n">
        <v>47.24</v>
      </c>
      <c r="D66" s="28" t="n">
        <v>275</v>
      </c>
      <c r="E66" s="17" t="inlineStr">
        <is>
          <t>THANGAMAYL</t>
        </is>
      </c>
      <c r="F66" s="18" t="inlineStr">
        <is>
          <t>Thangamayil Jewellery Limited</t>
        </is>
      </c>
      <c r="G66" s="18" t="inlineStr">
        <is>
          <t>consumer discretionary</t>
        </is>
      </c>
      <c r="H66" s="19" t="n">
        <v>18261</v>
      </c>
    </row>
    <row r="67">
      <c r="A67" s="16" t="n">
        <v>21</v>
      </c>
      <c r="B67" s="27" t="n">
        <v>95</v>
      </c>
      <c r="C67" s="28" t="n">
        <v>47.05</v>
      </c>
      <c r="D67" s="28" t="n">
        <v>275</v>
      </c>
      <c r="E67" s="17" t="inlineStr">
        <is>
          <t>TIMEX</t>
        </is>
      </c>
      <c r="F67" s="18" t="inlineStr">
        <is>
          <t>Timex Group India Limited</t>
        </is>
      </c>
      <c r="G67" s="18" t="inlineStr">
        <is>
          <t>Consumer Cyclical</t>
        </is>
      </c>
      <c r="H67" s="19" t="n">
        <v>5342.78</v>
      </c>
    </row>
    <row r="68">
      <c r="A68" s="16" t="n">
        <v>22</v>
      </c>
      <c r="B68" s="27" t="n">
        <v>95</v>
      </c>
      <c r="C68" s="28" t="n">
        <v>46.92</v>
      </c>
      <c r="D68" s="28" t="n">
        <v>250</v>
      </c>
      <c r="E68" s="17" t="inlineStr">
        <is>
          <t>KERNEX</t>
        </is>
      </c>
      <c r="F68" s="18" t="inlineStr">
        <is>
          <t>Kernex Microsystems (india) Limited</t>
        </is>
      </c>
      <c r="G68" s="18" t="inlineStr">
        <is>
          <t>consumer discretionary</t>
        </is>
      </c>
      <c r="H68" s="19" t="n">
        <v>3454.91</v>
      </c>
    </row>
    <row r="69">
      <c r="A69" s="16" t="n">
        <v>23</v>
      </c>
      <c r="B69" s="29" t="n">
        <v>94</v>
      </c>
      <c r="C69" s="28" t="n">
        <v>46.64</v>
      </c>
      <c r="D69" s="28" t="n">
        <v>268</v>
      </c>
      <c r="E69" s="17" t="inlineStr">
        <is>
          <t>HITECHCORP</t>
        </is>
      </c>
      <c r="F69" s="18" t="inlineStr">
        <is>
          <t>Hitech Corporation</t>
        </is>
      </c>
      <c r="G69" s="18" t="inlineStr">
        <is>
          <t>industrials</t>
        </is>
      </c>
      <c r="H69" s="19" t="n">
        <v>538.8200000000001</v>
      </c>
    </row>
    <row r="70">
      <c r="A70" s="16" t="n">
        <v>24</v>
      </c>
      <c r="B70" s="29" t="n">
        <v>94</v>
      </c>
      <c r="C70" s="28" t="n">
        <v>45.79</v>
      </c>
      <c r="D70" s="28" t="n">
        <v>245</v>
      </c>
      <c r="E70" s="17" t="inlineStr">
        <is>
          <t>NITTAGELA</t>
        </is>
      </c>
      <c r="F70" s="18" t="inlineStr">
        <is>
          <t>Nitta Gelatin India Limited</t>
        </is>
      </c>
      <c r="G70" s="18" t="inlineStr">
        <is>
          <t>Basic Materials</t>
        </is>
      </c>
      <c r="H70" s="19" t="n">
        <v>1550.27</v>
      </c>
    </row>
    <row r="71">
      <c r="A71" s="16" t="n">
        <v>25</v>
      </c>
      <c r="B71" s="29" t="n">
        <v>94</v>
      </c>
      <c r="C71" s="28" t="n">
        <v>44.45</v>
      </c>
      <c r="D71" s="28" t="n">
        <v>255</v>
      </c>
      <c r="E71" s="17" t="inlineStr">
        <is>
          <t>JAYBARMARU</t>
        </is>
      </c>
      <c r="F71" s="18" t="inlineStr">
        <is>
          <t>Jay Bharat Maruti Limited</t>
        </is>
      </c>
      <c r="G71" s="18" t="inlineStr">
        <is>
          <t>auto</t>
        </is>
      </c>
      <c r="H71" s="19" t="n">
        <v>1855.19</v>
      </c>
    </row>
    <row r="72">
      <c r="A72" s="16" t="n">
        <v>26</v>
      </c>
      <c r="B72" s="29" t="n">
        <v>94</v>
      </c>
      <c r="C72" s="28" t="n">
        <v>44.35</v>
      </c>
      <c r="D72" s="28" t="n">
        <v>242</v>
      </c>
      <c r="E72" s="17" t="inlineStr">
        <is>
          <t>FREDUN</t>
        </is>
      </c>
      <c r="F72" s="18" t="inlineStr">
        <is>
          <t>Fredun Pharmaceuticals Limited</t>
        </is>
      </c>
      <c r="G72" s="18" t="inlineStr">
        <is>
          <t>Healthcare</t>
        </is>
      </c>
      <c r="H72" s="19" t="n">
        <v>1540.18</v>
      </c>
    </row>
    <row r="73">
      <c r="A73" s="16" t="n">
        <v>27</v>
      </c>
      <c r="B73" s="29" t="n">
        <v>93</v>
      </c>
      <c r="C73" s="28" t="n">
        <v>44.19</v>
      </c>
      <c r="D73" s="28" t="n">
        <v>272</v>
      </c>
      <c r="E73" s="17" t="inlineStr">
        <is>
          <t>KPL</t>
        </is>
      </c>
      <c r="F73" s="18" t="inlineStr">
        <is>
          <t>Kwality Pharmaceuticals Limited</t>
        </is>
      </c>
      <c r="G73" s="18" t="inlineStr">
        <is>
          <t>Healthcare</t>
        </is>
      </c>
      <c r="H73" s="19" t="n">
        <v>2907.51</v>
      </c>
    </row>
    <row r="74">
      <c r="A74" s="16" t="n">
        <v>28</v>
      </c>
      <c r="B74" s="29" t="n">
        <v>93</v>
      </c>
      <c r="C74" s="28" t="n">
        <v>42.8</v>
      </c>
      <c r="D74" s="28" t="n">
        <v>265</v>
      </c>
      <c r="E74" s="17" t="inlineStr">
        <is>
          <t>NINSYS</t>
        </is>
      </c>
      <c r="F74" s="18" t="inlineStr">
        <is>
          <t>NINtec Systems Ltd</t>
        </is>
      </c>
      <c r="G74" s="18" t="inlineStr">
        <is>
          <t>i.t</t>
        </is>
      </c>
      <c r="H74" s="19" t="n">
        <v>1501.03</v>
      </c>
    </row>
    <row r="75">
      <c r="A75" s="16" t="n">
        <v>29</v>
      </c>
      <c r="B75" s="29" t="n">
        <v>93</v>
      </c>
      <c r="C75" s="28" t="n">
        <v>41.56</v>
      </c>
      <c r="D75" s="28" t="n">
        <v>278</v>
      </c>
      <c r="E75" s="17" t="inlineStr">
        <is>
          <t>ATHERENERG</t>
        </is>
      </c>
      <c r="F75" s="18" t="inlineStr">
        <is>
          <t>Ather Energy Ltd</t>
        </is>
      </c>
      <c r="G75" s="18" t="inlineStr">
        <is>
          <t>auto</t>
        </is>
      </c>
      <c r="H75" s="19" t="n">
        <v>41472.2</v>
      </c>
    </row>
    <row r="76">
      <c r="A76" s="16" t="n">
        <v>30</v>
      </c>
      <c r="B76" s="29" t="n">
        <v>93</v>
      </c>
      <c r="C76" s="28" t="n">
        <v>40.94</v>
      </c>
      <c r="D76" s="28" t="n">
        <v>267</v>
      </c>
      <c r="E76" s="17" t="inlineStr">
        <is>
          <t>ACUTAAS</t>
        </is>
      </c>
      <c r="F76" s="18" t="inlineStr">
        <is>
          <t>Acutaas Chemicals Ltd</t>
        </is>
      </c>
      <c r="G76" s="18" t="inlineStr">
        <is>
          <t>healthcare</t>
        </is>
      </c>
      <c r="H76" s="19" t="n">
        <v>29213.25</v>
      </c>
    </row>
    <row r="77">
      <c r="A77" s="16" t="n">
        <v>31</v>
      </c>
      <c r="B77" s="29" t="n">
        <v>93</v>
      </c>
      <c r="C77" s="28" t="n">
        <v>40.15</v>
      </c>
      <c r="D77" s="28" t="n">
        <v>270</v>
      </c>
      <c r="E77" s="17" t="inlineStr">
        <is>
          <t>AVALON</t>
        </is>
      </c>
      <c r="F77" s="18" t="inlineStr">
        <is>
          <t>Avalon Technologies Ltd</t>
        </is>
      </c>
      <c r="G77" s="18" t="inlineStr">
        <is>
          <t>consumer discretionary</t>
        </is>
      </c>
      <c r="H77" s="19" t="n">
        <v>11915.76</v>
      </c>
    </row>
    <row r="78">
      <c r="A78" s="16" t="n">
        <v>32</v>
      </c>
      <c r="B78" s="29" t="n">
        <v>92</v>
      </c>
      <c r="C78" s="28" t="n">
        <v>40.08</v>
      </c>
      <c r="D78" s="28" t="n">
        <v>245</v>
      </c>
      <c r="E78" s="17" t="inlineStr">
        <is>
          <t>AEROFLEX</t>
        </is>
      </c>
      <c r="F78" s="18" t="inlineStr">
        <is>
          <t>Aeroflex Industries Ltd</t>
        </is>
      </c>
      <c r="G78" s="18" t="inlineStr">
        <is>
          <t>metals &amp; mining</t>
        </is>
      </c>
      <c r="H78" s="19" t="n">
        <v>6206.31</v>
      </c>
    </row>
    <row r="79">
      <c r="A79" s="16" t="n">
        <v>33</v>
      </c>
      <c r="B79" s="29" t="n">
        <v>92</v>
      </c>
      <c r="C79" s="28" t="n">
        <v>39.46</v>
      </c>
      <c r="D79" s="28" t="n">
        <v>243</v>
      </c>
      <c r="E79" s="17" t="inlineStr">
        <is>
          <t>KIRLOSENG</t>
        </is>
      </c>
      <c r="F79" s="18" t="inlineStr">
        <is>
          <t>Kirloskar Oil Engines Limited</t>
        </is>
      </c>
      <c r="G79" s="18" t="inlineStr">
        <is>
          <t>industrials</t>
        </is>
      </c>
      <c r="H79" s="19" t="n">
        <v>35483.64</v>
      </c>
    </row>
    <row r="80">
      <c r="A80" s="16" t="n">
        <v>34</v>
      </c>
      <c r="B80" s="29" t="n">
        <v>92</v>
      </c>
      <c r="C80" s="28" t="n">
        <v>39</v>
      </c>
      <c r="D80" s="28" t="n">
        <v>267</v>
      </c>
      <c r="E80" s="17" t="inlineStr">
        <is>
          <t>SKMEGGPROD</t>
        </is>
      </c>
      <c r="F80" s="18" t="inlineStr">
        <is>
          <t>Skm Egg Products Export (india) Limited</t>
        </is>
      </c>
      <c r="G80" s="18" t="inlineStr">
        <is>
          <t>fmcg</t>
        </is>
      </c>
      <c r="H80" s="19" t="n">
        <v>1601.13</v>
      </c>
    </row>
    <row r="81">
      <c r="A81" s="16" t="n">
        <v>35</v>
      </c>
      <c r="B81" s="29" t="n">
        <v>92</v>
      </c>
      <c r="C81" s="28" t="n">
        <v>37.62</v>
      </c>
      <c r="D81" s="28" t="n">
        <v>280</v>
      </c>
      <c r="E81" s="17" t="inlineStr">
        <is>
          <t>WHEELS</t>
        </is>
      </c>
      <c r="F81" s="18" t="inlineStr">
        <is>
          <t>Wheels India Limited</t>
        </is>
      </c>
      <c r="G81" s="18" t="inlineStr">
        <is>
          <t>auto</t>
        </is>
      </c>
      <c r="H81" s="19" t="n">
        <v>4329.53</v>
      </c>
    </row>
    <row r="82">
      <c r="A82" s="16" t="n">
        <v>36</v>
      </c>
      <c r="B82" s="29" t="n">
        <v>92</v>
      </c>
      <c r="C82" s="28" t="n">
        <v>37.45</v>
      </c>
      <c r="D82" s="28" t="n">
        <v>292</v>
      </c>
      <c r="E82" s="17" t="inlineStr">
        <is>
          <t>BAJAJCON</t>
        </is>
      </c>
      <c r="F82" s="18" t="inlineStr">
        <is>
          <t>Bajaj Consumer Care Ltd</t>
        </is>
      </c>
      <c r="G82" s="18" t="inlineStr">
        <is>
          <t>fmcg</t>
        </is>
      </c>
      <c r="H82" s="19" t="n">
        <v>7799.87</v>
      </c>
    </row>
    <row r="83">
      <c r="A83" s="16" t="n">
        <v>37</v>
      </c>
      <c r="B83" s="29" t="n">
        <v>91</v>
      </c>
      <c r="C83" s="28" t="n">
        <v>37.33</v>
      </c>
      <c r="D83" s="28" t="n">
        <v>260</v>
      </c>
      <c r="E83" s="17" t="inlineStr">
        <is>
          <t>RATEGAIN</t>
        </is>
      </c>
      <c r="F83" s="18" t="inlineStr">
        <is>
          <t>Rategain Travel Technologies Ltd</t>
        </is>
      </c>
      <c r="G83" s="18" t="inlineStr">
        <is>
          <t>i.t</t>
        </is>
      </c>
      <c r="H83" s="19" t="n">
        <v>10214.22</v>
      </c>
    </row>
    <row r="84">
      <c r="A84" s="16" t="n">
        <v>38</v>
      </c>
      <c r="B84" s="29" t="n">
        <v>91</v>
      </c>
      <c r="C84" s="28" t="n">
        <v>37.02</v>
      </c>
      <c r="D84" s="28" t="n">
        <v>255</v>
      </c>
      <c r="E84" s="17" t="inlineStr">
        <is>
          <t>RPEL</t>
        </is>
      </c>
      <c r="F84" s="18" t="inlineStr">
        <is>
          <t>Raghav Productivity Enhancers Ltd</t>
        </is>
      </c>
      <c r="G84" s="18" t="inlineStr">
        <is>
          <t>building materials</t>
        </is>
      </c>
      <c r="H84" s="19" t="n">
        <v>5321.66</v>
      </c>
    </row>
    <row r="85">
      <c r="A85" s="16" t="n">
        <v>39</v>
      </c>
      <c r="B85" s="29" t="n">
        <v>91</v>
      </c>
      <c r="C85" s="28" t="n">
        <v>36.75</v>
      </c>
      <c r="D85" s="28" t="n">
        <v>275</v>
      </c>
      <c r="E85" s="17" t="inlineStr">
        <is>
          <t>SYRMA</t>
        </is>
      </c>
      <c r="F85" s="18" t="inlineStr">
        <is>
          <t>Syrma SGS Technology Ltd</t>
        </is>
      </c>
      <c r="G85" s="18" t="inlineStr">
        <is>
          <t>consumer discretionary</t>
        </is>
      </c>
      <c r="H85" s="19" t="n">
        <v>26385</v>
      </c>
    </row>
    <row r="86">
      <c r="A86" s="16" t="n">
        <v>40</v>
      </c>
      <c r="B86" s="29" t="n">
        <v>91</v>
      </c>
      <c r="C86" s="28" t="n">
        <v>36.39</v>
      </c>
      <c r="D86" s="28" t="n">
        <v>263</v>
      </c>
      <c r="E86" s="17" t="inlineStr">
        <is>
          <t>KANORICHEM</t>
        </is>
      </c>
      <c r="F86" s="18" t="inlineStr">
        <is>
          <t>Kanoria Chemicals &amp; Industries Limited</t>
        </is>
      </c>
      <c r="G86" s="18" t="inlineStr">
        <is>
          <t>chemicals</t>
        </is>
      </c>
      <c r="H86" s="19" t="n">
        <v>573.78</v>
      </c>
    </row>
    <row r="87">
      <c r="A87" s="16" t="n">
        <v>41</v>
      </c>
      <c r="B87" s="29" t="n">
        <v>91</v>
      </c>
      <c r="C87" s="28" t="n">
        <v>36.16</v>
      </c>
      <c r="D87" s="28" t="n">
        <v>243</v>
      </c>
      <c r="E87" s="17" t="inlineStr">
        <is>
          <t>YASHO</t>
        </is>
      </c>
      <c r="F87" s="18" t="inlineStr">
        <is>
          <t>Yasho Industries Ltd</t>
        </is>
      </c>
      <c r="G87" s="18" t="inlineStr">
        <is>
          <t>chemicals</t>
        </is>
      </c>
      <c r="H87" s="19" t="n">
        <v>3566.37</v>
      </c>
    </row>
    <row r="88">
      <c r="A88" s="16" t="n">
        <v>42</v>
      </c>
      <c r="B88" s="29" t="n">
        <v>90</v>
      </c>
      <c r="C88" s="28" t="n">
        <v>36.11</v>
      </c>
      <c r="D88" s="28" t="n">
        <v>250</v>
      </c>
      <c r="E88" s="17" t="inlineStr">
        <is>
          <t>JNKINDIA</t>
        </is>
      </c>
      <c r="F88" s="18" t="inlineStr">
        <is>
          <t>JNK India Ltd</t>
        </is>
      </c>
      <c r="G88" s="18" t="inlineStr">
        <is>
          <t>realty</t>
        </is>
      </c>
      <c r="H88" s="19" t="n">
        <v>2736.15</v>
      </c>
    </row>
    <row r="89">
      <c r="A89" s="16" t="n">
        <v>43</v>
      </c>
      <c r="B89" s="29" t="n">
        <v>90</v>
      </c>
      <c r="C89" s="28" t="n">
        <v>35.96</v>
      </c>
      <c r="D89" s="28" t="n">
        <v>275</v>
      </c>
      <c r="E89" s="17" t="inlineStr">
        <is>
          <t>AEGISLOG</t>
        </is>
      </c>
      <c r="F89" s="18" t="inlineStr">
        <is>
          <t>Aegis Logistics Ltd</t>
        </is>
      </c>
      <c r="G89" s="18" t="inlineStr">
        <is>
          <t>services</t>
        </is>
      </c>
      <c r="H89" s="19" t="n">
        <v>41210.91</v>
      </c>
    </row>
    <row r="90">
      <c r="A90" s="16" t="n">
        <v>44</v>
      </c>
      <c r="B90" s="29" t="n">
        <v>90</v>
      </c>
      <c r="C90" s="28" t="n">
        <v>35.94</v>
      </c>
      <c r="D90" s="28" t="n">
        <v>235</v>
      </c>
      <c r="E90" s="17" t="inlineStr">
        <is>
          <t>SETL</t>
        </is>
      </c>
      <c r="F90" s="18" t="inlineStr">
        <is>
          <t>Standard Enginnering Technology Ltd</t>
        </is>
      </c>
      <c r="G90" s="18" t="inlineStr">
        <is>
          <t>industrials</t>
        </is>
      </c>
      <c r="H90" s="19" t="n">
        <v>4656.73</v>
      </c>
    </row>
    <row r="91">
      <c r="A91" s="16" t="n">
        <v>45</v>
      </c>
      <c r="B91" s="29" t="n">
        <v>90</v>
      </c>
      <c r="C91" s="28" t="n">
        <v>35.34</v>
      </c>
      <c r="D91" s="28" t="n">
        <v>262</v>
      </c>
      <c r="E91" s="17" t="inlineStr">
        <is>
          <t>SENORES</t>
        </is>
      </c>
      <c r="F91" s="18" t="inlineStr">
        <is>
          <t>Senores Pharmaceuticals Ltd</t>
        </is>
      </c>
      <c r="G91" s="18" t="inlineStr">
        <is>
          <t>healthcare</t>
        </is>
      </c>
      <c r="H91" s="19" t="n">
        <v>6077.23</v>
      </c>
    </row>
    <row r="9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DIVGIITTS</t>
        </is>
      </c>
      <c r="B2" s="31" t="inlineStr">
        <is>
          <t>Divgi Torqtransfer Systems Ltd</t>
        </is>
      </c>
      <c r="C2" s="31" t="inlineStr">
        <is>
          <t>auto</t>
        </is>
      </c>
      <c r="D2" s="31" t="inlineStr">
        <is>
          <t>auto ancillaries</t>
        </is>
      </c>
      <c r="E2" s="31" t="inlineStr">
        <is>
          <t>smallcap</t>
        </is>
      </c>
      <c r="F2" s="31" t="n">
        <v>2670.96</v>
      </c>
      <c r="G2" s="31" t="n">
        <v>987.55</v>
      </c>
      <c r="H2" s="31" t="n">
        <v>13.08</v>
      </c>
      <c r="I2" s="31" t="n">
        <v>6111203</v>
      </c>
      <c r="J2" s="31" t="inlineStr">
        <is>
          <t>543812</t>
        </is>
      </c>
    </row>
    <row r="3">
      <c r="A3" s="31" t="inlineStr">
        <is>
          <t>SAKSOFT</t>
        </is>
      </c>
      <c r="B3" s="31" t="inlineStr">
        <is>
          <t>Saksoft Limited</t>
        </is>
      </c>
      <c r="C3" s="31" t="inlineStr">
        <is>
          <t>i.t</t>
        </is>
      </c>
      <c r="D3" s="31" t="inlineStr">
        <is>
          <t>computers - software - medium / small</t>
        </is>
      </c>
      <c r="E3" s="31" t="inlineStr">
        <is>
          <t>smallcap</t>
        </is>
      </c>
      <c r="F3" s="31" t="n">
        <v>2435.89</v>
      </c>
      <c r="G3" s="31" t="n">
        <v>206.71</v>
      </c>
      <c r="H3" s="31" t="n">
        <v>12.48</v>
      </c>
      <c r="I3" s="31" t="n">
        <v>127442091</v>
      </c>
      <c r="J3" s="31" t="inlineStr">
        <is>
          <t>590051</t>
        </is>
      </c>
    </row>
    <row r="4">
      <c r="A4" s="31" t="inlineStr">
        <is>
          <t>TIRUPATIFL</t>
        </is>
      </c>
      <c r="B4" s="31" t="inlineStr">
        <is>
          <t>Tirupati Forge Ltd</t>
        </is>
      </c>
      <c r="C4" s="31" t="inlineStr">
        <is>
          <t>industrials</t>
        </is>
      </c>
      <c r="D4" s="31" t="inlineStr">
        <is>
          <t>castings &amp; forgings</t>
        </is>
      </c>
      <c r="E4" s="31" t="inlineStr">
        <is>
          <t>smallcap</t>
        </is>
      </c>
      <c r="F4" s="31" t="n">
        <v>749.04</v>
      </c>
      <c r="G4" s="31" t="n">
        <v>64.06999999999999</v>
      </c>
      <c r="H4" s="31" t="n">
        <v>10.5</v>
      </c>
      <c r="I4" s="31" t="n">
        <v>7185438</v>
      </c>
      <c r="J4" s="31" t="inlineStr">
        <is>
          <t>535021</t>
        </is>
      </c>
    </row>
    <row r="5">
      <c r="A5" s="31" t="inlineStr">
        <is>
          <t>SETL</t>
        </is>
      </c>
      <c r="B5" s="31" t="inlineStr">
        <is>
          <t>Standard Enginnering Technology Ltd</t>
        </is>
      </c>
      <c r="C5" s="31" t="inlineStr">
        <is>
          <t>industrials</t>
        </is>
      </c>
      <c r="D5" s="31" t="inlineStr">
        <is>
          <t>engineering</t>
        </is>
      </c>
      <c r="E5" s="31" t="inlineStr">
        <is>
          <t>smallcap</t>
        </is>
      </c>
      <c r="F5" s="31" t="n">
        <v>4656.73</v>
      </c>
      <c r="G5" s="31" t="n">
        <v>256.77</v>
      </c>
      <c r="H5" s="31" t="n">
        <v>10</v>
      </c>
      <c r="I5" s="31" t="n">
        <v>1644928</v>
      </c>
      <c r="J5" s="31" t="inlineStr">
        <is>
          <t>544333</t>
        </is>
      </c>
    </row>
    <row r="6">
      <c r="A6" s="31" t="inlineStr">
        <is>
          <t>AYMSYNTEX</t>
        </is>
      </c>
      <c r="B6" s="31" t="inlineStr">
        <is>
          <t>Aym Syntex Limited</t>
        </is>
      </c>
      <c r="C6" s="31" t="inlineStr">
        <is>
          <t>textiles</t>
        </is>
      </c>
      <c r="D6" s="31" t="inlineStr">
        <is>
          <t>textiles - processing</t>
        </is>
      </c>
      <c r="E6" s="31" t="inlineStr">
        <is>
          <t>smallcap</t>
        </is>
      </c>
      <c r="F6" s="31" t="n">
        <v>1271.63</v>
      </c>
      <c r="G6" s="31" t="n">
        <v>237.7</v>
      </c>
      <c r="H6" s="31" t="n">
        <v>9.56</v>
      </c>
      <c r="I6" s="31" t="n">
        <v>68026</v>
      </c>
      <c r="J6" s="31" t="inlineStr">
        <is>
          <t>508933</t>
        </is>
      </c>
    </row>
    <row r="7">
      <c r="A7" s="31" t="inlineStr">
        <is>
          <t>PARAS</t>
        </is>
      </c>
      <c r="B7" s="31" t="inlineStr">
        <is>
          <t>Paras Defence and Space Technologies Ltd</t>
        </is>
      </c>
      <c r="C7" s="31" t="inlineStr">
        <is>
          <t>aerospace &amp; defence</t>
        </is>
      </c>
      <c r="D7" s="31" t="inlineStr">
        <is>
          <t>engineering</t>
        </is>
      </c>
      <c r="E7" s="31" t="inlineStr">
        <is>
          <t>midcap</t>
        </is>
      </c>
      <c r="F7" s="31" t="n">
        <v>9532.68</v>
      </c>
      <c r="G7" s="31" t="n">
        <v>1289.05</v>
      </c>
      <c r="H7" s="31" t="n">
        <v>8.970000000000001</v>
      </c>
      <c r="I7" s="31" t="n">
        <v>6389365</v>
      </c>
      <c r="J7" s="31" t="inlineStr">
        <is>
          <t>543367</t>
        </is>
      </c>
    </row>
    <row r="8">
      <c r="A8" s="31" t="inlineStr">
        <is>
          <t>THANGAMAYL</t>
        </is>
      </c>
      <c r="B8" s="31" t="inlineStr">
        <is>
          <t>Thangamayil Jewellery Limited</t>
        </is>
      </c>
      <c r="C8" s="31" t="inlineStr">
        <is>
          <t>consumer discretionary</t>
        </is>
      </c>
      <c r="D8" s="31" t="inlineStr">
        <is>
          <t>diamond cutting / jewellery</t>
        </is>
      </c>
      <c r="E8" s="31" t="inlineStr">
        <is>
          <t>midcap</t>
        </is>
      </c>
      <c r="F8" s="31" t="n">
        <v>18261</v>
      </c>
      <c r="G8" s="31" t="n">
        <v>6398.2</v>
      </c>
      <c r="H8" s="31" t="n">
        <v>8.9</v>
      </c>
      <c r="I8" s="31" t="n">
        <v>443898</v>
      </c>
      <c r="J8" s="31" t="inlineStr">
        <is>
          <t>533158</t>
        </is>
      </c>
    </row>
    <row r="9">
      <c r="A9" s="31" t="inlineStr">
        <is>
          <t>SMSPHARMA</t>
        </is>
      </c>
      <c r="B9" s="31" t="inlineStr">
        <is>
          <t>Sms Pharmaceuticals Limited</t>
        </is>
      </c>
      <c r="C9" s="31" t="inlineStr">
        <is>
          <t>healthcare</t>
        </is>
      </c>
      <c r="D9" s="31" t="inlineStr">
        <is>
          <t>pharmaceuticals - indian - bulk drugs</t>
        </is>
      </c>
      <c r="E9" s="31" t="inlineStr">
        <is>
          <t>smallcap</t>
        </is>
      </c>
      <c r="F9" s="31" t="n">
        <v>3565.33</v>
      </c>
      <c r="G9" s="31" t="n">
        <v>412.55</v>
      </c>
      <c r="H9" s="31" t="n">
        <v>8.369999999999999</v>
      </c>
      <c r="I9" s="31" t="n">
        <v>7823928</v>
      </c>
      <c r="J9" s="31" t="inlineStr">
        <is>
          <t>532815</t>
        </is>
      </c>
    </row>
    <row r="10">
      <c r="A10" s="31" t="inlineStr">
        <is>
          <t>SPAL</t>
        </is>
      </c>
      <c r="B10" s="31" t="inlineStr">
        <is>
          <t>S. P. Apparels Limited</t>
        </is>
      </c>
      <c r="C10" s="31" t="inlineStr">
        <is>
          <t>consumer discretionary</t>
        </is>
      </c>
      <c r="D10" s="31" t="inlineStr">
        <is>
          <t>textiles - products</t>
        </is>
      </c>
      <c r="E10" s="31" t="inlineStr">
        <is>
          <t>smallcap</t>
        </is>
      </c>
      <c r="F10" s="31" t="n">
        <v>2643.1</v>
      </c>
      <c r="G10" s="31" t="n">
        <v>1138.15</v>
      </c>
      <c r="H10" s="31" t="n">
        <v>8.25</v>
      </c>
      <c r="I10" s="31" t="n">
        <v>1266661</v>
      </c>
      <c r="J10" s="31" t="inlineStr">
        <is>
          <t>540048</t>
        </is>
      </c>
    </row>
    <row r="11">
      <c r="A11" s="31" t="inlineStr">
        <is>
          <t>MOREPENLAB</t>
        </is>
      </c>
      <c r="B11" s="31" t="inlineStr">
        <is>
          <t>Morepen Laboratories Limited</t>
        </is>
      </c>
      <c r="C11" s="31" t="inlineStr">
        <is>
          <t>healthcare</t>
        </is>
      </c>
      <c r="D11" s="31" t="inlineStr">
        <is>
          <t>pharmaceuticals - indian - bulk drugs &amp; formln</t>
        </is>
      </c>
      <c r="E11" s="31" t="inlineStr">
        <is>
          <t>smallcap</t>
        </is>
      </c>
      <c r="F11" s="31" t="n">
        <v>2995.11</v>
      </c>
      <c r="G11" s="31" t="n">
        <v>59.12</v>
      </c>
      <c r="H11" s="31" t="n">
        <v>8.16</v>
      </c>
      <c r="I11" s="31" t="n">
        <v>53543433</v>
      </c>
      <c r="J11" s="31" t="inlineStr">
        <is>
          <t>500288</t>
        </is>
      </c>
    </row>
    <row r="12">
      <c r="A12" s="31" t="inlineStr">
        <is>
          <t>QUESS</t>
        </is>
      </c>
      <c r="B12" s="31" t="inlineStr">
        <is>
          <t>Quess Corp Limited</t>
        </is>
      </c>
      <c r="C12" s="31" t="inlineStr">
        <is>
          <t>miscellaneous</t>
        </is>
      </c>
      <c r="D12" s="31" t="inlineStr">
        <is>
          <t>diversified - large</t>
        </is>
      </c>
      <c r="E12" s="31" t="inlineStr">
        <is>
          <t>smallcap</t>
        </is>
      </c>
      <c r="F12" s="31" t="n">
        <v>3702.52</v>
      </c>
      <c r="G12" s="31" t="n">
        <v>267.61</v>
      </c>
      <c r="H12" s="31" t="n">
        <v>7.93</v>
      </c>
      <c r="I12" s="31" t="n">
        <v>3937885</v>
      </c>
      <c r="J12" s="31" t="inlineStr">
        <is>
          <t>539978</t>
        </is>
      </c>
    </row>
    <row r="13">
      <c r="A13" s="31" t="inlineStr">
        <is>
          <t>NEOGEN</t>
        </is>
      </c>
      <c r="B13" s="31" t="inlineStr">
        <is>
          <t>Neogen Chemicals Ltd</t>
        </is>
      </c>
      <c r="C13" s="31" t="inlineStr">
        <is>
          <t>chemicals</t>
        </is>
      </c>
      <c r="D13" s="31" t="inlineStr">
        <is>
          <t>chemicals</t>
        </is>
      </c>
      <c r="E13" s="31" t="inlineStr">
        <is>
          <t>midcap</t>
        </is>
      </c>
      <c r="F13" s="31" t="n">
        <v>5154.05</v>
      </c>
      <c r="G13" s="31" t="n">
        <v>2024.9</v>
      </c>
      <c r="H13" s="31" t="n">
        <v>7.58</v>
      </c>
      <c r="I13" s="31" t="n">
        <v>863175</v>
      </c>
      <c r="J13" s="31" t="inlineStr">
        <is>
          <t>542665</t>
        </is>
      </c>
    </row>
    <row r="14">
      <c r="A14" s="31" t="inlineStr">
        <is>
          <t>UNIMECH</t>
        </is>
      </c>
      <c r="B14" s="31" t="inlineStr">
        <is>
          <t>Unimech Aerospace and Manufacturing Ltd</t>
        </is>
      </c>
      <c r="C14" s="31" t="inlineStr">
        <is>
          <t>aerospace &amp; defence</t>
        </is>
      </c>
      <c r="D14" s="31" t="inlineStr">
        <is>
          <t>engineering</t>
        </is>
      </c>
      <c r="E14" s="31" t="inlineStr">
        <is>
          <t>midcap</t>
        </is>
      </c>
      <c r="F14" s="31" t="n">
        <v>5550.52</v>
      </c>
      <c r="G14" s="31" t="n">
        <v>1171.65</v>
      </c>
      <c r="H14" s="31" t="n">
        <v>7.35</v>
      </c>
      <c r="I14" s="31" t="n">
        <v>305454</v>
      </c>
      <c r="J14" s="31" t="inlineStr">
        <is>
          <t>544322</t>
        </is>
      </c>
    </row>
    <row r="15">
      <c r="A15" s="31" t="inlineStr">
        <is>
          <t>ARVIND</t>
        </is>
      </c>
      <c r="B15" s="31" t="inlineStr">
        <is>
          <t>Arvind Limited</t>
        </is>
      </c>
      <c r="C15" s="31" t="inlineStr">
        <is>
          <t>textiles</t>
        </is>
      </c>
      <c r="D15" s="31" t="inlineStr">
        <is>
          <t>textiles - cotton/blended</t>
        </is>
      </c>
      <c r="E15" s="31" t="inlineStr">
        <is>
          <t>midcap</t>
        </is>
      </c>
      <c r="F15" s="31" t="n">
        <v>14403.2</v>
      </c>
      <c r="G15" s="31" t="n">
        <v>587.1</v>
      </c>
      <c r="H15" s="31" t="n">
        <v>6.84</v>
      </c>
      <c r="I15" s="31" t="n">
        <v>5470137</v>
      </c>
      <c r="J15" s="31" t="inlineStr">
        <is>
          <t>500101</t>
        </is>
      </c>
    </row>
    <row r="16">
      <c r="A16" s="31" t="inlineStr">
        <is>
          <t>SANDHAR</t>
        </is>
      </c>
      <c r="B16" s="31" t="inlineStr">
        <is>
          <t>Sandhar Technologies Limited</t>
        </is>
      </c>
      <c r="C16" s="31" t="inlineStr">
        <is>
          <t>auto</t>
        </is>
      </c>
      <c r="D16" s="31" t="inlineStr">
        <is>
          <t>auto ancillaries</t>
        </is>
      </c>
      <c r="E16" s="31" t="inlineStr">
        <is>
          <t>smallcap</t>
        </is>
      </c>
      <c r="F16" s="31" t="n">
        <v>4057.15</v>
      </c>
      <c r="G16" s="31" t="n">
        <v>716.9</v>
      </c>
      <c r="H16" s="31" t="n">
        <v>6.36</v>
      </c>
      <c r="I16" s="31" t="n">
        <v>970733</v>
      </c>
      <c r="J16" s="31" t="inlineStr">
        <is>
          <t>541163</t>
        </is>
      </c>
    </row>
    <row r="17">
      <c r="A17" s="31" t="inlineStr">
        <is>
          <t>BALRAMCHIN</t>
        </is>
      </c>
      <c r="B17" s="31" t="inlineStr">
        <is>
          <t>Balrampur Chini Mills Limited</t>
        </is>
      </c>
      <c r="C17" s="31" t="inlineStr">
        <is>
          <t>fmcg</t>
        </is>
      </c>
      <c r="D17" s="31" t="inlineStr">
        <is>
          <t>sugar</t>
        </is>
      </c>
      <c r="E17" s="31" t="inlineStr">
        <is>
          <t>midcap</t>
        </is>
      </c>
      <c r="F17" s="31" t="n">
        <v>11135.89</v>
      </c>
      <c r="G17" s="31" t="n">
        <v>559.7</v>
      </c>
      <c r="H17" s="31" t="n">
        <v>6.18</v>
      </c>
      <c r="I17" s="31" t="n">
        <v>906935</v>
      </c>
      <c r="J17" s="31" t="inlineStr">
        <is>
          <t>500038</t>
        </is>
      </c>
    </row>
    <row r="18">
      <c r="A18" s="31" t="inlineStr">
        <is>
          <t>SPECTRUM</t>
        </is>
      </c>
      <c r="B18" s="31" t="inlineStr">
        <is>
          <t>Spectrum Electrical Industries Ltd</t>
        </is>
      </c>
      <c r="C18" s="31" t="inlineStr">
        <is>
          <t>industrials</t>
        </is>
      </c>
      <c r="D18" s="31" t="inlineStr">
        <is>
          <t>electric equipment</t>
        </is>
      </c>
      <c r="E18" s="31" t="inlineStr">
        <is>
          <t>smallcap</t>
        </is>
      </c>
      <c r="F18" s="31" t="n">
        <v>2755.42</v>
      </c>
      <c r="G18" s="31" t="n">
        <v>1860.7</v>
      </c>
      <c r="H18" s="31" t="n">
        <v>6.11</v>
      </c>
      <c r="I18" s="31" t="n">
        <v>37676</v>
      </c>
      <c r="J18" s="31" t="inlineStr">
        <is>
          <t>535112</t>
        </is>
      </c>
    </row>
    <row r="19">
      <c r="A19" s="31" t="inlineStr">
        <is>
          <t>IRISDOREME</t>
        </is>
      </c>
      <c r="B19" s="31" t="inlineStr">
        <is>
          <t>Iris Clothings Ltd</t>
        </is>
      </c>
      <c r="C19" s="31" t="inlineStr">
        <is>
          <t>consumer discretionary</t>
        </is>
      </c>
      <c r="D19" s="31" t="inlineStr">
        <is>
          <t>textiles - products</t>
        </is>
      </c>
      <c r="E19" s="31" t="inlineStr">
        <is>
          <t>smallcap</t>
        </is>
      </c>
      <c r="F19" s="31" t="n">
        <v>750.67</v>
      </c>
      <c r="G19" s="31" t="n">
        <v>41.67</v>
      </c>
      <c r="H19" s="31" t="n">
        <v>5.65</v>
      </c>
      <c r="I19" s="31" t="n">
        <v>2524949</v>
      </c>
      <c r="J19" s="31" t="inlineStr">
        <is>
          <t>535123</t>
        </is>
      </c>
    </row>
    <row r="20">
      <c r="A20" s="31" t="inlineStr">
        <is>
          <t>MAYURUNIQ</t>
        </is>
      </c>
      <c r="B20" s="31" t="inlineStr">
        <is>
          <t>Mayur Uniquoters Ltd</t>
        </is>
      </c>
      <c r="C20" s="31" t="inlineStr">
        <is>
          <t>consumer discretionary</t>
        </is>
      </c>
      <c r="D20" s="31" t="inlineStr">
        <is>
          <t>leather / leather products</t>
        </is>
      </c>
      <c r="E20" s="31" t="inlineStr">
        <is>
          <t>smallcap</t>
        </is>
      </c>
      <c r="F20" s="31" t="n">
        <v>3546.17</v>
      </c>
      <c r="G20" s="31" t="n">
        <v>860.8</v>
      </c>
      <c r="H20" s="31" t="n">
        <v>5.48</v>
      </c>
      <c r="I20" s="31" t="n">
        <v>467762</v>
      </c>
      <c r="J20" s="31" t="inlineStr">
        <is>
          <t>522249</t>
        </is>
      </c>
    </row>
    <row r="21">
      <c r="A21" s="31" t="inlineStr">
        <is>
          <t>SIMPLEXINF</t>
        </is>
      </c>
      <c r="B21" s="31" t="inlineStr">
        <is>
          <t>Simplex Infrastructures Limited</t>
        </is>
      </c>
      <c r="C21" s="31" t="inlineStr">
        <is>
          <t>realty</t>
        </is>
      </c>
      <c r="D21" s="31" t="inlineStr">
        <is>
          <t>construction</t>
        </is>
      </c>
      <c r="E21" s="31" t="inlineStr">
        <is>
          <t>smallcap</t>
        </is>
      </c>
      <c r="F21" s="31" t="n">
        <v>1995.58</v>
      </c>
      <c r="G21" s="31" t="n">
        <v>266</v>
      </c>
      <c r="H21" s="31" t="n">
        <v>5.43</v>
      </c>
      <c r="I21" s="31" t="n">
        <v>184098</v>
      </c>
      <c r="J21" s="31" t="inlineStr">
        <is>
          <t>523838</t>
        </is>
      </c>
    </row>
    <row r="22">
      <c r="A22" s="31" t="inlineStr">
        <is>
          <t>RAMCOSYS</t>
        </is>
      </c>
      <c r="B22" s="31" t="inlineStr">
        <is>
          <t>Ramco Systems Limited</t>
        </is>
      </c>
      <c r="C22" s="31" t="inlineStr">
        <is>
          <t>i.t</t>
        </is>
      </c>
      <c r="D22" s="31" t="inlineStr">
        <is>
          <t>computers - software - medium / small</t>
        </is>
      </c>
      <c r="E22" s="31" t="inlineStr">
        <is>
          <t>smallcap</t>
        </is>
      </c>
      <c r="F22" s="31" t="n">
        <v>2967.51</v>
      </c>
      <c r="G22" s="31" t="n">
        <v>836.05</v>
      </c>
      <c r="H22" s="31" t="n">
        <v>5.4</v>
      </c>
      <c r="I22" s="31" t="n">
        <v>12377403</v>
      </c>
      <c r="J22" s="31" t="inlineStr">
        <is>
          <t>532370</t>
        </is>
      </c>
    </row>
    <row r="23">
      <c r="A23" s="31" t="inlineStr">
        <is>
          <t>POCL</t>
        </is>
      </c>
      <c r="B23" s="31" t="inlineStr">
        <is>
          <t>Pondy Oxides &amp; Chemicals Ltd</t>
        </is>
      </c>
      <c r="C23" s="31" t="inlineStr">
        <is>
          <t>metals &amp; mining</t>
        </is>
      </c>
      <c r="D23" s="31" t="inlineStr">
        <is>
          <t>mining / minerals / metals</t>
        </is>
      </c>
      <c r="E23" s="31" t="inlineStr">
        <is>
          <t>smallcap</t>
        </is>
      </c>
      <c r="F23" s="31" t="n">
        <v>3979.89</v>
      </c>
      <c r="G23" s="31" t="n">
        <v>1374.9</v>
      </c>
      <c r="H23" s="31" t="n">
        <v>5.4</v>
      </c>
      <c r="I23" s="31" t="n">
        <v>583776</v>
      </c>
      <c r="J23" s="31" t="inlineStr">
        <is>
          <t>532626</t>
        </is>
      </c>
    </row>
    <row r="24">
      <c r="A24" s="31" t="inlineStr">
        <is>
          <t>GUFICBIO</t>
        </is>
      </c>
      <c r="B24" s="31" t="inlineStr">
        <is>
          <t>Gufic Biosciences Limited</t>
        </is>
      </c>
      <c r="C24" s="31" t="inlineStr">
        <is>
          <t>healthcare</t>
        </is>
      </c>
      <c r="D24" s="31" t="inlineStr">
        <is>
          <t>pharmaceuticals - indian - bulk drugs &amp; formln</t>
        </is>
      </c>
      <c r="E24" s="31" t="inlineStr">
        <is>
          <t>smallcap</t>
        </is>
      </c>
      <c r="F24" s="31" t="n">
        <v>3873.91</v>
      </c>
      <c r="G24" s="31" t="n">
        <v>407.05</v>
      </c>
      <c r="H24" s="31" t="n">
        <v>5.37</v>
      </c>
      <c r="I24" s="31" t="n">
        <v>8345734</v>
      </c>
      <c r="J24" s="31" t="inlineStr">
        <is>
          <t>509079</t>
        </is>
      </c>
    </row>
    <row r="25">
      <c r="A25" s="31" t="inlineStr">
        <is>
          <t>SGIL</t>
        </is>
      </c>
      <c r="B25" s="31" t="inlineStr">
        <is>
          <t>Synergy Green Industries Ltd</t>
        </is>
      </c>
      <c r="C25" s="31" t="inlineStr">
        <is>
          <t>industrials</t>
        </is>
      </c>
      <c r="D25" s="31" t="inlineStr">
        <is>
          <t>castings &amp; forgings</t>
        </is>
      </c>
      <c r="E25" s="31" t="inlineStr">
        <is>
          <t>smallcap</t>
        </is>
      </c>
      <c r="F25" s="31" t="n">
        <v>871.03</v>
      </c>
      <c r="G25" s="31" t="n">
        <v>590</v>
      </c>
      <c r="H25" s="31" t="n">
        <v>5.28</v>
      </c>
      <c r="I25" s="31" t="n">
        <v>6829</v>
      </c>
      <c r="J25" s="31" t="inlineStr">
        <is>
          <t>541929</t>
        </is>
      </c>
    </row>
    <row r="26">
      <c r="A26" s="31" t="inlineStr">
        <is>
          <t>ATHERENERG</t>
        </is>
      </c>
      <c r="B26" s="31" t="inlineStr">
        <is>
          <t>Ather Energy Ltd</t>
        </is>
      </c>
      <c r="C26" s="31" t="inlineStr">
        <is>
          <t>auto</t>
        </is>
      </c>
      <c r="D26" s="31" t="inlineStr">
        <is>
          <t>automobiles - scooters and 3 - wheelers</t>
        </is>
      </c>
      <c r="E26" s="31" t="inlineStr">
        <is>
          <t>largecap</t>
        </is>
      </c>
      <c r="F26" s="31" t="n">
        <v>41472.2</v>
      </c>
      <c r="G26" s="31" t="n">
        <v>1140.55</v>
      </c>
      <c r="H26" s="31" t="n">
        <v>5.24</v>
      </c>
      <c r="I26" s="31" t="n">
        <v>11196926</v>
      </c>
      <c r="J26" s="31" t="inlineStr">
        <is>
          <t>544397</t>
        </is>
      </c>
    </row>
    <row r="27">
      <c r="A27" s="31" t="inlineStr">
        <is>
          <t>MARUTI</t>
        </is>
      </c>
      <c r="B27" s="31" t="inlineStr">
        <is>
          <t>Maruti Suzuki India Limited</t>
        </is>
      </c>
      <c r="C27" s="31" t="inlineStr">
        <is>
          <t>auto</t>
        </is>
      </c>
      <c r="D27" s="31" t="inlineStr">
        <is>
          <t>automobiles - passenger cars</t>
        </is>
      </c>
      <c r="E27" s="31" t="inlineStr">
        <is>
          <t>largecap</t>
        </is>
      </c>
      <c r="F27" s="31" t="n">
        <v>421676.73</v>
      </c>
      <c r="G27" s="31" t="n">
        <v>14115</v>
      </c>
      <c r="H27" s="31" t="n">
        <v>5.24</v>
      </c>
      <c r="I27" s="31" t="n">
        <v>1511415</v>
      </c>
      <c r="J27" s="31" t="inlineStr">
        <is>
          <t>532500</t>
        </is>
      </c>
    </row>
    <row r="28">
      <c r="A28" s="31" t="inlineStr">
        <is>
          <t>GLAND</t>
        </is>
      </c>
      <c r="B28" s="31" t="inlineStr">
        <is>
          <t>Gland Pharma Ltd</t>
        </is>
      </c>
      <c r="C28" s="31" t="inlineStr">
        <is>
          <t>healthcare</t>
        </is>
      </c>
      <c r="D28" s="31" t="inlineStr">
        <is>
          <t>pharmaceuticals - indian - formulations</t>
        </is>
      </c>
      <c r="E28" s="31" t="inlineStr">
        <is>
          <t>largecap</t>
        </is>
      </c>
      <c r="F28" s="31" t="n">
        <v>39096.7</v>
      </c>
      <c r="G28" s="31" t="n">
        <v>2495</v>
      </c>
      <c r="H28" s="31" t="n">
        <v>5.14</v>
      </c>
      <c r="I28" s="31" t="n">
        <v>2296503</v>
      </c>
      <c r="J28" s="31" t="inlineStr">
        <is>
          <t>543245</t>
        </is>
      </c>
    </row>
    <row r="29">
      <c r="A29" s="31" t="inlineStr">
        <is>
          <t>MANBA</t>
        </is>
      </c>
      <c r="B29" s="31" t="inlineStr">
        <is>
          <t>Manba Finance Ltd</t>
        </is>
      </c>
      <c r="C29" s="31" t="inlineStr">
        <is>
          <t>financials</t>
        </is>
      </c>
      <c r="D29" s="31" t="inlineStr">
        <is>
          <t>finance &amp; investments</t>
        </is>
      </c>
      <c r="E29" s="31" t="inlineStr">
        <is>
          <t>smallcap</t>
        </is>
      </c>
      <c r="F29" s="31" t="n">
        <v>662.46</v>
      </c>
      <c r="G29" s="31" t="n">
        <v>138.63</v>
      </c>
      <c r="H29" s="31" t="n">
        <v>5.13</v>
      </c>
      <c r="I29" s="31" t="n">
        <v>147845</v>
      </c>
      <c r="J29" s="31" t="inlineStr">
        <is>
          <t>544262</t>
        </is>
      </c>
    </row>
    <row r="30">
      <c r="A30" s="31" t="inlineStr">
        <is>
          <t>MUFIN</t>
        </is>
      </c>
      <c r="B30" s="31" t="inlineStr">
        <is>
          <t>Mufin Green Finance Ltd</t>
        </is>
      </c>
      <c r="C30" s="31" t="inlineStr">
        <is>
          <t>financials</t>
        </is>
      </c>
      <c r="D30" s="31" t="inlineStr">
        <is>
          <t>finance &amp; investments</t>
        </is>
      </c>
      <c r="E30" s="31" t="inlineStr">
        <is>
          <t>smallcap</t>
        </is>
      </c>
      <c r="F30" s="31" t="n">
        <v>2523.99</v>
      </c>
      <c r="G30" s="31" t="n">
        <v>133.86</v>
      </c>
      <c r="H30" s="31" t="n">
        <v>5.1</v>
      </c>
      <c r="I30" s="31" t="n">
        <v>3909353</v>
      </c>
      <c r="J30" s="31" t="inlineStr">
        <is>
          <t>542774</t>
        </is>
      </c>
    </row>
    <row r="31">
      <c r="A31" s="31" t="inlineStr">
        <is>
          <t>GEECEE</t>
        </is>
      </c>
      <c r="B31" s="31" t="inlineStr">
        <is>
          <t>Geecee Ventures Limited</t>
        </is>
      </c>
      <c r="C31" s="31" t="inlineStr">
        <is>
          <t>financials</t>
        </is>
      </c>
      <c r="D31" s="31" t="inlineStr">
        <is>
          <t>finance &amp; investments</t>
        </is>
      </c>
      <c r="E31" s="31" t="inlineStr">
        <is>
          <t>smallcap</t>
        </is>
      </c>
      <c r="F31" s="31" t="n">
        <v>694.79</v>
      </c>
      <c r="G31" s="31" t="n">
        <v>349.2</v>
      </c>
      <c r="H31" s="31" t="n">
        <v>5.1</v>
      </c>
      <c r="I31" s="31" t="n">
        <v>3719</v>
      </c>
      <c r="J31" s="31" t="inlineStr">
        <is>
          <t>532764</t>
        </is>
      </c>
    </row>
    <row r="32">
      <c r="A32" s="31" t="inlineStr">
        <is>
          <t>CGCL</t>
        </is>
      </c>
      <c r="B32" s="31" t="inlineStr">
        <is>
          <t>Capri Global Capital Limited</t>
        </is>
      </c>
      <c r="C32" s="31" t="inlineStr">
        <is>
          <t>financials</t>
        </is>
      </c>
      <c r="D32" s="31" t="inlineStr">
        <is>
          <t>finance &amp; investments</t>
        </is>
      </c>
      <c r="E32" s="31" t="inlineStr">
        <is>
          <t>largecap</t>
        </is>
      </c>
      <c r="F32" s="31" t="n">
        <v>20842.18</v>
      </c>
      <c r="G32" s="31" t="n">
        <v>227.66</v>
      </c>
      <c r="H32" s="31" t="n">
        <v>5.1</v>
      </c>
      <c r="I32" s="31" t="n">
        <v>18630315</v>
      </c>
      <c r="J32" s="31" t="inlineStr">
        <is>
          <t>531595</t>
        </is>
      </c>
    </row>
    <row r="33">
      <c r="A33" s="31" t="inlineStr">
        <is>
          <t>SOLARINDS</t>
        </is>
      </c>
      <c r="B33" s="31" t="inlineStr">
        <is>
          <t>Solar Industries India Limited</t>
        </is>
      </c>
      <c r="C33" s="31" t="inlineStr">
        <is>
          <t>aerospace &amp; defence</t>
        </is>
      </c>
      <c r="D33" s="31" t="inlineStr">
        <is>
          <t>chemicals</t>
        </is>
      </c>
      <c r="E33" s="31" t="inlineStr">
        <is>
          <t>largecap</t>
        </is>
      </c>
      <c r="F33" s="31" t="n">
        <v>161054.2</v>
      </c>
      <c r="G33" s="31" t="n">
        <v>18696</v>
      </c>
      <c r="H33" s="31" t="n">
        <v>5.05</v>
      </c>
      <c r="I33" s="31" t="n">
        <v>306107</v>
      </c>
      <c r="J33" s="31" t="inlineStr">
        <is>
          <t>532725</t>
        </is>
      </c>
    </row>
    <row r="34">
      <c r="A34" s="31" t="inlineStr">
        <is>
          <t>KERNEX</t>
        </is>
      </c>
      <c r="B34" s="31" t="inlineStr">
        <is>
          <t>Kernex Microsystems (india) Limited</t>
        </is>
      </c>
      <c r="C34" s="31" t="inlineStr">
        <is>
          <t>consumer discretionary</t>
        </is>
      </c>
      <c r="D34" s="31" t="inlineStr">
        <is>
          <t>electronics - components</t>
        </is>
      </c>
      <c r="E34" s="31" t="inlineStr">
        <is>
          <t>smallcap</t>
        </is>
      </c>
      <c r="F34" s="31" t="n">
        <v>3454.91</v>
      </c>
      <c r="G34" s="31" t="n">
        <v>2159.9</v>
      </c>
      <c r="H34" s="31" t="n">
        <v>5.04</v>
      </c>
      <c r="I34" s="31" t="n">
        <v>241810</v>
      </c>
      <c r="J34" s="31" t="inlineStr">
        <is>
          <t>532686</t>
        </is>
      </c>
    </row>
    <row r="35">
      <c r="A35" s="31" t="inlineStr">
        <is>
          <t>INDOTECH</t>
        </is>
      </c>
      <c r="B35" s="31" t="inlineStr">
        <is>
          <t>Indo Tech Transformers Limited</t>
        </is>
      </c>
      <c r="C35" s="31" t="inlineStr">
        <is>
          <t>industrials</t>
        </is>
      </c>
      <c r="D35" s="31" t="inlineStr">
        <is>
          <t>electric equipment</t>
        </is>
      </c>
      <c r="E35" s="31" t="inlineStr">
        <is>
          <t>smallcap</t>
        </is>
      </c>
      <c r="F35" s="31" t="n">
        <v>3272.98</v>
      </c>
      <c r="G35" s="31" t="n">
        <v>3235.9</v>
      </c>
      <c r="H35" s="31" t="n">
        <v>5</v>
      </c>
      <c r="I35" s="31" t="n">
        <v>205661</v>
      </c>
      <c r="J35" s="31" t="inlineStr">
        <is>
          <t>532717</t>
        </is>
      </c>
    </row>
    <row r="36">
      <c r="A36" s="31" t="inlineStr">
        <is>
          <t>PRECOT</t>
        </is>
      </c>
      <c r="B36" s="31" t="inlineStr">
        <is>
          <t>Precot Meridian Limited</t>
        </is>
      </c>
      <c r="C36" s="31" t="inlineStr">
        <is>
          <t>textiles</t>
        </is>
      </c>
      <c r="D36" s="31" t="inlineStr">
        <is>
          <t>textiles - cotton/blended</t>
        </is>
      </c>
      <c r="E36" s="31" t="inlineStr">
        <is>
          <t>smallcap</t>
        </is>
      </c>
      <c r="F36" s="31" t="n">
        <v>852.36</v>
      </c>
      <c r="G36" s="31" t="n">
        <v>745.8</v>
      </c>
      <c r="H36" s="31" t="n">
        <v>5</v>
      </c>
      <c r="I36" s="31" t="n">
        <v>8456</v>
      </c>
      <c r="J36" s="31" t="inlineStr">
        <is>
          <t>521184</t>
        </is>
      </c>
    </row>
    <row r="37">
      <c r="A37" s="31" t="inlineStr">
        <is>
          <t>PANAMAPET</t>
        </is>
      </c>
      <c r="B37" s="31" t="inlineStr">
        <is>
          <t>Panama Petrochem Limited</t>
        </is>
      </c>
      <c r="C37" s="31" t="inlineStr">
        <is>
          <t>energy</t>
        </is>
      </c>
      <c r="D37" s="31" t="inlineStr">
        <is>
          <t>petrochemicals</t>
        </is>
      </c>
      <c r="E37" s="31" t="inlineStr">
        <is>
          <t>smallcap</t>
        </is>
      </c>
      <c r="F37" s="31" t="n">
        <v>2423.07</v>
      </c>
      <c r="G37" s="31" t="n">
        <v>420.55</v>
      </c>
      <c r="H37" s="31" t="n">
        <v>4.99</v>
      </c>
      <c r="I37" s="31" t="n">
        <v>400403</v>
      </c>
      <c r="J37" s="31" t="inlineStr">
        <is>
          <t>524820</t>
        </is>
      </c>
    </row>
    <row r="38">
      <c r="A38" s="31" t="inlineStr">
        <is>
          <t>GHCLTEXTIL</t>
        </is>
      </c>
      <c r="B38" s="31" t="inlineStr">
        <is>
          <t>GHCL Textiles Ltd</t>
        </is>
      </c>
      <c r="C38" s="31" t="inlineStr">
        <is>
          <t>textiles</t>
        </is>
      </c>
      <c r="D38" s="31" t="inlineStr">
        <is>
          <t>textiles - spinning - synthetic / blended</t>
        </is>
      </c>
      <c r="E38" s="31" t="inlineStr">
        <is>
          <t>smallcap</t>
        </is>
      </c>
      <c r="F38" s="31" t="n">
        <v>907.2</v>
      </c>
      <c r="G38" s="31" t="n">
        <v>99.63</v>
      </c>
      <c r="H38" s="31" t="n">
        <v>4.97</v>
      </c>
      <c r="I38" s="31" t="n">
        <v>1214997</v>
      </c>
      <c r="J38" s="31" t="inlineStr">
        <is>
          <t>543918</t>
        </is>
      </c>
    </row>
    <row r="39">
      <c r="A39" s="31" t="inlineStr">
        <is>
          <t>GREAVESCOT</t>
        </is>
      </c>
      <c r="B39" s="31" t="inlineStr">
        <is>
          <t>Greaves Cotton Limited</t>
        </is>
      </c>
      <c r="C39" s="31" t="inlineStr">
        <is>
          <t>industrials</t>
        </is>
      </c>
      <c r="D39" s="31" t="inlineStr">
        <is>
          <t>engines</t>
        </is>
      </c>
      <c r="E39" s="31" t="inlineStr">
        <is>
          <t>smallcap</t>
        </is>
      </c>
      <c r="F39" s="31" t="n">
        <v>4880.78</v>
      </c>
      <c r="G39" s="31" t="n">
        <v>219.98</v>
      </c>
      <c r="H39" s="31" t="n">
        <v>4.97</v>
      </c>
      <c r="I39" s="31" t="n">
        <v>5080820</v>
      </c>
      <c r="J39" s="31" t="inlineStr">
        <is>
          <t>501455</t>
        </is>
      </c>
    </row>
    <row r="40">
      <c r="A40" s="31" t="inlineStr">
        <is>
          <t>ICEMAKE</t>
        </is>
      </c>
      <c r="B40" s="31" t="inlineStr">
        <is>
          <t>ICE Make Refrigeration Ltd</t>
        </is>
      </c>
      <c r="C40" s="31" t="inlineStr">
        <is>
          <t>industrials</t>
        </is>
      </c>
      <c r="D40" s="31" t="inlineStr">
        <is>
          <t>engineering</t>
        </is>
      </c>
      <c r="E40" s="31" t="inlineStr">
        <is>
          <t>smallcap</t>
        </is>
      </c>
      <c r="F40" s="31" t="n">
        <v>1201.15</v>
      </c>
      <c r="G40" s="31" t="n">
        <v>798.8</v>
      </c>
      <c r="H40" s="31" t="n">
        <v>4.94</v>
      </c>
      <c r="I40" s="31" t="n">
        <v>68507</v>
      </c>
      <c r="J40" s="31" t="inlineStr">
        <is>
          <t>535034</t>
        </is>
      </c>
    </row>
    <row r="41">
      <c r="A41" s="31" t="inlineStr">
        <is>
          <t>BHAGYANGR</t>
        </is>
      </c>
      <c r="B41" s="31" t="inlineStr">
        <is>
          <t>Bhagyanagar India</t>
        </is>
      </c>
      <c r="C41" s="31" t="inlineStr">
        <is>
          <t>power &amp; utilities</t>
        </is>
      </c>
      <c r="D41" s="31" t="inlineStr">
        <is>
          <t>power generation and supply</t>
        </is>
      </c>
      <c r="E41" s="31" t="inlineStr">
        <is>
          <t>smallcap</t>
        </is>
      </c>
      <c r="F41" s="31" t="n">
        <v>1317.39</v>
      </c>
      <c r="G41" s="31" t="n">
        <v>431.85</v>
      </c>
      <c r="H41" s="31" t="n">
        <v>4.88</v>
      </c>
      <c r="I41" s="31" t="n">
        <v>179911</v>
      </c>
      <c r="J41" s="31" t="inlineStr">
        <is>
          <t>512296</t>
        </is>
      </c>
    </row>
    <row r="42">
      <c r="A42" s="31" t="inlineStr">
        <is>
          <t>SUPRIYA</t>
        </is>
      </c>
      <c r="B42" s="31" t="inlineStr">
        <is>
          <t>Supriya Lifescience Ltd</t>
        </is>
      </c>
      <c r="C42" s="31" t="inlineStr">
        <is>
          <t>healthcare</t>
        </is>
      </c>
      <c r="D42" s="31" t="inlineStr">
        <is>
          <t>pharmaceuticals - indian - bulk drugs &amp; formln</t>
        </is>
      </c>
      <c r="E42" s="31" t="inlineStr">
        <is>
          <t>midcap</t>
        </is>
      </c>
      <c r="F42" s="31" t="n">
        <v>7812.87</v>
      </c>
      <c r="G42" s="31" t="n">
        <v>1018.05</v>
      </c>
      <c r="H42" s="31" t="n">
        <v>4.87</v>
      </c>
      <c r="I42" s="31" t="n">
        <v>1116859</v>
      </c>
      <c r="J42" s="31" t="inlineStr">
        <is>
          <t>543434</t>
        </is>
      </c>
    </row>
    <row r="43">
      <c r="A43" s="31" t="inlineStr">
        <is>
          <t>INOXINDIA</t>
        </is>
      </c>
      <c r="B43" s="31" t="inlineStr">
        <is>
          <t>Inox India Ltd</t>
        </is>
      </c>
      <c r="C43" s="31" t="inlineStr">
        <is>
          <t>industrials</t>
        </is>
      </c>
      <c r="D43" s="31" t="inlineStr">
        <is>
          <t>packaging</t>
        </is>
      </c>
      <c r="E43" s="31" t="inlineStr">
        <is>
          <t>midcap</t>
        </is>
      </c>
      <c r="F43" s="31" t="n">
        <v>16961.88</v>
      </c>
      <c r="G43" s="31" t="n">
        <v>1958.4</v>
      </c>
      <c r="H43" s="31" t="n">
        <v>4.79</v>
      </c>
      <c r="I43" s="31" t="n">
        <v>493633</v>
      </c>
      <c r="J43" s="31" t="inlineStr">
        <is>
          <t>544046</t>
        </is>
      </c>
    </row>
    <row r="44">
      <c r="A44" s="31" t="inlineStr">
        <is>
          <t>THYROCARE</t>
        </is>
      </c>
      <c r="B44" s="31" t="inlineStr">
        <is>
          <t>Thyrocare Technologies Limited</t>
        </is>
      </c>
      <c r="C44" s="31" t="inlineStr">
        <is>
          <t>healthcare</t>
        </is>
      </c>
      <c r="D44" s="31" t="inlineStr">
        <is>
          <t>healthcare</t>
        </is>
      </c>
      <c r="E44" s="31" t="inlineStr">
        <is>
          <t>midcap</t>
        </is>
      </c>
      <c r="F44" s="31" t="n">
        <v>8346.629999999999</v>
      </c>
      <c r="G44" s="31" t="n">
        <v>549.3</v>
      </c>
      <c r="H44" s="31" t="n">
        <v>4.75</v>
      </c>
      <c r="I44" s="31" t="n">
        <v>464142</v>
      </c>
      <c r="J44" s="31" t="inlineStr">
        <is>
          <t>539871</t>
        </is>
      </c>
    </row>
    <row r="45">
      <c r="A45" s="31" t="inlineStr">
        <is>
          <t>WELENT</t>
        </is>
      </c>
      <c r="B45" s="31" t="inlineStr">
        <is>
          <t>Welspun Enterprises Limited</t>
        </is>
      </c>
      <c r="C45" s="31" t="inlineStr">
        <is>
          <t>realty</t>
        </is>
      </c>
      <c r="D45" s="31" t="inlineStr">
        <is>
          <t>construction</t>
        </is>
      </c>
      <c r="E45" s="31" t="inlineStr">
        <is>
          <t>midcap</t>
        </is>
      </c>
      <c r="F45" s="31" t="n">
        <v>7947.03</v>
      </c>
      <c r="G45" s="31" t="n">
        <v>601.45</v>
      </c>
      <c r="H45" s="31" t="n">
        <v>4.75</v>
      </c>
      <c r="I45" s="31" t="n">
        <v>1015862</v>
      </c>
      <c r="J45" s="31" t="inlineStr">
        <is>
          <t>532553</t>
        </is>
      </c>
    </row>
    <row r="46">
      <c r="A46" s="31" t="inlineStr">
        <is>
          <t>NELCO</t>
        </is>
      </c>
      <c r="B46" s="31" t="inlineStr">
        <is>
          <t>Nelco Limited</t>
        </is>
      </c>
      <c r="C46" s="31" t="inlineStr">
        <is>
          <t>telecom</t>
        </is>
      </c>
      <c r="D46" s="31" t="inlineStr">
        <is>
          <t>telecommunications - service provider</t>
        </is>
      </c>
      <c r="E46" s="31" t="inlineStr">
        <is>
          <t>smallcap</t>
        </is>
      </c>
      <c r="F46" s="31" t="n">
        <v>2029.13</v>
      </c>
      <c r="G46" s="31" t="n">
        <v>929.8</v>
      </c>
      <c r="H46" s="31" t="n">
        <v>4.56</v>
      </c>
      <c r="I46" s="31" t="n">
        <v>502649</v>
      </c>
      <c r="J46" s="31" t="inlineStr">
        <is>
          <t>504112</t>
        </is>
      </c>
    </row>
    <row r="47">
      <c r="A47" s="31" t="inlineStr">
        <is>
          <t>KIRLOSBROS</t>
        </is>
      </c>
      <c r="B47" s="31" t="inlineStr">
        <is>
          <t>Kirloskar Brothers Limited</t>
        </is>
      </c>
      <c r="C47" s="31" t="inlineStr">
        <is>
          <t>industrials</t>
        </is>
      </c>
      <c r="D47" s="31" t="inlineStr">
        <is>
          <t>pumps</t>
        </is>
      </c>
      <c r="E47" s="31" t="inlineStr">
        <is>
          <t>midcap</t>
        </is>
      </c>
      <c r="F47" s="31" t="n">
        <v>15594.32</v>
      </c>
      <c r="G47" s="31" t="n">
        <v>2053.4</v>
      </c>
      <c r="H47" s="31" t="n">
        <v>4.56</v>
      </c>
      <c r="I47" s="31" t="n">
        <v>397085</v>
      </c>
      <c r="J47" s="31" t="inlineStr">
        <is>
          <t>500241</t>
        </is>
      </c>
    </row>
    <row r="48">
      <c r="A48" s="31" t="inlineStr">
        <is>
          <t>PDSL</t>
        </is>
      </c>
      <c r="B48" s="31" t="inlineStr">
        <is>
          <t>PDS Ltd</t>
        </is>
      </c>
      <c r="C48" s="31" t="inlineStr">
        <is>
          <t>textiles</t>
        </is>
      </c>
      <c r="D48" s="31" t="inlineStr">
        <is>
          <t>trading</t>
        </is>
      </c>
      <c r="E48" s="31" t="inlineStr">
        <is>
          <t>smallcap</t>
        </is>
      </c>
      <c r="F48" s="31" t="n">
        <v>4951.89</v>
      </c>
      <c r="G48" s="31" t="n">
        <v>365.4</v>
      </c>
      <c r="H48" s="31" t="n">
        <v>4.37</v>
      </c>
      <c r="I48" s="31" t="n">
        <v>445228</v>
      </c>
      <c r="J48" s="31" t="inlineStr">
        <is>
          <t>538730</t>
        </is>
      </c>
    </row>
    <row r="49">
      <c r="A49" s="31" t="inlineStr">
        <is>
          <t>APOLLO</t>
        </is>
      </c>
      <c r="B49" s="31" t="inlineStr">
        <is>
          <t>Apollo Micro Systems Ltd</t>
        </is>
      </c>
      <c r="C49" s="31" t="inlineStr">
        <is>
          <t>aerospace &amp; defence</t>
        </is>
      </c>
      <c r="D49" s="31" t="inlineStr">
        <is>
          <t>electronics - components</t>
        </is>
      </c>
      <c r="E49" s="31" t="inlineStr">
        <is>
          <t>midcap</t>
        </is>
      </c>
      <c r="F49" s="31" t="n">
        <v>15042.42</v>
      </c>
      <c r="G49" s="31" t="n">
        <v>424.75</v>
      </c>
      <c r="H49" s="31" t="n">
        <v>4.32</v>
      </c>
      <c r="I49" s="31" t="n">
        <v>23073789</v>
      </c>
      <c r="J49" s="31" t="inlineStr">
        <is>
          <t>540879</t>
        </is>
      </c>
    </row>
    <row r="50">
      <c r="A50" s="31" t="inlineStr">
        <is>
          <t>SHILPAMED</t>
        </is>
      </c>
      <c r="B50" s="31" t="inlineStr">
        <is>
          <t>Shilpa Medicare Limited</t>
        </is>
      </c>
      <c r="C50" s="31" t="inlineStr">
        <is>
          <t>healthcare</t>
        </is>
      </c>
      <c r="D50" s="31" t="inlineStr">
        <is>
          <t>pharmaceuticals - indian - formulations</t>
        </is>
      </c>
      <c r="E50" s="31" t="inlineStr">
        <is>
          <t>midcap</t>
        </is>
      </c>
      <c r="F50" s="31" t="n">
        <v>11218.57</v>
      </c>
      <c r="G50" s="31" t="n">
        <v>598.4</v>
      </c>
      <c r="H50" s="31" t="n">
        <v>4.32</v>
      </c>
      <c r="I50" s="31" t="n">
        <v>3553184</v>
      </c>
      <c r="J50" s="31" t="inlineStr">
        <is>
          <t>530549</t>
        </is>
      </c>
    </row>
    <row r="51">
      <c r="A51" s="31" t="inlineStr">
        <is>
          <t>MANORAMA</t>
        </is>
      </c>
      <c r="B51" s="31" t="inlineStr">
        <is>
          <t>Manorama Industries Ltd</t>
        </is>
      </c>
      <c r="C51" s="31" t="inlineStr">
        <is>
          <t>fmcg</t>
        </is>
      </c>
      <c r="D51" s="31" t="inlineStr">
        <is>
          <t>food - processing - indian</t>
        </is>
      </c>
      <c r="E51" s="31" t="inlineStr">
        <is>
          <t>midcap</t>
        </is>
      </c>
      <c r="F51" s="31" t="n">
        <v>9476.34</v>
      </c>
      <c r="G51" s="31" t="n">
        <v>1655.3</v>
      </c>
      <c r="H51" s="31" t="n">
        <v>4.3</v>
      </c>
      <c r="I51" s="31" t="n">
        <v>476739</v>
      </c>
      <c r="J51" s="31" t="inlineStr">
        <is>
          <t>541974</t>
        </is>
      </c>
    </row>
    <row r="52">
      <c r="A52" s="31" t="inlineStr">
        <is>
          <t>AVANTEL</t>
        </is>
      </c>
      <c r="B52" s="31" t="inlineStr">
        <is>
          <t>Avantel Ltd</t>
        </is>
      </c>
      <c r="C52" s="31" t="inlineStr">
        <is>
          <t>aerospace &amp; defence</t>
        </is>
      </c>
      <c r="D52" s="31" t="inlineStr">
        <is>
          <t>telecommunications - equipment</t>
        </is>
      </c>
      <c r="E52" s="31" t="inlineStr">
        <is>
          <t>smallcap</t>
        </is>
      </c>
      <c r="F52" s="31" t="n">
        <v>4563.85</v>
      </c>
      <c r="G52" s="31" t="n">
        <v>179.12</v>
      </c>
      <c r="H52" s="31" t="n">
        <v>4.29</v>
      </c>
      <c r="I52" s="31" t="n">
        <v>4045894</v>
      </c>
      <c r="J52" s="31" t="inlineStr">
        <is>
          <t>532406</t>
        </is>
      </c>
    </row>
    <row r="53">
      <c r="A53" s="31" t="inlineStr">
        <is>
          <t>SHRIPISTON</t>
        </is>
      </c>
      <c r="B53" s="31" t="inlineStr">
        <is>
          <t>Shriram Pistons &amp; Rings Limited</t>
        </is>
      </c>
      <c r="C53" s="31" t="inlineStr">
        <is>
          <t>auto</t>
        </is>
      </c>
      <c r="D53" s="31" t="inlineStr">
        <is>
          <t>auto ancillaries</t>
        </is>
      </c>
      <c r="E53" s="31" t="inlineStr">
        <is>
          <t>midcap</t>
        </is>
      </c>
      <c r="F53" s="31" t="n">
        <v>17659.13</v>
      </c>
      <c r="G53" s="31" t="n">
        <v>4180</v>
      </c>
      <c r="H53" s="31" t="n">
        <v>4.27</v>
      </c>
      <c r="I53" s="31" t="n">
        <v>152799</v>
      </c>
      <c r="J53" s="31" t="n"/>
    </row>
    <row r="54">
      <c r="A54" s="31" t="inlineStr">
        <is>
          <t>SATIN</t>
        </is>
      </c>
      <c r="B54" s="31" t="inlineStr">
        <is>
          <t>Satin Creditcare Network Limited</t>
        </is>
      </c>
      <c r="C54" s="31" t="inlineStr">
        <is>
          <t>financials</t>
        </is>
      </c>
      <c r="D54" s="31" t="inlineStr">
        <is>
          <t>finance &amp; investments</t>
        </is>
      </c>
      <c r="E54" s="31" t="inlineStr">
        <is>
          <t>smallcap</t>
        </is>
      </c>
      <c r="F54" s="31" t="n">
        <v>2605.9</v>
      </c>
      <c r="G54" s="31" t="n">
        <v>245.9</v>
      </c>
      <c r="H54" s="31" t="n">
        <v>4.24</v>
      </c>
      <c r="I54" s="31" t="n">
        <v>870050</v>
      </c>
      <c r="J54" s="31" t="inlineStr">
        <is>
          <t>539404</t>
        </is>
      </c>
    </row>
    <row r="55">
      <c r="A55" s="31" t="inlineStr">
        <is>
          <t>VISAKAIND</t>
        </is>
      </c>
      <c r="B55" s="31" t="inlineStr">
        <is>
          <t>Visaka Industries Limited</t>
        </is>
      </c>
      <c r="C55" s="31" t="inlineStr">
        <is>
          <t>building materials</t>
        </is>
      </c>
      <c r="D55" s="31" t="inlineStr">
        <is>
          <t>cement products</t>
        </is>
      </c>
      <c r="E55" s="31" t="inlineStr">
        <is>
          <t>smallcap</t>
        </is>
      </c>
      <c r="F55" s="31" t="n">
        <v>662.98</v>
      </c>
      <c r="G55" s="31" t="n">
        <v>79.95</v>
      </c>
      <c r="H55" s="31" t="n">
        <v>4.2</v>
      </c>
      <c r="I55" s="31" t="n">
        <v>324088</v>
      </c>
      <c r="J55" s="31" t="inlineStr">
        <is>
          <t>509055</t>
        </is>
      </c>
    </row>
    <row r="56">
      <c r="A56" s="31" t="inlineStr">
        <is>
          <t>KSL</t>
        </is>
      </c>
      <c r="B56" s="31" t="inlineStr">
        <is>
          <t>Kalyani Steels Limited</t>
        </is>
      </c>
      <c r="C56" s="31" t="inlineStr">
        <is>
          <t>metals &amp; mining</t>
        </is>
      </c>
      <c r="D56" s="31" t="inlineStr">
        <is>
          <t>steel - medium / small</t>
        </is>
      </c>
      <c r="E56" s="31" t="inlineStr">
        <is>
          <t>smallcap</t>
        </is>
      </c>
      <c r="F56" s="31" t="n">
        <v>3686.72</v>
      </c>
      <c r="G56" s="31" t="n">
        <v>879.95</v>
      </c>
      <c r="H56" s="31" t="n">
        <v>4.19</v>
      </c>
      <c r="I56" s="31" t="n">
        <v>123531</v>
      </c>
      <c r="J56" s="31" t="inlineStr">
        <is>
          <t>500235</t>
        </is>
      </c>
    </row>
    <row r="57">
      <c r="A57" s="31" t="inlineStr">
        <is>
          <t>KPRMILL</t>
        </is>
      </c>
      <c r="B57" s="31" t="inlineStr">
        <is>
          <t>K.p.r. Mill Limited</t>
        </is>
      </c>
      <c r="C57" s="31" t="inlineStr">
        <is>
          <t>consumer discretionary</t>
        </is>
      </c>
      <c r="D57" s="31" t="inlineStr">
        <is>
          <t>textiles - products</t>
        </is>
      </c>
      <c r="E57" s="31" t="inlineStr">
        <is>
          <t>largecap</t>
        </is>
      </c>
      <c r="F57" s="31" t="n">
        <v>38676.25</v>
      </c>
      <c r="G57" s="31" t="n">
        <v>1177.3</v>
      </c>
      <c r="H57" s="31" t="n">
        <v>4.05</v>
      </c>
      <c r="I57" s="31" t="n">
        <v>993804</v>
      </c>
      <c r="J57" s="31" t="inlineStr">
        <is>
          <t>532889</t>
        </is>
      </c>
    </row>
    <row r="58">
      <c r="A58" s="31" t="inlineStr">
        <is>
          <t>CREDITACC</t>
        </is>
      </c>
      <c r="B58" s="31" t="inlineStr">
        <is>
          <t>CreditAccess Grameen Ltd</t>
        </is>
      </c>
      <c r="C58" s="31" t="inlineStr">
        <is>
          <t>financials</t>
        </is>
      </c>
      <c r="D58" s="31" t="inlineStr">
        <is>
          <t>finance &amp; investments</t>
        </is>
      </c>
      <c r="E58" s="31" t="inlineStr">
        <is>
          <t>largecap</t>
        </is>
      </c>
      <c r="F58" s="31" t="n">
        <v>22935.27</v>
      </c>
      <c r="G58" s="31" t="n">
        <v>1489.5</v>
      </c>
      <c r="H58" s="31" t="n">
        <v>4.04</v>
      </c>
      <c r="I58" s="31" t="n">
        <v>509667</v>
      </c>
      <c r="J58" s="31" t="inlineStr">
        <is>
          <t>541770</t>
        </is>
      </c>
    </row>
    <row r="59">
      <c r="A59" s="31" t="inlineStr">
        <is>
          <t>RATEGAIN</t>
        </is>
      </c>
      <c r="B59" s="31" t="inlineStr">
        <is>
          <t>Rategain Travel Technologies Ltd</t>
        </is>
      </c>
      <c r="C59" s="31" t="inlineStr">
        <is>
          <t>i.t</t>
        </is>
      </c>
      <c r="D59" s="31" t="inlineStr">
        <is>
          <t>computers - software - medium / small</t>
        </is>
      </c>
      <c r="E59" s="31" t="inlineStr">
        <is>
          <t>midcap</t>
        </is>
      </c>
      <c r="F59" s="31" t="n">
        <v>10214.22</v>
      </c>
      <c r="G59" s="31" t="n">
        <v>899.15</v>
      </c>
      <c r="H59" s="31" t="n">
        <v>4.02</v>
      </c>
      <c r="I59" s="31" t="n">
        <v>762540</v>
      </c>
      <c r="J59" s="31" t="inlineStr">
        <is>
          <t>543417</t>
        </is>
      </c>
    </row>
    <row r="60">
      <c r="A60" s="31" t="inlineStr">
        <is>
          <t>SKYGOLD</t>
        </is>
      </c>
      <c r="B60" s="31" t="inlineStr">
        <is>
          <t>Sky Gold Ltd</t>
        </is>
      </c>
      <c r="C60" s="31" t="inlineStr">
        <is>
          <t>consumer discretionary</t>
        </is>
      </c>
      <c r="D60" s="31" t="inlineStr">
        <is>
          <t>diamond cutting / jewellery</t>
        </is>
      </c>
      <c r="E60" s="31" t="inlineStr">
        <is>
          <t>midcap</t>
        </is>
      </c>
      <c r="F60" s="31" t="n">
        <v>7931.09</v>
      </c>
      <c r="G60" s="31" t="n">
        <v>532.55</v>
      </c>
      <c r="H60" s="31" t="n">
        <v>3.99</v>
      </c>
      <c r="I60" s="31" t="n">
        <v>895544</v>
      </c>
      <c r="J60" s="31" t="inlineStr">
        <is>
          <t>541967</t>
        </is>
      </c>
    </row>
    <row r="61">
      <c r="A61" s="31" t="inlineStr">
        <is>
          <t>ACE</t>
        </is>
      </c>
      <c r="B61" s="31" t="inlineStr">
        <is>
          <t>Action Construction Equipment Limited</t>
        </is>
      </c>
      <c r="C61" s="31" t="inlineStr">
        <is>
          <t>industrials</t>
        </is>
      </c>
      <c r="D61" s="31" t="inlineStr">
        <is>
          <t>engineering</t>
        </is>
      </c>
      <c r="E61" s="31" t="inlineStr">
        <is>
          <t>midcap</t>
        </is>
      </c>
      <c r="F61" s="31" t="n">
        <v>11731.48</v>
      </c>
      <c r="G61" s="31" t="n">
        <v>1024</v>
      </c>
      <c r="H61" s="31" t="n">
        <v>3.94</v>
      </c>
      <c r="I61" s="31" t="n">
        <v>498157</v>
      </c>
      <c r="J61" s="31" t="inlineStr">
        <is>
          <t>532762</t>
        </is>
      </c>
    </row>
    <row r="62">
      <c r="A62" s="31" t="inlineStr">
        <is>
          <t>LTF</t>
        </is>
      </c>
      <c r="B62" s="31" t="inlineStr">
        <is>
          <t>L&amp;T Finance Ltd</t>
        </is>
      </c>
      <c r="C62" s="31" t="inlineStr">
        <is>
          <t>financials</t>
        </is>
      </c>
      <c r="D62" s="31" t="inlineStr">
        <is>
          <t>finance &amp; investments</t>
        </is>
      </c>
      <c r="E62" s="31" t="inlineStr">
        <is>
          <t>largecap</t>
        </is>
      </c>
      <c r="F62" s="31" t="n">
        <v>74893.66</v>
      </c>
      <c r="G62" s="31" t="n">
        <v>310.75</v>
      </c>
      <c r="H62" s="31" t="n">
        <v>3.91</v>
      </c>
      <c r="I62" s="31" t="n">
        <v>10810310</v>
      </c>
      <c r="J62" s="31" t="inlineStr">
        <is>
          <t>533519</t>
        </is>
      </c>
    </row>
    <row r="63">
      <c r="A63" s="31" t="inlineStr">
        <is>
          <t>SANGHVIMOV</t>
        </is>
      </c>
      <c r="B63" s="31" t="inlineStr">
        <is>
          <t>Sanghvi Movers Limited</t>
        </is>
      </c>
      <c r="C63" s="31" t="inlineStr">
        <is>
          <t>miscellaneous</t>
        </is>
      </c>
      <c r="D63" s="31" t="inlineStr">
        <is>
          <t>miscellaneous</t>
        </is>
      </c>
      <c r="E63" s="31" t="inlineStr">
        <is>
          <t>smallcap</t>
        </is>
      </c>
      <c r="F63" s="31" t="n">
        <v>3653.07</v>
      </c>
      <c r="G63" s="31" t="n">
        <v>438.4</v>
      </c>
      <c r="H63" s="31" t="n">
        <v>3.9</v>
      </c>
      <c r="I63" s="31" t="n">
        <v>639087</v>
      </c>
      <c r="J63" s="31" t="inlineStr">
        <is>
          <t>530073</t>
        </is>
      </c>
    </row>
    <row r="64">
      <c r="A64" s="31" t="inlineStr">
        <is>
          <t>RPEL</t>
        </is>
      </c>
      <c r="B64" s="31" t="inlineStr">
        <is>
          <t>Raghav Productivity Enhancers Ltd</t>
        </is>
      </c>
      <c r="C64" s="31" t="inlineStr">
        <is>
          <t>building materials</t>
        </is>
      </c>
      <c r="D64" s="31" t="inlineStr">
        <is>
          <t>refractories / intermediates</t>
        </is>
      </c>
      <c r="E64" s="31" t="inlineStr">
        <is>
          <t>midcap</t>
        </is>
      </c>
      <c r="F64" s="31" t="n">
        <v>5321.66</v>
      </c>
      <c r="G64" s="31" t="n">
        <v>1204</v>
      </c>
      <c r="H64" s="31" t="n">
        <v>3.87</v>
      </c>
      <c r="I64" s="31" t="n">
        <v>91680</v>
      </c>
      <c r="J64" s="31" t="inlineStr">
        <is>
          <t>539837</t>
        </is>
      </c>
    </row>
    <row r="65">
      <c r="A65" s="31" t="inlineStr">
        <is>
          <t>MARINE</t>
        </is>
      </c>
      <c r="B65" s="31" t="inlineStr">
        <is>
          <t>Marine Electricals (India) Ltd</t>
        </is>
      </c>
      <c r="C65" s="31" t="inlineStr">
        <is>
          <t>industrials</t>
        </is>
      </c>
      <c r="D65" s="31" t="inlineStr">
        <is>
          <t>electric equipment</t>
        </is>
      </c>
      <c r="E65" s="31" t="inlineStr">
        <is>
          <t>smallcap</t>
        </is>
      </c>
      <c r="F65" s="31" t="n">
        <v>669.75</v>
      </c>
      <c r="G65" s="31" t="n">
        <v>283.55</v>
      </c>
      <c r="H65" s="31" t="n">
        <v>3.86</v>
      </c>
      <c r="I65" s="31" t="n">
        <v>983123</v>
      </c>
      <c r="J65" s="31" t="inlineStr">
        <is>
          <t>535119</t>
        </is>
      </c>
    </row>
    <row r="66">
      <c r="A66" s="31" t="inlineStr">
        <is>
          <t>GALAPREC</t>
        </is>
      </c>
      <c r="B66" s="31" t="inlineStr">
        <is>
          <t>Gala Precision Engineering Ltd</t>
        </is>
      </c>
      <c r="C66" s="31" t="inlineStr">
        <is>
          <t>industrials</t>
        </is>
      </c>
      <c r="D66" s="31" t="inlineStr">
        <is>
          <t>fasteners</t>
        </is>
      </c>
      <c r="E66" s="31" t="inlineStr">
        <is>
          <t>smallcap</t>
        </is>
      </c>
      <c r="F66" s="31" t="n">
        <v>1359.56</v>
      </c>
      <c r="G66" s="31" t="n">
        <v>1107.05</v>
      </c>
      <c r="H66" s="31" t="n">
        <v>3.82</v>
      </c>
      <c r="I66" s="31" t="n">
        <v>94613</v>
      </c>
      <c r="J66" s="31" t="inlineStr">
        <is>
          <t>544244</t>
        </is>
      </c>
    </row>
    <row r="67">
      <c r="A67" s="31" t="inlineStr">
        <is>
          <t>INDNIPPON</t>
        </is>
      </c>
      <c r="B67" s="31" t="inlineStr">
        <is>
          <t>India Nippon Electricals Limited</t>
        </is>
      </c>
      <c r="C67" s="31" t="inlineStr">
        <is>
          <t>auto</t>
        </is>
      </c>
      <c r="D67" s="31" t="inlineStr">
        <is>
          <t>auto ancillaries</t>
        </is>
      </c>
      <c r="E67" s="31" t="inlineStr">
        <is>
          <t>smallcap</t>
        </is>
      </c>
      <c r="F67" s="31" t="n">
        <v>2182.63</v>
      </c>
      <c r="G67" s="31" t="n">
        <v>1001.4</v>
      </c>
      <c r="H67" s="31" t="n">
        <v>3.79</v>
      </c>
      <c r="I67" s="31" t="n">
        <v>89370</v>
      </c>
      <c r="J67" s="31" t="inlineStr">
        <is>
          <t>532240</t>
        </is>
      </c>
    </row>
    <row r="68">
      <c r="A68" s="31" t="inlineStr">
        <is>
          <t>KABRAEXTRU</t>
        </is>
      </c>
      <c r="B68" s="31" t="inlineStr">
        <is>
          <t>Kabra Extrusion Technik Limited</t>
        </is>
      </c>
      <c r="C68" s="31" t="inlineStr">
        <is>
          <t>industrials</t>
        </is>
      </c>
      <c r="D68" s="31" t="inlineStr">
        <is>
          <t>engineering</t>
        </is>
      </c>
      <c r="E68" s="31" t="inlineStr">
        <is>
          <t>smallcap</t>
        </is>
      </c>
      <c r="F68" s="31" t="n">
        <v>908.59</v>
      </c>
      <c r="G68" s="31" t="n">
        <v>269.61</v>
      </c>
      <c r="H68" s="31" t="n">
        <v>3.78</v>
      </c>
      <c r="I68" s="31" t="n">
        <v>151251</v>
      </c>
      <c r="J68" s="31" t="inlineStr">
        <is>
          <t>524109</t>
        </is>
      </c>
    </row>
    <row r="69">
      <c r="A69" s="31" t="inlineStr">
        <is>
          <t>DIAMONDYD</t>
        </is>
      </c>
      <c r="B69" s="31" t="inlineStr">
        <is>
          <t>Prataap Snacks Ltd</t>
        </is>
      </c>
      <c r="C69" s="31" t="inlineStr">
        <is>
          <t>fmcg</t>
        </is>
      </c>
      <c r="D69" s="31" t="inlineStr">
        <is>
          <t>food - processing - indian</t>
        </is>
      </c>
      <c r="E69" s="31" t="inlineStr">
        <is>
          <t>smallcap</t>
        </is>
      </c>
      <c r="F69" s="31" t="n">
        <v>2667.4</v>
      </c>
      <c r="G69" s="31" t="n">
        <v>1158</v>
      </c>
      <c r="H69" s="31" t="n">
        <v>3.77</v>
      </c>
      <c r="I69" s="31" t="n">
        <v>33451</v>
      </c>
      <c r="J69" s="31" t="inlineStr">
        <is>
          <t>540724</t>
        </is>
      </c>
    </row>
    <row r="70">
      <c r="A70" s="31" t="inlineStr">
        <is>
          <t>UJJIVANSFB</t>
        </is>
      </c>
      <c r="B70" s="31" t="inlineStr">
        <is>
          <t>Ujjivan Small Finance Bank Ltd</t>
        </is>
      </c>
      <c r="C70" s="31" t="inlineStr">
        <is>
          <t>bank</t>
        </is>
      </c>
      <c r="D70" s="31" t="inlineStr">
        <is>
          <t>banks - private sector</t>
        </is>
      </c>
      <c r="E70" s="31" t="inlineStr">
        <is>
          <t>midcap</t>
        </is>
      </c>
      <c r="F70" s="31" t="n">
        <v>11055.99</v>
      </c>
      <c r="G70" s="31" t="n">
        <v>59.05</v>
      </c>
      <c r="H70" s="31" t="n">
        <v>3.76</v>
      </c>
      <c r="I70" s="31" t="n">
        <v>29595540</v>
      </c>
      <c r="J70" s="31" t="inlineStr">
        <is>
          <t>542904</t>
        </is>
      </c>
    </row>
    <row r="71">
      <c r="A71" s="31" t="inlineStr">
        <is>
          <t>CEMPRO</t>
        </is>
      </c>
      <c r="B71" s="31" t="inlineStr">
        <is>
          <t>Cemindia Projects Ltd</t>
        </is>
      </c>
      <c r="C71" s="31" t="inlineStr">
        <is>
          <t>realty</t>
        </is>
      </c>
      <c r="D71" s="31" t="inlineStr">
        <is>
          <t>construction</t>
        </is>
      </c>
      <c r="E71" s="31" t="inlineStr">
        <is>
          <t>largecap</t>
        </is>
      </c>
      <c r="F71" s="31" t="n">
        <v>21521.55</v>
      </c>
      <c r="G71" s="31" t="n">
        <v>1298.7</v>
      </c>
      <c r="H71" s="31" t="n">
        <v>3.66</v>
      </c>
      <c r="I71" s="31" t="n">
        <v>574813</v>
      </c>
      <c r="J71" s="31" t="inlineStr">
        <is>
          <t>509496</t>
        </is>
      </c>
    </row>
    <row r="72">
      <c r="A72" s="31" t="inlineStr">
        <is>
          <t>MINDACORP</t>
        </is>
      </c>
      <c r="B72" s="31" t="inlineStr">
        <is>
          <t>Minda Corporation Limited</t>
        </is>
      </c>
      <c r="C72" s="31" t="inlineStr">
        <is>
          <t>auto</t>
        </is>
      </c>
      <c r="D72" s="31" t="inlineStr">
        <is>
          <t>auto ancillaries</t>
        </is>
      </c>
      <c r="E72" s="31" t="inlineStr">
        <is>
          <t>midcap</t>
        </is>
      </c>
      <c r="F72" s="31" t="n">
        <v>16075.7</v>
      </c>
      <c r="G72" s="31" t="n">
        <v>696.8</v>
      </c>
      <c r="H72" s="31" t="n">
        <v>3.63</v>
      </c>
      <c r="I72" s="31" t="n">
        <v>913293</v>
      </c>
      <c r="J72" s="31" t="inlineStr">
        <is>
          <t>538962</t>
        </is>
      </c>
    </row>
    <row r="73">
      <c r="A73" s="31" t="inlineStr">
        <is>
          <t>NH</t>
        </is>
      </c>
      <c r="B73" s="31" t="inlineStr">
        <is>
          <t>Narayana Hrudayalaya Ltd.</t>
        </is>
      </c>
      <c r="C73" s="31" t="inlineStr">
        <is>
          <t>healthcare</t>
        </is>
      </c>
      <c r="D73" s="31" t="inlineStr">
        <is>
          <t>healthcare</t>
        </is>
      </c>
      <c r="E73" s="31" t="inlineStr">
        <is>
          <t>largecap</t>
        </is>
      </c>
      <c r="F73" s="31" t="n">
        <v>38887.82</v>
      </c>
      <c r="G73" s="31" t="n">
        <v>1971.7</v>
      </c>
      <c r="H73" s="31" t="n">
        <v>3.62</v>
      </c>
      <c r="I73" s="31" t="n">
        <v>310100</v>
      </c>
      <c r="J73" s="31" t="inlineStr">
        <is>
          <t>539551</t>
        </is>
      </c>
    </row>
    <row r="74">
      <c r="A74" s="31" t="inlineStr">
        <is>
          <t>BBL</t>
        </is>
      </c>
      <c r="B74" s="31" t="inlineStr">
        <is>
          <t>Bharat Bijlee Limited</t>
        </is>
      </c>
      <c r="C74" s="31" t="inlineStr">
        <is>
          <t>industrials</t>
        </is>
      </c>
      <c r="D74" s="31" t="inlineStr">
        <is>
          <t>electric equipment</t>
        </is>
      </c>
      <c r="E74" s="31" t="inlineStr">
        <is>
          <t>smallcap</t>
        </is>
      </c>
      <c r="F74" s="31" t="n">
        <v>3147.35</v>
      </c>
      <c r="G74" s="31" t="n">
        <v>2884.9</v>
      </c>
      <c r="H74" s="31" t="n">
        <v>3.61</v>
      </c>
      <c r="I74" s="31" t="n">
        <v>37730</v>
      </c>
      <c r="J74" s="31" t="inlineStr">
        <is>
          <t>503960</t>
        </is>
      </c>
    </row>
    <row r="75">
      <c r="A75" s="31" t="inlineStr">
        <is>
          <t>MARKSANS</t>
        </is>
      </c>
      <c r="B75" s="31" t="inlineStr">
        <is>
          <t>Marksans Pharma Limited</t>
        </is>
      </c>
      <c r="C75" s="31" t="inlineStr">
        <is>
          <t>healthcare</t>
        </is>
      </c>
      <c r="D75" s="31" t="inlineStr">
        <is>
          <t>pharmaceuticals - indian - formulations</t>
        </is>
      </c>
      <c r="E75" s="31" t="inlineStr">
        <is>
          <t>midcap</t>
        </is>
      </c>
      <c r="F75" s="31" t="n">
        <v>11936.33</v>
      </c>
      <c r="G75" s="31" t="n">
        <v>272.81</v>
      </c>
      <c r="H75" s="31" t="n">
        <v>3.57</v>
      </c>
      <c r="I75" s="31" t="n">
        <v>2578664</v>
      </c>
      <c r="J75" s="31" t="inlineStr">
        <is>
          <t>524404</t>
        </is>
      </c>
    </row>
    <row r="76">
      <c r="A76" s="31" t="inlineStr">
        <is>
          <t>CUB</t>
        </is>
      </c>
      <c r="B76" s="31" t="inlineStr">
        <is>
          <t>City Union Bank Limited</t>
        </is>
      </c>
      <c r="C76" s="31" t="inlineStr">
        <is>
          <t>bank</t>
        </is>
      </c>
      <c r="D76" s="31" t="inlineStr">
        <is>
          <t>banks - private sector</t>
        </is>
      </c>
      <c r="E76" s="31" t="inlineStr">
        <is>
          <t>midcap</t>
        </is>
      </c>
      <c r="F76" s="31" t="n">
        <v>14972.4</v>
      </c>
      <c r="G76" s="31" t="n">
        <v>208.6</v>
      </c>
      <c r="H76" s="31" t="n">
        <v>3.52</v>
      </c>
      <c r="I76" s="31" t="n">
        <v>3818715</v>
      </c>
      <c r="J76" s="31" t="inlineStr">
        <is>
          <t>532210</t>
        </is>
      </c>
    </row>
    <row r="77">
      <c r="A77" s="31" t="inlineStr">
        <is>
          <t>WSTCSTPAPR</t>
        </is>
      </c>
      <c r="B77" s="31" t="inlineStr">
        <is>
          <t>West Coast Paper Mills Limited</t>
        </is>
      </c>
      <c r="C77" s="31" t="inlineStr">
        <is>
          <t>building materials</t>
        </is>
      </c>
      <c r="D77" s="31" t="inlineStr">
        <is>
          <t>paper</t>
        </is>
      </c>
      <c r="E77" s="31" t="inlineStr">
        <is>
          <t>smallcap</t>
        </is>
      </c>
      <c r="F77" s="31" t="n">
        <v>3409.44</v>
      </c>
      <c r="G77" s="31" t="n">
        <v>534.35</v>
      </c>
      <c r="H77" s="31" t="n">
        <v>3.52</v>
      </c>
      <c r="I77" s="31" t="n">
        <v>970947</v>
      </c>
      <c r="J77" s="31" t="inlineStr">
        <is>
          <t>500444</t>
        </is>
      </c>
    </row>
    <row r="78">
      <c r="A78" s="31" t="inlineStr">
        <is>
          <t>KAMDHENU</t>
        </is>
      </c>
      <c r="B78" s="31" t="inlineStr">
        <is>
          <t>Kamdhenu Limited</t>
        </is>
      </c>
      <c r="C78" s="31" t="inlineStr">
        <is>
          <t>metals &amp; mining</t>
        </is>
      </c>
      <c r="D78" s="31" t="inlineStr">
        <is>
          <t>steel - medium / small</t>
        </is>
      </c>
      <c r="E78" s="31" t="inlineStr">
        <is>
          <t>smallcap</t>
        </is>
      </c>
      <c r="F78" s="31" t="n">
        <v>816.33</v>
      </c>
      <c r="G78" s="31" t="n">
        <v>29.96</v>
      </c>
      <c r="H78" s="31" t="n">
        <v>3.45</v>
      </c>
      <c r="I78" s="31" t="n">
        <v>829995</v>
      </c>
      <c r="J78" s="31" t="inlineStr">
        <is>
          <t>532741</t>
        </is>
      </c>
    </row>
    <row r="79">
      <c r="A79" s="31" t="inlineStr">
        <is>
          <t>BHAGCHEM</t>
        </is>
      </c>
      <c r="B79" s="31" t="inlineStr">
        <is>
          <t>Bhagiradha Chemicals &amp; Industries Ltd</t>
        </is>
      </c>
      <c r="C79" s="31" t="inlineStr">
        <is>
          <t>chemicals</t>
        </is>
      </c>
      <c r="D79" s="31" t="inlineStr">
        <is>
          <t>pesticides / agrochemicals - indian</t>
        </is>
      </c>
      <c r="E79" s="31" t="inlineStr">
        <is>
          <t>smallcap</t>
        </is>
      </c>
      <c r="F79" s="31" t="n">
        <v>3663.15</v>
      </c>
      <c r="G79" s="31" t="n">
        <v>292</v>
      </c>
      <c r="H79" s="31" t="n">
        <v>3.36</v>
      </c>
      <c r="I79" s="31" t="n">
        <v>214474</v>
      </c>
      <c r="J79" s="31" t="inlineStr">
        <is>
          <t>531719</t>
        </is>
      </c>
    </row>
    <row r="80">
      <c r="A80" s="31" t="inlineStr">
        <is>
          <t>AMBIKCO</t>
        </is>
      </c>
      <c r="B80" s="31" t="inlineStr">
        <is>
          <t>Ambika Cotton Mills Limited</t>
        </is>
      </c>
      <c r="C80" s="31" t="inlineStr">
        <is>
          <t>textiles</t>
        </is>
      </c>
      <c r="D80" s="31" t="inlineStr">
        <is>
          <t>textiles - cotton/blended</t>
        </is>
      </c>
      <c r="E80" s="31" t="inlineStr">
        <is>
          <t>smallcap</t>
        </is>
      </c>
      <c r="F80" s="31" t="n">
        <v>974.74</v>
      </c>
      <c r="G80" s="31" t="n">
        <v>1759.8</v>
      </c>
      <c r="H80" s="31" t="n">
        <v>3.36</v>
      </c>
      <c r="I80" s="31" t="n">
        <v>24885</v>
      </c>
      <c r="J80" s="31" t="inlineStr">
        <is>
          <t>531978</t>
        </is>
      </c>
    </row>
    <row r="81">
      <c r="A81" s="31" t="inlineStr">
        <is>
          <t>ALIVUS</t>
        </is>
      </c>
      <c r="B81" s="31" t="inlineStr">
        <is>
          <t>Alivus Life Sciences Ltd</t>
        </is>
      </c>
      <c r="C81" s="31" t="inlineStr">
        <is>
          <t>healthcare</t>
        </is>
      </c>
      <c r="D81" s="31" t="inlineStr">
        <is>
          <t>pharmaceuticals - indian - bulk drugs &amp; formln</t>
        </is>
      </c>
      <c r="E81" s="31" t="inlineStr">
        <is>
          <t>midcap</t>
        </is>
      </c>
      <c r="F81" s="31" t="n">
        <v>13740.33</v>
      </c>
      <c r="G81" s="31" t="n">
        <v>1156.5</v>
      </c>
      <c r="H81" s="31" t="n">
        <v>3.31</v>
      </c>
      <c r="I81" s="31" t="n">
        <v>254944</v>
      </c>
      <c r="J81" s="31" t="inlineStr">
        <is>
          <t>543322</t>
        </is>
      </c>
    </row>
    <row r="82">
      <c r="A82" s="31" t="inlineStr">
        <is>
          <t>PREMIERPOL</t>
        </is>
      </c>
      <c r="B82" s="31" t="inlineStr">
        <is>
          <t>Premier Polyfilm Limited</t>
        </is>
      </c>
      <c r="C82" s="31" t="inlineStr">
        <is>
          <t>plastic products</t>
        </is>
      </c>
      <c r="D82" s="31" t="inlineStr">
        <is>
          <t>plastics products</t>
        </is>
      </c>
      <c r="E82" s="31" t="inlineStr">
        <is>
          <t>smallcap</t>
        </is>
      </c>
      <c r="F82" s="31" t="n">
        <v>689.42</v>
      </c>
      <c r="G82" s="31" t="n">
        <v>67.98999999999999</v>
      </c>
      <c r="H82" s="31" t="n">
        <v>3.3</v>
      </c>
      <c r="I82" s="31" t="n">
        <v>123191</v>
      </c>
      <c r="J82" s="31" t="inlineStr">
        <is>
          <t>514354</t>
        </is>
      </c>
    </row>
    <row r="83">
      <c r="A83" s="31" t="inlineStr">
        <is>
          <t>NRBBEARING</t>
        </is>
      </c>
      <c r="B83" s="31" t="inlineStr">
        <is>
          <t>Nrb Bearing Limited</t>
        </is>
      </c>
      <c r="C83" s="31" t="inlineStr">
        <is>
          <t>industrials</t>
        </is>
      </c>
      <c r="D83" s="31" t="inlineStr">
        <is>
          <t>bearings</t>
        </is>
      </c>
      <c r="E83" s="31" t="inlineStr">
        <is>
          <t>smallcap</t>
        </is>
      </c>
      <c r="F83" s="31" t="n">
        <v>4165.73</v>
      </c>
      <c r="G83" s="31" t="n">
        <v>444</v>
      </c>
      <c r="H83" s="31" t="n">
        <v>3.3</v>
      </c>
      <c r="I83" s="31" t="n">
        <v>3608706</v>
      </c>
      <c r="J83" s="31" t="inlineStr">
        <is>
          <t>530367</t>
        </is>
      </c>
    </row>
    <row r="84">
      <c r="A84" s="31" t="inlineStr">
        <is>
          <t>PRICOLLTD</t>
        </is>
      </c>
      <c r="B84" s="31" t="inlineStr">
        <is>
          <t>Pricol Ltd.</t>
        </is>
      </c>
      <c r="C84" s="31" t="inlineStr">
        <is>
          <t>auto</t>
        </is>
      </c>
      <c r="D84" s="31" t="inlineStr">
        <is>
          <t>auto ancillaries</t>
        </is>
      </c>
      <c r="E84" s="31" t="inlineStr">
        <is>
          <t>midcap</t>
        </is>
      </c>
      <c r="F84" s="31" t="n">
        <v>7108.74</v>
      </c>
      <c r="G84" s="31" t="n">
        <v>602.3</v>
      </c>
      <c r="H84" s="31" t="n">
        <v>3.27</v>
      </c>
      <c r="I84" s="31" t="n">
        <v>1905484</v>
      </c>
      <c r="J84" s="31" t="inlineStr">
        <is>
          <t>540293</t>
        </is>
      </c>
    </row>
    <row r="85">
      <c r="A85" s="31" t="inlineStr">
        <is>
          <t>IPCALAB</t>
        </is>
      </c>
      <c r="B85" s="31" t="inlineStr">
        <is>
          <t>Ipca Laboratories Limited</t>
        </is>
      </c>
      <c r="C85" s="31" t="inlineStr">
        <is>
          <t>healthcare</t>
        </is>
      </c>
      <c r="D85" s="31" t="inlineStr">
        <is>
          <t>pharmaceuticals - indian - bulk drugs &amp; formln</t>
        </is>
      </c>
      <c r="E85" s="31" t="inlineStr">
        <is>
          <t>largecap</t>
        </is>
      </c>
      <c r="F85" s="31" t="n">
        <v>41790.16</v>
      </c>
      <c r="G85" s="31" t="n">
        <v>1701</v>
      </c>
      <c r="H85" s="31" t="n">
        <v>3.27</v>
      </c>
      <c r="I85" s="31" t="n">
        <v>919075</v>
      </c>
      <c r="J85" s="31" t="inlineStr">
        <is>
          <t>524494</t>
        </is>
      </c>
    </row>
    <row r="86">
      <c r="A86" s="31" t="inlineStr">
        <is>
          <t>VINCOFE</t>
        </is>
      </c>
      <c r="B86" s="31" t="inlineStr">
        <is>
          <t>Vintage Coffee &amp; Beverages Ltd</t>
        </is>
      </c>
      <c r="C86" s="31" t="inlineStr">
        <is>
          <t>consumer discretionary</t>
        </is>
      </c>
      <c r="D86" s="31" t="inlineStr">
        <is>
          <t>trading</t>
        </is>
      </c>
      <c r="E86" s="31" t="inlineStr">
        <is>
          <t>smallcap</t>
        </is>
      </c>
      <c r="F86" s="31" t="n">
        <v>2185.03</v>
      </c>
      <c r="G86" s="31" t="n">
        <v>154.85</v>
      </c>
      <c r="H86" s="31" t="n">
        <v>3.25</v>
      </c>
      <c r="I86" s="31" t="n">
        <v>2664671</v>
      </c>
      <c r="J86" s="31" t="inlineStr">
        <is>
          <t>538920</t>
        </is>
      </c>
    </row>
    <row r="87">
      <c r="A87" s="31" t="inlineStr">
        <is>
          <t>MUTHOOTMF</t>
        </is>
      </c>
      <c r="B87" s="31" t="inlineStr">
        <is>
          <t>Muthoot Microfin Ltd</t>
        </is>
      </c>
      <c r="C87" s="31" t="inlineStr">
        <is>
          <t>financials</t>
        </is>
      </c>
      <c r="D87" s="31" t="inlineStr">
        <is>
          <t>finance &amp; investments</t>
        </is>
      </c>
      <c r="E87" s="31" t="inlineStr">
        <is>
          <t>smallcap</t>
        </is>
      </c>
      <c r="F87" s="31" t="n">
        <v>3540.61</v>
      </c>
      <c r="G87" s="31" t="n">
        <v>214.37</v>
      </c>
      <c r="H87" s="31" t="n">
        <v>3.23</v>
      </c>
      <c r="I87" s="31" t="n">
        <v>437078</v>
      </c>
      <c r="J87" s="31" t="inlineStr">
        <is>
          <t>544055</t>
        </is>
      </c>
    </row>
    <row r="88">
      <c r="A88" s="31" t="inlineStr">
        <is>
          <t>JNKINDIA</t>
        </is>
      </c>
      <c r="B88" s="31" t="inlineStr">
        <is>
          <t>JNK India Ltd</t>
        </is>
      </c>
      <c r="C88" s="31" t="inlineStr">
        <is>
          <t>realty</t>
        </is>
      </c>
      <c r="D88" s="31" t="inlineStr">
        <is>
          <t>engineering - turnkey services</t>
        </is>
      </c>
      <c r="E88" s="31" t="inlineStr">
        <is>
          <t>smallcap</t>
        </is>
      </c>
      <c r="F88" s="31" t="n">
        <v>2736.15</v>
      </c>
      <c r="G88" s="31" t="n">
        <v>504.65</v>
      </c>
      <c r="H88" s="31" t="n">
        <v>3.2</v>
      </c>
      <c r="I88" s="31" t="n">
        <v>617979</v>
      </c>
      <c r="J88" s="31" t="inlineStr">
        <is>
          <t>544167</t>
        </is>
      </c>
    </row>
    <row r="89">
      <c r="A89" s="31" t="inlineStr">
        <is>
          <t>KENNAMET</t>
        </is>
      </c>
      <c r="B89" s="31" t="inlineStr">
        <is>
          <t>Kennametal India Ltd</t>
        </is>
      </c>
      <c r="C89" s="31" t="inlineStr">
        <is>
          <t>industrials</t>
        </is>
      </c>
      <c r="D89" s="31" t="inlineStr">
        <is>
          <t>castings &amp; forgings</t>
        </is>
      </c>
      <c r="E89" s="31" t="inlineStr">
        <is>
          <t>midcap</t>
        </is>
      </c>
      <c r="F89" s="31" t="n">
        <v>6562.7</v>
      </c>
      <c r="G89" s="31" t="n">
        <v>3080.2</v>
      </c>
      <c r="H89" s="31" t="n">
        <v>3.15</v>
      </c>
      <c r="I89" s="31" t="n">
        <v>10488</v>
      </c>
      <c r="J89" s="31" t="inlineStr">
        <is>
          <t>505890</t>
        </is>
      </c>
    </row>
    <row r="90">
      <c r="A90" s="31" t="inlineStr">
        <is>
          <t>VIJAYA</t>
        </is>
      </c>
      <c r="B90" s="31" t="inlineStr">
        <is>
          <t>Vijaya Diagnostic Centre Ltd</t>
        </is>
      </c>
      <c r="C90" s="31" t="inlineStr">
        <is>
          <t>healthcare</t>
        </is>
      </c>
      <c r="D90" s="31" t="inlineStr">
        <is>
          <t>healthcare</t>
        </is>
      </c>
      <c r="E90" s="31" t="inlineStr">
        <is>
          <t>midcap</t>
        </is>
      </c>
      <c r="F90" s="31" t="n">
        <v>13492.85</v>
      </c>
      <c r="G90" s="31" t="n">
        <v>1352.6</v>
      </c>
      <c r="H90" s="31" t="n">
        <v>3.15</v>
      </c>
      <c r="I90" s="31" t="n">
        <v>2126997</v>
      </c>
      <c r="J90" s="31" t="inlineStr">
        <is>
          <t>543350</t>
        </is>
      </c>
    </row>
    <row r="91">
      <c r="A91" s="31" t="inlineStr">
        <is>
          <t>ICIL</t>
        </is>
      </c>
      <c r="B91" s="31" t="inlineStr">
        <is>
          <t>Indo Count Industries Limited</t>
        </is>
      </c>
      <c r="C91" s="31" t="inlineStr">
        <is>
          <t>textiles</t>
        </is>
      </c>
      <c r="D91" s="31" t="inlineStr">
        <is>
          <t>textiles - cotton/blended</t>
        </is>
      </c>
      <c r="E91" s="31" t="inlineStr">
        <is>
          <t>midcap</t>
        </is>
      </c>
      <c r="F91" s="31" t="n">
        <v>8415.33</v>
      </c>
      <c r="G91" s="31" t="n">
        <v>438.25</v>
      </c>
      <c r="H91" s="31" t="n">
        <v>3.14</v>
      </c>
      <c r="I91" s="31" t="n">
        <v>1315847</v>
      </c>
      <c r="J91" s="31" t="inlineStr">
        <is>
          <t>521016</t>
        </is>
      </c>
    </row>
    <row r="92">
      <c r="A92" s="31" t="inlineStr">
        <is>
          <t>KMEW</t>
        </is>
      </c>
      <c r="B92" s="31" t="inlineStr">
        <is>
          <t>Knowledge Marine &amp; Engineering Works Ltd</t>
        </is>
      </c>
      <c r="C92" s="31" t="inlineStr">
        <is>
          <t>transportation</t>
        </is>
      </c>
      <c r="D92" s="31" t="inlineStr">
        <is>
          <t>miscellaneous</t>
        </is>
      </c>
      <c r="E92" s="31" t="inlineStr">
        <is>
          <t>midcap</t>
        </is>
      </c>
      <c r="F92" s="31" t="n">
        <v>5441.26</v>
      </c>
      <c r="G92" s="31" t="n">
        <v>2296</v>
      </c>
      <c r="H92" s="31" t="n">
        <v>3.14</v>
      </c>
      <c r="I92" s="31" t="n">
        <v>71078</v>
      </c>
      <c r="J92" s="31" t="inlineStr">
        <is>
          <t>543273</t>
        </is>
      </c>
    </row>
    <row r="93">
      <c r="A93" s="31" t="inlineStr">
        <is>
          <t>VMART</t>
        </is>
      </c>
      <c r="B93" s="31" t="inlineStr">
        <is>
          <t>V-mart Retail Limited</t>
        </is>
      </c>
      <c r="C93" s="31" t="inlineStr">
        <is>
          <t>consumer discretionary</t>
        </is>
      </c>
      <c r="D93" s="31" t="inlineStr">
        <is>
          <t>trading</t>
        </is>
      </c>
      <c r="E93" s="31" t="inlineStr">
        <is>
          <t>midcap</t>
        </is>
      </c>
      <c r="F93" s="31" t="n">
        <v>6002.28</v>
      </c>
      <c r="G93" s="31" t="n">
        <v>779.05</v>
      </c>
      <c r="H93" s="31" t="n">
        <v>3.13</v>
      </c>
      <c r="I93" s="31" t="n">
        <v>130122</v>
      </c>
      <c r="J93" s="31" t="inlineStr">
        <is>
          <t>534976</t>
        </is>
      </c>
    </row>
    <row r="94">
      <c r="A94" s="31" t="inlineStr">
        <is>
          <t>TBZ</t>
        </is>
      </c>
      <c r="B94" s="31" t="inlineStr">
        <is>
          <t>Tribhovandas Bhimji Zaveri Limited</t>
        </is>
      </c>
      <c r="C94" s="31" t="inlineStr">
        <is>
          <t>consumer discretionary</t>
        </is>
      </c>
      <c r="D94" s="31" t="inlineStr">
        <is>
          <t>diamond cutting / jewellery</t>
        </is>
      </c>
      <c r="E94" s="31" t="inlineStr">
        <is>
          <t>smallcap</t>
        </is>
      </c>
      <c r="F94" s="31" t="n">
        <v>1262.48</v>
      </c>
      <c r="G94" s="31" t="n">
        <v>195.12</v>
      </c>
      <c r="H94" s="31" t="n">
        <v>3.13</v>
      </c>
      <c r="I94" s="31" t="n">
        <v>1135338</v>
      </c>
      <c r="J94" s="31" t="inlineStr">
        <is>
          <t>534369</t>
        </is>
      </c>
    </row>
    <row r="95">
      <c r="A95" s="31" t="inlineStr">
        <is>
          <t>SOMANYCERA</t>
        </is>
      </c>
      <c r="B95" s="31" t="inlineStr">
        <is>
          <t>Somany Ceramics Limited</t>
        </is>
      </c>
      <c r="C95" s="31" t="inlineStr">
        <is>
          <t>building materials</t>
        </is>
      </c>
      <c r="D95" s="31" t="inlineStr">
        <is>
          <t>ceramics - tiles / sanitaryware</t>
        </is>
      </c>
      <c r="E95" s="31" t="inlineStr">
        <is>
          <t>smallcap</t>
        </is>
      </c>
      <c r="F95" s="31" t="n">
        <v>2123.03</v>
      </c>
      <c r="G95" s="31" t="n">
        <v>533.85</v>
      </c>
      <c r="H95" s="31" t="n">
        <v>3.13</v>
      </c>
      <c r="I95" s="31" t="n">
        <v>498279</v>
      </c>
      <c r="J95" s="31" t="inlineStr">
        <is>
          <t>531548</t>
        </is>
      </c>
    </row>
    <row r="96">
      <c r="A96" s="31" t="inlineStr">
        <is>
          <t>IBULLSLTD</t>
        </is>
      </c>
      <c r="B96" s="31" t="inlineStr">
        <is>
          <t>Indiabulls Limited</t>
        </is>
      </c>
      <c r="C96" s="31" t="inlineStr">
        <is>
          <t>miscellaneous</t>
        </is>
      </c>
      <c r="D96" s="31" t="inlineStr">
        <is>
          <t>diversified - medium / small</t>
        </is>
      </c>
      <c r="E96" s="31" t="inlineStr">
        <is>
          <t>midcap</t>
        </is>
      </c>
      <c r="F96" s="31" t="n">
        <v>6268.86</v>
      </c>
      <c r="G96" s="31" t="n">
        <v>27.81</v>
      </c>
      <c r="H96" s="31" t="n">
        <v>3.11</v>
      </c>
      <c r="I96" s="31" t="n">
        <v>7391175</v>
      </c>
      <c r="J96" s="31" t="inlineStr">
        <is>
          <t>533520</t>
        </is>
      </c>
    </row>
    <row r="97">
      <c r="A97" s="31" t="inlineStr">
        <is>
          <t>VOLTAMP</t>
        </is>
      </c>
      <c r="B97" s="31" t="inlineStr">
        <is>
          <t>Voltamp Transformers Limited</t>
        </is>
      </c>
      <c r="C97" s="31" t="inlineStr">
        <is>
          <t>industrials</t>
        </is>
      </c>
      <c r="D97" s="31" t="inlineStr">
        <is>
          <t>electric equipment</t>
        </is>
      </c>
      <c r="E97" s="31" t="inlineStr">
        <is>
          <t>midcap</t>
        </is>
      </c>
      <c r="F97" s="31" t="n">
        <v>10198.06</v>
      </c>
      <c r="G97" s="31" t="n">
        <v>10379.5</v>
      </c>
      <c r="H97" s="31" t="n">
        <v>2.97</v>
      </c>
      <c r="I97" s="31" t="n">
        <v>22761</v>
      </c>
      <c r="J97" s="31" t="inlineStr">
        <is>
          <t>532757</t>
        </is>
      </c>
    </row>
    <row r="98">
      <c r="A98" s="31" t="inlineStr">
        <is>
          <t>TITAN</t>
        </is>
      </c>
      <c r="B98" s="31" t="inlineStr">
        <is>
          <t>Titan Company Limited</t>
        </is>
      </c>
      <c r="C98" s="31" t="inlineStr">
        <is>
          <t>consumer discretionary</t>
        </is>
      </c>
      <c r="D98" s="31" t="inlineStr">
        <is>
          <t>diamond cutting / jewellery</t>
        </is>
      </c>
      <c r="E98" s="31" t="inlineStr">
        <is>
          <t>largecap</t>
        </is>
      </c>
      <c r="F98" s="31" t="n">
        <v>379723.9</v>
      </c>
      <c r="G98" s="31" t="n">
        <v>4404</v>
      </c>
      <c r="H98" s="31" t="n">
        <v>2.96</v>
      </c>
      <c r="I98" s="31" t="n">
        <v>1243590</v>
      </c>
      <c r="J98" s="31" t="inlineStr">
        <is>
          <t>500114</t>
        </is>
      </c>
    </row>
    <row r="99">
      <c r="A99" s="31" t="inlineStr">
        <is>
          <t>SUZLON</t>
        </is>
      </c>
      <c r="B99" s="31" t="inlineStr">
        <is>
          <t>Suzlon Energy Limited</t>
        </is>
      </c>
      <c r="C99" s="31" t="inlineStr">
        <is>
          <t>industrials</t>
        </is>
      </c>
      <c r="D99" s="31" t="inlineStr">
        <is>
          <t>electric equipment</t>
        </is>
      </c>
      <c r="E99" s="31" t="inlineStr">
        <is>
          <t>largecap</t>
        </is>
      </c>
      <c r="F99" s="31" t="n">
        <v>78461.7</v>
      </c>
      <c r="G99" s="31" t="n">
        <v>58.9</v>
      </c>
      <c r="H99" s="31" t="n">
        <v>2.95</v>
      </c>
      <c r="I99" s="31" t="n">
        <v>120994413</v>
      </c>
      <c r="J99" s="31" t="inlineStr">
        <is>
          <t>532667</t>
        </is>
      </c>
    </row>
    <row r="100">
      <c r="A100" s="31" t="inlineStr">
        <is>
          <t>ESAFSFB</t>
        </is>
      </c>
      <c r="B100" s="31" t="inlineStr">
        <is>
          <t>ESAF Small Finance Bank Ltd</t>
        </is>
      </c>
      <c r="C100" s="31" t="inlineStr">
        <is>
          <t>bank</t>
        </is>
      </c>
      <c r="D100" s="31" t="inlineStr">
        <is>
          <t>banks - private sector</t>
        </is>
      </c>
      <c r="E100" s="31" t="inlineStr">
        <is>
          <t>smallcap</t>
        </is>
      </c>
      <c r="F100" s="31" t="n">
        <v>1677.97</v>
      </c>
      <c r="G100" s="31" t="n">
        <v>33.5</v>
      </c>
      <c r="H100" s="31" t="n">
        <v>2.95</v>
      </c>
      <c r="I100" s="31" t="n">
        <v>624301</v>
      </c>
      <c r="J100" s="31" t="inlineStr">
        <is>
          <t>544020</t>
        </is>
      </c>
    </row>
    <row r="101">
      <c r="A101" s="31" t="inlineStr">
        <is>
          <t>SUYOG</t>
        </is>
      </c>
      <c r="B101" s="31" t="inlineStr">
        <is>
          <t>Suyog Telematics Ltd</t>
        </is>
      </c>
      <c r="C101" s="31" t="inlineStr">
        <is>
          <t>telecom</t>
        </is>
      </c>
      <c r="D101" s="31" t="inlineStr">
        <is>
          <t>transmisson line towers / equipment</t>
        </is>
      </c>
      <c r="E101" s="31" t="inlineStr">
        <is>
          <t>smallcap</t>
        </is>
      </c>
      <c r="F101" s="31" t="n">
        <v>943.7</v>
      </c>
      <c r="G101" s="31" t="n">
        <v>829</v>
      </c>
      <c r="H101" s="31" t="n">
        <v>2.93</v>
      </c>
      <c r="I101" s="31" t="n">
        <v>82354</v>
      </c>
      <c r="J101" s="31" t="inlineStr">
        <is>
          <t>537259</t>
        </is>
      </c>
    </row>
    <row r="102">
      <c r="A102" s="31" t="inlineStr">
        <is>
          <t>NYKAA</t>
        </is>
      </c>
      <c r="B102" s="31" t="inlineStr">
        <is>
          <t>FSN E-Commerce Ventures Ltd</t>
        </is>
      </c>
      <c r="C102" s="31" t="inlineStr">
        <is>
          <t>i.t</t>
        </is>
      </c>
      <c r="D102" s="31" t="inlineStr">
        <is>
          <t>trading</t>
        </is>
      </c>
      <c r="E102" s="31" t="inlineStr">
        <is>
          <t>largecap</t>
        </is>
      </c>
      <c r="F102" s="31" t="n">
        <v>86483.78</v>
      </c>
      <c r="G102" s="31" t="n">
        <v>310.85</v>
      </c>
      <c r="H102" s="31" t="n">
        <v>2.91</v>
      </c>
      <c r="I102" s="31" t="n">
        <v>10077069</v>
      </c>
      <c r="J102" s="31" t="inlineStr">
        <is>
          <t>543384</t>
        </is>
      </c>
    </row>
    <row r="103">
      <c r="A103" s="31" t="inlineStr">
        <is>
          <t>ALKEM</t>
        </is>
      </c>
      <c r="B103" s="31" t="inlineStr">
        <is>
          <t>Alkem Laboratories Limited</t>
        </is>
      </c>
      <c r="C103" s="31" t="inlineStr">
        <is>
          <t>healthcare</t>
        </is>
      </c>
      <c r="D103" s="31" t="inlineStr">
        <is>
          <t>pharmaceuticals - indian - bulk drugs &amp; formln</t>
        </is>
      </c>
      <c r="E103" s="31" t="inlineStr">
        <is>
          <t>largecap</t>
        </is>
      </c>
      <c r="F103" s="31" t="n">
        <v>64762.38</v>
      </c>
      <c r="G103" s="31" t="n">
        <v>5570</v>
      </c>
      <c r="H103" s="31" t="n">
        <v>2.83</v>
      </c>
      <c r="I103" s="31" t="n">
        <v>340712</v>
      </c>
      <c r="J103" s="31" t="inlineStr">
        <is>
          <t>539523</t>
        </is>
      </c>
    </row>
    <row r="104">
      <c r="A104" s="31" t="inlineStr">
        <is>
          <t>CENTUM</t>
        </is>
      </c>
      <c r="B104" s="31" t="inlineStr">
        <is>
          <t>Centum Electronics Limited</t>
        </is>
      </c>
      <c r="C104" s="31" t="inlineStr">
        <is>
          <t>consumer discretionary</t>
        </is>
      </c>
      <c r="D104" s="31" t="inlineStr">
        <is>
          <t>electronics - components</t>
        </is>
      </c>
      <c r="E104" s="31" t="inlineStr">
        <is>
          <t>midcap</t>
        </is>
      </c>
      <c r="F104" s="31" t="n">
        <v>5424.98</v>
      </c>
      <c r="G104" s="31" t="n">
        <v>3784</v>
      </c>
      <c r="H104" s="31" t="n">
        <v>2.82</v>
      </c>
      <c r="I104" s="31" t="n">
        <v>94520</v>
      </c>
      <c r="J104" s="31" t="inlineStr">
        <is>
          <t>517544</t>
        </is>
      </c>
    </row>
    <row r="105">
      <c r="A105" s="31" t="inlineStr">
        <is>
          <t>KDDL</t>
        </is>
      </c>
      <c r="B105" s="31" t="inlineStr">
        <is>
          <t>Kddl Limited</t>
        </is>
      </c>
      <c r="C105" s="31" t="inlineStr">
        <is>
          <t>consumer discretionary</t>
        </is>
      </c>
      <c r="D105" s="31" t="inlineStr">
        <is>
          <t>miscellaneous</t>
        </is>
      </c>
      <c r="E105" s="31" t="inlineStr">
        <is>
          <t>smallcap</t>
        </is>
      </c>
      <c r="F105" s="31" t="n">
        <v>3854.35</v>
      </c>
      <c r="G105" s="31" t="n">
        <v>3222</v>
      </c>
      <c r="H105" s="31" t="n">
        <v>2.81</v>
      </c>
      <c r="I105" s="31" t="n">
        <v>56239</v>
      </c>
      <c r="J105" s="31" t="inlineStr">
        <is>
          <t>532054</t>
        </is>
      </c>
    </row>
    <row r="106">
      <c r="A106" s="31" t="inlineStr">
        <is>
          <t>MANAPPURAM</t>
        </is>
      </c>
      <c r="B106" s="31" t="inlineStr">
        <is>
          <t>Manappuram Finance Limited</t>
        </is>
      </c>
      <c r="C106" s="31" t="inlineStr">
        <is>
          <t>financials</t>
        </is>
      </c>
      <c r="D106" s="31" t="inlineStr">
        <is>
          <t>finance &amp; investments</t>
        </is>
      </c>
      <c r="E106" s="31" t="inlineStr">
        <is>
          <t>largecap</t>
        </is>
      </c>
      <c r="F106" s="31" t="n">
        <v>29631.36</v>
      </c>
      <c r="G106" s="31" t="n">
        <v>324.2</v>
      </c>
      <c r="H106" s="31" t="n">
        <v>2.77</v>
      </c>
      <c r="I106" s="31" t="n">
        <v>2694677</v>
      </c>
      <c r="J106" s="31" t="inlineStr">
        <is>
          <t>531213</t>
        </is>
      </c>
    </row>
    <row r="107">
      <c r="A107" s="31" t="inlineStr">
        <is>
          <t>GOKEX</t>
        </is>
      </c>
      <c r="B107" s="31" t="inlineStr">
        <is>
          <t>Gokaldas Exports Limited</t>
        </is>
      </c>
      <c r="C107" s="31" t="inlineStr">
        <is>
          <t>consumer discretionary</t>
        </is>
      </c>
      <c r="D107" s="31" t="inlineStr">
        <is>
          <t>textiles - products</t>
        </is>
      </c>
      <c r="E107" s="31" t="inlineStr">
        <is>
          <t>midcap</t>
        </is>
      </c>
      <c r="F107" s="31" t="n">
        <v>6224.55</v>
      </c>
      <c r="G107" s="31" t="n">
        <v>873.25</v>
      </c>
      <c r="H107" s="31" t="n">
        <v>2.76</v>
      </c>
      <c r="I107" s="31" t="n">
        <v>858305</v>
      </c>
      <c r="J107" s="31" t="inlineStr">
        <is>
          <t>532630</t>
        </is>
      </c>
    </row>
    <row r="108">
      <c r="A108" s="31" t="inlineStr">
        <is>
          <t>RPTECH</t>
        </is>
      </c>
      <c r="B108" s="31" t="inlineStr">
        <is>
          <t>Rashi Peripherals Ltd</t>
        </is>
      </c>
      <c r="C108" s="31" t="inlineStr">
        <is>
          <t>services</t>
        </is>
      </c>
      <c r="D108" s="31" t="inlineStr">
        <is>
          <t>trading</t>
        </is>
      </c>
      <c r="E108" s="31" t="inlineStr">
        <is>
          <t>smallcap</t>
        </is>
      </c>
      <c r="F108" s="31" t="n">
        <v>4963.23</v>
      </c>
      <c r="G108" s="31" t="n">
        <v>773.75</v>
      </c>
      <c r="H108" s="31" t="n">
        <v>2.74</v>
      </c>
      <c r="I108" s="31" t="n">
        <v>884402</v>
      </c>
      <c r="J108" s="31" t="n"/>
    </row>
    <row r="109">
      <c r="A109" s="31" t="inlineStr">
        <is>
          <t>NEULANDLAB</t>
        </is>
      </c>
      <c r="B109" s="31" t="inlineStr">
        <is>
          <t>Neuland Laboratories Limited</t>
        </is>
      </c>
      <c r="C109" s="31" t="inlineStr">
        <is>
          <t>healthcare</t>
        </is>
      </c>
      <c r="D109" s="31" t="inlineStr">
        <is>
          <t>pharmaceuticals - indian - bulk drugs</t>
        </is>
      </c>
      <c r="E109" s="31" t="inlineStr">
        <is>
          <t>largecap</t>
        </is>
      </c>
      <c r="F109" s="31" t="n">
        <v>23206.7</v>
      </c>
      <c r="G109" s="31" t="n">
        <v>18579</v>
      </c>
      <c r="H109" s="31" t="n">
        <v>2.71</v>
      </c>
      <c r="I109" s="31" t="n">
        <v>69065</v>
      </c>
      <c r="J109" s="31" t="inlineStr">
        <is>
          <t>524558</t>
        </is>
      </c>
    </row>
    <row r="110">
      <c r="A110" s="31" t="inlineStr">
        <is>
          <t>MSTCLTD</t>
        </is>
      </c>
      <c r="B110" s="31" t="inlineStr">
        <is>
          <t>MSTC Ltd</t>
        </is>
      </c>
      <c r="C110" s="31" t="inlineStr">
        <is>
          <t>i.t</t>
        </is>
      </c>
      <c r="D110" s="31" t="inlineStr">
        <is>
          <t>trading</t>
        </is>
      </c>
      <c r="E110" s="31" t="inlineStr">
        <is>
          <t>smallcap</t>
        </is>
      </c>
      <c r="F110" s="31" t="n">
        <v>4863.58</v>
      </c>
      <c r="G110" s="31" t="n">
        <v>709.4</v>
      </c>
      <c r="H110" s="31" t="n">
        <v>2.69</v>
      </c>
      <c r="I110" s="31" t="n">
        <v>1950618</v>
      </c>
      <c r="J110" s="31" t="inlineStr">
        <is>
          <t>542597</t>
        </is>
      </c>
    </row>
    <row r="111">
      <c r="A111" s="31" t="inlineStr">
        <is>
          <t>NAVINFLUOR</t>
        </is>
      </c>
      <c r="B111" s="31" t="inlineStr">
        <is>
          <t>Navin Fluorine International Limited</t>
        </is>
      </c>
      <c r="C111" s="31" t="inlineStr">
        <is>
          <t>chemicals</t>
        </is>
      </c>
      <c r="D111" s="31" t="inlineStr">
        <is>
          <t>chemicals</t>
        </is>
      </c>
      <c r="E111" s="31" t="inlineStr">
        <is>
          <t>largecap</t>
        </is>
      </c>
      <c r="F111" s="31" t="n">
        <v>38367.24</v>
      </c>
      <c r="G111" s="31" t="n">
        <v>7687</v>
      </c>
      <c r="H111" s="31" t="n">
        <v>2.68</v>
      </c>
      <c r="I111" s="31" t="n">
        <v>111883</v>
      </c>
      <c r="J111" s="31" t="inlineStr">
        <is>
          <t>532504</t>
        </is>
      </c>
    </row>
    <row r="112">
      <c r="A112" s="31" t="inlineStr">
        <is>
          <t>RML</t>
        </is>
      </c>
      <c r="B112" s="31" t="inlineStr">
        <is>
          <t>Rane (madras) Limited</t>
        </is>
      </c>
      <c r="C112" s="31" t="inlineStr">
        <is>
          <t>auto</t>
        </is>
      </c>
      <c r="D112" s="31" t="inlineStr">
        <is>
          <t>auto ancillaries</t>
        </is>
      </c>
      <c r="E112" s="31" t="inlineStr">
        <is>
          <t>smallcap</t>
        </is>
      </c>
      <c r="F112" s="31" t="n">
        <v>3111.39</v>
      </c>
      <c r="G112" s="31" t="n">
        <v>1155.85</v>
      </c>
      <c r="H112" s="31" t="n">
        <v>2.67</v>
      </c>
      <c r="I112" s="31" t="n">
        <v>141423</v>
      </c>
      <c r="J112" s="31" t="inlineStr">
        <is>
          <t>532661</t>
        </is>
      </c>
    </row>
    <row r="113">
      <c r="A113" s="31" t="inlineStr">
        <is>
          <t>CAPLIPOINT</t>
        </is>
      </c>
      <c r="B113" s="31" t="inlineStr">
        <is>
          <t>Caplin Point Laboratories Limited</t>
        </is>
      </c>
      <c r="C113" s="31" t="inlineStr">
        <is>
          <t>healthcare</t>
        </is>
      </c>
      <c r="D113" s="31" t="inlineStr">
        <is>
          <t>pharmaceuticals - indian - formulations</t>
        </is>
      </c>
      <c r="E113" s="31" t="inlineStr">
        <is>
          <t>midcap</t>
        </is>
      </c>
      <c r="F113" s="31" t="n">
        <v>19443.03</v>
      </c>
      <c r="G113" s="31" t="n">
        <v>2626</v>
      </c>
      <c r="H113" s="31" t="n">
        <v>2.66</v>
      </c>
      <c r="I113" s="31" t="n">
        <v>390703</v>
      </c>
      <c r="J113" s="31" t="inlineStr">
        <is>
          <t>524742</t>
        </is>
      </c>
    </row>
    <row r="114">
      <c r="A114" s="31" t="inlineStr">
        <is>
          <t>AIAENG</t>
        </is>
      </c>
      <c r="B114" s="31" t="inlineStr">
        <is>
          <t>Aia Engineering Limited</t>
        </is>
      </c>
      <c r="C114" s="31" t="inlineStr">
        <is>
          <t>industrials</t>
        </is>
      </c>
      <c r="D114" s="31" t="inlineStr">
        <is>
          <t>castings &amp; forgings</t>
        </is>
      </c>
      <c r="E114" s="31" t="inlineStr">
        <is>
          <t>largecap</t>
        </is>
      </c>
      <c r="F114" s="31" t="n">
        <v>46206.65</v>
      </c>
      <c r="G114" s="31" t="n">
        <v>5081.4</v>
      </c>
      <c r="H114" s="31" t="n">
        <v>2.63</v>
      </c>
      <c r="I114" s="31" t="n">
        <v>205878</v>
      </c>
      <c r="J114" s="31" t="inlineStr">
        <is>
          <t>532683</t>
        </is>
      </c>
    </row>
    <row r="115">
      <c r="A115" s="31" t="inlineStr">
        <is>
          <t>TPLPLASTEH</t>
        </is>
      </c>
      <c r="B115" s="31" t="inlineStr">
        <is>
          <t>Tpl Plastech Limited</t>
        </is>
      </c>
      <c r="C115" s="31" t="inlineStr">
        <is>
          <t>industrials</t>
        </is>
      </c>
      <c r="D115" s="31" t="inlineStr">
        <is>
          <t>packaging</t>
        </is>
      </c>
      <c r="E115" s="31" t="inlineStr">
        <is>
          <t>smallcap</t>
        </is>
      </c>
      <c r="F115" s="31" t="n">
        <v>551.48</v>
      </c>
      <c r="G115" s="31" t="n">
        <v>72.55</v>
      </c>
      <c r="H115" s="31" t="n">
        <v>2.62</v>
      </c>
      <c r="I115" s="31" t="n">
        <v>51159</v>
      </c>
      <c r="J115" s="31" t="inlineStr">
        <is>
          <t>526582</t>
        </is>
      </c>
    </row>
    <row r="116">
      <c r="A116" s="31" t="inlineStr">
        <is>
          <t>USHAMART</t>
        </is>
      </c>
      <c r="B116" s="31" t="inlineStr">
        <is>
          <t>Usha Martin Limited</t>
        </is>
      </c>
      <c r="C116" s="31" t="inlineStr">
        <is>
          <t>metals &amp; mining</t>
        </is>
      </c>
      <c r="D116" s="31" t="inlineStr">
        <is>
          <t>steel - medium / small</t>
        </is>
      </c>
      <c r="E116" s="31" t="inlineStr">
        <is>
          <t>midcap</t>
        </is>
      </c>
      <c r="F116" s="31" t="n">
        <v>14760.18</v>
      </c>
      <c r="G116" s="31" t="n">
        <v>496.9</v>
      </c>
      <c r="H116" s="31" t="n">
        <v>2.59</v>
      </c>
      <c r="I116" s="31" t="n">
        <v>1242573</v>
      </c>
      <c r="J116" s="31" t="inlineStr">
        <is>
          <t>517146</t>
        </is>
      </c>
    </row>
    <row r="117">
      <c r="A117" s="31" t="inlineStr">
        <is>
          <t>HIRECT</t>
        </is>
      </c>
      <c r="B117" s="31" t="inlineStr">
        <is>
          <t>Hind Rectifiers Limited</t>
        </is>
      </c>
      <c r="C117" s="31" t="inlineStr">
        <is>
          <t>consumer discretionary</t>
        </is>
      </c>
      <c r="D117" s="31" t="inlineStr">
        <is>
          <t>electronics - components</t>
        </is>
      </c>
      <c r="E117" s="31" t="inlineStr">
        <is>
          <t>smallcap</t>
        </is>
      </c>
      <c r="F117" s="31" t="n">
        <v>3883.54</v>
      </c>
      <c r="G117" s="31" t="n">
        <v>1159.2</v>
      </c>
      <c r="H117" s="31" t="n">
        <v>2.58</v>
      </c>
      <c r="I117" s="31" t="n">
        <v>55973</v>
      </c>
      <c r="J117" s="31" t="inlineStr">
        <is>
          <t>504036</t>
        </is>
      </c>
    </row>
    <row r="118">
      <c r="A118" s="31" t="inlineStr">
        <is>
          <t>VIYASH</t>
        </is>
      </c>
      <c r="B118" s="31" t="inlineStr">
        <is>
          <t>Viyash Scientific Ltd</t>
        </is>
      </c>
      <c r="C118" s="31" t="inlineStr">
        <is>
          <t>healthcare</t>
        </is>
      </c>
      <c r="D118" s="31" t="inlineStr">
        <is>
          <t>pharmaceuticals - indian - bulk drugs &amp; formln</t>
        </is>
      </c>
      <c r="E118" s="31" t="inlineStr">
        <is>
          <t>midcap</t>
        </is>
      </c>
      <c r="F118" s="31" t="n">
        <v>11786.23</v>
      </c>
      <c r="G118" s="31" t="n">
        <v>276.75</v>
      </c>
      <c r="H118" s="31" t="n">
        <v>2.58</v>
      </c>
      <c r="I118" s="31" t="n">
        <v>3017717</v>
      </c>
      <c r="J118" s="31" t="inlineStr">
        <is>
          <t>512529</t>
        </is>
      </c>
    </row>
    <row r="119">
      <c r="A119" s="31" t="inlineStr">
        <is>
          <t>HONASA</t>
        </is>
      </c>
      <c r="B119" s="31" t="inlineStr">
        <is>
          <t>Honasa Consumer Ltd</t>
        </is>
      </c>
      <c r="C119" s="31" t="inlineStr">
        <is>
          <t>services</t>
        </is>
      </c>
      <c r="D119" s="31" t="inlineStr">
        <is>
          <t>trading</t>
        </is>
      </c>
      <c r="E119" s="31" t="inlineStr">
        <is>
          <t>midcap</t>
        </is>
      </c>
      <c r="F119" s="31" t="n">
        <v>14526.13</v>
      </c>
      <c r="G119" s="31" t="n">
        <v>457.9</v>
      </c>
      <c r="H119" s="31" t="n">
        <v>2.56</v>
      </c>
      <c r="I119" s="31" t="n">
        <v>3799306</v>
      </c>
      <c r="J119" s="31" t="inlineStr">
        <is>
          <t>544014</t>
        </is>
      </c>
    </row>
    <row r="120">
      <c r="A120" s="31" t="inlineStr">
        <is>
          <t>HMT</t>
        </is>
      </c>
      <c r="B120" s="31" t="inlineStr">
        <is>
          <t>Hmt Limited</t>
        </is>
      </c>
      <c r="C120" s="31" t="inlineStr">
        <is>
          <t>consumer discretionary</t>
        </is>
      </c>
      <c r="D120" s="31" t="inlineStr">
        <is>
          <t>miscellaneous</t>
        </is>
      </c>
      <c r="E120" s="31" t="inlineStr">
        <is>
          <t>midcap</t>
        </is>
      </c>
      <c r="F120" s="31" t="n">
        <v>7972.29</v>
      </c>
      <c r="G120" s="31" t="n">
        <v>67.87</v>
      </c>
      <c r="H120" s="31" t="n">
        <v>2.51</v>
      </c>
      <c r="I120" s="31" t="n">
        <v>18413</v>
      </c>
      <c r="J120" s="31" t="inlineStr">
        <is>
          <t>500191</t>
        </is>
      </c>
    </row>
    <row r="121">
      <c r="A121" s="31" t="inlineStr">
        <is>
          <t>JLHL</t>
        </is>
      </c>
      <c r="B121" s="31" t="inlineStr">
        <is>
          <t>Jupiter Life Line Hospitals Ltd</t>
        </is>
      </c>
      <c r="C121" s="31" t="inlineStr">
        <is>
          <t>healthcare</t>
        </is>
      </c>
      <c r="D121" s="31" t="inlineStr">
        <is>
          <t>healthcare</t>
        </is>
      </c>
      <c r="E121" s="31" t="inlineStr">
        <is>
          <t>midcap</t>
        </is>
      </c>
      <c r="F121" s="31" t="n">
        <v>9082.860000000001</v>
      </c>
      <c r="G121" s="31" t="n">
        <v>1420</v>
      </c>
      <c r="H121" s="31" t="n">
        <v>2.5</v>
      </c>
      <c r="I121" s="31" t="n">
        <v>134193</v>
      </c>
      <c r="J121" s="31" t="inlineStr">
        <is>
          <t>543980</t>
        </is>
      </c>
    </row>
    <row r="122">
      <c r="A122" s="31" t="inlineStr">
        <is>
          <t>TRIVENI</t>
        </is>
      </c>
      <c r="B122" s="31" t="inlineStr">
        <is>
          <t>Triveni Engineering &amp; Industries Limited</t>
        </is>
      </c>
      <c r="C122" s="31" t="inlineStr">
        <is>
          <t>fmcg</t>
        </is>
      </c>
      <c r="D122" s="31" t="inlineStr">
        <is>
          <t>sugar</t>
        </is>
      </c>
      <c r="E122" s="31" t="inlineStr">
        <is>
          <t>midcap</t>
        </is>
      </c>
      <c r="F122" s="31" t="n">
        <v>9025.16</v>
      </c>
      <c r="G122" s="31" t="n">
        <v>422.55</v>
      </c>
      <c r="H122" s="31" t="n">
        <v>2.49</v>
      </c>
      <c r="I122" s="31" t="n">
        <v>459724</v>
      </c>
      <c r="J122" s="31" t="inlineStr">
        <is>
          <t>532356</t>
        </is>
      </c>
    </row>
    <row r="123">
      <c r="A123" s="31" t="inlineStr">
        <is>
          <t>KIRLPNU</t>
        </is>
      </c>
      <c r="B123" s="31" t="inlineStr">
        <is>
          <t>Kirloskar Pneumatic Company Ltd</t>
        </is>
      </c>
      <c r="C123" s="31" t="inlineStr">
        <is>
          <t>industrials</t>
        </is>
      </c>
      <c r="D123" s="31" t="inlineStr">
        <is>
          <t>compressors / drilling equipment</t>
        </is>
      </c>
      <c r="E123" s="31" t="inlineStr">
        <is>
          <t>midcap</t>
        </is>
      </c>
      <c r="F123" s="31" t="n">
        <v>12379.08</v>
      </c>
      <c r="G123" s="31" t="n">
        <v>1953</v>
      </c>
      <c r="H123" s="31" t="n">
        <v>2.48</v>
      </c>
      <c r="I123" s="31" t="n">
        <v>279217</v>
      </c>
      <c r="J123" s="31" t="inlineStr">
        <is>
          <t>505283</t>
        </is>
      </c>
    </row>
    <row r="124">
      <c r="A124" s="31" t="inlineStr">
        <is>
          <t>ADANIENT</t>
        </is>
      </c>
      <c r="B124" s="31" t="inlineStr">
        <is>
          <t>Adani Enterprises Limited</t>
        </is>
      </c>
      <c r="C124" s="31" t="inlineStr">
        <is>
          <t>services</t>
        </is>
      </c>
      <c r="D124" s="31" t="inlineStr">
        <is>
          <t>trading</t>
        </is>
      </c>
      <c r="E124" s="31" t="inlineStr">
        <is>
          <t>largecap</t>
        </is>
      </c>
      <c r="F124" s="31" t="n">
        <v>382957.17</v>
      </c>
      <c r="G124" s="31" t="n">
        <v>3036</v>
      </c>
      <c r="H124" s="31" t="n">
        <v>2.48</v>
      </c>
      <c r="I124" s="31" t="n">
        <v>2099291</v>
      </c>
      <c r="J124" s="31" t="inlineStr">
        <is>
          <t>512599</t>
        </is>
      </c>
    </row>
    <row r="125">
      <c r="A125" s="31" t="inlineStr">
        <is>
          <t>UNIVCABLES</t>
        </is>
      </c>
      <c r="B125" s="31" t="inlineStr">
        <is>
          <t>Universal Cables Limited</t>
        </is>
      </c>
      <c r="C125" s="31" t="inlineStr">
        <is>
          <t>industrials</t>
        </is>
      </c>
      <c r="D125" s="31" t="inlineStr">
        <is>
          <t>cables - power</t>
        </is>
      </c>
      <c r="E125" s="31" t="inlineStr">
        <is>
          <t>smallcap</t>
        </is>
      </c>
      <c r="F125" s="31" t="n">
        <v>4245.33</v>
      </c>
      <c r="G125" s="31" t="n">
        <v>1253.6</v>
      </c>
      <c r="H125" s="31" t="n">
        <v>2.45</v>
      </c>
      <c r="I125" s="31" t="n">
        <v>134381</v>
      </c>
      <c r="J125" s="31" t="inlineStr">
        <is>
          <t>504212</t>
        </is>
      </c>
    </row>
    <row r="126">
      <c r="A126" s="31" t="inlineStr">
        <is>
          <t>ASTERDM</t>
        </is>
      </c>
      <c r="B126" s="31" t="inlineStr">
        <is>
          <t>Aster DM Healthcare Ltd</t>
        </is>
      </c>
      <c r="C126" s="31" t="inlineStr">
        <is>
          <t>healthcare</t>
        </is>
      </c>
      <c r="D126" s="31" t="inlineStr">
        <is>
          <t>healthcare</t>
        </is>
      </c>
      <c r="E126" s="31" t="inlineStr">
        <is>
          <t>largecap</t>
        </is>
      </c>
      <c r="F126" s="31" t="n">
        <v>39672.53</v>
      </c>
      <c r="G126" s="31" t="n">
        <v>784.45</v>
      </c>
      <c r="H126" s="31" t="n">
        <v>2.45</v>
      </c>
      <c r="I126" s="31" t="n">
        <v>910984</v>
      </c>
      <c r="J126" s="31" t="inlineStr">
        <is>
          <t>540975</t>
        </is>
      </c>
    </row>
    <row r="127">
      <c r="A127" s="31" t="inlineStr">
        <is>
          <t>FILATEX</t>
        </is>
      </c>
      <c r="B127" s="31" t="inlineStr">
        <is>
          <t>Filatex India Limited</t>
        </is>
      </c>
      <c r="C127" s="31" t="inlineStr">
        <is>
          <t>textiles</t>
        </is>
      </c>
      <c r="D127" s="31" t="inlineStr">
        <is>
          <t>textiles - manmade</t>
        </is>
      </c>
      <c r="E127" s="31" t="inlineStr">
        <is>
          <t>smallcap</t>
        </is>
      </c>
      <c r="F127" s="31" t="n">
        <v>2297.11</v>
      </c>
      <c r="G127" s="31" t="n">
        <v>52.99</v>
      </c>
      <c r="H127" s="31" t="n">
        <v>2.44</v>
      </c>
      <c r="I127" s="31" t="n">
        <v>327107</v>
      </c>
      <c r="J127" s="31" t="inlineStr">
        <is>
          <t>526227</t>
        </is>
      </c>
    </row>
    <row r="128">
      <c r="A128" s="31" t="inlineStr">
        <is>
          <t>GMRAIRPORT</t>
        </is>
      </c>
      <c r="B128" s="31" t="inlineStr">
        <is>
          <t>GMR Airports Ltd</t>
        </is>
      </c>
      <c r="C128" s="31" t="inlineStr">
        <is>
          <t>miscellaneous</t>
        </is>
      </c>
      <c r="D128" s="31" t="inlineStr">
        <is>
          <t>miscellaneous</t>
        </is>
      </c>
      <c r="E128" s="31" t="inlineStr">
        <is>
          <t>largecap</t>
        </is>
      </c>
      <c r="F128" s="31" t="n">
        <v>115536.31</v>
      </c>
      <c r="G128" s="31" t="n">
        <v>112.09</v>
      </c>
      <c r="H128" s="31" t="n">
        <v>2.44</v>
      </c>
      <c r="I128" s="31" t="n">
        <v>37519820</v>
      </c>
      <c r="J128" s="31" t="inlineStr">
        <is>
          <t>532754</t>
        </is>
      </c>
    </row>
    <row r="129">
      <c r="A129" s="31" t="inlineStr">
        <is>
          <t>ASHIANA</t>
        </is>
      </c>
      <c r="B129" s="31" t="inlineStr">
        <is>
          <t>Ashiana Housing Limited</t>
        </is>
      </c>
      <c r="C129" s="31" t="inlineStr">
        <is>
          <t>realty</t>
        </is>
      </c>
      <c r="D129" s="31" t="inlineStr">
        <is>
          <t>construction</t>
        </is>
      </c>
      <c r="E129" s="31" t="inlineStr">
        <is>
          <t>smallcap</t>
        </is>
      </c>
      <c r="F129" s="31" t="n">
        <v>3886.29</v>
      </c>
      <c r="G129" s="31" t="n">
        <v>395.95</v>
      </c>
      <c r="H129" s="31" t="n">
        <v>2.42</v>
      </c>
      <c r="I129" s="31" t="n">
        <v>127352</v>
      </c>
      <c r="J129" s="31" t="inlineStr">
        <is>
          <t>523716</t>
        </is>
      </c>
    </row>
    <row r="130">
      <c r="A130" s="31" t="inlineStr">
        <is>
          <t>KANORICHEM</t>
        </is>
      </c>
      <c r="B130" s="31" t="inlineStr">
        <is>
          <t>Kanoria Chemicals &amp; Industries Limited</t>
        </is>
      </c>
      <c r="C130" s="31" t="inlineStr">
        <is>
          <t>chemicals</t>
        </is>
      </c>
      <c r="D130" s="31" t="inlineStr">
        <is>
          <t>chemicals</t>
        </is>
      </c>
      <c r="E130" s="31" t="inlineStr">
        <is>
          <t>smallcap</t>
        </is>
      </c>
      <c r="F130" s="31" t="n">
        <v>573.78</v>
      </c>
      <c r="G130" s="31" t="n">
        <v>134.5</v>
      </c>
      <c r="H130" s="31" t="n">
        <v>2.42</v>
      </c>
      <c r="I130" s="31" t="n">
        <v>99646</v>
      </c>
      <c r="J130" s="31" t="inlineStr">
        <is>
          <t>506525</t>
        </is>
      </c>
    </row>
    <row r="131">
      <c r="A131" s="31" t="inlineStr">
        <is>
          <t>MANKIND</t>
        </is>
      </c>
      <c r="B131" s="31" t="inlineStr">
        <is>
          <t>Mankind Pharma Ltd</t>
        </is>
      </c>
      <c r="C131" s="31" t="inlineStr">
        <is>
          <t>healthcare</t>
        </is>
      </c>
      <c r="D131" s="31" t="inlineStr">
        <is>
          <t>pharmaceuticals - indian - bulk drugs &amp; formln</t>
        </is>
      </c>
      <c r="E131" s="31" t="inlineStr">
        <is>
          <t>largecap</t>
        </is>
      </c>
      <c r="F131" s="31" t="n">
        <v>102629.12</v>
      </c>
      <c r="G131" s="31" t="n">
        <v>2545.6</v>
      </c>
      <c r="H131" s="31" t="n">
        <v>2.4</v>
      </c>
      <c r="I131" s="31" t="n">
        <v>754286</v>
      </c>
      <c r="J131" s="31" t="inlineStr">
        <is>
          <t>543904</t>
        </is>
      </c>
    </row>
    <row r="132">
      <c r="A132" s="31" t="inlineStr">
        <is>
          <t>FUSION</t>
        </is>
      </c>
      <c r="B132" s="31" t="inlineStr">
        <is>
          <t>Fusion Micro Finance Ltd</t>
        </is>
      </c>
      <c r="C132" s="31" t="inlineStr">
        <is>
          <t>financials</t>
        </is>
      </c>
      <c r="D132" s="31" t="inlineStr">
        <is>
          <t>finance &amp; investments</t>
        </is>
      </c>
      <c r="E132" s="31" t="inlineStr">
        <is>
          <t>smallcap</t>
        </is>
      </c>
      <c r="F132" s="31" t="n">
        <v>3010.52</v>
      </c>
      <c r="G132" s="31" t="n">
        <v>190.2</v>
      </c>
      <c r="H132" s="31" t="n">
        <v>2.4</v>
      </c>
      <c r="I132" s="31" t="n">
        <v>953117</v>
      </c>
      <c r="J132" s="31" t="inlineStr">
        <is>
          <t>543652</t>
        </is>
      </c>
    </row>
    <row r="133">
      <c r="A133" s="31" t="inlineStr">
        <is>
          <t>PAGEIND</t>
        </is>
      </c>
      <c r="B133" s="31" t="inlineStr">
        <is>
          <t>Page Industries Limited</t>
        </is>
      </c>
      <c r="C133" s="31" t="inlineStr">
        <is>
          <t>consumer discretionary</t>
        </is>
      </c>
      <c r="D133" s="31" t="inlineStr">
        <is>
          <t>textiles - products</t>
        </is>
      </c>
      <c r="E133" s="31" t="inlineStr">
        <is>
          <t>largecap</t>
        </is>
      </c>
      <c r="F133" s="31" t="n">
        <v>45067.23</v>
      </c>
      <c r="G133" s="31" t="n">
        <v>41370</v>
      </c>
      <c r="H133" s="31" t="n">
        <v>2.39</v>
      </c>
      <c r="I133" s="31" t="n">
        <v>43917</v>
      </c>
      <c r="J133" s="31" t="inlineStr">
        <is>
          <t>532827</t>
        </is>
      </c>
    </row>
    <row r="134">
      <c r="A134" s="31" t="inlineStr">
        <is>
          <t>GANDHAR</t>
        </is>
      </c>
      <c r="B134" s="31" t="inlineStr">
        <is>
          <t>Gandhar Oil Refinery (India) Ltd</t>
        </is>
      </c>
      <c r="C134" s="31" t="inlineStr">
        <is>
          <t>energy</t>
        </is>
      </c>
      <c r="D134" s="31" t="inlineStr">
        <is>
          <t>refineries</t>
        </is>
      </c>
      <c r="E134" s="31" t="inlineStr">
        <is>
          <t>smallcap</t>
        </is>
      </c>
      <c r="F134" s="31" t="n">
        <v>1753.61</v>
      </c>
      <c r="G134" s="31" t="n">
        <v>183.45</v>
      </c>
      <c r="H134" s="31" t="n">
        <v>2.39</v>
      </c>
      <c r="I134" s="31" t="n">
        <v>600034</v>
      </c>
      <c r="J134" s="31" t="inlineStr">
        <is>
          <t>544029</t>
        </is>
      </c>
    </row>
    <row r="135">
      <c r="A135" s="31" t="inlineStr">
        <is>
          <t>FLUOROCHEM</t>
        </is>
      </c>
      <c r="B135" s="31" t="inlineStr">
        <is>
          <t>Gujarat Fluorochemicals Ltd</t>
        </is>
      </c>
      <c r="C135" s="31" t="inlineStr">
        <is>
          <t>chemicals</t>
        </is>
      </c>
      <c r="D135" s="31" t="inlineStr">
        <is>
          <t>chemicals</t>
        </is>
      </c>
      <c r="E135" s="31" t="inlineStr">
        <is>
          <t>largecap</t>
        </is>
      </c>
      <c r="F135" s="31" t="n">
        <v>42537.22</v>
      </c>
      <c r="G135" s="31" t="n">
        <v>3964</v>
      </c>
      <c r="H135" s="31" t="n">
        <v>2.37</v>
      </c>
      <c r="I135" s="31" t="n">
        <v>157857</v>
      </c>
      <c r="J135" s="31" t="inlineStr">
        <is>
          <t>542812</t>
        </is>
      </c>
    </row>
    <row r="136">
      <c r="A136" s="31" t="inlineStr">
        <is>
          <t>CONFIPET</t>
        </is>
      </c>
      <c r="B136" s="31" t="inlineStr">
        <is>
          <t>Confidence Petroleum India Ltd</t>
        </is>
      </c>
      <c r="C136" s="31" t="inlineStr">
        <is>
          <t>miscellaneous</t>
        </is>
      </c>
      <c r="D136" s="31" t="inlineStr">
        <is>
          <t>miscellaneous</t>
        </is>
      </c>
      <c r="E136" s="31" t="inlineStr">
        <is>
          <t>smallcap</t>
        </is>
      </c>
      <c r="F136" s="31" t="n">
        <v>2374.53</v>
      </c>
      <c r="G136" s="31" t="n">
        <v>73.14</v>
      </c>
      <c r="H136" s="31" t="n">
        <v>2.34</v>
      </c>
      <c r="I136" s="31" t="n">
        <v>6762908</v>
      </c>
      <c r="J136" s="31" t="inlineStr">
        <is>
          <t>526829</t>
        </is>
      </c>
    </row>
    <row r="137">
      <c r="A137" s="31" t="inlineStr">
        <is>
          <t>VARROC</t>
        </is>
      </c>
      <c r="B137" s="31" t="inlineStr">
        <is>
          <t>Varroc Engineering Ltd</t>
        </is>
      </c>
      <c r="C137" s="31" t="inlineStr">
        <is>
          <t>auto</t>
        </is>
      </c>
      <c r="D137" s="31" t="inlineStr">
        <is>
          <t>auto ancillaries</t>
        </is>
      </c>
      <c r="E137" s="31" t="inlineStr">
        <is>
          <t>midcap</t>
        </is>
      </c>
      <c r="F137" s="31" t="n">
        <v>9451.370000000001</v>
      </c>
      <c r="G137" s="31" t="n">
        <v>633</v>
      </c>
      <c r="H137" s="31" t="n">
        <v>2.33</v>
      </c>
      <c r="I137" s="31" t="n">
        <v>467048</v>
      </c>
      <c r="J137" s="31" t="inlineStr">
        <is>
          <t>541578</t>
        </is>
      </c>
    </row>
    <row r="138">
      <c r="A138" s="31" t="inlineStr">
        <is>
          <t>VERANDA</t>
        </is>
      </c>
      <c r="B138" s="31" t="inlineStr">
        <is>
          <t>Veranda Learning Solutions Ltd</t>
        </is>
      </c>
      <c r="C138" s="31" t="inlineStr">
        <is>
          <t>services</t>
        </is>
      </c>
      <c r="D138" s="31" t="inlineStr">
        <is>
          <t>miscellaneous</t>
        </is>
      </c>
      <c r="E138" s="31" t="inlineStr">
        <is>
          <t>smallcap</t>
        </is>
      </c>
      <c r="F138" s="31" t="n">
        <v>2246.23</v>
      </c>
      <c r="G138" s="31" t="n">
        <v>238.98</v>
      </c>
      <c r="H138" s="31" t="n">
        <v>2.32</v>
      </c>
      <c r="I138" s="31" t="n">
        <v>136146</v>
      </c>
      <c r="J138" s="31" t="inlineStr">
        <is>
          <t>543514</t>
        </is>
      </c>
    </row>
    <row r="139">
      <c r="A139" s="31" t="inlineStr">
        <is>
          <t>GNA</t>
        </is>
      </c>
      <c r="B139" s="31" t="inlineStr">
        <is>
          <t>Gna Axles Limited</t>
        </is>
      </c>
      <c r="C139" s="31" t="inlineStr">
        <is>
          <t>auto</t>
        </is>
      </c>
      <c r="D139" s="31" t="inlineStr">
        <is>
          <t>auto ancillaries</t>
        </is>
      </c>
      <c r="E139" s="31" t="inlineStr">
        <is>
          <t>smallcap</t>
        </is>
      </c>
      <c r="F139" s="31" t="n">
        <v>1851.39</v>
      </c>
      <c r="G139" s="31" t="n">
        <v>441.25</v>
      </c>
      <c r="H139" s="31" t="n">
        <v>2.32</v>
      </c>
      <c r="I139" s="31" t="n">
        <v>137948</v>
      </c>
      <c r="J139" s="31" t="inlineStr">
        <is>
          <t>540124</t>
        </is>
      </c>
    </row>
    <row r="140">
      <c r="A140" s="31" t="inlineStr">
        <is>
          <t>GRANULES</t>
        </is>
      </c>
      <c r="B140" s="31" t="inlineStr">
        <is>
          <t>Granules India Limited</t>
        </is>
      </c>
      <c r="C140" s="31" t="inlineStr">
        <is>
          <t>healthcare</t>
        </is>
      </c>
      <c r="D140" s="31" t="inlineStr">
        <is>
          <t>pharmaceuticals - indian - bulk drugs &amp; formln</t>
        </is>
      </c>
      <c r="E140" s="31" t="inlineStr">
        <is>
          <t>midcap</t>
        </is>
      </c>
      <c r="F140" s="31" t="n">
        <v>19694.9</v>
      </c>
      <c r="G140" s="31" t="n">
        <v>813.25</v>
      </c>
      <c r="H140" s="31" t="n">
        <v>2.32</v>
      </c>
      <c r="I140" s="31" t="n">
        <v>1560172</v>
      </c>
      <c r="J140" s="31" t="inlineStr">
        <is>
          <t>532482</t>
        </is>
      </c>
    </row>
    <row r="141">
      <c r="A141" s="31" t="inlineStr">
        <is>
          <t>ORCHPHARMA</t>
        </is>
      </c>
      <c r="B141" s="31" t="inlineStr">
        <is>
          <t>Orchid Pharma Ltd</t>
        </is>
      </c>
      <c r="C141" s="31" t="inlineStr">
        <is>
          <t>healthcare</t>
        </is>
      </c>
      <c r="D141" s="31" t="inlineStr">
        <is>
          <t>pharmaceuticals - indian - bulk drugs &amp; formln</t>
        </is>
      </c>
      <c r="E141" s="31" t="inlineStr">
        <is>
          <t>smallcap</t>
        </is>
      </c>
      <c r="F141" s="31" t="n">
        <v>4822.37</v>
      </c>
      <c r="G141" s="31" t="n">
        <v>972.8</v>
      </c>
      <c r="H141" s="31" t="n">
        <v>2.31</v>
      </c>
      <c r="I141" s="31" t="n">
        <v>71803</v>
      </c>
      <c r="J141" s="31" t="inlineStr">
        <is>
          <t>524372</t>
        </is>
      </c>
    </row>
    <row r="142">
      <c r="A142" s="31" t="inlineStr">
        <is>
          <t>BAJFINANCE</t>
        </is>
      </c>
      <c r="B142" s="31" t="inlineStr">
        <is>
          <t>Bajaj Finance Limited</t>
        </is>
      </c>
      <c r="C142" s="31" t="inlineStr">
        <is>
          <t>financials</t>
        </is>
      </c>
      <c r="D142" s="31" t="inlineStr">
        <is>
          <t>finance &amp; investments</t>
        </is>
      </c>
      <c r="E142" s="31" t="inlineStr">
        <is>
          <t>largecap</t>
        </is>
      </c>
      <c r="F142" s="31" t="n">
        <v>611078.83</v>
      </c>
      <c r="G142" s="31" t="n">
        <v>1004.75</v>
      </c>
      <c r="H142" s="31" t="n">
        <v>2.31</v>
      </c>
      <c r="I142" s="31" t="n">
        <v>12445420</v>
      </c>
      <c r="J142" s="31" t="inlineStr">
        <is>
          <t>500034</t>
        </is>
      </c>
    </row>
    <row r="143">
      <c r="A143" s="31" t="inlineStr">
        <is>
          <t>RAMCOIND</t>
        </is>
      </c>
      <c r="B143" s="31" t="inlineStr">
        <is>
          <t>Ramco Industries Limited</t>
        </is>
      </c>
      <c r="C143" s="31" t="inlineStr">
        <is>
          <t>building materials</t>
        </is>
      </c>
      <c r="D143" s="31" t="inlineStr">
        <is>
          <t>cement products</t>
        </is>
      </c>
      <c r="E143" s="31" t="inlineStr">
        <is>
          <t>smallcap</t>
        </is>
      </c>
      <c r="F143" s="31" t="n">
        <v>2876.63</v>
      </c>
      <c r="G143" s="31" t="n">
        <v>338.85</v>
      </c>
      <c r="H143" s="31" t="n">
        <v>2.29</v>
      </c>
      <c r="I143" s="31" t="n">
        <v>1366886</v>
      </c>
      <c r="J143" s="31" t="inlineStr">
        <is>
          <t>532369</t>
        </is>
      </c>
    </row>
    <row r="144">
      <c r="A144" s="31" t="inlineStr">
        <is>
          <t>XPROINDIA</t>
        </is>
      </c>
      <c r="B144" s="31" t="inlineStr">
        <is>
          <t>Xpro India Limited</t>
        </is>
      </c>
      <c r="C144" s="31" t="inlineStr">
        <is>
          <t>industrials</t>
        </is>
      </c>
      <c r="D144" s="31" t="inlineStr">
        <is>
          <t>packaging</t>
        </is>
      </c>
      <c r="E144" s="31" t="inlineStr">
        <is>
          <t>smallcap</t>
        </is>
      </c>
      <c r="F144" s="31" t="n">
        <v>3201.83</v>
      </c>
      <c r="G144" s="31" t="n">
        <v>1395.3</v>
      </c>
      <c r="H144" s="31" t="n">
        <v>2.28</v>
      </c>
      <c r="I144" s="31" t="n">
        <v>102982</v>
      </c>
      <c r="J144" s="31" t="inlineStr">
        <is>
          <t>590013</t>
        </is>
      </c>
    </row>
    <row r="145">
      <c r="A145" s="31" t="inlineStr">
        <is>
          <t>PRIVISCL</t>
        </is>
      </c>
      <c r="B145" s="31" t="inlineStr">
        <is>
          <t>Privi Speciality Chemicals Ltd</t>
        </is>
      </c>
      <c r="C145" s="31" t="inlineStr">
        <is>
          <t>chemicals</t>
        </is>
      </c>
      <c r="D145" s="31" t="inlineStr">
        <is>
          <t>chemicals</t>
        </is>
      </c>
      <c r="E145" s="31" t="inlineStr">
        <is>
          <t>midcap</t>
        </is>
      </c>
      <c r="F145" s="31" t="n">
        <v>14055.54</v>
      </c>
      <c r="G145" s="31" t="n">
        <v>3680</v>
      </c>
      <c r="H145" s="31" t="n">
        <v>2.27</v>
      </c>
      <c r="I145" s="31" t="n">
        <v>67377</v>
      </c>
      <c r="J145" s="31" t="inlineStr">
        <is>
          <t>530117</t>
        </is>
      </c>
    </row>
    <row r="146">
      <c r="A146" s="31" t="inlineStr">
        <is>
          <t>MENONBE</t>
        </is>
      </c>
      <c r="B146" s="31" t="inlineStr">
        <is>
          <t>Menon Bearings Limited</t>
        </is>
      </c>
      <c r="C146" s="31" t="inlineStr">
        <is>
          <t>auto</t>
        </is>
      </c>
      <c r="D146" s="31" t="inlineStr">
        <is>
          <t>auto ancillaries</t>
        </is>
      </c>
      <c r="E146" s="31" t="inlineStr">
        <is>
          <t>smallcap</t>
        </is>
      </c>
      <c r="F146" s="31" t="n">
        <v>907.46</v>
      </c>
      <c r="G146" s="31" t="n">
        <v>165.58</v>
      </c>
      <c r="H146" s="31" t="n">
        <v>2.25</v>
      </c>
      <c r="I146" s="31" t="n">
        <v>114940</v>
      </c>
      <c r="J146" s="31" t="inlineStr">
        <is>
          <t>523828</t>
        </is>
      </c>
    </row>
    <row r="147">
      <c r="A147" s="31" t="inlineStr">
        <is>
          <t>PSPPROJECT</t>
        </is>
      </c>
      <c r="B147" s="31" t="inlineStr">
        <is>
          <t>PSP Projects Ltd</t>
        </is>
      </c>
      <c r="C147" s="31" t="inlineStr">
        <is>
          <t>realty</t>
        </is>
      </c>
      <c r="D147" s="31" t="inlineStr">
        <is>
          <t>construction</t>
        </is>
      </c>
      <c r="E147" s="31" t="inlineStr">
        <is>
          <t>smallcap</t>
        </is>
      </c>
      <c r="F147" s="31" t="n">
        <v>3880.34</v>
      </c>
      <c r="G147" s="31" t="n">
        <v>1000.8</v>
      </c>
      <c r="H147" s="31" t="n">
        <v>2.24</v>
      </c>
      <c r="I147" s="31" t="n">
        <v>98379</v>
      </c>
      <c r="J147" s="31" t="inlineStr">
        <is>
          <t>540544</t>
        </is>
      </c>
    </row>
    <row r="148">
      <c r="A148" s="31" t="inlineStr">
        <is>
          <t>MACPOWER</t>
        </is>
      </c>
      <c r="B148" s="31" t="inlineStr">
        <is>
          <t>Macpower CNC Machines Ltd</t>
        </is>
      </c>
      <c r="C148" s="31" t="inlineStr">
        <is>
          <t>industrials</t>
        </is>
      </c>
      <c r="D148" s="31" t="inlineStr">
        <is>
          <t>engineering</t>
        </is>
      </c>
      <c r="E148" s="31" t="inlineStr">
        <is>
          <t>midcap</t>
        </is>
      </c>
      <c r="F148" s="31" t="n">
        <v>11024.17</v>
      </c>
      <c r="G148" s="31" t="n">
        <v>1346.9</v>
      </c>
      <c r="H148" s="31" t="n">
        <v>2.2</v>
      </c>
      <c r="I148" s="31" t="n">
        <v>132071</v>
      </c>
      <c r="J148" s="31" t="inlineStr">
        <is>
          <t>535057</t>
        </is>
      </c>
    </row>
    <row r="149">
      <c r="A149" s="31" t="inlineStr">
        <is>
          <t>PANACEABIO</t>
        </is>
      </c>
      <c r="B149" s="31" t="inlineStr">
        <is>
          <t>Panacea Biotec Limited</t>
        </is>
      </c>
      <c r="C149" s="31" t="inlineStr">
        <is>
          <t>healthcare</t>
        </is>
      </c>
      <c r="D149" s="31" t="inlineStr">
        <is>
          <t>pharmaceuticals - indian - bulk drugs &amp; formln</t>
        </is>
      </c>
      <c r="E149" s="31" t="inlineStr">
        <is>
          <t>smallcap</t>
        </is>
      </c>
      <c r="F149" s="31" t="n">
        <v>3391.76</v>
      </c>
      <c r="G149" s="31" t="n">
        <v>565.85</v>
      </c>
      <c r="H149" s="31" t="n">
        <v>2.19</v>
      </c>
      <c r="I149" s="31" t="n">
        <v>598461</v>
      </c>
      <c r="J149" s="31" t="inlineStr">
        <is>
          <t>531349</t>
        </is>
      </c>
    </row>
    <row r="150">
      <c r="A150" s="31" t="inlineStr">
        <is>
          <t>TI</t>
        </is>
      </c>
      <c r="B150" s="31" t="inlineStr">
        <is>
          <t>Tilaknagar Industries Limited</t>
        </is>
      </c>
      <c r="C150" s="31" t="inlineStr">
        <is>
          <t>fmcg</t>
        </is>
      </c>
      <c r="D150" s="31" t="inlineStr">
        <is>
          <t>breweries &amp; distilleries</t>
        </is>
      </c>
      <c r="E150" s="31" t="inlineStr">
        <is>
          <t>midcap</t>
        </is>
      </c>
      <c r="F150" s="31" t="n">
        <v>11008.99</v>
      </c>
      <c r="G150" s="31" t="n">
        <v>455.15</v>
      </c>
      <c r="H150" s="31" t="n">
        <v>2.19</v>
      </c>
      <c r="I150" s="31" t="n">
        <v>1053056</v>
      </c>
      <c r="J150" s="31" t="inlineStr">
        <is>
          <t>507205</t>
        </is>
      </c>
    </row>
    <row r="151">
      <c r="A151" s="31" t="inlineStr">
        <is>
          <t>NITINSPIN</t>
        </is>
      </c>
      <c r="B151" s="31" t="inlineStr">
        <is>
          <t>Nitin Spinners Limited</t>
        </is>
      </c>
      <c r="C151" s="31" t="inlineStr">
        <is>
          <t>textiles</t>
        </is>
      </c>
      <c r="D151" s="31" t="inlineStr">
        <is>
          <t>textiles - cotton/blended</t>
        </is>
      </c>
      <c r="E151" s="31" t="inlineStr">
        <is>
          <t>smallcap</t>
        </is>
      </c>
      <c r="F151" s="31" t="n">
        <v>3148.04</v>
      </c>
      <c r="G151" s="31" t="n">
        <v>572</v>
      </c>
      <c r="H151" s="31" t="n">
        <v>2.15</v>
      </c>
      <c r="I151" s="31" t="n">
        <v>114630</v>
      </c>
      <c r="J151" s="31" t="inlineStr">
        <is>
          <t>532698</t>
        </is>
      </c>
    </row>
    <row r="152">
      <c r="A152" s="31" t="inlineStr">
        <is>
          <t>DIFFNKG</t>
        </is>
      </c>
      <c r="B152" s="31" t="inlineStr">
        <is>
          <t>Diffusion Engineers Ltd</t>
        </is>
      </c>
      <c r="C152" s="31" t="inlineStr">
        <is>
          <t>industrials</t>
        </is>
      </c>
      <c r="D152" s="31" t="inlineStr">
        <is>
          <t>electrodes - welding equipment</t>
        </is>
      </c>
      <c r="E152" s="31" t="inlineStr">
        <is>
          <t>smallcap</t>
        </is>
      </c>
      <c r="F152" s="31" t="n">
        <v>1554.31</v>
      </c>
      <c r="G152" s="31" t="n">
        <v>424.2</v>
      </c>
      <c r="H152" s="31" t="n">
        <v>2.14</v>
      </c>
      <c r="I152" s="31" t="n">
        <v>534011</v>
      </c>
      <c r="J152" s="31" t="inlineStr">
        <is>
          <t>544264</t>
        </is>
      </c>
    </row>
    <row r="153">
      <c r="A153" s="31" t="inlineStr">
        <is>
          <t>GAEL</t>
        </is>
      </c>
      <c r="B153" s="31" t="inlineStr">
        <is>
          <t>Gujarat Ambuja Exports Limited</t>
        </is>
      </c>
      <c r="C153" s="31" t="inlineStr">
        <is>
          <t>fmcg</t>
        </is>
      </c>
      <c r="D153" s="31" t="inlineStr">
        <is>
          <t>miscellaneous</t>
        </is>
      </c>
      <c r="E153" s="31" t="inlineStr">
        <is>
          <t>midcap</t>
        </is>
      </c>
      <c r="F153" s="31" t="n">
        <v>7424.5</v>
      </c>
      <c r="G153" s="31" t="n">
        <v>165.33</v>
      </c>
      <c r="H153" s="31" t="n">
        <v>2.14</v>
      </c>
      <c r="I153" s="31" t="n">
        <v>1067023</v>
      </c>
      <c r="J153" s="31" t="inlineStr">
        <is>
          <t>524226</t>
        </is>
      </c>
    </row>
    <row r="154">
      <c r="A154" s="31" t="inlineStr">
        <is>
          <t>IGPL</t>
        </is>
      </c>
      <c r="B154" s="31" t="inlineStr">
        <is>
          <t>Ig Petrochemicals Limited</t>
        </is>
      </c>
      <c r="C154" s="31" t="inlineStr">
        <is>
          <t>chemicals</t>
        </is>
      </c>
      <c r="D154" s="31" t="inlineStr">
        <is>
          <t>chemicals</t>
        </is>
      </c>
      <c r="E154" s="31" t="inlineStr">
        <is>
          <t>smallcap</t>
        </is>
      </c>
      <c r="F154" s="31" t="n">
        <v>1378.07</v>
      </c>
      <c r="G154" s="31" t="n">
        <v>456.95</v>
      </c>
      <c r="H154" s="31" t="n">
        <v>2.11</v>
      </c>
      <c r="I154" s="31" t="n">
        <v>85160</v>
      </c>
      <c r="J154" s="31" t="inlineStr">
        <is>
          <t>500199</t>
        </is>
      </c>
    </row>
    <row r="155">
      <c r="A155" s="31" t="inlineStr">
        <is>
          <t>NINSYS</t>
        </is>
      </c>
      <c r="B155" s="31" t="inlineStr">
        <is>
          <t>NINtec Systems Ltd</t>
        </is>
      </c>
      <c r="C155" s="31" t="inlineStr">
        <is>
          <t>i.t</t>
        </is>
      </c>
      <c r="D155" s="31" t="inlineStr">
        <is>
          <t>computers - software - medium / small</t>
        </is>
      </c>
      <c r="E155" s="31" t="inlineStr">
        <is>
          <t>smallcap</t>
        </is>
      </c>
      <c r="F155" s="31" t="n">
        <v>1501.03</v>
      </c>
      <c r="G155" s="31" t="n">
        <v>824.85</v>
      </c>
      <c r="H155" s="31" t="n">
        <v>2.08</v>
      </c>
      <c r="I155" s="31" t="n">
        <v>7748</v>
      </c>
      <c r="J155" s="31" t="inlineStr">
        <is>
          <t>539843</t>
        </is>
      </c>
    </row>
    <row r="156">
      <c r="A156" s="31" t="inlineStr">
        <is>
          <t>IOLCP</t>
        </is>
      </c>
      <c r="B156" s="31" t="inlineStr">
        <is>
          <t>Iol Chemicals And Pharmaceuticals Limited</t>
        </is>
      </c>
      <c r="C156" s="31" t="inlineStr">
        <is>
          <t>healthcare</t>
        </is>
      </c>
      <c r="D156" s="31" t="inlineStr">
        <is>
          <t>pharmaceuticals - indian - bulk drugs &amp; formln</t>
        </is>
      </c>
      <c r="E156" s="31" t="inlineStr">
        <is>
          <t>smallcap</t>
        </is>
      </c>
      <c r="F156" s="31" t="n">
        <v>4177.78</v>
      </c>
      <c r="G156" s="31" t="n">
        <v>145.29</v>
      </c>
      <c r="H156" s="31" t="n">
        <v>2.08</v>
      </c>
      <c r="I156" s="31" t="n">
        <v>8740429</v>
      </c>
      <c r="J156" s="31" t="inlineStr">
        <is>
          <t>524164</t>
        </is>
      </c>
    </row>
    <row r="157">
      <c r="A157" s="31" t="inlineStr">
        <is>
          <t>SYRMA</t>
        </is>
      </c>
      <c r="B157" s="31" t="inlineStr">
        <is>
          <t>Syrma SGS Technology Ltd</t>
        </is>
      </c>
      <c r="C157" s="31" t="inlineStr">
        <is>
          <t>consumer discretionary</t>
        </is>
      </c>
      <c r="D157" s="31" t="inlineStr">
        <is>
          <t>electronics - components</t>
        </is>
      </c>
      <c r="E157" s="31" t="inlineStr">
        <is>
          <t>largecap</t>
        </is>
      </c>
      <c r="F157" s="31" t="n">
        <v>26385</v>
      </c>
      <c r="G157" s="31" t="n">
        <v>1396.3</v>
      </c>
      <c r="H157" s="31" t="n">
        <v>2.05</v>
      </c>
      <c r="I157" s="31" t="n">
        <v>981267</v>
      </c>
      <c r="J157" s="31" t="inlineStr">
        <is>
          <t>543573</t>
        </is>
      </c>
    </row>
    <row r="158">
      <c r="A158" s="31" t="inlineStr">
        <is>
          <t>TINNARUBR</t>
        </is>
      </c>
      <c r="B158" s="31" t="inlineStr">
        <is>
          <t>Tinna Rubber &amp; Infrastructure Ltd</t>
        </is>
      </c>
      <c r="C158" s="31" t="inlineStr">
        <is>
          <t>fmcg</t>
        </is>
      </c>
      <c r="D158" s="31" t="inlineStr">
        <is>
          <t>miscellaneous</t>
        </is>
      </c>
      <c r="E158" s="31" t="inlineStr">
        <is>
          <t>smallcap</t>
        </is>
      </c>
      <c r="F158" s="31" t="n">
        <v>1677.27</v>
      </c>
      <c r="G158" s="31" t="n">
        <v>950</v>
      </c>
      <c r="H158" s="31" t="n">
        <v>2.04</v>
      </c>
      <c r="I158" s="31" t="n">
        <v>64878</v>
      </c>
      <c r="J158" s="31" t="inlineStr">
        <is>
          <t>530475</t>
        </is>
      </c>
    </row>
    <row r="159">
      <c r="A159" s="31" t="inlineStr">
        <is>
          <t>ONMOBILE</t>
        </is>
      </c>
      <c r="B159" s="31" t="inlineStr">
        <is>
          <t>Onmobile Global Limited</t>
        </is>
      </c>
      <c r="C159" s="31" t="inlineStr">
        <is>
          <t>telecom-service</t>
        </is>
      </c>
      <c r="D159" s="31" t="inlineStr">
        <is>
          <t>telecommunications - service provider</t>
        </is>
      </c>
      <c r="E159" s="31" t="inlineStr">
        <is>
          <t>smallcap</t>
        </is>
      </c>
      <c r="F159" s="31" t="n">
        <v>640.27</v>
      </c>
      <c r="G159" s="31" t="n">
        <v>61.45</v>
      </c>
      <c r="H159" s="31" t="n">
        <v>2.04</v>
      </c>
      <c r="I159" s="31" t="n">
        <v>551227</v>
      </c>
      <c r="J159" s="31" t="inlineStr">
        <is>
          <t>532944</t>
        </is>
      </c>
    </row>
    <row r="160">
      <c r="A160" s="31" t="inlineStr">
        <is>
          <t>TFCILTD</t>
        </is>
      </c>
      <c r="B160" s="31" t="inlineStr">
        <is>
          <t>Tourism Finance Corporation Of India Limited</t>
        </is>
      </c>
      <c r="C160" s="31" t="inlineStr">
        <is>
          <t>financials</t>
        </is>
      </c>
      <c r="D160" s="31" t="inlineStr">
        <is>
          <t>finance - term-lending institutions</t>
        </is>
      </c>
      <c r="E160" s="31" t="inlineStr">
        <is>
          <t>smallcap</t>
        </is>
      </c>
      <c r="F160" s="31" t="n">
        <v>3497.33</v>
      </c>
      <c r="G160" s="31" t="n">
        <v>77.06999999999999</v>
      </c>
      <c r="H160" s="31" t="n">
        <v>2.03</v>
      </c>
      <c r="I160" s="31" t="n">
        <v>2900615</v>
      </c>
      <c r="J160" s="31" t="inlineStr">
        <is>
          <t>526650</t>
        </is>
      </c>
    </row>
    <row r="161">
      <c r="A161" s="31" t="inlineStr">
        <is>
          <t>AUROPHARMA</t>
        </is>
      </c>
      <c r="B161" s="31" t="inlineStr">
        <is>
          <t>Aurobindo Pharma Limited</t>
        </is>
      </c>
      <c r="C161" s="31" t="inlineStr">
        <is>
          <t>healthcare</t>
        </is>
      </c>
      <c r="D161" s="31" t="inlineStr">
        <is>
          <t>pharmaceuticals - indian - bulk drugs &amp; formln</t>
        </is>
      </c>
      <c r="E161" s="31" t="inlineStr">
        <is>
          <t>largecap</t>
        </is>
      </c>
      <c r="F161" s="31" t="n">
        <v>89879.05</v>
      </c>
      <c r="G161" s="31" t="n">
        <v>1578.7</v>
      </c>
      <c r="H161" s="31" t="n">
        <v>2.02</v>
      </c>
      <c r="I161" s="31" t="n">
        <v>3230878</v>
      </c>
      <c r="J161" s="31" t="inlineStr">
        <is>
          <t>524804</t>
        </is>
      </c>
    </row>
    <row r="162">
      <c r="A162" s="31" t="inlineStr">
        <is>
          <t>TVSSCS</t>
        </is>
      </c>
      <c r="B162" s="31" t="inlineStr">
        <is>
          <t>TVS Supply Chain Solutions Ltd</t>
        </is>
      </c>
      <c r="C162" s="31" t="inlineStr">
        <is>
          <t>transportation</t>
        </is>
      </c>
      <c r="D162" s="31" t="inlineStr">
        <is>
          <t>miscellaneous</t>
        </is>
      </c>
      <c r="E162" s="31" t="inlineStr">
        <is>
          <t>midcap</t>
        </is>
      </c>
      <c r="F162" s="31" t="n">
        <v>5815.19</v>
      </c>
      <c r="G162" s="31" t="n">
        <v>134.46</v>
      </c>
      <c r="H162" s="31" t="n">
        <v>2.01</v>
      </c>
      <c r="I162" s="31" t="n">
        <v>488811</v>
      </c>
      <c r="J162" s="31" t="inlineStr">
        <is>
          <t>543965</t>
        </is>
      </c>
    </row>
    <row r="163">
      <c r="A163" s="31" t="inlineStr">
        <is>
          <t>SANGAMIND</t>
        </is>
      </c>
      <c r="B163" s="31" t="inlineStr">
        <is>
          <t>Sangam (india) Limited</t>
        </is>
      </c>
      <c r="C163" s="31" t="inlineStr">
        <is>
          <t>textiles</t>
        </is>
      </c>
      <c r="D163" s="31" t="inlineStr">
        <is>
          <t>textiles - spinning - synthetic / blended</t>
        </is>
      </c>
      <c r="E163" s="31" t="inlineStr">
        <is>
          <t>smallcap</t>
        </is>
      </c>
      <c r="F163" s="31" t="n">
        <v>2674.88</v>
      </c>
      <c r="G163" s="31" t="n">
        <v>543</v>
      </c>
      <c r="H163" s="31" t="n">
        <v>2</v>
      </c>
      <c r="I163" s="31" t="n">
        <v>22938</v>
      </c>
      <c r="J163" s="31" t="inlineStr">
        <is>
          <t>514234</t>
        </is>
      </c>
    </row>
    <row r="164">
      <c r="A164" s="31" t="inlineStr">
        <is>
          <t>ASTRAMICRO</t>
        </is>
      </c>
      <c r="B164" s="31" t="inlineStr">
        <is>
          <t>Astra Microwave Products Limited</t>
        </is>
      </c>
      <c r="C164" s="31" t="inlineStr">
        <is>
          <t>aerospace &amp; defence</t>
        </is>
      </c>
      <c r="D164" s="31" t="inlineStr">
        <is>
          <t>telecommunications - equipment</t>
        </is>
      </c>
      <c r="E164" s="31" t="inlineStr">
        <is>
          <t>midcap</t>
        </is>
      </c>
      <c r="F164" s="31" t="n">
        <v>16399.85</v>
      </c>
      <c r="G164" s="31" t="n">
        <v>1761.6</v>
      </c>
      <c r="H164" s="31" t="n">
        <v>1.99</v>
      </c>
      <c r="I164" s="31" t="n">
        <v>925950</v>
      </c>
      <c r="J164" s="31" t="inlineStr">
        <is>
          <t>532493</t>
        </is>
      </c>
    </row>
    <row r="165">
      <c r="A165" s="31" t="inlineStr">
        <is>
          <t>NUVAMA</t>
        </is>
      </c>
      <c r="B165" s="31" t="inlineStr">
        <is>
          <t>Nuvama Wealth Management Ltd</t>
        </is>
      </c>
      <c r="C165" s="31" t="inlineStr">
        <is>
          <t>financials</t>
        </is>
      </c>
      <c r="D165" s="31" t="inlineStr">
        <is>
          <t>finance &amp; investments</t>
        </is>
      </c>
      <c r="E165" s="31" t="inlineStr">
        <is>
          <t>largecap</t>
        </is>
      </c>
      <c r="F165" s="31" t="n">
        <v>32243.19</v>
      </c>
      <c r="G165" s="31" t="n">
        <v>1806.4</v>
      </c>
      <c r="H165" s="31" t="n">
        <v>1.99</v>
      </c>
      <c r="I165" s="31" t="n">
        <v>966967</v>
      </c>
      <c r="J165" s="31" t="inlineStr">
        <is>
          <t>543988</t>
        </is>
      </c>
    </row>
    <row r="166">
      <c r="A166" s="31" t="inlineStr">
        <is>
          <t>RAJRILTD</t>
        </is>
      </c>
      <c r="B166" s="31" t="inlineStr">
        <is>
          <t>Raj Rayon Industries Ltd</t>
        </is>
      </c>
      <c r="C166" s="31" t="inlineStr">
        <is>
          <t>textiles</t>
        </is>
      </c>
      <c r="D166" s="31" t="inlineStr">
        <is>
          <t>textiles - manmade</t>
        </is>
      </c>
      <c r="E166" s="31" t="inlineStr">
        <is>
          <t>smallcap</t>
        </is>
      </c>
      <c r="F166" s="31" t="n">
        <v>1322.92</v>
      </c>
      <c r="G166" s="31" t="n">
        <v>24.26</v>
      </c>
      <c r="H166" s="31" t="n">
        <v>1.98</v>
      </c>
      <c r="I166" s="31" t="n">
        <v>63036</v>
      </c>
      <c r="J166" s="31" t="inlineStr">
        <is>
          <t>530699</t>
        </is>
      </c>
    </row>
    <row r="167">
      <c r="A167" s="31" t="inlineStr">
        <is>
          <t>KAPSTON</t>
        </is>
      </c>
      <c r="B167" s="31" t="inlineStr">
        <is>
          <t>Kapston Services Ltd</t>
        </is>
      </c>
      <c r="C167" s="31" t="inlineStr">
        <is>
          <t>miscellaneous</t>
        </is>
      </c>
      <c r="D167" s="31" t="inlineStr">
        <is>
          <t>miscellaneous</t>
        </is>
      </c>
      <c r="E167" s="31" t="inlineStr">
        <is>
          <t>smallcap</t>
        </is>
      </c>
      <c r="F167" s="31" t="n">
        <v>1096.32</v>
      </c>
      <c r="G167" s="31" t="n">
        <v>367.4</v>
      </c>
      <c r="H167" s="31" t="n">
        <v>1.98</v>
      </c>
      <c r="I167" s="31" t="n">
        <v>18065</v>
      </c>
      <c r="J167" s="31" t="inlineStr">
        <is>
          <t>535064</t>
        </is>
      </c>
    </row>
    <row r="168">
      <c r="A168" s="31" t="inlineStr">
        <is>
          <t>SPANDANA</t>
        </is>
      </c>
      <c r="B168" s="31" t="inlineStr">
        <is>
          <t>Spandana Sphoorty Financial Ltd</t>
        </is>
      </c>
      <c r="C168" s="31" t="inlineStr">
        <is>
          <t>financials</t>
        </is>
      </c>
      <c r="D168" s="31" t="inlineStr">
        <is>
          <t>finance &amp; investments</t>
        </is>
      </c>
      <c r="E168" s="31" t="inlineStr">
        <is>
          <t>smallcap</t>
        </is>
      </c>
      <c r="F168" s="31" t="n">
        <v>2335.65</v>
      </c>
      <c r="G168" s="31" t="n">
        <v>268.6</v>
      </c>
      <c r="H168" s="31" t="n">
        <v>1.94</v>
      </c>
      <c r="I168" s="31" t="n">
        <v>245119</v>
      </c>
      <c r="J168" s="31" t="inlineStr">
        <is>
          <t>542759</t>
        </is>
      </c>
    </row>
    <row r="169">
      <c r="A169" s="31" t="inlineStr">
        <is>
          <t>JBMA</t>
        </is>
      </c>
      <c r="B169" s="31" t="inlineStr">
        <is>
          <t>Jbm Auto Limited</t>
        </is>
      </c>
      <c r="C169" s="31" t="inlineStr">
        <is>
          <t>auto</t>
        </is>
      </c>
      <c r="D169" s="31" t="inlineStr">
        <is>
          <t>auto ancillaries</t>
        </is>
      </c>
      <c r="E169" s="31" t="inlineStr">
        <is>
          <t>midcap</t>
        </is>
      </c>
      <c r="F169" s="31" t="n">
        <v>16188.03</v>
      </c>
      <c r="G169" s="31" t="n">
        <v>697.75</v>
      </c>
      <c r="H169" s="31" t="n">
        <v>1.94</v>
      </c>
      <c r="I169" s="31" t="n">
        <v>707344</v>
      </c>
      <c r="J169" s="31" t="inlineStr">
        <is>
          <t>532605</t>
        </is>
      </c>
    </row>
    <row r="170">
      <c r="A170" s="31" t="inlineStr">
        <is>
          <t>PHOENIXLTD</t>
        </is>
      </c>
      <c r="B170" s="31" t="inlineStr">
        <is>
          <t>The Phoenix Mills Limited</t>
        </is>
      </c>
      <c r="C170" s="31" t="inlineStr">
        <is>
          <t>realty</t>
        </is>
      </c>
      <c r="D170" s="31" t="inlineStr">
        <is>
          <t>construction</t>
        </is>
      </c>
      <c r="E170" s="31" t="inlineStr">
        <is>
          <t>largecap</t>
        </is>
      </c>
      <c r="F170" s="31" t="n">
        <v>68379.74000000001</v>
      </c>
      <c r="G170" s="31" t="n">
        <v>1948.6</v>
      </c>
      <c r="H170" s="31" t="n">
        <v>1.91</v>
      </c>
      <c r="I170" s="31" t="n">
        <v>1027050</v>
      </c>
      <c r="J170" s="31" t="inlineStr">
        <is>
          <t>503100</t>
        </is>
      </c>
    </row>
    <row r="171">
      <c r="A171" s="31" t="inlineStr">
        <is>
          <t>NORTHARC</t>
        </is>
      </c>
      <c r="B171" s="31" t="inlineStr">
        <is>
          <t>Northern ARC Capital Ltd</t>
        </is>
      </c>
      <c r="C171" s="31" t="inlineStr">
        <is>
          <t>financials</t>
        </is>
      </c>
      <c r="D171" s="31" t="inlineStr">
        <is>
          <t>finance &amp; investments</t>
        </is>
      </c>
      <c r="E171" s="31" t="inlineStr">
        <is>
          <t>smallcap</t>
        </is>
      </c>
      <c r="F171" s="31" t="n">
        <v>4727.59</v>
      </c>
      <c r="G171" s="31" t="n">
        <v>298.1</v>
      </c>
      <c r="H171" s="31" t="n">
        <v>1.88</v>
      </c>
      <c r="I171" s="31" t="n">
        <v>536097</v>
      </c>
      <c r="J171" s="31" t="n"/>
    </row>
    <row r="172">
      <c r="A172" s="31" t="inlineStr">
        <is>
          <t>POLYCAB</t>
        </is>
      </c>
      <c r="B172" s="31" t="inlineStr">
        <is>
          <t>Polycab India Ltd</t>
        </is>
      </c>
      <c r="C172" s="31" t="inlineStr">
        <is>
          <t>industrials</t>
        </is>
      </c>
      <c r="D172" s="31" t="inlineStr">
        <is>
          <t>cables - power</t>
        </is>
      </c>
      <c r="E172" s="31" t="inlineStr">
        <is>
          <t>largecap</t>
        </is>
      </c>
      <c r="F172" s="31" t="n">
        <v>147223.34</v>
      </c>
      <c r="G172" s="31" t="n">
        <v>9961</v>
      </c>
      <c r="H172" s="31" t="n">
        <v>1.86</v>
      </c>
      <c r="I172" s="31" t="n">
        <v>452560</v>
      </c>
      <c r="J172" s="31" t="inlineStr">
        <is>
          <t>542652</t>
        </is>
      </c>
    </row>
    <row r="173">
      <c r="A173" s="31" t="inlineStr">
        <is>
          <t>FEDERALBNK</t>
        </is>
      </c>
      <c r="B173" s="31" t="inlineStr">
        <is>
          <t>The Federal Bank  Limited</t>
        </is>
      </c>
      <c r="C173" s="31" t="inlineStr">
        <is>
          <t>bank</t>
        </is>
      </c>
      <c r="D173" s="31" t="inlineStr">
        <is>
          <t>banks - private sector</t>
        </is>
      </c>
      <c r="E173" s="31" t="inlineStr">
        <is>
          <t>largecap</t>
        </is>
      </c>
      <c r="F173" s="31" t="n">
        <v>79855.07000000001</v>
      </c>
      <c r="G173" s="31" t="n">
        <v>330.05</v>
      </c>
      <c r="H173" s="31" t="n">
        <v>1.85</v>
      </c>
      <c r="I173" s="31" t="n">
        <v>15572787</v>
      </c>
      <c r="J173" s="31" t="inlineStr">
        <is>
          <t>500469</t>
        </is>
      </c>
    </row>
    <row r="174">
      <c r="A174" s="31" t="inlineStr">
        <is>
          <t>ADFFOODS</t>
        </is>
      </c>
      <c r="B174" s="31" t="inlineStr">
        <is>
          <t>Adf Foods Limited</t>
        </is>
      </c>
      <c r="C174" s="31" t="inlineStr">
        <is>
          <t>fmcg</t>
        </is>
      </c>
      <c r="D174" s="31" t="inlineStr">
        <is>
          <t>food - processing - indian</t>
        </is>
      </c>
      <c r="E174" s="31" t="inlineStr">
        <is>
          <t>smallcap</t>
        </is>
      </c>
      <c r="F174" s="31" t="n">
        <v>3351.39</v>
      </c>
      <c r="G174" s="31" t="n">
        <v>310.7</v>
      </c>
      <c r="H174" s="31" t="n">
        <v>1.85</v>
      </c>
      <c r="I174" s="31" t="n">
        <v>161489</v>
      </c>
      <c r="J174" s="31" t="inlineStr">
        <is>
          <t>519183</t>
        </is>
      </c>
    </row>
    <row r="175">
      <c r="A175" s="31" t="inlineStr">
        <is>
          <t>GODREJIND</t>
        </is>
      </c>
      <c r="B175" s="31" t="inlineStr">
        <is>
          <t>Godrej Industries Limited</t>
        </is>
      </c>
      <c r="C175" s="31" t="inlineStr">
        <is>
          <t>chemicals</t>
        </is>
      </c>
      <c r="D175" s="31" t="inlineStr">
        <is>
          <t>chemicals</t>
        </is>
      </c>
      <c r="E175" s="31" t="inlineStr">
        <is>
          <t>largecap</t>
        </is>
      </c>
      <c r="F175" s="31" t="n">
        <v>38850.44</v>
      </c>
      <c r="G175" s="31" t="n">
        <v>1174.7</v>
      </c>
      <c r="H175" s="31" t="n">
        <v>1.84</v>
      </c>
      <c r="I175" s="31" t="n">
        <v>142445</v>
      </c>
      <c r="J175" s="31" t="inlineStr">
        <is>
          <t>500164</t>
        </is>
      </c>
    </row>
    <row r="176">
      <c r="A176" s="31" t="inlineStr">
        <is>
          <t>DELHIVERY</t>
        </is>
      </c>
      <c r="B176" s="31" t="inlineStr">
        <is>
          <t>Delhivery Ltd</t>
        </is>
      </c>
      <c r="C176" s="31" t="inlineStr">
        <is>
          <t>transportation</t>
        </is>
      </c>
      <c r="D176" s="31" t="inlineStr">
        <is>
          <t>miscellaneous</t>
        </is>
      </c>
      <c r="E176" s="31" t="inlineStr">
        <is>
          <t>largecap</t>
        </is>
      </c>
      <c r="F176" s="31" t="n">
        <v>34701.73</v>
      </c>
      <c r="G176" s="31" t="n">
        <v>472.05</v>
      </c>
      <c r="H176" s="31" t="n">
        <v>1.83</v>
      </c>
      <c r="I176" s="31" t="n">
        <v>3203181</v>
      </c>
      <c r="J176" s="31" t="inlineStr">
        <is>
          <t>543529</t>
        </is>
      </c>
    </row>
    <row r="177">
      <c r="A177" s="31" t="inlineStr">
        <is>
          <t>BLISSGVS</t>
        </is>
      </c>
      <c r="B177" s="31" t="inlineStr">
        <is>
          <t>Bliss Gvs Pharma Limited</t>
        </is>
      </c>
      <c r="C177" s="31" t="inlineStr">
        <is>
          <t>healthcare</t>
        </is>
      </c>
      <c r="D177" s="31" t="inlineStr">
        <is>
          <t>pharmaceuticals - indian - formulations</t>
        </is>
      </c>
      <c r="E177" s="31" t="inlineStr">
        <is>
          <t>midcap</t>
        </is>
      </c>
      <c r="F177" s="31" t="n">
        <v>5605.76</v>
      </c>
      <c r="G177" s="31" t="n">
        <v>539.6</v>
      </c>
      <c r="H177" s="31" t="n">
        <v>1.83</v>
      </c>
      <c r="I177" s="31" t="n">
        <v>1324216</v>
      </c>
      <c r="J177" s="31" t="inlineStr">
        <is>
          <t>506197</t>
        </is>
      </c>
    </row>
    <row r="178">
      <c r="A178" s="31" t="inlineStr">
        <is>
          <t>HONAUT</t>
        </is>
      </c>
      <c r="B178" s="31" t="inlineStr">
        <is>
          <t>Honeywell Automation India Limited</t>
        </is>
      </c>
      <c r="C178" s="31" t="inlineStr">
        <is>
          <t>consumer discretionary</t>
        </is>
      </c>
      <c r="D178" s="31" t="inlineStr">
        <is>
          <t>electronics - components</t>
        </is>
      </c>
      <c r="E178" s="31" t="inlineStr">
        <is>
          <t>largecap</t>
        </is>
      </c>
      <c r="F178" s="31" t="n">
        <v>34499.62</v>
      </c>
      <c r="G178" s="31" t="n">
        <v>39735</v>
      </c>
      <c r="H178" s="31" t="n">
        <v>1.83</v>
      </c>
      <c r="I178" s="31" t="n">
        <v>4433</v>
      </c>
      <c r="J178" s="31" t="inlineStr">
        <is>
          <t>517174</t>
        </is>
      </c>
    </row>
    <row r="179">
      <c r="A179" s="31" t="inlineStr">
        <is>
          <t>JTLIND</t>
        </is>
      </c>
      <c r="B179" s="31" t="inlineStr">
        <is>
          <t>JTL Industries Ltd</t>
        </is>
      </c>
      <c r="C179" s="31" t="inlineStr">
        <is>
          <t>metals &amp; mining</t>
        </is>
      </c>
      <c r="D179" s="31" t="inlineStr">
        <is>
          <t>steel - medium / small</t>
        </is>
      </c>
      <c r="E179" s="31" t="inlineStr">
        <is>
          <t>smallcap</t>
        </is>
      </c>
      <c r="F179" s="31" t="n">
        <v>3072.72</v>
      </c>
      <c r="G179" s="31" t="n">
        <v>79.59</v>
      </c>
      <c r="H179" s="31" t="n">
        <v>1.82</v>
      </c>
      <c r="I179" s="31" t="n">
        <v>1891711</v>
      </c>
      <c r="J179" s="31" t="inlineStr">
        <is>
          <t>534600</t>
        </is>
      </c>
    </row>
    <row r="180">
      <c r="A180" s="31" t="inlineStr">
        <is>
          <t>SBCL</t>
        </is>
      </c>
      <c r="B180" s="31" t="inlineStr">
        <is>
          <t>Shivalik Bimetal Controls Ltd</t>
        </is>
      </c>
      <c r="C180" s="31" t="inlineStr">
        <is>
          <t>metals &amp; mining</t>
        </is>
      </c>
      <c r="D180" s="31" t="inlineStr">
        <is>
          <t>mining / minerals / metals</t>
        </is>
      </c>
      <c r="E180" s="31" t="inlineStr">
        <is>
          <t>smallcap</t>
        </is>
      </c>
      <c r="F180" s="31" t="n">
        <v>4302.75</v>
      </c>
      <c r="G180" s="31" t="n">
        <v>760.45</v>
      </c>
      <c r="H180" s="31" t="n">
        <v>1.81</v>
      </c>
      <c r="I180" s="31" t="n">
        <v>451992</v>
      </c>
      <c r="J180" s="31" t="inlineStr">
        <is>
          <t>513097</t>
        </is>
      </c>
    </row>
    <row r="181">
      <c r="A181" s="31" t="inlineStr">
        <is>
          <t>KTKBANK</t>
        </is>
      </c>
      <c r="B181" s="31" t="inlineStr">
        <is>
          <t>The Karnataka Bank Limited</t>
        </is>
      </c>
      <c r="C181" s="31" t="inlineStr">
        <is>
          <t>bank</t>
        </is>
      </c>
      <c r="D181" s="31" t="inlineStr">
        <is>
          <t>banks - private sector</t>
        </is>
      </c>
      <c r="E181" s="31" t="inlineStr">
        <is>
          <t>midcap</t>
        </is>
      </c>
      <c r="F181" s="31" t="n">
        <v>10156.85</v>
      </c>
      <c r="G181" s="31" t="n">
        <v>273.4</v>
      </c>
      <c r="H181" s="31" t="n">
        <v>1.79</v>
      </c>
      <c r="I181" s="31" t="n">
        <v>1411536</v>
      </c>
      <c r="J181" s="31" t="inlineStr">
        <is>
          <t>532652</t>
        </is>
      </c>
    </row>
    <row r="182">
      <c r="A182" s="31" t="inlineStr">
        <is>
          <t>SANSERA</t>
        </is>
      </c>
      <c r="B182" s="31" t="inlineStr">
        <is>
          <t>Sansera Engineering Ltd</t>
        </is>
      </c>
      <c r="C182" s="31" t="inlineStr">
        <is>
          <t>auto</t>
        </is>
      </c>
      <c r="D182" s="31" t="inlineStr">
        <is>
          <t>auto ancillaries</t>
        </is>
      </c>
      <c r="E182" s="31" t="inlineStr">
        <is>
          <t>midcap</t>
        </is>
      </c>
      <c r="F182" s="31" t="n">
        <v>19570.39</v>
      </c>
      <c r="G182" s="31" t="n">
        <v>3196</v>
      </c>
      <c r="H182" s="31" t="n">
        <v>1.79</v>
      </c>
      <c r="I182" s="31" t="n">
        <v>287348</v>
      </c>
      <c r="J182" s="31" t="inlineStr">
        <is>
          <t>543358</t>
        </is>
      </c>
    </row>
    <row r="183">
      <c r="A183" s="31" t="inlineStr">
        <is>
          <t>KPIL</t>
        </is>
      </c>
      <c r="B183" s="31" t="inlineStr">
        <is>
          <t>Kalpataru Projects International Ltd</t>
        </is>
      </c>
      <c r="C183" s="31" t="inlineStr">
        <is>
          <t>realty</t>
        </is>
      </c>
      <c r="D183" s="31" t="inlineStr">
        <is>
          <t>transmisson line towers / equipment</t>
        </is>
      </c>
      <c r="E183" s="31" t="inlineStr">
        <is>
          <t>largecap</t>
        </is>
      </c>
      <c r="F183" s="31" t="n">
        <v>22987.69</v>
      </c>
      <c r="G183" s="31" t="n">
        <v>1370.1</v>
      </c>
      <c r="H183" s="31" t="n">
        <v>1.78</v>
      </c>
      <c r="I183" s="31" t="n">
        <v>611495</v>
      </c>
      <c r="J183" s="31" t="inlineStr">
        <is>
          <t>522287</t>
        </is>
      </c>
    </row>
    <row r="184">
      <c r="A184" s="31" t="inlineStr">
        <is>
          <t>PARACABLES</t>
        </is>
      </c>
      <c r="B184" s="31" t="inlineStr">
        <is>
          <t>Paramount Communications Limited</t>
        </is>
      </c>
      <c r="C184" s="31" t="inlineStr">
        <is>
          <t>industrials</t>
        </is>
      </c>
      <c r="D184" s="31" t="inlineStr">
        <is>
          <t>cables - power</t>
        </is>
      </c>
      <c r="E184" s="31" t="inlineStr">
        <is>
          <t>smallcap</t>
        </is>
      </c>
      <c r="F184" s="31" t="n">
        <v>2069.63</v>
      </c>
      <c r="G184" s="31" t="n">
        <v>69.02</v>
      </c>
      <c r="H184" s="31" t="n">
        <v>1.78</v>
      </c>
      <c r="I184" s="31" t="n">
        <v>1310304</v>
      </c>
      <c r="J184" s="31" t="inlineStr">
        <is>
          <t>530555</t>
        </is>
      </c>
    </row>
    <row r="185">
      <c r="A185" s="31" t="inlineStr">
        <is>
          <t>RADICO</t>
        </is>
      </c>
      <c r="B185" s="31" t="inlineStr">
        <is>
          <t>Radico Khaitan Limited</t>
        </is>
      </c>
      <c r="C185" s="31" t="inlineStr">
        <is>
          <t>fmcg</t>
        </is>
      </c>
      <c r="D185" s="31" t="inlineStr">
        <is>
          <t>breweries &amp; distilleries</t>
        </is>
      </c>
      <c r="E185" s="31" t="inlineStr">
        <is>
          <t>largecap</t>
        </is>
      </c>
      <c r="F185" s="31" t="n">
        <v>51910.89</v>
      </c>
      <c r="G185" s="31" t="n">
        <v>3945.5</v>
      </c>
      <c r="H185" s="31" t="n">
        <v>1.77</v>
      </c>
      <c r="I185" s="31" t="n">
        <v>691278</v>
      </c>
      <c r="J185" s="31" t="inlineStr">
        <is>
          <t>532497</t>
        </is>
      </c>
    </row>
    <row r="186">
      <c r="A186" s="31" t="inlineStr">
        <is>
          <t>OLECTRA</t>
        </is>
      </c>
      <c r="B186" s="31" t="inlineStr">
        <is>
          <t>Olectra Greentech Ltd</t>
        </is>
      </c>
      <c r="C186" s="31" t="inlineStr">
        <is>
          <t>auto</t>
        </is>
      </c>
      <c r="D186" s="31" t="inlineStr">
        <is>
          <t>automobiles - lcvs / hcvs</t>
        </is>
      </c>
      <c r="E186" s="31" t="inlineStr">
        <is>
          <t>midcap</t>
        </is>
      </c>
      <c r="F186" s="31" t="n">
        <v>12099.52</v>
      </c>
      <c r="G186" s="31" t="n">
        <v>1499.6</v>
      </c>
      <c r="H186" s="31" t="n">
        <v>1.73</v>
      </c>
      <c r="I186" s="31" t="n">
        <v>823892</v>
      </c>
      <c r="J186" s="31" t="inlineStr">
        <is>
          <t>532439</t>
        </is>
      </c>
    </row>
    <row r="187">
      <c r="A187" s="31" t="inlineStr">
        <is>
          <t>MOLDTKPAC</t>
        </is>
      </c>
      <c r="B187" s="31" t="inlineStr">
        <is>
          <t>Mold-tek Packaging Limited</t>
        </is>
      </c>
      <c r="C187" s="31" t="inlineStr">
        <is>
          <t>industrials</t>
        </is>
      </c>
      <c r="D187" s="31" t="inlineStr">
        <is>
          <t>packaging</t>
        </is>
      </c>
      <c r="E187" s="31" t="inlineStr">
        <is>
          <t>smallcap</t>
        </is>
      </c>
      <c r="F187" s="31" t="n">
        <v>2351.78</v>
      </c>
      <c r="G187" s="31" t="n">
        <v>720</v>
      </c>
      <c r="H187" s="31" t="n">
        <v>1.73</v>
      </c>
      <c r="I187" s="31" t="n">
        <v>248975</v>
      </c>
      <c r="J187" s="31" t="inlineStr">
        <is>
          <t>533080</t>
        </is>
      </c>
    </row>
    <row r="188">
      <c r="A188" s="31" t="inlineStr">
        <is>
          <t>ABCAPITAL</t>
        </is>
      </c>
      <c r="B188" s="31" t="inlineStr">
        <is>
          <t>Aditya Birla Capital Ltd</t>
        </is>
      </c>
      <c r="C188" s="31" t="inlineStr">
        <is>
          <t>financials</t>
        </is>
      </c>
      <c r="D188" s="31" t="inlineStr">
        <is>
          <t>finance &amp; investments</t>
        </is>
      </c>
      <c r="E188" s="31" t="inlineStr">
        <is>
          <t>largecap</t>
        </is>
      </c>
      <c r="F188" s="31" t="n">
        <v>105348.97</v>
      </c>
      <c r="G188" s="31" t="n">
        <v>391.95</v>
      </c>
      <c r="H188" s="31" t="n">
        <v>1.73</v>
      </c>
      <c r="I188" s="31" t="n">
        <v>4754334</v>
      </c>
      <c r="J188" s="31" t="inlineStr">
        <is>
          <t>540691</t>
        </is>
      </c>
    </row>
    <row r="189">
      <c r="A189" s="31" t="inlineStr">
        <is>
          <t>VENUSPIPES</t>
        </is>
      </c>
      <c r="B189" s="31" t="inlineStr">
        <is>
          <t>Venus Pipes &amp; Tubes Ltd</t>
        </is>
      </c>
      <c r="C189" s="31" t="inlineStr">
        <is>
          <t>metals &amp; mining</t>
        </is>
      </c>
      <c r="D189" s="31" t="inlineStr">
        <is>
          <t>steel - medium / small</t>
        </is>
      </c>
      <c r="E189" s="31" t="inlineStr">
        <is>
          <t>smallcap</t>
        </is>
      </c>
      <c r="F189" s="31" t="n">
        <v>3524.22</v>
      </c>
      <c r="G189" s="31" t="n">
        <v>1730.5</v>
      </c>
      <c r="H189" s="31" t="n">
        <v>1.72</v>
      </c>
      <c r="I189" s="31" t="n">
        <v>165088</v>
      </c>
      <c r="J189" s="31" t="inlineStr">
        <is>
          <t>543528</t>
        </is>
      </c>
    </row>
    <row r="190">
      <c r="A190" s="31" t="inlineStr">
        <is>
          <t>IDFCFIRSTB</t>
        </is>
      </c>
      <c r="B190" s="31" t="inlineStr">
        <is>
          <t>IDFC First Bank Ltd</t>
        </is>
      </c>
      <c r="C190" s="31" t="inlineStr">
        <is>
          <t>bank</t>
        </is>
      </c>
      <c r="D190" s="31" t="inlineStr">
        <is>
          <t>banks - private sector</t>
        </is>
      </c>
      <c r="E190" s="31" t="inlineStr">
        <is>
          <t>largecap</t>
        </is>
      </c>
      <c r="F190" s="31" t="n">
        <v>67265.28999999999</v>
      </c>
      <c r="G190" s="31" t="n">
        <v>79.48999999999999</v>
      </c>
      <c r="H190" s="31" t="n">
        <v>1.65</v>
      </c>
      <c r="I190" s="31" t="n">
        <v>30193040</v>
      </c>
      <c r="J190" s="31" t="inlineStr">
        <is>
          <t>539437</t>
        </is>
      </c>
    </row>
    <row r="191">
      <c r="A191" s="31" t="inlineStr">
        <is>
          <t>PRESTIGE</t>
        </is>
      </c>
      <c r="B191" s="31" t="inlineStr">
        <is>
          <t>Prestige Estates Projects Limited</t>
        </is>
      </c>
      <c r="C191" s="31" t="inlineStr">
        <is>
          <t>realty</t>
        </is>
      </c>
      <c r="D191" s="31" t="inlineStr">
        <is>
          <t>construction</t>
        </is>
      </c>
      <c r="E191" s="31" t="inlineStr">
        <is>
          <t>largecap</t>
        </is>
      </c>
      <c r="F191" s="31" t="n">
        <v>66306.61</v>
      </c>
      <c r="G191" s="31" t="n">
        <v>1564.6</v>
      </c>
      <c r="H191" s="31" t="n">
        <v>1.64</v>
      </c>
      <c r="I191" s="31" t="n">
        <v>645308</v>
      </c>
      <c r="J191" s="31" t="inlineStr">
        <is>
          <t>533274</t>
        </is>
      </c>
    </row>
    <row r="192">
      <c r="A192" s="31" t="inlineStr">
        <is>
          <t>HNDFDS</t>
        </is>
      </c>
      <c r="B192" s="31" t="inlineStr">
        <is>
          <t>Hindustan Foods Ltd</t>
        </is>
      </c>
      <c r="C192" s="31" t="inlineStr">
        <is>
          <t>fmcg</t>
        </is>
      </c>
      <c r="D192" s="31" t="inlineStr">
        <is>
          <t>diversified - large</t>
        </is>
      </c>
      <c r="E192" s="31" t="inlineStr">
        <is>
          <t>midcap</t>
        </is>
      </c>
      <c r="F192" s="31" t="n">
        <v>6582.85</v>
      </c>
      <c r="G192" s="31" t="n">
        <v>560</v>
      </c>
      <c r="H192" s="31" t="n">
        <v>1.64</v>
      </c>
      <c r="I192" s="31" t="n">
        <v>59081</v>
      </c>
      <c r="J192" s="31" t="inlineStr">
        <is>
          <t>519126</t>
        </is>
      </c>
    </row>
    <row r="193">
      <c r="A193" s="31" t="inlineStr">
        <is>
          <t>RACLGEAR</t>
        </is>
      </c>
      <c r="B193" s="31" t="inlineStr">
        <is>
          <t>RACL Geartech Ltd</t>
        </is>
      </c>
      <c r="C193" s="31" t="inlineStr">
        <is>
          <t>auto</t>
        </is>
      </c>
      <c r="D193" s="31" t="inlineStr">
        <is>
          <t>auto ancillaries</t>
        </is>
      </c>
      <c r="E193" s="31" t="inlineStr">
        <is>
          <t>smallcap</t>
        </is>
      </c>
      <c r="F193" s="31" t="n">
        <v>1627.7</v>
      </c>
      <c r="G193" s="31" t="n">
        <v>1403.2</v>
      </c>
      <c r="H193" s="31" t="n">
        <v>1.62</v>
      </c>
      <c r="I193" s="31" t="n">
        <v>31212</v>
      </c>
      <c r="J193" s="31" t="inlineStr">
        <is>
          <t>520073</t>
        </is>
      </c>
    </row>
    <row r="194">
      <c r="A194" s="31" t="inlineStr">
        <is>
          <t>POWERMECH</t>
        </is>
      </c>
      <c r="B194" s="31" t="inlineStr">
        <is>
          <t>Power Mech Projects Limited</t>
        </is>
      </c>
      <c r="C194" s="31" t="inlineStr">
        <is>
          <t>realty</t>
        </is>
      </c>
      <c r="D194" s="31" t="inlineStr">
        <is>
          <t>engineering - turnkey services</t>
        </is>
      </c>
      <c r="E194" s="31" t="inlineStr">
        <is>
          <t>midcap</t>
        </is>
      </c>
      <c r="F194" s="31" t="n">
        <v>8599.629999999999</v>
      </c>
      <c r="G194" s="31" t="n">
        <v>2763</v>
      </c>
      <c r="H194" s="31" t="n">
        <v>1.58</v>
      </c>
      <c r="I194" s="31" t="n">
        <v>48516</v>
      </c>
      <c r="J194" s="31" t="inlineStr">
        <is>
          <t>539302</t>
        </is>
      </c>
    </row>
    <row r="195">
      <c r="A195" s="31" t="inlineStr">
        <is>
          <t>PRUDENT</t>
        </is>
      </c>
      <c r="B195" s="31" t="inlineStr">
        <is>
          <t>Prudent Corporate Advisory Services Ltd</t>
        </is>
      </c>
      <c r="C195" s="31" t="inlineStr">
        <is>
          <t>financials</t>
        </is>
      </c>
      <c r="D195" s="31" t="inlineStr">
        <is>
          <t>finance &amp; investments</t>
        </is>
      </c>
      <c r="E195" s="31" t="inlineStr">
        <is>
          <t>midcap</t>
        </is>
      </c>
      <c r="F195" s="31" t="n">
        <v>12235.67</v>
      </c>
      <c r="G195" s="31" t="n">
        <v>3001</v>
      </c>
      <c r="H195" s="31" t="n">
        <v>1.56</v>
      </c>
      <c r="I195" s="31" t="n">
        <v>17349</v>
      </c>
      <c r="J195" s="31" t="inlineStr">
        <is>
          <t>543527</t>
        </is>
      </c>
    </row>
    <row r="196">
      <c r="A196" s="31" t="inlineStr">
        <is>
          <t>SPARC</t>
        </is>
      </c>
      <c r="B196" s="31" t="inlineStr">
        <is>
          <t>Sun Pharma Advanced Research Company Limited</t>
        </is>
      </c>
      <c r="C196" s="31" t="inlineStr">
        <is>
          <t>healthcare</t>
        </is>
      </c>
      <c r="D196" s="31" t="inlineStr">
        <is>
          <t>miscellaneous</t>
        </is>
      </c>
      <c r="E196" s="31" t="inlineStr">
        <is>
          <t>midcap</t>
        </is>
      </c>
      <c r="F196" s="31" t="n">
        <v>7502.61</v>
      </c>
      <c r="G196" s="31" t="n">
        <v>234.75</v>
      </c>
      <c r="H196" s="31" t="n">
        <v>1.54</v>
      </c>
      <c r="I196" s="31" t="n">
        <v>1210418</v>
      </c>
      <c r="J196" s="31" t="inlineStr">
        <is>
          <t>532872</t>
        </is>
      </c>
    </row>
    <row r="197">
      <c r="A197" s="31" t="inlineStr">
        <is>
          <t>UNIPARTS</t>
        </is>
      </c>
      <c r="B197" s="31" t="inlineStr">
        <is>
          <t>Uniparts India Ltd</t>
        </is>
      </c>
      <c r="C197" s="31" t="inlineStr">
        <is>
          <t>industrials</t>
        </is>
      </c>
      <c r="D197" s="31" t="inlineStr">
        <is>
          <t>engineering</t>
        </is>
      </c>
      <c r="E197" s="31" t="inlineStr">
        <is>
          <t>smallcap</t>
        </is>
      </c>
      <c r="F197" s="31" t="n">
        <v>2996.6</v>
      </c>
      <c r="G197" s="31" t="n">
        <v>673.6</v>
      </c>
      <c r="H197" s="31" t="n">
        <v>1.48</v>
      </c>
      <c r="I197" s="31" t="n">
        <v>64448</v>
      </c>
      <c r="J197" s="31" t="inlineStr">
        <is>
          <t>543689</t>
        </is>
      </c>
    </row>
    <row r="198">
      <c r="A198" s="31" t="inlineStr">
        <is>
          <t>TEJASNET</t>
        </is>
      </c>
      <c r="B198" s="31" t="inlineStr">
        <is>
          <t>Tejas Networks Ltd</t>
        </is>
      </c>
      <c r="C198" s="31" t="inlineStr">
        <is>
          <t>telecom</t>
        </is>
      </c>
      <c r="D198" s="31" t="inlineStr">
        <is>
          <t>telecommunications - equipment</t>
        </is>
      </c>
      <c r="E198" s="31" t="inlineStr">
        <is>
          <t>midcap</t>
        </is>
      </c>
      <c r="F198" s="31" t="n">
        <v>10727.61</v>
      </c>
      <c r="G198" s="31" t="n">
        <v>612.5</v>
      </c>
      <c r="H198" s="31" t="n">
        <v>1.48</v>
      </c>
      <c r="I198" s="31" t="n">
        <v>7319918</v>
      </c>
      <c r="J198" s="31" t="inlineStr">
        <is>
          <t>540595</t>
        </is>
      </c>
    </row>
    <row r="199">
      <c r="A199" s="31" t="inlineStr">
        <is>
          <t>ZOTA</t>
        </is>
      </c>
      <c r="B199" s="31" t="inlineStr">
        <is>
          <t>Zota Health Care Ltd</t>
        </is>
      </c>
      <c r="C199" s="31" t="inlineStr">
        <is>
          <t>healthcare</t>
        </is>
      </c>
      <c r="D199" s="31" t="inlineStr">
        <is>
          <t>pharmaceuticals - indian - bulk drugs &amp; formln</t>
        </is>
      </c>
      <c r="E199" s="31" t="inlineStr">
        <is>
          <t>smallcap</t>
        </is>
      </c>
      <c r="F199" s="31" t="n">
        <v>4835.75</v>
      </c>
      <c r="G199" s="31" t="n">
        <v>1416.8</v>
      </c>
      <c r="H199" s="31" t="n">
        <v>1.47</v>
      </c>
      <c r="I199" s="31" t="n">
        <v>102877</v>
      </c>
      <c r="J199" s="31" t="inlineStr">
        <is>
          <t>538426</t>
        </is>
      </c>
    </row>
    <row r="200">
      <c r="A200" s="31" t="inlineStr">
        <is>
          <t>ATULAUTO</t>
        </is>
      </c>
      <c r="B200" s="31" t="inlineStr">
        <is>
          <t>Atul Auto Limited</t>
        </is>
      </c>
      <c r="C200" s="31" t="inlineStr">
        <is>
          <t>auto</t>
        </is>
      </c>
      <c r="D200" s="31" t="inlineStr">
        <is>
          <t>automobiles - scooters and 3 - wheelers</t>
        </is>
      </c>
      <c r="E200" s="31" t="inlineStr">
        <is>
          <t>smallcap</t>
        </is>
      </c>
      <c r="F200" s="31" t="n">
        <v>1317.77</v>
      </c>
      <c r="G200" s="31" t="n">
        <v>481.8</v>
      </c>
      <c r="H200" s="31" t="n">
        <v>1.46</v>
      </c>
      <c r="I200" s="31" t="n">
        <v>294620</v>
      </c>
      <c r="J200" s="31" t="inlineStr">
        <is>
          <t>531795</t>
        </is>
      </c>
    </row>
    <row r="201">
      <c r="A201" s="31" t="inlineStr">
        <is>
          <t>RBLBANK</t>
        </is>
      </c>
      <c r="B201" s="31" t="inlineStr">
        <is>
          <t>Rbl Bank Limited</t>
        </is>
      </c>
      <c r="C201" s="31" t="inlineStr">
        <is>
          <t>bank</t>
        </is>
      </c>
      <c r="D201" s="31" t="inlineStr">
        <is>
          <t>banks - private sector</t>
        </is>
      </c>
      <c r="E201" s="31" t="inlineStr">
        <is>
          <t>largecap</t>
        </is>
      </c>
      <c r="F201" s="31" t="n">
        <v>56336.54</v>
      </c>
      <c r="G201" s="31" t="n">
        <v>369.05</v>
      </c>
      <c r="H201" s="31" t="n">
        <v>1.44</v>
      </c>
      <c r="I201" s="31" t="n">
        <v>4031488</v>
      </c>
      <c r="J201" s="31" t="inlineStr">
        <is>
          <t>540065</t>
        </is>
      </c>
    </row>
    <row r="202">
      <c r="A202" s="31" t="inlineStr">
        <is>
          <t>CCL</t>
        </is>
      </c>
      <c r="B202" s="31" t="inlineStr">
        <is>
          <t>Ccl Products (india) Limited</t>
        </is>
      </c>
      <c r="C202" s="31" t="inlineStr">
        <is>
          <t>fmcg</t>
        </is>
      </c>
      <c r="D202" s="31" t="inlineStr">
        <is>
          <t>tea</t>
        </is>
      </c>
      <c r="E202" s="31" t="inlineStr">
        <is>
          <t>midcap</t>
        </is>
      </c>
      <c r="F202" s="31" t="n">
        <v>15553.33</v>
      </c>
      <c r="G202" s="31" t="n">
        <v>1181.2</v>
      </c>
      <c r="H202" s="31" t="n">
        <v>1.41</v>
      </c>
      <c r="I202" s="31" t="n">
        <v>115925</v>
      </c>
      <c r="J202" s="31" t="inlineStr">
        <is>
          <t>519600</t>
        </is>
      </c>
    </row>
    <row r="203">
      <c r="A203" s="31" t="inlineStr">
        <is>
          <t>5PAISA</t>
        </is>
      </c>
      <c r="B203" s="31" t="inlineStr">
        <is>
          <t>5Paisa Capital Ltd</t>
        </is>
      </c>
      <c r="C203" s="31" t="inlineStr">
        <is>
          <t>financials</t>
        </is>
      </c>
      <c r="D203" s="31" t="inlineStr">
        <is>
          <t>finance &amp; investments</t>
        </is>
      </c>
      <c r="E203" s="31" t="inlineStr">
        <is>
          <t>smallcap</t>
        </is>
      </c>
      <c r="F203" s="31" t="n">
        <v>1645.8</v>
      </c>
      <c r="G203" s="31" t="n">
        <v>355.95</v>
      </c>
      <c r="H203" s="31" t="n">
        <v>1.4</v>
      </c>
      <c r="I203" s="31" t="n">
        <v>34116</v>
      </c>
      <c r="J203" s="31" t="inlineStr">
        <is>
          <t>540776</t>
        </is>
      </c>
    </row>
    <row r="204">
      <c r="A204" s="31" t="inlineStr">
        <is>
          <t>BHAGERIA</t>
        </is>
      </c>
      <c r="B204" s="31" t="inlineStr">
        <is>
          <t>Bhageria Industries Limited</t>
        </is>
      </c>
      <c r="C204" s="31" t="inlineStr">
        <is>
          <t>chemicals</t>
        </is>
      </c>
      <c r="D204" s="31" t="inlineStr">
        <is>
          <t>dyes and pigments</t>
        </is>
      </c>
      <c r="E204" s="31" t="inlineStr">
        <is>
          <t>smallcap</t>
        </is>
      </c>
      <c r="F204" s="31" t="n">
        <v>908.58</v>
      </c>
      <c r="G204" s="31" t="n">
        <v>211.01</v>
      </c>
      <c r="H204" s="31" t="n">
        <v>1.36</v>
      </c>
      <c r="I204" s="31" t="n">
        <v>87392</v>
      </c>
      <c r="J204" s="31" t="inlineStr">
        <is>
          <t>530803</t>
        </is>
      </c>
    </row>
    <row r="205">
      <c r="A205" s="31" t="inlineStr">
        <is>
          <t>NIBE</t>
        </is>
      </c>
      <c r="B205" s="31" t="inlineStr">
        <is>
          <t>NIBE Ltd</t>
        </is>
      </c>
      <c r="C205" s="31" t="inlineStr">
        <is>
          <t>aerospace &amp; defence</t>
        </is>
      </c>
      <c r="D205" s="31" t="inlineStr">
        <is>
          <t>engineering</t>
        </is>
      </c>
      <c r="E205" s="31" t="inlineStr">
        <is>
          <t>smallcap</t>
        </is>
      </c>
      <c r="F205" s="31" t="n">
        <v>2506.05</v>
      </c>
      <c r="G205" s="31" t="n">
        <v>1663.9</v>
      </c>
      <c r="H205" s="31" t="n">
        <v>1.33</v>
      </c>
      <c r="I205" s="31" t="n">
        <v>87464</v>
      </c>
      <c r="J205" s="31" t="inlineStr">
        <is>
          <t>535136</t>
        </is>
      </c>
    </row>
    <row r="206">
      <c r="A206" s="31" t="inlineStr">
        <is>
          <t>SUVEN</t>
        </is>
      </c>
      <c r="B206" s="31" t="inlineStr">
        <is>
          <t>Suven Life Sciences Limited</t>
        </is>
      </c>
      <c r="C206" s="31" t="inlineStr">
        <is>
          <t>healthcare</t>
        </is>
      </c>
      <c r="D206" s="31" t="inlineStr">
        <is>
          <t>miscellaneous</t>
        </is>
      </c>
      <c r="E206" s="31" t="inlineStr">
        <is>
          <t>midcap</t>
        </is>
      </c>
      <c r="F206" s="31" t="n">
        <v>7305.06</v>
      </c>
      <c r="G206" s="31" t="n">
        <v>280.65</v>
      </c>
      <c r="H206" s="31" t="n">
        <v>1.32</v>
      </c>
      <c r="I206" s="31" t="n">
        <v>920333</v>
      </c>
      <c r="J206" s="31" t="inlineStr">
        <is>
          <t>530239</t>
        </is>
      </c>
    </row>
    <row r="207">
      <c r="A207" s="31" t="inlineStr">
        <is>
          <t>ARMANFIN</t>
        </is>
      </c>
      <c r="B207" s="31" t="inlineStr">
        <is>
          <t>Arman Financial Services Limited</t>
        </is>
      </c>
      <c r="C207" s="31" t="inlineStr">
        <is>
          <t>financials</t>
        </is>
      </c>
      <c r="D207" s="31" t="inlineStr">
        <is>
          <t>finance &amp; investments</t>
        </is>
      </c>
      <c r="E207" s="31" t="inlineStr">
        <is>
          <t>smallcap</t>
        </is>
      </c>
      <c r="F207" s="31" t="n">
        <v>1757.87</v>
      </c>
      <c r="G207" s="31" t="n">
        <v>1694</v>
      </c>
      <c r="H207" s="31" t="n">
        <v>1.31</v>
      </c>
      <c r="I207" s="31" t="n">
        <v>18239</v>
      </c>
      <c r="J207" s="31" t="inlineStr">
        <is>
          <t>531179</t>
        </is>
      </c>
    </row>
    <row r="208">
      <c r="A208" s="31" t="inlineStr">
        <is>
          <t>GLOSTERLTD</t>
        </is>
      </c>
      <c r="B208" s="31" t="inlineStr">
        <is>
          <t>Gloster Ltd</t>
        </is>
      </c>
      <c r="C208" s="31" t="inlineStr">
        <is>
          <t>textiles</t>
        </is>
      </c>
      <c r="D208" s="31" t="inlineStr">
        <is>
          <t>textiles - jute - yarn / products</t>
        </is>
      </c>
      <c r="E208" s="31" t="inlineStr">
        <is>
          <t>smallcap</t>
        </is>
      </c>
      <c r="F208" s="31" t="n">
        <v>791.8</v>
      </c>
      <c r="G208" s="31" t="n">
        <v>733</v>
      </c>
      <c r="H208" s="31" t="n">
        <v>1.31</v>
      </c>
      <c r="I208" s="31" t="n">
        <v>6303</v>
      </c>
      <c r="J208" s="31" t="inlineStr">
        <is>
          <t>542351</t>
        </is>
      </c>
    </row>
    <row r="209">
      <c r="A209" s="31" t="inlineStr">
        <is>
          <t>KSB</t>
        </is>
      </c>
      <c r="B209" s="31" t="inlineStr">
        <is>
          <t>KSB Ltd</t>
        </is>
      </c>
      <c r="C209" s="31" t="inlineStr">
        <is>
          <t>industrials</t>
        </is>
      </c>
      <c r="D209" s="31" t="inlineStr">
        <is>
          <t>pumps</t>
        </is>
      </c>
      <c r="E209" s="31" t="inlineStr">
        <is>
          <t>midcap</t>
        </is>
      </c>
      <c r="F209" s="31" t="n">
        <v>16458.89</v>
      </c>
      <c r="G209" s="31" t="n">
        <v>958</v>
      </c>
      <c r="H209" s="31" t="n">
        <v>1.3</v>
      </c>
      <c r="I209" s="31" t="n">
        <v>113731</v>
      </c>
      <c r="J209" s="31" t="inlineStr">
        <is>
          <t>500249</t>
        </is>
      </c>
    </row>
    <row r="210">
      <c r="A210" s="31" t="inlineStr">
        <is>
          <t>CENTENKA</t>
        </is>
      </c>
      <c r="B210" s="31" t="inlineStr">
        <is>
          <t>Century Enka Limited</t>
        </is>
      </c>
      <c r="C210" s="31" t="inlineStr">
        <is>
          <t>textiles</t>
        </is>
      </c>
      <c r="D210" s="31" t="inlineStr">
        <is>
          <t>textiles - manmade</t>
        </is>
      </c>
      <c r="E210" s="31" t="inlineStr">
        <is>
          <t>smallcap</t>
        </is>
      </c>
      <c r="F210" s="31" t="n">
        <v>1121.7</v>
      </c>
      <c r="G210" s="31" t="n">
        <v>520</v>
      </c>
      <c r="H210" s="31" t="n">
        <v>1.3</v>
      </c>
      <c r="I210" s="31" t="n">
        <v>40557</v>
      </c>
      <c r="J210" s="31" t="inlineStr">
        <is>
          <t>500280</t>
        </is>
      </c>
    </row>
    <row r="211">
      <c r="A211" s="31" t="inlineStr">
        <is>
          <t>GOCLCORP</t>
        </is>
      </c>
      <c r="B211" s="31" t="inlineStr">
        <is>
          <t>Gocl Corporation Limited</t>
        </is>
      </c>
      <c r="C211" s="31" t="inlineStr">
        <is>
          <t>miscellaneous</t>
        </is>
      </c>
      <c r="D211" s="31" t="inlineStr">
        <is>
          <t>diversified - medium / small</t>
        </is>
      </c>
      <c r="E211" s="31" t="inlineStr">
        <is>
          <t>smallcap</t>
        </is>
      </c>
      <c r="F211" s="31" t="n">
        <v>1999.51</v>
      </c>
      <c r="G211" s="31" t="n">
        <v>408.55</v>
      </c>
      <c r="H211" s="31" t="n">
        <v>1.29</v>
      </c>
      <c r="I211" s="31" t="n">
        <v>38213</v>
      </c>
      <c r="J211" s="31" t="inlineStr">
        <is>
          <t>506480</t>
        </is>
      </c>
    </row>
    <row r="212">
      <c r="A212" s="31" t="inlineStr">
        <is>
          <t>CARTRADE</t>
        </is>
      </c>
      <c r="B212" s="31" t="inlineStr">
        <is>
          <t>Cartrade Tech Ltd</t>
        </is>
      </c>
      <c r="C212" s="31" t="inlineStr">
        <is>
          <t>consumer discretionary</t>
        </is>
      </c>
      <c r="D212" s="31" t="inlineStr">
        <is>
          <t>miscellaneous</t>
        </is>
      </c>
      <c r="E212" s="31" t="inlineStr">
        <is>
          <t>midcap</t>
        </is>
      </c>
      <c r="F212" s="31" t="n">
        <v>12728.85</v>
      </c>
      <c r="G212" s="31" t="n">
        <v>2693</v>
      </c>
      <c r="H212" s="31" t="n">
        <v>1.29</v>
      </c>
      <c r="I212" s="31" t="n">
        <v>533708</v>
      </c>
      <c r="J212" s="31" t="inlineStr">
        <is>
          <t>543333</t>
        </is>
      </c>
    </row>
    <row r="213">
      <c r="A213" s="31" t="inlineStr">
        <is>
          <t>PGHL</t>
        </is>
      </c>
      <c r="B213" s="31" t="inlineStr">
        <is>
          <t>Procter &amp; Gamble Health Ltd</t>
        </is>
      </c>
      <c r="C213" s="31" t="inlineStr">
        <is>
          <t>healthcare</t>
        </is>
      </c>
      <c r="D213" s="31" t="inlineStr">
        <is>
          <t>pharmaceuticals - multinational</t>
        </is>
      </c>
      <c r="E213" s="31" t="inlineStr">
        <is>
          <t>midcap</t>
        </is>
      </c>
      <c r="F213" s="31" t="n">
        <v>10368.8</v>
      </c>
      <c r="G213" s="31" t="n">
        <v>6326.5</v>
      </c>
      <c r="H213" s="31" t="n">
        <v>1.28</v>
      </c>
      <c r="I213" s="31" t="n">
        <v>21161</v>
      </c>
      <c r="J213" s="31" t="inlineStr">
        <is>
          <t>500126</t>
        </is>
      </c>
    </row>
    <row r="214">
      <c r="A214" s="31" t="inlineStr">
        <is>
          <t>ROLEXRINGS</t>
        </is>
      </c>
      <c r="B214" s="31" t="inlineStr">
        <is>
          <t>Rolex Rings Ltd</t>
        </is>
      </c>
      <c r="C214" s="31" t="inlineStr">
        <is>
          <t>auto</t>
        </is>
      </c>
      <c r="D214" s="31" t="inlineStr">
        <is>
          <t>auto ancillaries</t>
        </is>
      </c>
      <c r="E214" s="31" t="inlineStr">
        <is>
          <t>smallcap</t>
        </is>
      </c>
      <c r="F214" s="31" t="n">
        <v>4022.63</v>
      </c>
      <c r="G214" s="31" t="n">
        <v>149.58</v>
      </c>
      <c r="H214" s="31" t="n">
        <v>1.27</v>
      </c>
      <c r="I214" s="31" t="n">
        <v>1053483</v>
      </c>
      <c r="J214" s="31" t="inlineStr">
        <is>
          <t>543325</t>
        </is>
      </c>
    </row>
    <row r="215">
      <c r="A215" s="31" t="inlineStr">
        <is>
          <t>ABDL</t>
        </is>
      </c>
      <c r="B215" s="31" t="inlineStr">
        <is>
          <t>Allied Blenders &amp; Distillers Ltd</t>
        </is>
      </c>
      <c r="C215" s="31" t="inlineStr">
        <is>
          <t>fmcg</t>
        </is>
      </c>
      <c r="D215" s="31" t="inlineStr">
        <is>
          <t>breweries &amp; distilleries</t>
        </is>
      </c>
      <c r="E215" s="31" t="inlineStr">
        <is>
          <t>midcap</t>
        </is>
      </c>
      <c r="F215" s="31" t="n">
        <v>18446.88</v>
      </c>
      <c r="G215" s="31" t="n">
        <v>667.9</v>
      </c>
      <c r="H215" s="31" t="n">
        <v>1.27</v>
      </c>
      <c r="I215" s="31" t="n">
        <v>486932</v>
      </c>
      <c r="J215" s="31" t="inlineStr">
        <is>
          <t>544203</t>
        </is>
      </c>
    </row>
    <row r="216">
      <c r="A216" s="31" t="inlineStr">
        <is>
          <t>AETHER</t>
        </is>
      </c>
      <c r="B216" s="31" t="inlineStr">
        <is>
          <t>Aether Industries Ltd</t>
        </is>
      </c>
      <c r="C216" s="31" t="inlineStr">
        <is>
          <t>chemicals</t>
        </is>
      </c>
      <c r="D216" s="31" t="inlineStr">
        <is>
          <t>chemicals</t>
        </is>
      </c>
      <c r="E216" s="31" t="inlineStr">
        <is>
          <t>midcap</t>
        </is>
      </c>
      <c r="F216" s="31" t="n">
        <v>17808.29</v>
      </c>
      <c r="G216" s="31" t="n">
        <v>1359.1</v>
      </c>
      <c r="H216" s="31" t="n">
        <v>1.26</v>
      </c>
      <c r="I216" s="31" t="n">
        <v>278871</v>
      </c>
      <c r="J216" s="31" t="inlineStr">
        <is>
          <t>543534</t>
        </is>
      </c>
    </row>
    <row r="217">
      <c r="A217" s="31" t="inlineStr">
        <is>
          <t>MANINDS</t>
        </is>
      </c>
      <c r="B217" s="31" t="inlineStr">
        <is>
          <t>Man Industries (india) Limited</t>
        </is>
      </c>
      <c r="C217" s="31" t="inlineStr">
        <is>
          <t>metals &amp; mining</t>
        </is>
      </c>
      <c r="D217" s="31" t="inlineStr">
        <is>
          <t>steel - medium / small</t>
        </is>
      </c>
      <c r="E217" s="31" t="inlineStr">
        <is>
          <t>smallcap</t>
        </is>
      </c>
      <c r="F217" s="31" t="n">
        <v>4308.55</v>
      </c>
      <c r="G217" s="31" t="n">
        <v>581.65</v>
      </c>
      <c r="H217" s="31" t="n">
        <v>1.26</v>
      </c>
      <c r="I217" s="31" t="n">
        <v>162693</v>
      </c>
      <c r="J217" s="31" t="inlineStr">
        <is>
          <t>513269</t>
        </is>
      </c>
    </row>
    <row r="218">
      <c r="A218" s="31" t="inlineStr">
        <is>
          <t>IMPAL</t>
        </is>
      </c>
      <c r="B218" s="31" t="inlineStr">
        <is>
          <t>India Motor Parts And Accessories Limited</t>
        </is>
      </c>
      <c r="C218" s="31" t="inlineStr">
        <is>
          <t>auto</t>
        </is>
      </c>
      <c r="D218" s="31" t="inlineStr">
        <is>
          <t>auto ancillaries</t>
        </is>
      </c>
      <c r="E218" s="31" t="inlineStr">
        <is>
          <t>smallcap</t>
        </is>
      </c>
      <c r="F218" s="31" t="n">
        <v>1369.8</v>
      </c>
      <c r="G218" s="31" t="n">
        <v>1110.9</v>
      </c>
      <c r="H218" s="31" t="n">
        <v>1.21</v>
      </c>
      <c r="I218" s="31" t="n">
        <v>2545</v>
      </c>
      <c r="J218" s="31" t="inlineStr">
        <is>
          <t>590065</t>
        </is>
      </c>
    </row>
    <row r="219">
      <c r="A219" s="31" t="inlineStr">
        <is>
          <t>PATELENG</t>
        </is>
      </c>
      <c r="B219" s="31" t="inlineStr">
        <is>
          <t>Patel Engineering Limited</t>
        </is>
      </c>
      <c r="C219" s="31" t="inlineStr">
        <is>
          <t>realty</t>
        </is>
      </c>
      <c r="D219" s="31" t="inlineStr">
        <is>
          <t>construction</t>
        </is>
      </c>
      <c r="E219" s="31" t="inlineStr">
        <is>
          <t>smallcap</t>
        </is>
      </c>
      <c r="F219" s="31" t="n">
        <v>3424.87</v>
      </c>
      <c r="G219" s="31" t="n">
        <v>34.93</v>
      </c>
      <c r="H219" s="31" t="n">
        <v>1.19</v>
      </c>
      <c r="I219" s="31" t="n">
        <v>13081079</v>
      </c>
      <c r="J219" s="31" t="inlineStr">
        <is>
          <t>531120</t>
        </is>
      </c>
    </row>
    <row r="220">
      <c r="A220" s="31" t="inlineStr">
        <is>
          <t>SURYODAY</t>
        </is>
      </c>
      <c r="B220" s="31" t="inlineStr">
        <is>
          <t>Suryoday Small Finance Bank Ltd</t>
        </is>
      </c>
      <c r="C220" s="31" t="inlineStr">
        <is>
          <t>bank</t>
        </is>
      </c>
      <c r="D220" s="31" t="inlineStr">
        <is>
          <t>banks - private sector</t>
        </is>
      </c>
      <c r="E220" s="31" t="inlineStr">
        <is>
          <t>smallcap</t>
        </is>
      </c>
      <c r="F220" s="31" t="n">
        <v>1844.66</v>
      </c>
      <c r="G220" s="31" t="n">
        <v>175.61</v>
      </c>
      <c r="H220" s="31" t="n">
        <v>1.19</v>
      </c>
      <c r="I220" s="31" t="n">
        <v>379141</v>
      </c>
      <c r="J220" s="31" t="inlineStr">
        <is>
          <t>543279</t>
        </is>
      </c>
    </row>
    <row r="221">
      <c r="A221" s="31" t="inlineStr">
        <is>
          <t>AJANTPHARM</t>
        </is>
      </c>
      <c r="B221" s="31" t="inlineStr">
        <is>
          <t>Ajanta Pharma Limited</t>
        </is>
      </c>
      <c r="C221" s="31" t="inlineStr">
        <is>
          <t>healthcare</t>
        </is>
      </c>
      <c r="D221" s="31" t="inlineStr">
        <is>
          <t>pharmaceuticals - indian - formulations</t>
        </is>
      </c>
      <c r="E221" s="31" t="inlineStr">
        <is>
          <t>largecap</t>
        </is>
      </c>
      <c r="F221" s="31" t="n">
        <v>42280.71</v>
      </c>
      <c r="G221" s="31" t="n">
        <v>3422.7</v>
      </c>
      <c r="H221" s="31" t="n">
        <v>1.14</v>
      </c>
      <c r="I221" s="31" t="n">
        <v>166871</v>
      </c>
      <c r="J221" s="31" t="inlineStr">
        <is>
          <t>532331</t>
        </is>
      </c>
    </row>
    <row r="222">
      <c r="A222" s="31" t="inlineStr">
        <is>
          <t>SWANDEF</t>
        </is>
      </c>
      <c r="B222" s="31" t="inlineStr">
        <is>
          <t>Swan Defence and Heavy Industries Ltd</t>
        </is>
      </c>
      <c r="C222" s="31" t="inlineStr">
        <is>
          <t>transportation</t>
        </is>
      </c>
      <c r="D222" s="31" t="inlineStr">
        <is>
          <t>miscellaneous</t>
        </is>
      </c>
      <c r="E222" s="31" t="inlineStr">
        <is>
          <t>midcap</t>
        </is>
      </c>
      <c r="F222" s="31" t="n">
        <v>11610.09</v>
      </c>
      <c r="G222" s="31" t="n">
        <v>2229</v>
      </c>
      <c r="H222" s="31" t="n">
        <v>1.14</v>
      </c>
      <c r="I222" s="31" t="n">
        <v>7273</v>
      </c>
      <c r="J222" s="31" t="inlineStr">
        <is>
          <t>533107</t>
        </is>
      </c>
    </row>
    <row r="223">
      <c r="A223" s="31" t="inlineStr">
        <is>
          <t>LAURUSLABS</t>
        </is>
      </c>
      <c r="B223" s="31" t="inlineStr">
        <is>
          <t>Laurus Labs Limited</t>
        </is>
      </c>
      <c r="C223" s="31" t="inlineStr">
        <is>
          <t>healthcare</t>
        </is>
      </c>
      <c r="D223" s="31" t="inlineStr">
        <is>
          <t>pharmaceuticals - indian - bulk drugs &amp; formln</t>
        </is>
      </c>
      <c r="E223" s="31" t="inlineStr">
        <is>
          <t>largecap</t>
        </is>
      </c>
      <c r="F223" s="31" t="n">
        <v>80994.67999999999</v>
      </c>
      <c r="G223" s="31" t="n">
        <v>1517.4</v>
      </c>
      <c r="H223" s="31" t="n">
        <v>1.14</v>
      </c>
      <c r="I223" s="31" t="n">
        <v>3274623</v>
      </c>
      <c r="J223" s="31" t="inlineStr">
        <is>
          <t>540222</t>
        </is>
      </c>
    </row>
    <row r="224">
      <c r="A224" s="31" t="inlineStr">
        <is>
          <t>YATHARTH</t>
        </is>
      </c>
      <c r="B224" s="31" t="inlineStr">
        <is>
          <t>Yatharth Hospital &amp; Trauma Care Services Ltd</t>
        </is>
      </c>
      <c r="C224" s="31" t="inlineStr">
        <is>
          <t>healthcare</t>
        </is>
      </c>
      <c r="D224" s="31" t="inlineStr">
        <is>
          <t>healthcare</t>
        </is>
      </c>
      <c r="E224" s="31" t="inlineStr">
        <is>
          <t>midcap</t>
        </is>
      </c>
      <c r="F224" s="31" t="n">
        <v>8179.52</v>
      </c>
      <c r="G224" s="31" t="n">
        <v>858.6</v>
      </c>
      <c r="H224" s="31" t="n">
        <v>1.14</v>
      </c>
      <c r="I224" s="31" t="n">
        <v>404710</v>
      </c>
      <c r="J224" s="31" t="inlineStr">
        <is>
          <t>543950</t>
        </is>
      </c>
    </row>
    <row r="225">
      <c r="A225" s="31" t="inlineStr">
        <is>
          <t>KIMS</t>
        </is>
      </c>
      <c r="B225" s="31" t="inlineStr">
        <is>
          <t>Krishna Institute of Medical Sciences Ltd</t>
        </is>
      </c>
      <c r="C225" s="31" t="inlineStr">
        <is>
          <t>healthcare</t>
        </is>
      </c>
      <c r="D225" s="31" t="inlineStr">
        <is>
          <t>healthcare</t>
        </is>
      </c>
      <c r="E225" s="31" t="inlineStr">
        <is>
          <t>largecap</t>
        </is>
      </c>
      <c r="F225" s="31" t="n">
        <v>32229.19</v>
      </c>
      <c r="G225" s="31" t="n">
        <v>814.6</v>
      </c>
      <c r="H225" s="31" t="n">
        <v>1.14</v>
      </c>
      <c r="I225" s="31" t="n">
        <v>1245706</v>
      </c>
      <c r="J225" s="31" t="inlineStr">
        <is>
          <t>543307</t>
        </is>
      </c>
    </row>
    <row r="226">
      <c r="A226" s="31" t="inlineStr">
        <is>
          <t>EQUITASBNK</t>
        </is>
      </c>
      <c r="B226" s="31" t="inlineStr">
        <is>
          <t>Equitas Small Finance Bank Ltd</t>
        </is>
      </c>
      <c r="C226" s="31" t="inlineStr">
        <is>
          <t>bank</t>
        </is>
      </c>
      <c r="D226" s="31" t="inlineStr">
        <is>
          <t>banks - private sector</t>
        </is>
      </c>
      <c r="E226" s="31" t="inlineStr">
        <is>
          <t>midcap</t>
        </is>
      </c>
      <c r="F226" s="31" t="n">
        <v>8512.18</v>
      </c>
      <c r="G226" s="31" t="n">
        <v>75.41</v>
      </c>
      <c r="H226" s="31" t="n">
        <v>1.09</v>
      </c>
      <c r="I226" s="31" t="n">
        <v>2756353</v>
      </c>
      <c r="J226" s="31" t="inlineStr">
        <is>
          <t>543243</t>
        </is>
      </c>
    </row>
    <row r="227">
      <c r="A227" s="31" t="inlineStr">
        <is>
          <t>MANCREDIT</t>
        </is>
      </c>
      <c r="B227" s="31" t="inlineStr">
        <is>
          <t>Mangal Credit &amp; Fincorp Ltd</t>
        </is>
      </c>
      <c r="C227" s="31" t="inlineStr">
        <is>
          <t>financials</t>
        </is>
      </c>
      <c r="D227" s="31" t="inlineStr">
        <is>
          <t>finance &amp; investments</t>
        </is>
      </c>
      <c r="E227" s="31" t="inlineStr">
        <is>
          <t>smallcap</t>
        </is>
      </c>
      <c r="F227" s="31" t="n">
        <v>507.03</v>
      </c>
      <c r="G227" s="31" t="n">
        <v>242.73</v>
      </c>
      <c r="H227" s="31" t="n">
        <v>1.08</v>
      </c>
      <c r="I227" s="31" t="n">
        <v>394542</v>
      </c>
      <c r="J227" s="31" t="inlineStr">
        <is>
          <t>505850</t>
        </is>
      </c>
    </row>
    <row r="228">
      <c r="A228" s="31" t="inlineStr">
        <is>
          <t>KKCL</t>
        </is>
      </c>
      <c r="B228" s="31" t="inlineStr">
        <is>
          <t>Kewal Kiran Clothing Limited</t>
        </is>
      </c>
      <c r="C228" s="31" t="inlineStr">
        <is>
          <t>consumer discretionary</t>
        </is>
      </c>
      <c r="D228" s="31" t="inlineStr">
        <is>
          <t>textiles - products</t>
        </is>
      </c>
      <c r="E228" s="31" t="inlineStr">
        <is>
          <t>smallcap</t>
        </is>
      </c>
      <c r="F228" s="31" t="n">
        <v>3048.29</v>
      </c>
      <c r="G228" s="31" t="n">
        <v>500</v>
      </c>
      <c r="H228" s="31" t="n">
        <v>1.08</v>
      </c>
      <c r="I228" s="31" t="n">
        <v>16356</v>
      </c>
      <c r="J228" s="31" t="inlineStr">
        <is>
          <t>532732</t>
        </is>
      </c>
    </row>
    <row r="229">
      <c r="A229" s="31" t="inlineStr">
        <is>
          <t>CHOICEIN</t>
        </is>
      </c>
      <c r="B229" s="31" t="inlineStr">
        <is>
          <t>Choice International Ltd</t>
        </is>
      </c>
      <c r="C229" s="31" t="inlineStr">
        <is>
          <t>financials</t>
        </is>
      </c>
      <c r="D229" s="31" t="inlineStr">
        <is>
          <t>finance &amp; investments</t>
        </is>
      </c>
      <c r="E229" s="31" t="inlineStr">
        <is>
          <t>midcap</t>
        </is>
      </c>
      <c r="F229" s="31" t="n">
        <v>16601.3</v>
      </c>
      <c r="G229" s="31" t="n">
        <v>753.2</v>
      </c>
      <c r="H229" s="31" t="n">
        <v>1.07</v>
      </c>
      <c r="I229" s="31" t="n">
        <v>904814</v>
      </c>
      <c r="J229" s="31" t="inlineStr">
        <is>
          <t>531358</t>
        </is>
      </c>
    </row>
    <row r="230">
      <c r="A230" s="31" t="inlineStr">
        <is>
          <t>STEELCAS</t>
        </is>
      </c>
      <c r="B230" s="31" t="inlineStr">
        <is>
          <t>Steelcast Ltd</t>
        </is>
      </c>
      <c r="C230" s="31" t="inlineStr">
        <is>
          <t>industrials</t>
        </is>
      </c>
      <c r="D230" s="31" t="inlineStr">
        <is>
          <t>castings &amp; forgings</t>
        </is>
      </c>
      <c r="E230" s="31" t="inlineStr">
        <is>
          <t>smallcap</t>
        </is>
      </c>
      <c r="F230" s="31" t="n">
        <v>3039.54</v>
      </c>
      <c r="G230" s="31" t="n">
        <v>303.55</v>
      </c>
      <c r="H230" s="31" t="n">
        <v>1.07</v>
      </c>
      <c r="I230" s="31" t="n">
        <v>81535</v>
      </c>
      <c r="J230" s="31" t="inlineStr">
        <is>
          <t>513517</t>
        </is>
      </c>
    </row>
    <row r="231">
      <c r="A231" s="31" t="inlineStr">
        <is>
          <t>ZYDUSWELL</t>
        </is>
      </c>
      <c r="B231" s="31" t="inlineStr">
        <is>
          <t>Zydus Wellness Limited</t>
        </is>
      </c>
      <c r="C231" s="31" t="inlineStr">
        <is>
          <t>fmcg</t>
        </is>
      </c>
      <c r="D231" s="31" t="inlineStr">
        <is>
          <t>food - processing - indian</t>
        </is>
      </c>
      <c r="E231" s="31" t="inlineStr">
        <is>
          <t>midcap</t>
        </is>
      </c>
      <c r="F231" s="31" t="n">
        <v>18117.66</v>
      </c>
      <c r="G231" s="31" t="n">
        <v>575.4</v>
      </c>
      <c r="H231" s="31" t="n">
        <v>1.04</v>
      </c>
      <c r="I231" s="31" t="n">
        <v>2240118</v>
      </c>
      <c r="J231" s="31" t="inlineStr">
        <is>
          <t>531335</t>
        </is>
      </c>
    </row>
    <row r="232">
      <c r="A232" s="31" t="inlineStr">
        <is>
          <t>AGARWALEYE</t>
        </is>
      </c>
      <c r="B232" s="31" t="inlineStr">
        <is>
          <t>Dr Agarwals Health Care Ltd</t>
        </is>
      </c>
      <c r="C232" s="31" t="inlineStr">
        <is>
          <t>healthcare</t>
        </is>
      </c>
      <c r="D232" s="31" t="inlineStr">
        <is>
          <t>healthcare</t>
        </is>
      </c>
      <c r="E232" s="31" t="inlineStr">
        <is>
          <t>midcap</t>
        </is>
      </c>
      <c r="F232" s="31" t="n">
        <v>15021.43</v>
      </c>
      <c r="G232" s="31" t="n">
        <v>478.95</v>
      </c>
      <c r="H232" s="31" t="n">
        <v>1.01</v>
      </c>
      <c r="I232" s="31" t="n">
        <v>29478</v>
      </c>
      <c r="J232" s="31" t="inlineStr">
        <is>
          <t>544350</t>
        </is>
      </c>
    </row>
    <row r="233">
      <c r="A233" s="31" t="inlineStr">
        <is>
          <t>INDIGO</t>
        </is>
      </c>
      <c r="B233" s="31" t="inlineStr">
        <is>
          <t>Interglobe Aviation Limited</t>
        </is>
      </c>
      <c r="C233" s="31" t="inlineStr">
        <is>
          <t>transportation</t>
        </is>
      </c>
      <c r="D233" s="31" t="inlineStr">
        <is>
          <t>transport - airlines</t>
        </is>
      </c>
      <c r="E233" s="31" t="inlineStr">
        <is>
          <t>largecap</t>
        </is>
      </c>
      <c r="F233" s="31" t="n">
        <v>205492.54</v>
      </c>
      <c r="G233" s="31" t="n">
        <v>5368.4</v>
      </c>
      <c r="H233" s="31" t="n">
        <v>1</v>
      </c>
      <c r="I233" s="31" t="n">
        <v>1064890</v>
      </c>
      <c r="J233" s="31" t="inlineStr">
        <is>
          <t>539448</t>
        </is>
      </c>
    </row>
    <row r="234">
      <c r="A234" s="31" t="inlineStr">
        <is>
          <t>INDHOTEL</t>
        </is>
      </c>
      <c r="B234" s="31" t="inlineStr">
        <is>
          <t>The Indian Hotels Company Limited</t>
        </is>
      </c>
      <c r="C234" s="31" t="inlineStr">
        <is>
          <t>services</t>
        </is>
      </c>
      <c r="D234" s="31" t="inlineStr">
        <is>
          <t>hotels</t>
        </is>
      </c>
      <c r="E234" s="31" t="inlineStr">
        <is>
          <t>largecap</t>
        </is>
      </c>
      <c r="F234" s="31" t="n">
        <v>100643.78</v>
      </c>
      <c r="G234" s="31" t="n">
        <v>713.95</v>
      </c>
      <c r="H234" s="31" t="n">
        <v>0.98</v>
      </c>
      <c r="I234" s="31" t="n">
        <v>5245750</v>
      </c>
      <c r="J234" s="31" t="inlineStr">
        <is>
          <t>500850</t>
        </is>
      </c>
    </row>
    <row r="235">
      <c r="A235" s="31" t="inlineStr">
        <is>
          <t>SWARAJENG</t>
        </is>
      </c>
      <c r="B235" s="31" t="inlineStr">
        <is>
          <t>Swaraj Engines Limited</t>
        </is>
      </c>
      <c r="C235" s="31" t="inlineStr">
        <is>
          <t>industrials</t>
        </is>
      </c>
      <c r="D235" s="31" t="inlineStr">
        <is>
          <t>engines</t>
        </is>
      </c>
      <c r="E235" s="31" t="inlineStr">
        <is>
          <t>smallcap</t>
        </is>
      </c>
      <c r="F235" s="31" t="n">
        <v>4812.56</v>
      </c>
      <c r="G235" s="31" t="n">
        <v>4000</v>
      </c>
      <c r="H235" s="31" t="n">
        <v>0.98</v>
      </c>
      <c r="I235" s="31" t="n">
        <v>24517</v>
      </c>
      <c r="J235" s="31" t="inlineStr">
        <is>
          <t>500407</t>
        </is>
      </c>
    </row>
    <row r="236">
      <c r="A236" s="31" t="inlineStr">
        <is>
          <t>AVALON</t>
        </is>
      </c>
      <c r="B236" s="31" t="inlineStr">
        <is>
          <t>Avalon Technologies Ltd</t>
        </is>
      </c>
      <c r="C236" s="31" t="inlineStr">
        <is>
          <t>consumer discretionary</t>
        </is>
      </c>
      <c r="D236" s="31" t="inlineStr">
        <is>
          <t>electronics - components</t>
        </is>
      </c>
      <c r="E236" s="31" t="inlineStr">
        <is>
          <t>midcap</t>
        </is>
      </c>
      <c r="F236" s="31" t="n">
        <v>11915.76</v>
      </c>
      <c r="G236" s="31" t="n">
        <v>1801.9</v>
      </c>
      <c r="H236" s="31" t="n">
        <v>0.96</v>
      </c>
      <c r="I236" s="31" t="n">
        <v>361946</v>
      </c>
      <c r="J236" s="31" t="inlineStr">
        <is>
          <t>543896</t>
        </is>
      </c>
    </row>
    <row r="237">
      <c r="A237" s="31" t="inlineStr">
        <is>
          <t>SJS</t>
        </is>
      </c>
      <c r="B237" s="31" t="inlineStr">
        <is>
          <t>S J S Enterprises Ltd</t>
        </is>
      </c>
      <c r="C237" s="31" t="inlineStr">
        <is>
          <t>auto</t>
        </is>
      </c>
      <c r="D237" s="31" t="inlineStr">
        <is>
          <t>plastics products</t>
        </is>
      </c>
      <c r="E237" s="31" t="inlineStr">
        <is>
          <t>midcap</t>
        </is>
      </c>
      <c r="F237" s="31" t="n">
        <v>7062.33</v>
      </c>
      <c r="G237" s="31" t="n">
        <v>2228</v>
      </c>
      <c r="H237" s="31" t="n">
        <v>0.9399999999999999</v>
      </c>
      <c r="I237" s="31" t="n">
        <v>120306</v>
      </c>
      <c r="J237" s="31" t="inlineStr">
        <is>
          <t>543387</t>
        </is>
      </c>
    </row>
    <row r="238">
      <c r="A238" s="31" t="inlineStr">
        <is>
          <t>SHRIRAMFIN</t>
        </is>
      </c>
      <c r="B238" s="31" t="inlineStr">
        <is>
          <t>Shriram Finance Ltd</t>
        </is>
      </c>
      <c r="C238" s="31" t="inlineStr">
        <is>
          <t>financials</t>
        </is>
      </c>
      <c r="D238" s="31" t="inlineStr">
        <is>
          <t>finance &amp; investments</t>
        </is>
      </c>
      <c r="E238" s="31" t="inlineStr">
        <is>
          <t>largecap</t>
        </is>
      </c>
      <c r="F238" s="31" t="n">
        <v>242950.16</v>
      </c>
      <c r="G238" s="31" t="n">
        <v>1042.15</v>
      </c>
      <c r="H238" s="31" t="n">
        <v>0.92</v>
      </c>
      <c r="I238" s="31" t="n">
        <v>5218792</v>
      </c>
      <c r="J238" s="31" t="inlineStr">
        <is>
          <t>511218</t>
        </is>
      </c>
    </row>
    <row r="239">
      <c r="A239" s="31" t="inlineStr">
        <is>
          <t>HFCL</t>
        </is>
      </c>
      <c r="B239" s="31" t="inlineStr">
        <is>
          <t>HFCL Ltd</t>
        </is>
      </c>
      <c r="C239" s="31" t="inlineStr">
        <is>
          <t>telecom</t>
        </is>
      </c>
      <c r="D239" s="31" t="inlineStr">
        <is>
          <t>cables - telephone</t>
        </is>
      </c>
      <c r="E239" s="31" t="inlineStr">
        <is>
          <t>largecap</t>
        </is>
      </c>
      <c r="F239" s="31" t="n">
        <v>32285</v>
      </c>
      <c r="G239" s="31" t="n">
        <v>212.85</v>
      </c>
      <c r="H239" s="31" t="n">
        <v>0.91</v>
      </c>
      <c r="I239" s="31" t="n">
        <v>26603532</v>
      </c>
      <c r="J239" s="31" t="inlineStr">
        <is>
          <t>500183</t>
        </is>
      </c>
    </row>
    <row r="240">
      <c r="A240" s="31" t="inlineStr">
        <is>
          <t>GRINDWELL</t>
        </is>
      </c>
      <c r="B240" s="31" t="inlineStr">
        <is>
          <t>Grindwell Norton Limited</t>
        </is>
      </c>
      <c r="C240" s="31" t="inlineStr">
        <is>
          <t>industrials</t>
        </is>
      </c>
      <c r="D240" s="31" t="inlineStr">
        <is>
          <t>abrasives and grinding wheels</t>
        </is>
      </c>
      <c r="E240" s="31" t="inlineStr">
        <is>
          <t>largecap</t>
        </is>
      </c>
      <c r="F240" s="31" t="n">
        <v>23769.37</v>
      </c>
      <c r="G240" s="31" t="n">
        <v>2166.1</v>
      </c>
      <c r="H240" s="31" t="n">
        <v>0.9</v>
      </c>
      <c r="I240" s="31" t="n">
        <v>51111</v>
      </c>
      <c r="J240" s="31" t="inlineStr">
        <is>
          <t>506076</t>
        </is>
      </c>
    </row>
    <row r="241">
      <c r="A241" s="31" t="inlineStr">
        <is>
          <t>CHOLAFIN</t>
        </is>
      </c>
      <c r="B241" s="31" t="inlineStr">
        <is>
          <t>Cholamandalam Investment And Finance Company Limited</t>
        </is>
      </c>
      <c r="C241" s="31" t="inlineStr">
        <is>
          <t>financials</t>
        </is>
      </c>
      <c r="D241" s="31" t="inlineStr">
        <is>
          <t>finance &amp; investments</t>
        </is>
      </c>
      <c r="E241" s="31" t="inlineStr">
        <is>
          <t>largecap</t>
        </is>
      </c>
      <c r="F241" s="31" t="n">
        <v>151151.39</v>
      </c>
      <c r="G241" s="31" t="n">
        <v>1789.8</v>
      </c>
      <c r="H241" s="31" t="n">
        <v>0.89</v>
      </c>
      <c r="I241" s="31" t="n">
        <v>1364987</v>
      </c>
      <c r="J241" s="31" t="inlineStr">
        <is>
          <t>511243</t>
        </is>
      </c>
    </row>
    <row r="242">
      <c r="A242" s="31" t="inlineStr">
        <is>
          <t>DEEPAKFERT</t>
        </is>
      </c>
      <c r="B242" s="31" t="inlineStr">
        <is>
          <t>Deepak Fertilizers And Petrochemicals Corporation Limited</t>
        </is>
      </c>
      <c r="C242" s="31" t="inlineStr">
        <is>
          <t>chemicals</t>
        </is>
      </c>
      <c r="D242" s="31" t="inlineStr">
        <is>
          <t>chemicals</t>
        </is>
      </c>
      <c r="E242" s="31" t="inlineStr">
        <is>
          <t>midcap</t>
        </is>
      </c>
      <c r="F242" s="31" t="n">
        <v>19497.43</v>
      </c>
      <c r="G242" s="31" t="n">
        <v>1558.1</v>
      </c>
      <c r="H242" s="31" t="n">
        <v>0.88</v>
      </c>
      <c r="I242" s="31" t="n">
        <v>80394</v>
      </c>
      <c r="J242" s="31" t="inlineStr">
        <is>
          <t>500645</t>
        </is>
      </c>
    </row>
    <row r="243">
      <c r="A243" s="31" t="inlineStr">
        <is>
          <t>NGLFINE</t>
        </is>
      </c>
      <c r="B243" s="31" t="inlineStr">
        <is>
          <t>NGL Fine Chem Ltd</t>
        </is>
      </c>
      <c r="C243" s="31" t="inlineStr">
        <is>
          <t>healthcare</t>
        </is>
      </c>
      <c r="D243" s="31" t="inlineStr">
        <is>
          <t>pharmaceuticals - indian - bulk drugs</t>
        </is>
      </c>
      <c r="E243" s="31" t="inlineStr">
        <is>
          <t>smallcap</t>
        </is>
      </c>
      <c r="F243" s="31" t="n">
        <v>1904.93</v>
      </c>
      <c r="G243" s="31" t="n">
        <v>3110</v>
      </c>
      <c r="H243" s="31" t="n">
        <v>0.86</v>
      </c>
      <c r="I243" s="31" t="n">
        <v>5847</v>
      </c>
      <c r="J243" s="31" t="inlineStr">
        <is>
          <t>524774</t>
        </is>
      </c>
    </row>
    <row r="244">
      <c r="A244" s="31" t="inlineStr">
        <is>
          <t>OBEROIRLTY</t>
        </is>
      </c>
      <c r="B244" s="31" t="inlineStr">
        <is>
          <t>Oberoi Realty Limited</t>
        </is>
      </c>
      <c r="C244" s="31" t="inlineStr">
        <is>
          <t>realty</t>
        </is>
      </c>
      <c r="D244" s="31" t="inlineStr">
        <is>
          <t>construction</t>
        </is>
      </c>
      <c r="E244" s="31" t="inlineStr">
        <is>
          <t>largecap</t>
        </is>
      </c>
      <c r="F244" s="31" t="n">
        <v>63779.47</v>
      </c>
      <c r="G244" s="31" t="n">
        <v>1769.2</v>
      </c>
      <c r="H244" s="31" t="n">
        <v>0.86</v>
      </c>
      <c r="I244" s="31" t="n">
        <v>964898</v>
      </c>
      <c r="J244" s="31" t="inlineStr">
        <is>
          <t>533273</t>
        </is>
      </c>
    </row>
    <row r="245">
      <c r="A245" s="31" t="inlineStr">
        <is>
          <t>RELTD</t>
        </is>
      </c>
      <c r="B245" s="31" t="inlineStr">
        <is>
          <t>Ravindra Energy Ltd</t>
        </is>
      </c>
      <c r="C245" s="31" t="inlineStr">
        <is>
          <t>industrials</t>
        </is>
      </c>
      <c r="D245" s="31" t="inlineStr">
        <is>
          <t>electric equipment</t>
        </is>
      </c>
      <c r="E245" s="31" t="inlineStr">
        <is>
          <t>smallcap</t>
        </is>
      </c>
      <c r="F245" s="31" t="n">
        <v>2911.22</v>
      </c>
      <c r="G245" s="31" t="n">
        <v>164.38</v>
      </c>
      <c r="H245" s="31" t="n">
        <v>0.86</v>
      </c>
      <c r="I245" s="31" t="n">
        <v>660425</v>
      </c>
      <c r="J245" s="31" t="inlineStr">
        <is>
          <t>504341</t>
        </is>
      </c>
    </row>
    <row r="246">
      <c r="A246" s="31" t="inlineStr">
        <is>
          <t>GRWRHITECH</t>
        </is>
      </c>
      <c r="B246" s="31" t="inlineStr">
        <is>
          <t>Garware Hi Tech Films Ltd</t>
        </is>
      </c>
      <c r="C246" s="31" t="inlineStr">
        <is>
          <t>industrials</t>
        </is>
      </c>
      <c r="D246" s="31" t="inlineStr">
        <is>
          <t>packaging</t>
        </is>
      </c>
      <c r="E246" s="31" t="inlineStr">
        <is>
          <t>midcap</t>
        </is>
      </c>
      <c r="F246" s="31" t="n">
        <v>15383.33</v>
      </c>
      <c r="G246" s="31" t="n">
        <v>6677.5</v>
      </c>
      <c r="H246" s="31" t="n">
        <v>0.85</v>
      </c>
      <c r="I246" s="31" t="n">
        <v>78114</v>
      </c>
      <c r="J246" s="31" t="inlineStr">
        <is>
          <t>500655</t>
        </is>
      </c>
    </row>
    <row r="247">
      <c r="A247" s="31" t="inlineStr">
        <is>
          <t>ADOR</t>
        </is>
      </c>
      <c r="B247" s="31" t="inlineStr">
        <is>
          <t>Ador Welding Ltd</t>
        </is>
      </c>
      <c r="C247" s="31" t="inlineStr">
        <is>
          <t>industrials</t>
        </is>
      </c>
      <c r="D247" s="31" t="inlineStr">
        <is>
          <t>electrodes - welding equipment</t>
        </is>
      </c>
      <c r="E247" s="31" t="inlineStr">
        <is>
          <t>smallcap</t>
        </is>
      </c>
      <c r="F247" s="31" t="n">
        <v>2177.44</v>
      </c>
      <c r="G247" s="31" t="n">
        <v>1261.5</v>
      </c>
      <c r="H247" s="31" t="n">
        <v>0.82</v>
      </c>
      <c r="I247" s="31" t="n">
        <v>30314</v>
      </c>
      <c r="J247" s="31" t="inlineStr">
        <is>
          <t>517041</t>
        </is>
      </c>
    </row>
    <row r="248">
      <c r="A248" s="31" t="inlineStr">
        <is>
          <t>CUPID</t>
        </is>
      </c>
      <c r="B248" s="31" t="inlineStr">
        <is>
          <t>Cupid Limited</t>
        </is>
      </c>
      <c r="C248" s="31" t="inlineStr">
        <is>
          <t>fmcg</t>
        </is>
      </c>
      <c r="D248" s="31" t="inlineStr">
        <is>
          <t>personal care - indian</t>
        </is>
      </c>
      <c r="E248" s="31" t="inlineStr">
        <is>
          <t>largecap</t>
        </is>
      </c>
      <c r="F248" s="31" t="n">
        <v>25333.41</v>
      </c>
      <c r="G248" s="31" t="n">
        <v>189.93</v>
      </c>
      <c r="H248" s="31" t="n">
        <v>0.8100000000000001</v>
      </c>
      <c r="I248" s="31" t="n">
        <v>21761025</v>
      </c>
      <c r="J248" s="31" t="inlineStr">
        <is>
          <t>530843</t>
        </is>
      </c>
    </row>
    <row r="249">
      <c r="A249" s="31" t="inlineStr">
        <is>
          <t>KOVAI</t>
        </is>
      </c>
      <c r="B249" s="31" t="inlineStr">
        <is>
          <t>Kovai Medical Center &amp; Hospital Ltd</t>
        </is>
      </c>
      <c r="C249" s="31" t="inlineStr">
        <is>
          <t>healthcare</t>
        </is>
      </c>
      <c r="D249" s="31" t="inlineStr">
        <is>
          <t>healthcare</t>
        </is>
      </c>
      <c r="E249" s="31" t="inlineStr">
        <is>
          <t>midcap</t>
        </is>
      </c>
      <c r="F249" s="31" t="n">
        <v>6512.29</v>
      </c>
      <c r="G249" s="31" t="n">
        <v>6000</v>
      </c>
      <c r="H249" s="31" t="n">
        <v>0.8100000000000001</v>
      </c>
      <c r="I249" s="31" t="n">
        <v>9786</v>
      </c>
      <c r="J249" s="31" t="inlineStr">
        <is>
          <t>523323</t>
        </is>
      </c>
    </row>
    <row r="250">
      <c r="A250" s="31" t="inlineStr">
        <is>
          <t>WHEELS</t>
        </is>
      </c>
      <c r="B250" s="31" t="inlineStr">
        <is>
          <t>Wheels India Limited</t>
        </is>
      </c>
      <c r="C250" s="31" t="inlineStr">
        <is>
          <t>auto</t>
        </is>
      </c>
      <c r="D250" s="31" t="inlineStr">
        <is>
          <t>auto ancillaries</t>
        </is>
      </c>
      <c r="E250" s="31" t="inlineStr">
        <is>
          <t>smallcap</t>
        </is>
      </c>
      <c r="F250" s="31" t="n">
        <v>4329.53</v>
      </c>
      <c r="G250" s="31" t="n">
        <v>1786</v>
      </c>
      <c r="H250" s="31" t="n">
        <v>0.79</v>
      </c>
      <c r="I250" s="31" t="n">
        <v>232975</v>
      </c>
      <c r="J250" s="31" t="inlineStr">
        <is>
          <t>590073</t>
        </is>
      </c>
    </row>
    <row r="251">
      <c r="A251" s="31" t="inlineStr">
        <is>
          <t>CIPLA</t>
        </is>
      </c>
      <c r="B251" s="31" t="inlineStr">
        <is>
          <t>Cipla Limited</t>
        </is>
      </c>
      <c r="C251" s="31" t="inlineStr">
        <is>
          <t>healthcare</t>
        </is>
      </c>
      <c r="D251" s="31" t="inlineStr">
        <is>
          <t>pharmaceuticals - indian - bulk drugs &amp; formln</t>
        </is>
      </c>
      <c r="E251" s="31" t="inlineStr">
        <is>
          <t>largecap</t>
        </is>
      </c>
      <c r="F251" s="31" t="n">
        <v>117459.67</v>
      </c>
      <c r="G251" s="31" t="n">
        <v>1465.4</v>
      </c>
      <c r="H251" s="31" t="n">
        <v>0.78</v>
      </c>
      <c r="I251" s="31" t="n">
        <v>2818077</v>
      </c>
      <c r="J251" s="31" t="inlineStr">
        <is>
          <t>500087</t>
        </is>
      </c>
    </row>
    <row r="252">
      <c r="A252" s="31" t="inlineStr">
        <is>
          <t>SENORES</t>
        </is>
      </c>
      <c r="B252" s="31" t="inlineStr">
        <is>
          <t>Senores Pharmaceuticals Ltd</t>
        </is>
      </c>
      <c r="C252" s="31" t="inlineStr">
        <is>
          <t>healthcare</t>
        </is>
      </c>
      <c r="D252" s="31" t="inlineStr">
        <is>
          <t>pharmaceuticals - indian - formulations</t>
        </is>
      </c>
      <c r="E252" s="31" t="inlineStr">
        <is>
          <t>midcap</t>
        </is>
      </c>
      <c r="F252" s="31" t="n">
        <v>6077.23</v>
      </c>
      <c r="G252" s="31" t="n">
        <v>1329.9</v>
      </c>
      <c r="H252" s="31" t="n">
        <v>0.78</v>
      </c>
      <c r="I252" s="31" t="n">
        <v>116513</v>
      </c>
      <c r="J252" s="31" t="inlineStr">
        <is>
          <t>544319</t>
        </is>
      </c>
    </row>
    <row r="253">
      <c r="A253" s="31" t="inlineStr">
        <is>
          <t>RUBYMILLS</t>
        </is>
      </c>
      <c r="B253" s="31" t="inlineStr">
        <is>
          <t>The Ruby Mills Limited</t>
        </is>
      </c>
      <c r="C253" s="31" t="inlineStr">
        <is>
          <t>textiles</t>
        </is>
      </c>
      <c r="D253" s="31" t="inlineStr">
        <is>
          <t>textiles - composite</t>
        </is>
      </c>
      <c r="E253" s="31" t="inlineStr">
        <is>
          <t>smallcap</t>
        </is>
      </c>
      <c r="F253" s="31" t="n">
        <v>1088.3</v>
      </c>
      <c r="G253" s="31" t="n">
        <v>328</v>
      </c>
      <c r="H253" s="31" t="n">
        <v>0.78</v>
      </c>
      <c r="I253" s="31" t="n">
        <v>3697</v>
      </c>
      <c r="J253" s="31" t="inlineStr">
        <is>
          <t>503169</t>
        </is>
      </c>
    </row>
    <row r="254">
      <c r="A254" s="31" t="inlineStr">
        <is>
          <t>FDC</t>
        </is>
      </c>
      <c r="B254" s="31" t="inlineStr">
        <is>
          <t>Fdc Limited</t>
        </is>
      </c>
      <c r="C254" s="31" t="inlineStr">
        <is>
          <t>healthcare</t>
        </is>
      </c>
      <c r="D254" s="31" t="inlineStr">
        <is>
          <t>pharmaceuticals - indian - bulk drugs &amp; formln</t>
        </is>
      </c>
      <c r="E254" s="31" t="inlineStr">
        <is>
          <t>midcap</t>
        </is>
      </c>
      <c r="F254" s="31" t="n">
        <v>6849.42</v>
      </c>
      <c r="G254" s="31" t="n">
        <v>423.85</v>
      </c>
      <c r="H254" s="31" t="n">
        <v>0.75</v>
      </c>
      <c r="I254" s="31" t="n">
        <v>488814</v>
      </c>
      <c r="J254" s="31" t="inlineStr">
        <is>
          <t>531599</t>
        </is>
      </c>
    </row>
    <row r="255">
      <c r="A255" s="31" t="inlineStr">
        <is>
          <t>PAYTM</t>
        </is>
      </c>
      <c r="B255" s="31" t="inlineStr">
        <is>
          <t>One 97 Communications Ltd</t>
        </is>
      </c>
      <c r="C255" s="31" t="inlineStr">
        <is>
          <t>i.t</t>
        </is>
      </c>
      <c r="D255" s="31" t="inlineStr">
        <is>
          <t>miscellaneous</t>
        </is>
      </c>
      <c r="E255" s="31" t="inlineStr">
        <is>
          <t>largecap</t>
        </is>
      </c>
      <c r="F255" s="31" t="n">
        <v>72523.58</v>
      </c>
      <c r="G255" s="31" t="n">
        <v>1141.5</v>
      </c>
      <c r="H255" s="31" t="n">
        <v>0.74</v>
      </c>
      <c r="I255" s="31" t="n">
        <v>2478029</v>
      </c>
      <c r="J255" s="31" t="inlineStr">
        <is>
          <t>543396</t>
        </is>
      </c>
    </row>
    <row r="256">
      <c r="A256" s="31" t="inlineStr">
        <is>
          <t>WELCORP</t>
        </is>
      </c>
      <c r="B256" s="31" t="inlineStr">
        <is>
          <t>Welspun Corp Limited</t>
        </is>
      </c>
      <c r="C256" s="31" t="inlineStr">
        <is>
          <t>industrials</t>
        </is>
      </c>
      <c r="D256" s="31" t="inlineStr">
        <is>
          <t>steel - large</t>
        </is>
      </c>
      <c r="E256" s="31" t="inlineStr">
        <is>
          <t>largecap</t>
        </is>
      </c>
      <c r="F256" s="31" t="n">
        <v>39853.49</v>
      </c>
      <c r="G256" s="31" t="n">
        <v>1521.9</v>
      </c>
      <c r="H256" s="31" t="n">
        <v>0.73</v>
      </c>
      <c r="I256" s="31" t="n">
        <v>521584</v>
      </c>
      <c r="J256" s="31" t="inlineStr">
        <is>
          <t>532144</t>
        </is>
      </c>
    </row>
    <row r="257">
      <c r="A257" s="31" t="inlineStr">
        <is>
          <t>STARHEALTH</t>
        </is>
      </c>
      <c r="B257" s="31" t="inlineStr">
        <is>
          <t>Star Health &amp; Allied Insurance Company Ltd</t>
        </is>
      </c>
      <c r="C257" s="31" t="inlineStr">
        <is>
          <t>financials</t>
        </is>
      </c>
      <c r="D257" s="31" t="inlineStr">
        <is>
          <t>finance &amp; investments</t>
        </is>
      </c>
      <c r="E257" s="31" t="inlineStr">
        <is>
          <t>largecap</t>
        </is>
      </c>
      <c r="F257" s="31" t="n">
        <v>34406.89</v>
      </c>
      <c r="G257" s="31" t="n">
        <v>589</v>
      </c>
      <c r="H257" s="31" t="n">
        <v>0.73</v>
      </c>
      <c r="I257" s="31" t="n">
        <v>455954</v>
      </c>
      <c r="J257" s="31" t="inlineStr">
        <is>
          <t>543412</t>
        </is>
      </c>
    </row>
    <row r="258">
      <c r="A258" s="31" t="inlineStr">
        <is>
          <t>SFL</t>
        </is>
      </c>
      <c r="B258" s="31" t="inlineStr">
        <is>
          <t>Sheela Foam Limited</t>
        </is>
      </c>
      <c r="C258" s="31" t="inlineStr">
        <is>
          <t>consumer discretionary</t>
        </is>
      </c>
      <c r="D258" s="31" t="inlineStr">
        <is>
          <t>miscellaneous</t>
        </is>
      </c>
      <c r="E258" s="31" t="inlineStr">
        <is>
          <t>midcap</t>
        </is>
      </c>
      <c r="F258" s="31" t="n">
        <v>8073.41</v>
      </c>
      <c r="G258" s="31" t="n">
        <v>748</v>
      </c>
      <c r="H258" s="31" t="n">
        <v>0.72</v>
      </c>
      <c r="I258" s="31" t="n">
        <v>124903</v>
      </c>
      <c r="J258" s="31" t="inlineStr">
        <is>
          <t>540203</t>
        </is>
      </c>
    </row>
    <row r="259">
      <c r="A259" s="31" t="inlineStr">
        <is>
          <t>GAIL</t>
        </is>
      </c>
      <c r="B259" s="31" t="inlineStr">
        <is>
          <t>Gail (india) Limited</t>
        </is>
      </c>
      <c r="C259" s="31" t="inlineStr">
        <is>
          <t>energy</t>
        </is>
      </c>
      <c r="D259" s="31" t="inlineStr">
        <is>
          <t>miscellaneous</t>
        </is>
      </c>
      <c r="E259" s="31" t="inlineStr">
        <is>
          <t>largecap</t>
        </is>
      </c>
      <c r="F259" s="31" t="n">
        <v>113236.37</v>
      </c>
      <c r="G259" s="31" t="n">
        <v>173.46</v>
      </c>
      <c r="H259" s="31" t="n">
        <v>0.72</v>
      </c>
      <c r="I259" s="31" t="n">
        <v>10139334</v>
      </c>
      <c r="J259" s="31" t="inlineStr">
        <is>
          <t>532155</t>
        </is>
      </c>
    </row>
    <row r="260">
      <c r="A260" s="31" t="inlineStr">
        <is>
          <t>AURUM</t>
        </is>
      </c>
      <c r="B260" s="31" t="inlineStr">
        <is>
          <t>Aurum Proptech Ltd</t>
        </is>
      </c>
      <c r="C260" s="31" t="inlineStr">
        <is>
          <t>i.t</t>
        </is>
      </c>
      <c r="D260" s="31" t="inlineStr">
        <is>
          <t>computers - software - medium / small</t>
        </is>
      </c>
      <c r="E260" s="31" t="inlineStr">
        <is>
          <t>smallcap</t>
        </is>
      </c>
      <c r="F260" s="31" t="n">
        <v>1717.61</v>
      </c>
      <c r="G260" s="31" t="n">
        <v>225.67</v>
      </c>
      <c r="H260" s="31" t="n">
        <v>0.72</v>
      </c>
      <c r="I260" s="31" t="n">
        <v>430585</v>
      </c>
      <c r="J260" s="31" t="inlineStr">
        <is>
          <t>539289</t>
        </is>
      </c>
    </row>
    <row r="261">
      <c r="A261" s="31" t="inlineStr">
        <is>
          <t>MEDANTA</t>
        </is>
      </c>
      <c r="B261" s="31" t="inlineStr">
        <is>
          <t>Global Health Ltd</t>
        </is>
      </c>
      <c r="C261" s="31" t="inlineStr">
        <is>
          <t>healthcare</t>
        </is>
      </c>
      <c r="D261" s="31" t="inlineStr">
        <is>
          <t>healthcare</t>
        </is>
      </c>
      <c r="E261" s="31" t="inlineStr">
        <is>
          <t>largecap</t>
        </is>
      </c>
      <c r="F261" s="31" t="n">
        <v>35069.08</v>
      </c>
      <c r="G261" s="31" t="n">
        <v>1313.8</v>
      </c>
      <c r="H261" s="31" t="n">
        <v>0.7</v>
      </c>
      <c r="I261" s="31" t="n">
        <v>158743</v>
      </c>
      <c r="J261" s="31" t="inlineStr">
        <is>
          <t>543654</t>
        </is>
      </c>
    </row>
    <row r="262">
      <c r="A262" s="31" t="inlineStr">
        <is>
          <t>KICL</t>
        </is>
      </c>
      <c r="B262" s="31" t="inlineStr">
        <is>
          <t>Kalyani Investment Company Limited</t>
        </is>
      </c>
      <c r="C262" s="31" t="inlineStr">
        <is>
          <t>financials</t>
        </is>
      </c>
      <c r="D262" s="31" t="inlineStr">
        <is>
          <t>finance &amp; investments</t>
        </is>
      </c>
      <c r="E262" s="31" t="inlineStr">
        <is>
          <t>smallcap</t>
        </is>
      </c>
      <c r="F262" s="31" t="n">
        <v>2299.64</v>
      </c>
      <c r="G262" s="31" t="n">
        <v>5305</v>
      </c>
      <c r="H262" s="31" t="n">
        <v>0.7</v>
      </c>
      <c r="I262" s="31" t="n">
        <v>1684</v>
      </c>
      <c r="J262" s="31" t="inlineStr">
        <is>
          <t>533302</t>
        </is>
      </c>
    </row>
    <row r="263">
      <c r="A263" s="31" t="inlineStr">
        <is>
          <t>SAKAR</t>
        </is>
      </c>
      <c r="B263" s="31" t="inlineStr">
        <is>
          <t>Sakar Healthcare Ltd</t>
        </is>
      </c>
      <c r="C263" s="31" t="inlineStr">
        <is>
          <t>healthcare</t>
        </is>
      </c>
      <c r="D263" s="31" t="inlineStr">
        <is>
          <t>pharmaceuticals - indian - bulk drugs &amp; formln</t>
        </is>
      </c>
      <c r="E263" s="31" t="inlineStr">
        <is>
          <t>smallcap</t>
        </is>
      </c>
      <c r="F263" s="31" t="n">
        <v>1852.19</v>
      </c>
      <c r="G263" s="31" t="n">
        <v>838.1</v>
      </c>
      <c r="H263" s="31" t="n">
        <v>0.68</v>
      </c>
      <c r="I263" s="31" t="n">
        <v>86946</v>
      </c>
      <c r="J263" s="31" t="inlineStr">
        <is>
          <t>538377</t>
        </is>
      </c>
    </row>
    <row r="264">
      <c r="A264" s="31" t="inlineStr">
        <is>
          <t>RPGLIFE</t>
        </is>
      </c>
      <c r="B264" s="31" t="inlineStr">
        <is>
          <t>Rpg Life Sciences Limited</t>
        </is>
      </c>
      <c r="C264" s="31" t="inlineStr">
        <is>
          <t>healthcare</t>
        </is>
      </c>
      <c r="D264" s="31" t="inlineStr">
        <is>
          <t>pharmaceuticals - indian - bulk drugs &amp; formln</t>
        </is>
      </c>
      <c r="E264" s="31" t="inlineStr">
        <is>
          <t>smallcap</t>
        </is>
      </c>
      <c r="F264" s="31" t="n">
        <v>3768.25</v>
      </c>
      <c r="G264" s="31" t="n">
        <v>2294</v>
      </c>
      <c r="H264" s="31" t="n">
        <v>0.68</v>
      </c>
      <c r="I264" s="31" t="n">
        <v>5147</v>
      </c>
      <c r="J264" s="31" t="inlineStr">
        <is>
          <t>532983</t>
        </is>
      </c>
    </row>
    <row r="265">
      <c r="A265" s="31" t="inlineStr">
        <is>
          <t>THERMAX</t>
        </is>
      </c>
      <c r="B265" s="31" t="inlineStr">
        <is>
          <t>Thermax Limited</t>
        </is>
      </c>
      <c r="C265" s="31" t="inlineStr">
        <is>
          <t>industrials</t>
        </is>
      </c>
      <c r="D265" s="31" t="inlineStr">
        <is>
          <t>electric equipment</t>
        </is>
      </c>
      <c r="E265" s="31" t="inlineStr">
        <is>
          <t>largecap</t>
        </is>
      </c>
      <c r="F265" s="31" t="n">
        <v>61068.8</v>
      </c>
      <c r="G265" s="31" t="n">
        <v>5159.5</v>
      </c>
      <c r="H265" s="31" t="n">
        <v>0.67</v>
      </c>
      <c r="I265" s="31" t="n">
        <v>301008</v>
      </c>
      <c r="J265" s="31" t="inlineStr">
        <is>
          <t>500411</t>
        </is>
      </c>
    </row>
    <row r="266">
      <c r="A266" s="31" t="inlineStr">
        <is>
          <t>CRAFTSMAN</t>
        </is>
      </c>
      <c r="B266" s="31" t="inlineStr">
        <is>
          <t>Craftsman Automation Ltd</t>
        </is>
      </c>
      <c r="C266" s="31" t="inlineStr">
        <is>
          <t>auto</t>
        </is>
      </c>
      <c r="D266" s="31" t="inlineStr">
        <is>
          <t>auto ancillaries</t>
        </is>
      </c>
      <c r="E266" s="31" t="inlineStr">
        <is>
          <t>largecap</t>
        </is>
      </c>
      <c r="F266" s="31" t="n">
        <v>24553.78</v>
      </c>
      <c r="G266" s="31" t="n">
        <v>9450</v>
      </c>
      <c r="H266" s="31" t="n">
        <v>0.66</v>
      </c>
      <c r="I266" s="31" t="n">
        <v>85170</v>
      </c>
      <c r="J266" s="31" t="inlineStr">
        <is>
          <t>543276</t>
        </is>
      </c>
    </row>
    <row r="267">
      <c r="A267" s="31" t="inlineStr">
        <is>
          <t>UNITDSPR</t>
        </is>
      </c>
      <c r="B267" s="31" t="inlineStr">
        <is>
          <t>United Spirits Ltd</t>
        </is>
      </c>
      <c r="C267" s="31" t="inlineStr">
        <is>
          <t>fmcg</t>
        </is>
      </c>
      <c r="D267" s="31" t="inlineStr">
        <is>
          <t>breweries &amp; distilleries</t>
        </is>
      </c>
      <c r="E267" s="31" t="inlineStr">
        <is>
          <t>largecap</t>
        </is>
      </c>
      <c r="F267" s="31" t="n">
        <v>97574.12</v>
      </c>
      <c r="G267" s="31" t="n">
        <v>1350.4</v>
      </c>
      <c r="H267" s="31" t="n">
        <v>0.66</v>
      </c>
      <c r="I267" s="31" t="n">
        <v>944943</v>
      </c>
      <c r="J267" s="31" t="inlineStr">
        <is>
          <t>532432</t>
        </is>
      </c>
    </row>
    <row r="268">
      <c r="A268" s="31" t="inlineStr">
        <is>
          <t>CARYSIL</t>
        </is>
      </c>
      <c r="B268" s="31" t="inlineStr">
        <is>
          <t>Carysil Ltd</t>
        </is>
      </c>
      <c r="C268" s="31" t="inlineStr">
        <is>
          <t>consumer discretionary</t>
        </is>
      </c>
      <c r="D268" s="31" t="inlineStr">
        <is>
          <t>domestic appliances</t>
        </is>
      </c>
      <c r="E268" s="31" t="inlineStr">
        <is>
          <t>smallcap</t>
        </is>
      </c>
      <c r="F268" s="31" t="n">
        <v>3379.27</v>
      </c>
      <c r="G268" s="31" t="n">
        <v>1196</v>
      </c>
      <c r="H268" s="31" t="n">
        <v>0.66</v>
      </c>
      <c r="I268" s="31" t="n">
        <v>65535</v>
      </c>
      <c r="J268" s="31" t="inlineStr">
        <is>
          <t>524091</t>
        </is>
      </c>
    </row>
    <row r="269">
      <c r="A269" s="31" t="inlineStr">
        <is>
          <t>HAPPYFORGE</t>
        </is>
      </c>
      <c r="B269" s="31" t="inlineStr">
        <is>
          <t>Happy Forgings Ltd</t>
        </is>
      </c>
      <c r="C269" s="31" t="inlineStr">
        <is>
          <t>industrials</t>
        </is>
      </c>
      <c r="D269" s="31" t="inlineStr">
        <is>
          <t>castings &amp; forgings</t>
        </is>
      </c>
      <c r="E269" s="31" t="inlineStr">
        <is>
          <t>midcap</t>
        </is>
      </c>
      <c r="F269" s="31" t="n">
        <v>14416.75</v>
      </c>
      <c r="G269" s="31" t="n">
        <v>1537.8</v>
      </c>
      <c r="H269" s="31" t="n">
        <v>0.64</v>
      </c>
      <c r="I269" s="31" t="n">
        <v>59818</v>
      </c>
      <c r="J269" s="31" t="inlineStr">
        <is>
          <t>544057</t>
        </is>
      </c>
    </row>
    <row r="270">
      <c r="A270" s="31" t="inlineStr">
        <is>
          <t>AUBANK</t>
        </is>
      </c>
      <c r="B270" s="31" t="inlineStr">
        <is>
          <t>AU Small Finance Bank Ltd</t>
        </is>
      </c>
      <c r="C270" s="31" t="inlineStr">
        <is>
          <t>bank</t>
        </is>
      </c>
      <c r="D270" s="31" t="inlineStr">
        <is>
          <t>banks - private sector</t>
        </is>
      </c>
      <c r="E270" s="31" t="inlineStr">
        <is>
          <t>largecap</t>
        </is>
      </c>
      <c r="F270" s="31" t="n">
        <v>77105.19</v>
      </c>
      <c r="G270" s="31" t="n">
        <v>1037.05</v>
      </c>
      <c r="H270" s="31" t="n">
        <v>0.64</v>
      </c>
      <c r="I270" s="31" t="n">
        <v>1997809</v>
      </c>
      <c r="J270" s="31" t="inlineStr">
        <is>
          <t>540611</t>
        </is>
      </c>
    </row>
    <row r="271">
      <c r="A271" s="31" t="inlineStr">
        <is>
          <t>MAHLOG</t>
        </is>
      </c>
      <c r="B271" s="31" t="inlineStr">
        <is>
          <t>Mahindra Logistics Ltd</t>
        </is>
      </c>
      <c r="C271" s="31" t="inlineStr">
        <is>
          <t>transportation</t>
        </is>
      </c>
      <c r="D271" s="31" t="inlineStr">
        <is>
          <t>miscellaneous</t>
        </is>
      </c>
      <c r="E271" s="31" t="inlineStr">
        <is>
          <t>smallcap</t>
        </is>
      </c>
      <c r="F271" s="31" t="n">
        <v>3695.05</v>
      </c>
      <c r="G271" s="31" t="n">
        <v>374.75</v>
      </c>
      <c r="H271" s="31" t="n">
        <v>0.63</v>
      </c>
      <c r="I271" s="31" t="n">
        <v>112301</v>
      </c>
      <c r="J271" s="31" t="inlineStr">
        <is>
          <t>540768</t>
        </is>
      </c>
    </row>
    <row r="272">
      <c r="A272" s="31" t="inlineStr">
        <is>
          <t>RAINBOW</t>
        </is>
      </c>
      <c r="B272" s="31" t="inlineStr">
        <is>
          <t>Rainbow Childrens Medicare Ltd</t>
        </is>
      </c>
      <c r="C272" s="31" t="inlineStr">
        <is>
          <t>healthcare</t>
        </is>
      </c>
      <c r="D272" s="31" t="inlineStr">
        <is>
          <t>healthcare</t>
        </is>
      </c>
      <c r="E272" s="31" t="inlineStr">
        <is>
          <t>midcap</t>
        </is>
      </c>
      <c r="F272" s="31" t="n">
        <v>14274.14</v>
      </c>
      <c r="G272" s="31" t="n">
        <v>1414.2</v>
      </c>
      <c r="H272" s="31" t="n">
        <v>0.62</v>
      </c>
      <c r="I272" s="31" t="n">
        <v>139393</v>
      </c>
      <c r="J272" s="31" t="inlineStr">
        <is>
          <t>543524</t>
        </is>
      </c>
    </row>
    <row r="273">
      <c r="A273" s="31" t="inlineStr">
        <is>
          <t>PGIL</t>
        </is>
      </c>
      <c r="B273" s="31" t="inlineStr">
        <is>
          <t>Pearl Global Industries Limited</t>
        </is>
      </c>
      <c r="C273" s="31" t="inlineStr">
        <is>
          <t>consumer discretionary</t>
        </is>
      </c>
      <c r="D273" s="31" t="inlineStr">
        <is>
          <t>textiles - products</t>
        </is>
      </c>
      <c r="E273" s="31" t="inlineStr">
        <is>
          <t>midcap</t>
        </is>
      </c>
      <c r="F273" s="31" t="n">
        <v>9246.280000000001</v>
      </c>
      <c r="G273" s="31" t="n">
        <v>2015.6</v>
      </c>
      <c r="H273" s="31" t="n">
        <v>0.59</v>
      </c>
      <c r="I273" s="31" t="n">
        <v>104629</v>
      </c>
      <c r="J273" s="31" t="inlineStr">
        <is>
          <t>532808</t>
        </is>
      </c>
    </row>
    <row r="274">
      <c r="A274" s="31" t="inlineStr">
        <is>
          <t>LICHSGFIN</t>
        </is>
      </c>
      <c r="B274" s="31" t="inlineStr">
        <is>
          <t>Lic Housing Finance Limited</t>
        </is>
      </c>
      <c r="C274" s="31" t="inlineStr">
        <is>
          <t>financials</t>
        </is>
      </c>
      <c r="D274" s="31" t="inlineStr">
        <is>
          <t>finance - housing</t>
        </is>
      </c>
      <c r="E274" s="31" t="inlineStr">
        <is>
          <t>largecap</t>
        </is>
      </c>
      <c r="F274" s="31" t="n">
        <v>30844.78</v>
      </c>
      <c r="G274" s="31" t="n">
        <v>564</v>
      </c>
      <c r="H274" s="31" t="n">
        <v>0.58</v>
      </c>
      <c r="I274" s="31" t="n">
        <v>2564111</v>
      </c>
      <c r="J274" s="31" t="inlineStr">
        <is>
          <t>500253</t>
        </is>
      </c>
    </row>
    <row r="275">
      <c r="A275" s="31" t="inlineStr">
        <is>
          <t>HSCL</t>
        </is>
      </c>
      <c r="B275" s="31" t="inlineStr">
        <is>
          <t>Himadri Speciality Chemical Limited</t>
        </is>
      </c>
      <c r="C275" s="31" t="inlineStr">
        <is>
          <t>chemicals</t>
        </is>
      </c>
      <c r="D275" s="31" t="inlineStr">
        <is>
          <t>chemicals</t>
        </is>
      </c>
      <c r="E275" s="31" t="inlineStr">
        <is>
          <t>largecap</t>
        </is>
      </c>
      <c r="F275" s="31" t="n">
        <v>34081.79</v>
      </c>
      <c r="G275" s="31" t="n">
        <v>679.2</v>
      </c>
      <c r="H275" s="31" t="n">
        <v>0.55</v>
      </c>
      <c r="I275" s="31" t="n">
        <v>13230116</v>
      </c>
      <c r="J275" s="31" t="inlineStr">
        <is>
          <t>500184</t>
        </is>
      </c>
    </row>
    <row r="276">
      <c r="A276" s="31" t="inlineStr">
        <is>
          <t>WABAG</t>
        </is>
      </c>
      <c r="B276" s="31" t="inlineStr">
        <is>
          <t>Va Tech Wabag Limited</t>
        </is>
      </c>
      <c r="C276" s="31" t="inlineStr">
        <is>
          <t>realty</t>
        </is>
      </c>
      <c r="D276" s="31" t="inlineStr">
        <is>
          <t>engineering - turnkey services</t>
        </is>
      </c>
      <c r="E276" s="31" t="inlineStr">
        <is>
          <t>midcap</t>
        </is>
      </c>
      <c r="F276" s="31" t="n">
        <v>12450.08</v>
      </c>
      <c r="G276" s="31" t="n">
        <v>2009.1</v>
      </c>
      <c r="H276" s="31" t="n">
        <v>0.55</v>
      </c>
      <c r="I276" s="31" t="n">
        <v>657196</v>
      </c>
      <c r="J276" s="31" t="inlineStr">
        <is>
          <t>533269</t>
        </is>
      </c>
    </row>
    <row r="277">
      <c r="A277" s="31" t="inlineStr">
        <is>
          <t>JINDALSAW</t>
        </is>
      </c>
      <c r="B277" s="31" t="inlineStr">
        <is>
          <t>Jindal Saw Limited</t>
        </is>
      </c>
      <c r="C277" s="31" t="inlineStr">
        <is>
          <t>industrials</t>
        </is>
      </c>
      <c r="D277" s="31" t="inlineStr">
        <is>
          <t>steel - large</t>
        </is>
      </c>
      <c r="E277" s="31" t="inlineStr">
        <is>
          <t>midcap</t>
        </is>
      </c>
      <c r="F277" s="31" t="n">
        <v>16631.05</v>
      </c>
      <c r="G277" s="31" t="n">
        <v>261.49</v>
      </c>
      <c r="H277" s="31" t="n">
        <v>0.55</v>
      </c>
      <c r="I277" s="31" t="n">
        <v>1524389</v>
      </c>
      <c r="J277" s="31" t="inlineStr">
        <is>
          <t>500378</t>
        </is>
      </c>
    </row>
    <row r="278">
      <c r="A278" s="31" t="inlineStr">
        <is>
          <t>AEROFLEX</t>
        </is>
      </c>
      <c r="B278" s="31" t="inlineStr">
        <is>
          <t>Aeroflex Industries Ltd</t>
        </is>
      </c>
      <c r="C278" s="31" t="inlineStr">
        <is>
          <t>metals &amp; mining</t>
        </is>
      </c>
      <c r="D278" s="31" t="inlineStr">
        <is>
          <t>steel - medium / small</t>
        </is>
      </c>
      <c r="E278" s="31" t="inlineStr">
        <is>
          <t>midcap</t>
        </is>
      </c>
      <c r="F278" s="31" t="n">
        <v>6206.31</v>
      </c>
      <c r="G278" s="31" t="n">
        <v>471.6</v>
      </c>
      <c r="H278" s="31" t="n">
        <v>0.55</v>
      </c>
      <c r="I278" s="31" t="n">
        <v>672206</v>
      </c>
      <c r="J278" s="31" t="inlineStr">
        <is>
          <t>543972</t>
        </is>
      </c>
    </row>
    <row r="279">
      <c r="A279" s="31" t="inlineStr">
        <is>
          <t>DMART</t>
        </is>
      </c>
      <c r="B279" s="31" t="inlineStr">
        <is>
          <t>Avenue Supermarts Ltd</t>
        </is>
      </c>
      <c r="C279" s="31" t="inlineStr">
        <is>
          <t>consumer discretionary</t>
        </is>
      </c>
      <c r="D279" s="31" t="inlineStr">
        <is>
          <t>trading</t>
        </is>
      </c>
      <c r="E279" s="31" t="inlineStr">
        <is>
          <t>largecap</t>
        </is>
      </c>
      <c r="F279" s="31" t="n">
        <v>284058.59</v>
      </c>
      <c r="G279" s="31" t="n">
        <v>4380.7</v>
      </c>
      <c r="H279" s="31" t="n">
        <v>0.54</v>
      </c>
      <c r="I279" s="31" t="n">
        <v>379455</v>
      </c>
      <c r="J279" s="31" t="inlineStr">
        <is>
          <t>540376</t>
        </is>
      </c>
    </row>
    <row r="280">
      <c r="A280" s="31" t="inlineStr">
        <is>
          <t>HITECHCORP</t>
        </is>
      </c>
      <c r="B280" s="31" t="inlineStr">
        <is>
          <t>Hitech Corporation</t>
        </is>
      </c>
      <c r="C280" s="31" t="inlineStr">
        <is>
          <t>industrials</t>
        </is>
      </c>
      <c r="D280" s="31" t="inlineStr">
        <is>
          <t>packaging</t>
        </is>
      </c>
      <c r="E280" s="31" t="inlineStr">
        <is>
          <t>smallcap</t>
        </is>
      </c>
      <c r="F280" s="31" t="n">
        <v>538.8200000000001</v>
      </c>
      <c r="G280" s="31" t="n">
        <v>315.25</v>
      </c>
      <c r="H280" s="31" t="n">
        <v>0.49</v>
      </c>
      <c r="I280" s="31" t="n">
        <v>5945</v>
      </c>
      <c r="J280" s="31" t="inlineStr">
        <is>
          <t>526217</t>
        </is>
      </c>
    </row>
    <row r="281">
      <c r="A281" s="31" t="inlineStr">
        <is>
          <t>GPTINFRA</t>
        </is>
      </c>
      <c r="B281" s="31" t="inlineStr">
        <is>
          <t>Gpt Infraprojects Limited</t>
        </is>
      </c>
      <c r="C281" s="31" t="inlineStr">
        <is>
          <t>realty</t>
        </is>
      </c>
      <c r="D281" s="31" t="inlineStr">
        <is>
          <t>construction</t>
        </is>
      </c>
      <c r="E281" s="31" t="inlineStr">
        <is>
          <t>smallcap</t>
        </is>
      </c>
      <c r="F281" s="31" t="n">
        <v>1677.62</v>
      </c>
      <c r="G281" s="31" t="n">
        <v>133.38</v>
      </c>
      <c r="H281" s="31" t="n">
        <v>0.47</v>
      </c>
      <c r="I281" s="31" t="n">
        <v>274414</v>
      </c>
      <c r="J281" s="31" t="inlineStr">
        <is>
          <t>533761</t>
        </is>
      </c>
    </row>
    <row r="282">
      <c r="A282" s="31" t="inlineStr">
        <is>
          <t>PTL</t>
        </is>
      </c>
      <c r="B282" s="31" t="inlineStr">
        <is>
          <t>Ptl Enterprises Limited</t>
        </is>
      </c>
      <c r="C282" s="31" t="inlineStr">
        <is>
          <t>miscellaneous</t>
        </is>
      </c>
      <c r="D282" s="31" t="inlineStr">
        <is>
          <t>miscellaneous</t>
        </is>
      </c>
      <c r="E282" s="31" t="inlineStr">
        <is>
          <t>smallcap</t>
        </is>
      </c>
      <c r="F282" s="31" t="n">
        <v>559.16</v>
      </c>
      <c r="G282" s="31" t="n">
        <v>42.44</v>
      </c>
      <c r="H282" s="31" t="n">
        <v>0.47</v>
      </c>
      <c r="I282" s="31" t="n">
        <v>23277</v>
      </c>
      <c r="J282" s="31" t="inlineStr">
        <is>
          <t>509220</t>
        </is>
      </c>
    </row>
    <row r="283">
      <c r="A283" s="31" t="inlineStr">
        <is>
          <t>SUNDRMFAST</t>
        </is>
      </c>
      <c r="B283" s="31" t="inlineStr">
        <is>
          <t>Sundram Fasteners Limited</t>
        </is>
      </c>
      <c r="C283" s="31" t="inlineStr">
        <is>
          <t>auto</t>
        </is>
      </c>
      <c r="D283" s="31" t="inlineStr">
        <is>
          <t>auto ancillaries</t>
        </is>
      </c>
      <c r="E283" s="31" t="inlineStr">
        <is>
          <t>midcap</t>
        </is>
      </c>
      <c r="F283" s="31" t="n">
        <v>19516.72</v>
      </c>
      <c r="G283" s="31" t="n">
        <v>933</v>
      </c>
      <c r="H283" s="31" t="n">
        <v>0.45</v>
      </c>
      <c r="I283" s="31" t="n">
        <v>271056</v>
      </c>
      <c r="J283" s="31" t="inlineStr">
        <is>
          <t>500403</t>
        </is>
      </c>
    </row>
    <row r="284">
      <c r="A284" s="31" t="inlineStr">
        <is>
          <t>KAJARIACER</t>
        </is>
      </c>
      <c r="B284" s="31" t="inlineStr">
        <is>
          <t>Kajaria Ceramics Limited</t>
        </is>
      </c>
      <c r="C284" s="31" t="inlineStr">
        <is>
          <t>building materials</t>
        </is>
      </c>
      <c r="D284" s="31" t="inlineStr">
        <is>
          <t>ceramics - tiles / sanitaryware</t>
        </is>
      </c>
      <c r="E284" s="31" t="inlineStr">
        <is>
          <t>midcap</t>
        </is>
      </c>
      <c r="F284" s="31" t="n">
        <v>19206.65</v>
      </c>
      <c r="G284" s="31" t="n">
        <v>1211.2</v>
      </c>
      <c r="H284" s="31" t="n">
        <v>0.44</v>
      </c>
      <c r="I284" s="31" t="n">
        <v>318484</v>
      </c>
      <c r="J284" s="31" t="inlineStr">
        <is>
          <t>500233</t>
        </is>
      </c>
    </row>
    <row r="285">
      <c r="A285" s="31" t="inlineStr">
        <is>
          <t>PNBHOUSING</t>
        </is>
      </c>
      <c r="B285" s="31" t="inlineStr">
        <is>
          <t>Pnb Housing Finance Limited</t>
        </is>
      </c>
      <c r="C285" s="31" t="inlineStr">
        <is>
          <t>financials</t>
        </is>
      </c>
      <c r="D285" s="31" t="inlineStr">
        <is>
          <t>finance - housing</t>
        </is>
      </c>
      <c r="E285" s="31" t="inlineStr">
        <is>
          <t>largecap</t>
        </is>
      </c>
      <c r="F285" s="31" t="n">
        <v>26936.59</v>
      </c>
      <c r="G285" s="31" t="n">
        <v>1038.4</v>
      </c>
      <c r="H285" s="31" t="n">
        <v>0.43</v>
      </c>
      <c r="I285" s="31" t="n">
        <v>1494876</v>
      </c>
      <c r="J285" s="31" t="inlineStr">
        <is>
          <t>540173</t>
        </is>
      </c>
    </row>
    <row r="286">
      <c r="A286" s="31" t="inlineStr">
        <is>
          <t>LUPIN</t>
        </is>
      </c>
      <c r="B286" s="31" t="inlineStr">
        <is>
          <t>Lupin Limited</t>
        </is>
      </c>
      <c r="C286" s="31" t="inlineStr">
        <is>
          <t>healthcare</t>
        </is>
      </c>
      <c r="D286" s="31" t="inlineStr">
        <is>
          <t>pharmaceuticals - indian - bulk drugs &amp; formln</t>
        </is>
      </c>
      <c r="E286" s="31" t="inlineStr">
        <is>
          <t>largecap</t>
        </is>
      </c>
      <c r="F286" s="31" t="n">
        <v>110148.16</v>
      </c>
      <c r="G286" s="31" t="n">
        <v>2419</v>
      </c>
      <c r="H286" s="31" t="n">
        <v>0.4</v>
      </c>
      <c r="I286" s="31" t="n">
        <v>1412728</v>
      </c>
      <c r="J286" s="31" t="inlineStr">
        <is>
          <t>500257</t>
        </is>
      </c>
    </row>
    <row r="287">
      <c r="A287" s="31" t="inlineStr">
        <is>
          <t>ENDURANCE</t>
        </is>
      </c>
      <c r="B287" s="31" t="inlineStr">
        <is>
          <t>Endurance Technologies Limited</t>
        </is>
      </c>
      <c r="C287" s="31" t="inlineStr">
        <is>
          <t>auto</t>
        </is>
      </c>
      <c r="D287" s="31" t="inlineStr">
        <is>
          <t>auto ancillaries</t>
        </is>
      </c>
      <c r="E287" s="31" t="inlineStr">
        <is>
          <t>largecap</t>
        </is>
      </c>
      <c r="F287" s="31" t="n">
        <v>37461.33</v>
      </c>
      <c r="G287" s="31" t="n">
        <v>2673.6</v>
      </c>
      <c r="H287" s="31" t="n">
        <v>0.39</v>
      </c>
      <c r="I287" s="31" t="n">
        <v>111913</v>
      </c>
      <c r="J287" s="31" t="inlineStr">
        <is>
          <t>540153</t>
        </is>
      </c>
    </row>
    <row r="288">
      <c r="A288" s="31" t="inlineStr">
        <is>
          <t>MOTILALOFS</t>
        </is>
      </c>
      <c r="B288" s="31" t="inlineStr">
        <is>
          <t>Motilal Oswal Financial Services Limited</t>
        </is>
      </c>
      <c r="C288" s="31" t="inlineStr">
        <is>
          <t>financials</t>
        </is>
      </c>
      <c r="D288" s="31" t="inlineStr">
        <is>
          <t>finance &amp; investments</t>
        </is>
      </c>
      <c r="E288" s="31" t="inlineStr">
        <is>
          <t>largecap</t>
        </is>
      </c>
      <c r="F288" s="31" t="n">
        <v>57035.27</v>
      </c>
      <c r="G288" s="31" t="n">
        <v>951.3</v>
      </c>
      <c r="H288" s="31" t="n">
        <v>0.39</v>
      </c>
      <c r="I288" s="31" t="n">
        <v>409066</v>
      </c>
      <c r="J288" s="31" t="inlineStr">
        <is>
          <t>532892</t>
        </is>
      </c>
    </row>
    <row r="289">
      <c r="A289" s="31" t="inlineStr">
        <is>
          <t>DIACABS</t>
        </is>
      </c>
      <c r="B289" s="31" t="inlineStr">
        <is>
          <t>Diamond Power Infrastructure Ltd</t>
        </is>
      </c>
      <c r="C289" s="31" t="inlineStr">
        <is>
          <t>industrials</t>
        </is>
      </c>
      <c r="D289" s="31" t="inlineStr">
        <is>
          <t>cables - power</t>
        </is>
      </c>
      <c r="E289" s="31" t="inlineStr">
        <is>
          <t>midcap</t>
        </is>
      </c>
      <c r="F289" s="31" t="n">
        <v>10989.45</v>
      </c>
      <c r="G289" s="31" t="n">
        <v>209.34</v>
      </c>
      <c r="H289" s="31" t="n">
        <v>0.38</v>
      </c>
      <c r="I289" s="31" t="n">
        <v>5771488</v>
      </c>
      <c r="J289" s="31" t="inlineStr">
        <is>
          <t>522163</t>
        </is>
      </c>
    </row>
    <row r="290">
      <c r="A290" s="31" t="inlineStr">
        <is>
          <t>SANSTAR</t>
        </is>
      </c>
      <c r="B290" s="31" t="inlineStr">
        <is>
          <t>Sanstar Ltd</t>
        </is>
      </c>
      <c r="C290" s="31" t="inlineStr">
        <is>
          <t>fmcg</t>
        </is>
      </c>
      <c r="D290" s="31" t="inlineStr">
        <is>
          <t>miscellaneous</t>
        </is>
      </c>
      <c r="E290" s="31" t="inlineStr">
        <is>
          <t>smallcap</t>
        </is>
      </c>
      <c r="F290" s="31" t="n">
        <v>2423.45</v>
      </c>
      <c r="G290" s="31" t="n">
        <v>121.47</v>
      </c>
      <c r="H290" s="31" t="n">
        <v>0.38</v>
      </c>
      <c r="I290" s="31" t="n">
        <v>428410</v>
      </c>
      <c r="J290" s="31" t="inlineStr">
        <is>
          <t>544217</t>
        </is>
      </c>
    </row>
    <row r="291">
      <c r="A291" s="31" t="inlineStr">
        <is>
          <t>SSWL</t>
        </is>
      </c>
      <c r="B291" s="31" t="inlineStr">
        <is>
          <t>Steel Strips Wheels Limited</t>
        </is>
      </c>
      <c r="C291" s="31" t="inlineStr">
        <is>
          <t>auto</t>
        </is>
      </c>
      <c r="D291" s="31" t="inlineStr">
        <is>
          <t>auto ancillaries</t>
        </is>
      </c>
      <c r="E291" s="31" t="inlineStr">
        <is>
          <t>smallcap</t>
        </is>
      </c>
      <c r="F291" s="31" t="n">
        <v>3607.45</v>
      </c>
      <c r="G291" s="31" t="n">
        <v>230.33</v>
      </c>
      <c r="H291" s="31" t="n">
        <v>0.36</v>
      </c>
      <c r="I291" s="31" t="n">
        <v>200432</v>
      </c>
      <c r="J291" s="31" t="inlineStr">
        <is>
          <t>513262</t>
        </is>
      </c>
    </row>
    <row r="292">
      <c r="A292" s="31" t="inlineStr">
        <is>
          <t>TALBROAUTO</t>
        </is>
      </c>
      <c r="B292" s="31" t="inlineStr">
        <is>
          <t>Talbros Automotive Components Limited</t>
        </is>
      </c>
      <c r="C292" s="31" t="inlineStr">
        <is>
          <t>auto</t>
        </is>
      </c>
      <c r="D292" s="31" t="inlineStr">
        <is>
          <t>auto ancillaries</t>
        </is>
      </c>
      <c r="E292" s="31" t="inlineStr">
        <is>
          <t>smallcap</t>
        </is>
      </c>
      <c r="F292" s="31" t="n">
        <v>2568.2</v>
      </c>
      <c r="G292" s="31" t="n">
        <v>417.55</v>
      </c>
      <c r="H292" s="31" t="n">
        <v>0.36</v>
      </c>
      <c r="I292" s="31" t="n">
        <v>405011</v>
      </c>
      <c r="J292" s="31" t="inlineStr">
        <is>
          <t>505160</t>
        </is>
      </c>
    </row>
    <row r="293">
      <c r="A293" s="31" t="inlineStr">
        <is>
          <t>ACMESOLAR</t>
        </is>
      </c>
      <c r="B293" s="31" t="inlineStr">
        <is>
          <t>ACME Solar Holdings Ltd</t>
        </is>
      </c>
      <c r="C293" s="31" t="inlineStr">
        <is>
          <t>realty</t>
        </is>
      </c>
      <c r="D293" s="31" t="inlineStr">
        <is>
          <t>engineering - turnkey services</t>
        </is>
      </c>
      <c r="E293" s="31" t="inlineStr">
        <is>
          <t>largecap</t>
        </is>
      </c>
      <c r="F293" s="31" t="n">
        <v>26780.77</v>
      </c>
      <c r="G293" s="31" t="n">
        <v>380.55</v>
      </c>
      <c r="H293" s="31" t="n">
        <v>0.34</v>
      </c>
      <c r="I293" s="31" t="n">
        <v>1925905</v>
      </c>
      <c r="J293" s="31" t="inlineStr">
        <is>
          <t>544283</t>
        </is>
      </c>
    </row>
    <row r="294">
      <c r="A294" s="31" t="inlineStr">
        <is>
          <t>JSWINFRA</t>
        </is>
      </c>
      <c r="B294" s="31" t="inlineStr">
        <is>
          <t>JSW Infrastructure Ltd</t>
        </is>
      </c>
      <c r="C294" s="31" t="inlineStr">
        <is>
          <t>transportation</t>
        </is>
      </c>
      <c r="D294" s="31" t="inlineStr">
        <is>
          <t>miscellaneous</t>
        </is>
      </c>
      <c r="E294" s="31" t="inlineStr">
        <is>
          <t>largecap</t>
        </is>
      </c>
      <c r="F294" s="31" t="n">
        <v>67431.05</v>
      </c>
      <c r="G294" s="31" t="n">
        <v>322.15</v>
      </c>
      <c r="H294" s="31" t="n">
        <v>0.33</v>
      </c>
      <c r="I294" s="31" t="n">
        <v>4095428</v>
      </c>
      <c r="J294" s="31" t="inlineStr">
        <is>
          <t>543994</t>
        </is>
      </c>
    </row>
    <row r="295">
      <c r="A295" s="31" t="inlineStr">
        <is>
          <t>APOLLOHOSP</t>
        </is>
      </c>
      <c r="B295" s="31" t="inlineStr">
        <is>
          <t>Apollo Hospitals Enterprise Limited</t>
        </is>
      </c>
      <c r="C295" s="31" t="inlineStr">
        <is>
          <t>healthcare</t>
        </is>
      </c>
      <c r="D295" s="31" t="inlineStr">
        <is>
          <t>healthcare</t>
        </is>
      </c>
      <c r="E295" s="31" t="inlineStr">
        <is>
          <t>largecap</t>
        </is>
      </c>
      <c r="F295" s="31" t="n">
        <v>124445.62</v>
      </c>
      <c r="G295" s="31" t="n">
        <v>8682</v>
      </c>
      <c r="H295" s="31" t="n">
        <v>0.31</v>
      </c>
      <c r="I295" s="31" t="n">
        <v>491231</v>
      </c>
      <c r="J295" s="31" t="inlineStr">
        <is>
          <t>508869</t>
        </is>
      </c>
    </row>
    <row r="296">
      <c r="A296" s="31" t="inlineStr">
        <is>
          <t>BAJAJCON</t>
        </is>
      </c>
      <c r="B296" s="31" t="inlineStr">
        <is>
          <t>Bajaj Consumer Care Ltd</t>
        </is>
      </c>
      <c r="C296" s="31" t="inlineStr">
        <is>
          <t>fmcg</t>
        </is>
      </c>
      <c r="D296" s="31" t="inlineStr">
        <is>
          <t>personal care - indian</t>
        </is>
      </c>
      <c r="E296" s="31" t="inlineStr">
        <is>
          <t>midcap</t>
        </is>
      </c>
      <c r="F296" s="31" t="n">
        <v>7799.87</v>
      </c>
      <c r="G296" s="31" t="n">
        <v>599</v>
      </c>
      <c r="H296" s="31" t="n">
        <v>0.31</v>
      </c>
      <c r="I296" s="31" t="n">
        <v>405365</v>
      </c>
      <c r="J296" s="31" t="inlineStr">
        <is>
          <t>533229</t>
        </is>
      </c>
    </row>
    <row r="297">
      <c r="A297" s="31" t="inlineStr">
        <is>
          <t>GOODLUCK</t>
        </is>
      </c>
      <c r="B297" s="31" t="inlineStr">
        <is>
          <t>Goodluck India Limited</t>
        </is>
      </c>
      <c r="C297" s="31" t="inlineStr">
        <is>
          <t>metals &amp; mining</t>
        </is>
      </c>
      <c r="D297" s="31" t="inlineStr">
        <is>
          <t>steel - medium / small</t>
        </is>
      </c>
      <c r="E297" s="31" t="inlineStr">
        <is>
          <t>smallcap</t>
        </is>
      </c>
      <c r="F297" s="31" t="n">
        <v>4901.35</v>
      </c>
      <c r="G297" s="31" t="n">
        <v>1479</v>
      </c>
      <c r="H297" s="31" t="n">
        <v>0.3</v>
      </c>
      <c r="I297" s="31" t="n">
        <v>290313</v>
      </c>
      <c r="J297" s="31" t="inlineStr">
        <is>
          <t>530655</t>
        </is>
      </c>
    </row>
    <row r="298">
      <c r="A298" s="31" t="inlineStr">
        <is>
          <t>LLOYDSME</t>
        </is>
      </c>
      <c r="B298" s="31" t="inlineStr">
        <is>
          <t>Lloyds Metals &amp; Energy Ltd</t>
        </is>
      </c>
      <c r="C298" s="31" t="inlineStr">
        <is>
          <t>metals &amp; mining</t>
        </is>
      </c>
      <c r="D298" s="31" t="inlineStr">
        <is>
          <t>mining / minerals / metals</t>
        </is>
      </c>
      <c r="E298" s="31" t="inlineStr">
        <is>
          <t>largecap</t>
        </is>
      </c>
      <c r="F298" s="31" t="n">
        <v>101622.1</v>
      </c>
      <c r="G298" s="31" t="n">
        <v>1810.4</v>
      </c>
      <c r="H298" s="31" t="n">
        <v>0.26</v>
      </c>
      <c r="I298" s="31" t="n">
        <v>302196</v>
      </c>
      <c r="J298" s="31" t="inlineStr">
        <is>
          <t>512455</t>
        </is>
      </c>
    </row>
    <row r="299">
      <c r="A299" s="31" t="inlineStr">
        <is>
          <t>REDINGTON</t>
        </is>
      </c>
      <c r="B299" s="31" t="inlineStr">
        <is>
          <t>Redington (india) Limited</t>
        </is>
      </c>
      <c r="C299" s="31" t="inlineStr">
        <is>
          <t>services</t>
        </is>
      </c>
      <c r="D299" s="31" t="inlineStr">
        <is>
          <t>trading</t>
        </is>
      </c>
      <c r="E299" s="31" t="inlineStr">
        <is>
          <t>largecap</t>
        </is>
      </c>
      <c r="F299" s="31" t="n">
        <v>21539.45</v>
      </c>
      <c r="G299" s="31" t="n">
        <v>276.18</v>
      </c>
      <c r="H299" s="31" t="n">
        <v>0.24</v>
      </c>
      <c r="I299" s="31" t="n">
        <v>2453236</v>
      </c>
      <c r="J299" s="31" t="inlineStr">
        <is>
          <t>532805</t>
        </is>
      </c>
    </row>
    <row r="300">
      <c r="A300" s="31" t="inlineStr">
        <is>
          <t>CHENNPETRO</t>
        </is>
      </c>
      <c r="B300" s="31" t="inlineStr">
        <is>
          <t>Chennai Petroleum Corporation Limited</t>
        </is>
      </c>
      <c r="C300" s="31" t="inlineStr">
        <is>
          <t>energy</t>
        </is>
      </c>
      <c r="D300" s="31" t="inlineStr">
        <is>
          <t>refineries</t>
        </is>
      </c>
      <c r="E300" s="31" t="inlineStr">
        <is>
          <t>midcap</t>
        </is>
      </c>
      <c r="F300" s="31" t="n">
        <v>17181.4</v>
      </c>
      <c r="G300" s="31" t="n">
        <v>1156.3</v>
      </c>
      <c r="H300" s="31" t="n">
        <v>0.22</v>
      </c>
      <c r="I300" s="31" t="n">
        <v>704680</v>
      </c>
      <c r="J300" s="31" t="inlineStr">
        <is>
          <t>500110</t>
        </is>
      </c>
    </row>
    <row r="301">
      <c r="A301" s="31" t="inlineStr">
        <is>
          <t>RATNAVEER</t>
        </is>
      </c>
      <c r="B301" s="31" t="inlineStr">
        <is>
          <t>Ratnaveer Precision Engineering Ltd</t>
        </is>
      </c>
      <c r="C301" s="31" t="inlineStr">
        <is>
          <t>metals &amp; mining</t>
        </is>
      </c>
      <c r="D301" s="31" t="inlineStr">
        <is>
          <t>steel - medium / small</t>
        </is>
      </c>
      <c r="E301" s="31" t="inlineStr">
        <is>
          <t>smallcap</t>
        </is>
      </c>
      <c r="F301" s="31" t="n">
        <v>1291.39</v>
      </c>
      <c r="G301" s="31" t="n">
        <v>181.2</v>
      </c>
      <c r="H301" s="31" t="n">
        <v>0.22</v>
      </c>
      <c r="I301" s="31" t="n">
        <v>2089058</v>
      </c>
      <c r="J301" s="31" t="inlineStr">
        <is>
          <t>543978</t>
        </is>
      </c>
    </row>
    <row r="302">
      <c r="A302" s="31" t="inlineStr">
        <is>
          <t>IDEA</t>
        </is>
      </c>
      <c r="B302" s="31" t="inlineStr">
        <is>
          <t>Vodafone Idea Ltd</t>
        </is>
      </c>
      <c r="C302" s="31" t="inlineStr">
        <is>
          <t>telecom-service</t>
        </is>
      </c>
      <c r="D302" s="31" t="inlineStr">
        <is>
          <t>telecommunications - service provider</t>
        </is>
      </c>
      <c r="E302" s="31" t="inlineStr">
        <is>
          <t>largecap</t>
        </is>
      </c>
      <c r="F302" s="31" t="n">
        <v>156339</v>
      </c>
      <c r="G302" s="31" t="n">
        <v>14.46</v>
      </c>
      <c r="H302" s="31" t="n">
        <v>0.21</v>
      </c>
      <c r="I302" s="31" t="n">
        <v>489723933</v>
      </c>
      <c r="J302" s="31" t="inlineStr">
        <is>
          <t>532822</t>
        </is>
      </c>
    </row>
    <row r="303">
      <c r="A303" s="31" t="inlineStr">
        <is>
          <t>TEXINFRA</t>
        </is>
      </c>
      <c r="B303" s="31" t="inlineStr">
        <is>
          <t>Texmaco Infrastructure &amp; Holdings Limited</t>
        </is>
      </c>
      <c r="C303" s="31" t="inlineStr">
        <is>
          <t>realty</t>
        </is>
      </c>
      <c r="D303" s="31" t="inlineStr">
        <is>
          <t>construction</t>
        </is>
      </c>
      <c r="E303" s="31" t="inlineStr">
        <is>
          <t>smallcap</t>
        </is>
      </c>
      <c r="F303" s="31" t="n">
        <v>1383.85</v>
      </c>
      <c r="G303" s="31" t="n">
        <v>108.82</v>
      </c>
      <c r="H303" s="31" t="n">
        <v>0.2</v>
      </c>
      <c r="I303" s="31" t="n">
        <v>170103</v>
      </c>
      <c r="J303" s="31" t="inlineStr">
        <is>
          <t>505400</t>
        </is>
      </c>
    </row>
    <row r="304">
      <c r="A304" s="31" t="inlineStr">
        <is>
          <t>LINDEINDIA</t>
        </is>
      </c>
      <c r="B304" s="31" t="inlineStr">
        <is>
          <t>Linde India Limited</t>
        </is>
      </c>
      <c r="C304" s="31" t="inlineStr">
        <is>
          <t>chemicals</t>
        </is>
      </c>
      <c r="D304" s="31" t="inlineStr">
        <is>
          <t>chemicals</t>
        </is>
      </c>
      <c r="E304" s="31" t="inlineStr">
        <is>
          <t>largecap</t>
        </is>
      </c>
      <c r="F304" s="31" t="n">
        <v>62231.9</v>
      </c>
      <c r="G304" s="31" t="n">
        <v>7311</v>
      </c>
      <c r="H304" s="31" t="n">
        <v>0.19</v>
      </c>
      <c r="I304" s="31" t="n">
        <v>27903</v>
      </c>
      <c r="J304" s="31" t="inlineStr">
        <is>
          <t>523457</t>
        </is>
      </c>
    </row>
    <row r="305">
      <c r="A305" s="31" t="inlineStr">
        <is>
          <t>KRN</t>
        </is>
      </c>
      <c r="B305" s="31" t="inlineStr">
        <is>
          <t>KRN Heat Exchanger and Refrigeration Ltd</t>
        </is>
      </c>
      <c r="C305" s="31" t="inlineStr">
        <is>
          <t>industrials</t>
        </is>
      </c>
      <c r="D305" s="31" t="inlineStr">
        <is>
          <t>engineering</t>
        </is>
      </c>
      <c r="E305" s="31" t="inlineStr">
        <is>
          <t>midcap</t>
        </is>
      </c>
      <c r="F305" s="31" t="n">
        <v>8185.58</v>
      </c>
      <c r="G305" s="31" t="n">
        <v>1252.6</v>
      </c>
      <c r="H305" s="31" t="n">
        <v>0.17</v>
      </c>
      <c r="I305" s="31" t="n">
        <v>183844</v>
      </c>
      <c r="J305" s="31" t="inlineStr">
        <is>
          <t>544263</t>
        </is>
      </c>
    </row>
    <row r="306">
      <c r="A306" s="31" t="inlineStr">
        <is>
          <t>BLUSPRING</t>
        </is>
      </c>
      <c r="B306" s="31" t="inlineStr">
        <is>
          <t>Bluspring Enterprises Ltd</t>
        </is>
      </c>
      <c r="C306" s="31" t="inlineStr">
        <is>
          <t>miscellaneous</t>
        </is>
      </c>
      <c r="D306" s="31" t="inlineStr">
        <is>
          <t>diversified - large</t>
        </is>
      </c>
      <c r="E306" s="31" t="inlineStr">
        <is>
          <t>smallcap</t>
        </is>
      </c>
      <c r="F306" s="31" t="n">
        <v>1653.43</v>
      </c>
      <c r="G306" s="31" t="n">
        <v>111.02</v>
      </c>
      <c r="H306" s="31" t="n">
        <v>0.14</v>
      </c>
      <c r="I306" s="31" t="n">
        <v>311826</v>
      </c>
      <c r="J306" s="31" t="inlineStr">
        <is>
          <t>544414</t>
        </is>
      </c>
    </row>
    <row r="307">
      <c r="A307" s="31" t="inlineStr">
        <is>
          <t>BOROSCI</t>
        </is>
      </c>
      <c r="B307" s="31" t="inlineStr">
        <is>
          <t>Borosil Scientific Ltd</t>
        </is>
      </c>
      <c r="C307" s="31" t="inlineStr">
        <is>
          <t>building materials</t>
        </is>
      </c>
      <c r="D307" s="31" t="inlineStr">
        <is>
          <t>glass &amp; glass products</t>
        </is>
      </c>
      <c r="E307" s="31" t="inlineStr">
        <is>
          <t>smallcap</t>
        </is>
      </c>
      <c r="F307" s="31" t="n">
        <v>1541.36</v>
      </c>
      <c r="G307" s="31" t="n">
        <v>173.52</v>
      </c>
      <c r="H307" s="31" t="n">
        <v>0.13</v>
      </c>
      <c r="I307" s="31" t="n">
        <v>697510</v>
      </c>
      <c r="J307" s="31" t="inlineStr">
        <is>
          <t>544184</t>
        </is>
      </c>
    </row>
    <row r="308">
      <c r="A308" s="31" t="inlineStr">
        <is>
          <t>NRL</t>
        </is>
      </c>
      <c r="B308" s="31" t="inlineStr">
        <is>
          <t>Nupur Recyclers Ltd</t>
        </is>
      </c>
      <c r="C308" s="31" t="inlineStr">
        <is>
          <t>services</t>
        </is>
      </c>
      <c r="D308" s="31" t="inlineStr">
        <is>
          <t>trading</t>
        </is>
      </c>
      <c r="E308" s="31" t="inlineStr">
        <is>
          <t>smallcap</t>
        </is>
      </c>
      <c r="F308" s="31" t="n">
        <v>579.5599999999999</v>
      </c>
      <c r="G308" s="31" t="n">
        <v>83.98999999999999</v>
      </c>
      <c r="H308" s="31" t="n">
        <v>0.1</v>
      </c>
      <c r="I308" s="31" t="n">
        <v>63814</v>
      </c>
      <c r="J308" s="31" t="inlineStr">
        <is>
          <t>535413</t>
        </is>
      </c>
    </row>
    <row r="309">
      <c r="A309" s="31" t="inlineStr">
        <is>
          <t>LICI</t>
        </is>
      </c>
      <c r="B309" s="31" t="inlineStr">
        <is>
          <t>Life Insurance Corporation of India Ltd</t>
        </is>
      </c>
      <c r="C309" s="31" t="inlineStr">
        <is>
          <t>financials</t>
        </is>
      </c>
      <c r="D309" s="31" t="inlineStr">
        <is>
          <t>finance &amp; investments</t>
        </is>
      </c>
      <c r="E309" s="31" t="inlineStr">
        <is>
          <t>largecap</t>
        </is>
      </c>
      <c r="F309" s="31" t="n">
        <v>545531.05</v>
      </c>
      <c r="G309" s="31" t="n">
        <v>431.65</v>
      </c>
      <c r="H309" s="31" t="n">
        <v>0.09</v>
      </c>
      <c r="I309" s="31" t="n">
        <v>4056931</v>
      </c>
      <c r="J309" s="31" t="inlineStr">
        <is>
          <t>543526</t>
        </is>
      </c>
    </row>
    <row r="310">
      <c r="A310" s="31" t="inlineStr">
        <is>
          <t>BHEL</t>
        </is>
      </c>
      <c r="B310" s="31" t="inlineStr">
        <is>
          <t>Bharat Heavy Electricals Limited</t>
        </is>
      </c>
      <c r="C310" s="31" t="inlineStr">
        <is>
          <t>industrials</t>
        </is>
      </c>
      <c r="D310" s="31" t="inlineStr">
        <is>
          <t>electric equipment</t>
        </is>
      </c>
      <c r="E310" s="31" t="inlineStr">
        <is>
          <t>largecap</t>
        </is>
      </c>
      <c r="F310" s="31" t="n">
        <v>144070.37</v>
      </c>
      <c r="G310" s="31" t="n">
        <v>414.1</v>
      </c>
      <c r="H310" s="31" t="n">
        <v>0.08</v>
      </c>
      <c r="I310" s="31" t="n">
        <v>18542596</v>
      </c>
      <c r="J310" s="31" t="inlineStr">
        <is>
          <t>500103</t>
        </is>
      </c>
    </row>
    <row r="311">
      <c r="A311" s="31" t="inlineStr">
        <is>
          <t>BLSE</t>
        </is>
      </c>
      <c r="B311" s="31" t="inlineStr">
        <is>
          <t>BLS E-Services Ltd</t>
        </is>
      </c>
      <c r="C311" s="31" t="inlineStr">
        <is>
          <t>i.t</t>
        </is>
      </c>
      <c r="D311" s="31" t="inlineStr">
        <is>
          <t>computers - software - medium / small</t>
        </is>
      </c>
      <c r="E311" s="31" t="inlineStr">
        <is>
          <t>smallcap</t>
        </is>
      </c>
      <c r="F311" s="31" t="n">
        <v>2115.87</v>
      </c>
      <c r="G311" s="31" t="n">
        <v>233</v>
      </c>
      <c r="H311" s="31" t="n">
        <v>0.05</v>
      </c>
      <c r="I311" s="31" t="n">
        <v>193562</v>
      </c>
      <c r="J311" s="31" t="inlineStr">
        <is>
          <t>544107</t>
        </is>
      </c>
    </row>
    <row r="312">
      <c r="A312" s="31" t="inlineStr">
        <is>
          <t>STEL</t>
        </is>
      </c>
      <c r="B312" s="31" t="inlineStr">
        <is>
          <t>Stel Holdings Limited</t>
        </is>
      </c>
      <c r="C312" s="31" t="inlineStr">
        <is>
          <t>financials</t>
        </is>
      </c>
      <c r="D312" s="31" t="inlineStr">
        <is>
          <t>finance &amp; investments</t>
        </is>
      </c>
      <c r="E312" s="31" t="inlineStr">
        <is>
          <t>smallcap</t>
        </is>
      </c>
      <c r="F312" s="31" t="n">
        <v>1056.85</v>
      </c>
      <c r="G312" s="31" t="n">
        <v>572.95</v>
      </c>
      <c r="H312" s="31" t="n">
        <v>0.05</v>
      </c>
      <c r="I312" s="31" t="n">
        <v>4395</v>
      </c>
      <c r="J312" s="31" t="n"/>
    </row>
    <row r="313">
      <c r="A313" s="31" t="inlineStr">
        <is>
          <t>BOSCHLTD</t>
        </is>
      </c>
      <c r="B313" s="31" t="inlineStr">
        <is>
          <t>Bosch Limited</t>
        </is>
      </c>
      <c r="C313" s="31" t="inlineStr">
        <is>
          <t>auto</t>
        </is>
      </c>
      <c r="D313" s="31" t="inlineStr">
        <is>
          <t>auto ancillaries</t>
        </is>
      </c>
      <c r="E313" s="31" t="inlineStr">
        <is>
          <t>largecap</t>
        </is>
      </c>
      <c r="F313" s="31" t="n">
        <v>117635.38</v>
      </c>
      <c r="G313" s="31" t="n">
        <v>39900</v>
      </c>
      <c r="H313" s="31" t="n">
        <v>0.04</v>
      </c>
      <c r="I313" s="31" t="n">
        <v>32837</v>
      </c>
      <c r="J313" s="31" t="inlineStr">
        <is>
          <t>500530</t>
        </is>
      </c>
    </row>
    <row r="314">
      <c r="A314" s="31" t="inlineStr">
        <is>
          <t>ATGL</t>
        </is>
      </c>
      <c r="B314" s="31" t="inlineStr">
        <is>
          <t>Adani Total Gas Ltd</t>
        </is>
      </c>
      <c r="C314" s="31" t="inlineStr">
        <is>
          <t>energy</t>
        </is>
      </c>
      <c r="D314" s="31" t="inlineStr">
        <is>
          <t>miscellaneous</t>
        </is>
      </c>
      <c r="E314" s="31" t="inlineStr">
        <is>
          <t>largecap</t>
        </is>
      </c>
      <c r="F314" s="31" t="n">
        <v>80467.60000000001</v>
      </c>
      <c r="G314" s="31" t="n">
        <v>731.55</v>
      </c>
      <c r="H314" s="31" t="n">
        <v>-0.01</v>
      </c>
      <c r="I314" s="31" t="n">
        <v>1994972</v>
      </c>
      <c r="J314" s="31" t="inlineStr">
        <is>
          <t>542066</t>
        </is>
      </c>
    </row>
    <row r="315">
      <c r="A315" s="31" t="inlineStr">
        <is>
          <t>AEGISLOG</t>
        </is>
      </c>
      <c r="B315" s="31" t="inlineStr">
        <is>
          <t>Aegis Logistics Ltd</t>
        </is>
      </c>
      <c r="C315" s="31" t="inlineStr">
        <is>
          <t>services</t>
        </is>
      </c>
      <c r="D315" s="31" t="inlineStr">
        <is>
          <t>trading</t>
        </is>
      </c>
      <c r="E315" s="31" t="inlineStr">
        <is>
          <t>largecap</t>
        </is>
      </c>
      <c r="F315" s="31" t="n">
        <v>41210.91</v>
      </c>
      <c r="G315" s="31" t="n">
        <v>1173.95</v>
      </c>
      <c r="H315" s="31" t="n">
        <v>-0.01</v>
      </c>
      <c r="I315" s="31" t="n">
        <v>2085925</v>
      </c>
      <c r="J315" s="31" t="inlineStr">
        <is>
          <t>500003</t>
        </is>
      </c>
    </row>
    <row r="316">
      <c r="A316" s="31" t="inlineStr">
        <is>
          <t>TVSSRICHAK</t>
        </is>
      </c>
      <c r="B316" s="31" t="inlineStr">
        <is>
          <t>Tvs Srichakra Limited</t>
        </is>
      </c>
      <c r="C316" s="31" t="inlineStr">
        <is>
          <t>auto</t>
        </is>
      </c>
      <c r="D316" s="31" t="inlineStr">
        <is>
          <t>tyres</t>
        </is>
      </c>
      <c r="E316" s="31" t="inlineStr">
        <is>
          <t>smallcap</t>
        </is>
      </c>
      <c r="F316" s="31" t="n">
        <v>3140</v>
      </c>
      <c r="G316" s="31" t="n">
        <v>4100</v>
      </c>
      <c r="H316" s="31" t="n">
        <v>-0.02</v>
      </c>
      <c r="I316" s="31" t="n">
        <v>3585</v>
      </c>
      <c r="J316" s="31" t="inlineStr">
        <is>
          <t>509243</t>
        </is>
      </c>
    </row>
    <row r="317">
      <c r="A317" s="31" t="inlineStr">
        <is>
          <t>KRYSTAL</t>
        </is>
      </c>
      <c r="B317" s="31" t="inlineStr">
        <is>
          <t>Krystal Integrated Services Ltd</t>
        </is>
      </c>
      <c r="C317" s="31" t="inlineStr">
        <is>
          <t>miscellaneous</t>
        </is>
      </c>
      <c r="D317" s="31" t="inlineStr">
        <is>
          <t>miscellaneous</t>
        </is>
      </c>
      <c r="E317" s="31" t="inlineStr">
        <is>
          <t>smallcap</t>
        </is>
      </c>
      <c r="F317" s="31" t="n">
        <v>838.67</v>
      </c>
      <c r="G317" s="31" t="n">
        <v>600.05</v>
      </c>
      <c r="H317" s="31" t="n">
        <v>-0.03</v>
      </c>
      <c r="I317" s="31" t="n">
        <v>17955</v>
      </c>
      <c r="J317" s="31" t="inlineStr">
        <is>
          <t>544149</t>
        </is>
      </c>
    </row>
    <row r="318">
      <c r="A318" s="31" t="inlineStr">
        <is>
          <t>LALPATHLAB</t>
        </is>
      </c>
      <c r="B318" s="31" t="inlineStr">
        <is>
          <t>Dr. Lal Path Labs Ltd.</t>
        </is>
      </c>
      <c r="C318" s="31" t="inlineStr">
        <is>
          <t>healthcare</t>
        </is>
      </c>
      <c r="D318" s="31" t="inlineStr">
        <is>
          <t>healthcare</t>
        </is>
      </c>
      <c r="E318" s="31" t="inlineStr">
        <is>
          <t>largecap</t>
        </is>
      </c>
      <c r="F318" s="31" t="n">
        <v>27596.31</v>
      </c>
      <c r="G318" s="31" t="n">
        <v>1646.2</v>
      </c>
      <c r="H318" s="31" t="n">
        <v>-0.05</v>
      </c>
      <c r="I318" s="31" t="n">
        <v>426429</v>
      </c>
      <c r="J318" s="31" t="inlineStr">
        <is>
          <t>539524</t>
        </is>
      </c>
    </row>
    <row r="319">
      <c r="A319" s="31" t="inlineStr">
        <is>
          <t>NOVARTIND</t>
        </is>
      </c>
      <c r="B319" s="31" t="inlineStr">
        <is>
          <t>Novartis India Ltd</t>
        </is>
      </c>
      <c r="C319" s="31" t="inlineStr">
        <is>
          <t>healthcare</t>
        </is>
      </c>
      <c r="D319" s="31" t="inlineStr">
        <is>
          <t>pharmaceuticals - multinational</t>
        </is>
      </c>
      <c r="E319" s="31" t="inlineStr">
        <is>
          <t>smallcap</t>
        </is>
      </c>
      <c r="F319" s="31" t="n">
        <v>3555.47</v>
      </c>
      <c r="G319" s="31" t="n">
        <v>1439.2</v>
      </c>
      <c r="H319" s="31" t="n">
        <v>-0.06</v>
      </c>
      <c r="I319" s="31" t="n">
        <v>4657</v>
      </c>
      <c r="J319" s="31" t="inlineStr">
        <is>
          <t>500672</t>
        </is>
      </c>
    </row>
    <row r="320">
      <c r="A320" s="31" t="inlineStr">
        <is>
          <t>VSTIND</t>
        </is>
      </c>
      <c r="B320" s="31" t="inlineStr">
        <is>
          <t>Vst Industries Limited</t>
        </is>
      </c>
      <c r="C320" s="31" t="inlineStr">
        <is>
          <t>fmcg</t>
        </is>
      </c>
      <c r="D320" s="31" t="inlineStr">
        <is>
          <t>cigarettes</t>
        </is>
      </c>
      <c r="E320" s="31" t="inlineStr">
        <is>
          <t>smallcap</t>
        </is>
      </c>
      <c r="F320" s="31" t="n">
        <v>4424.88</v>
      </c>
      <c r="G320" s="31" t="n">
        <v>260.3</v>
      </c>
      <c r="H320" s="31" t="n">
        <v>-0.08</v>
      </c>
      <c r="I320" s="31" t="n">
        <v>292237</v>
      </c>
      <c r="J320" s="31" t="inlineStr">
        <is>
          <t>509966</t>
        </is>
      </c>
    </row>
    <row r="321">
      <c r="A321" s="31" t="inlineStr">
        <is>
          <t>SHREEPUSHK</t>
        </is>
      </c>
      <c r="B321" s="31" t="inlineStr">
        <is>
          <t>Shree Pushkar Chemicals &amp; Fertilisers Limited</t>
        </is>
      </c>
      <c r="C321" s="31" t="inlineStr">
        <is>
          <t>chemicals</t>
        </is>
      </c>
      <c r="D321" s="31" t="inlineStr">
        <is>
          <t>dyes and pigments</t>
        </is>
      </c>
      <c r="E321" s="31" t="inlineStr">
        <is>
          <t>smallcap</t>
        </is>
      </c>
      <c r="F321" s="31" t="n">
        <v>1319.05</v>
      </c>
      <c r="G321" s="31" t="n">
        <v>407.5</v>
      </c>
      <c r="H321" s="31" t="n">
        <v>-0.1</v>
      </c>
      <c r="I321" s="31" t="n">
        <v>20957</v>
      </c>
      <c r="J321" s="31" t="inlineStr">
        <is>
          <t>539334</t>
        </is>
      </c>
    </row>
    <row r="322">
      <c r="A322" s="31" t="inlineStr">
        <is>
          <t>EIFFL</t>
        </is>
      </c>
      <c r="B322" s="31" t="inlineStr">
        <is>
          <t>Euro India Fresh Foods Ltd</t>
        </is>
      </c>
      <c r="C322" s="31" t="inlineStr">
        <is>
          <t>fmcg</t>
        </is>
      </c>
      <c r="D322" s="31" t="inlineStr">
        <is>
          <t>food - processing - indian</t>
        </is>
      </c>
      <c r="E322" s="31" t="inlineStr">
        <is>
          <t>smallcap</t>
        </is>
      </c>
      <c r="F322" s="31" t="n">
        <v>796.97</v>
      </c>
      <c r="G322" s="31" t="n">
        <v>321</v>
      </c>
      <c r="H322" s="31" t="n">
        <v>-0.11</v>
      </c>
      <c r="I322" s="31" t="n">
        <v>6866</v>
      </c>
      <c r="J322" s="31" t="inlineStr">
        <is>
          <t>538412</t>
        </is>
      </c>
    </row>
    <row r="323">
      <c r="A323" s="31" t="inlineStr">
        <is>
          <t>SONACOMS</t>
        </is>
      </c>
      <c r="B323" s="31" t="inlineStr">
        <is>
          <t>Sona BLW Precision Forgings Ltd</t>
        </is>
      </c>
      <c r="C323" s="31" t="inlineStr">
        <is>
          <t>auto</t>
        </is>
      </c>
      <c r="D323" s="31" t="inlineStr">
        <is>
          <t>auto ancillaries</t>
        </is>
      </c>
      <c r="E323" s="31" t="inlineStr">
        <is>
          <t>largecap</t>
        </is>
      </c>
      <c r="F323" s="31" t="n">
        <v>38601.15</v>
      </c>
      <c r="G323" s="31" t="n">
        <v>619.9</v>
      </c>
      <c r="H323" s="31" t="n">
        <v>-0.14</v>
      </c>
      <c r="I323" s="31" t="n">
        <v>1987997</v>
      </c>
      <c r="J323" s="31" t="inlineStr">
        <is>
          <t>543300</t>
        </is>
      </c>
    </row>
    <row r="324">
      <c r="A324" s="31" t="inlineStr">
        <is>
          <t>HCC</t>
        </is>
      </c>
      <c r="B324" s="31" t="inlineStr">
        <is>
          <t>Hindustan Construction Company Limited</t>
        </is>
      </c>
      <c r="C324" s="31" t="inlineStr">
        <is>
          <t>realty</t>
        </is>
      </c>
      <c r="D324" s="31" t="inlineStr">
        <is>
          <t>construction</t>
        </is>
      </c>
      <c r="E324" s="31" t="inlineStr">
        <is>
          <t>midcap</t>
        </is>
      </c>
      <c r="F324" s="31" t="n">
        <v>6729.41</v>
      </c>
      <c r="G324" s="31" t="n">
        <v>25.65</v>
      </c>
      <c r="H324" s="31" t="n">
        <v>-0.16</v>
      </c>
      <c r="I324" s="31" t="n">
        <v>24365373</v>
      </c>
      <c r="J324" s="31" t="inlineStr">
        <is>
          <t>500185</t>
        </is>
      </c>
    </row>
    <row r="325">
      <c r="A325" s="31" t="inlineStr">
        <is>
          <t>JAYBARMARU</t>
        </is>
      </c>
      <c r="B325" s="31" t="inlineStr">
        <is>
          <t>Jay Bharat Maruti Limited</t>
        </is>
      </c>
      <c r="C325" s="31" t="inlineStr">
        <is>
          <t>auto</t>
        </is>
      </c>
      <c r="D325" s="31" t="inlineStr">
        <is>
          <t>auto ancillaries</t>
        </is>
      </c>
      <c r="E325" s="31" t="inlineStr">
        <is>
          <t>smallcap</t>
        </is>
      </c>
      <c r="F325" s="31" t="n">
        <v>1855.19</v>
      </c>
      <c r="G325" s="31" t="n">
        <v>171.1</v>
      </c>
      <c r="H325" s="31" t="n">
        <v>-0.16</v>
      </c>
      <c r="I325" s="31" t="n">
        <v>669311</v>
      </c>
      <c r="J325" s="31" t="inlineStr">
        <is>
          <t>520066</t>
        </is>
      </c>
    </row>
    <row r="326">
      <c r="A326" s="31" t="inlineStr">
        <is>
          <t>MAHLIFE</t>
        </is>
      </c>
      <c r="B326" s="31" t="inlineStr">
        <is>
          <t>Mahindra Lifespace Developers Limited</t>
        </is>
      </c>
      <c r="C326" s="31" t="inlineStr">
        <is>
          <t>realty</t>
        </is>
      </c>
      <c r="D326" s="31" t="inlineStr">
        <is>
          <t>construction</t>
        </is>
      </c>
      <c r="E326" s="31" t="inlineStr">
        <is>
          <t>midcap</t>
        </is>
      </c>
      <c r="F326" s="31" t="n">
        <v>7830.74</v>
      </c>
      <c r="G326" s="31" t="n">
        <v>366.45</v>
      </c>
      <c r="H326" s="31" t="n">
        <v>-0.16</v>
      </c>
      <c r="I326" s="31" t="n">
        <v>179066</v>
      </c>
      <c r="J326" s="31" t="inlineStr">
        <is>
          <t>532313</t>
        </is>
      </c>
    </row>
    <row r="327">
      <c r="A327" s="31" t="inlineStr">
        <is>
          <t>ORIENTHOT</t>
        </is>
      </c>
      <c r="B327" s="31" t="inlineStr">
        <is>
          <t>Oriental Hotels Limited</t>
        </is>
      </c>
      <c r="C327" s="31" t="inlineStr">
        <is>
          <t>services</t>
        </is>
      </c>
      <c r="D327" s="31" t="inlineStr">
        <is>
          <t>hotels</t>
        </is>
      </c>
      <c r="E327" s="31" t="inlineStr">
        <is>
          <t>smallcap</t>
        </is>
      </c>
      <c r="F327" s="31" t="n">
        <v>2520.57</v>
      </c>
      <c r="G327" s="31" t="n">
        <v>140.88</v>
      </c>
      <c r="H327" s="31" t="n">
        <v>-0.18</v>
      </c>
      <c r="I327" s="31" t="n">
        <v>357999</v>
      </c>
      <c r="J327" s="31" t="inlineStr">
        <is>
          <t>500314</t>
        </is>
      </c>
    </row>
    <row r="328">
      <c r="A328" s="31" t="inlineStr">
        <is>
          <t>CERA</t>
        </is>
      </c>
      <c r="B328" s="31" t="inlineStr">
        <is>
          <t>Cera Sanitaryware Limited</t>
        </is>
      </c>
      <c r="C328" s="31" t="inlineStr">
        <is>
          <t>building materials</t>
        </is>
      </c>
      <c r="D328" s="31" t="inlineStr">
        <is>
          <t>ceramics - tiles / sanitaryware</t>
        </is>
      </c>
      <c r="E328" s="31" t="inlineStr">
        <is>
          <t>midcap</t>
        </is>
      </c>
      <c r="F328" s="31" t="n">
        <v>8336.33</v>
      </c>
      <c r="G328" s="31" t="n">
        <v>6450.5</v>
      </c>
      <c r="H328" s="31" t="n">
        <v>-0.2</v>
      </c>
      <c r="I328" s="31" t="n">
        <v>7256</v>
      </c>
      <c r="J328" s="31" t="inlineStr">
        <is>
          <t>532443</t>
        </is>
      </c>
    </row>
    <row r="329">
      <c r="A329" s="31" t="inlineStr">
        <is>
          <t>CYIENTDLM</t>
        </is>
      </c>
      <c r="B329" s="31" t="inlineStr">
        <is>
          <t>Cyient DLM Ltd</t>
        </is>
      </c>
      <c r="C329" s="31" t="inlineStr">
        <is>
          <t>consumer discretionary</t>
        </is>
      </c>
      <c r="D329" s="31" t="inlineStr">
        <is>
          <t>electronics - components</t>
        </is>
      </c>
      <c r="E329" s="31" t="inlineStr">
        <is>
          <t>smallcap</t>
        </is>
      </c>
      <c r="F329" s="31" t="n">
        <v>3660.68</v>
      </c>
      <c r="G329" s="31" t="n">
        <v>460.3</v>
      </c>
      <c r="H329" s="31" t="n">
        <v>-0.21</v>
      </c>
      <c r="I329" s="31" t="n">
        <v>155061</v>
      </c>
      <c r="J329" s="31" t="inlineStr">
        <is>
          <t>543933</t>
        </is>
      </c>
    </row>
    <row r="330">
      <c r="A330" s="31" t="inlineStr">
        <is>
          <t>NAZARA</t>
        </is>
      </c>
      <c r="B330" s="31" t="inlineStr">
        <is>
          <t>Nazara Technologies Ltd</t>
        </is>
      </c>
      <c r="C330" s="31" t="inlineStr">
        <is>
          <t>i.t</t>
        </is>
      </c>
      <c r="D330" s="31" t="inlineStr">
        <is>
          <t>telecommunications - service provider</t>
        </is>
      </c>
      <c r="E330" s="31" t="inlineStr">
        <is>
          <t>midcap</t>
        </is>
      </c>
      <c r="F330" s="31" t="n">
        <v>11252.88</v>
      </c>
      <c r="G330" s="31" t="n">
        <v>303.1</v>
      </c>
      <c r="H330" s="31" t="n">
        <v>-0.21</v>
      </c>
      <c r="I330" s="31" t="n">
        <v>3953683</v>
      </c>
      <c r="J330" s="31" t="inlineStr">
        <is>
          <t>543280</t>
        </is>
      </c>
    </row>
    <row r="331">
      <c r="A331" s="31" t="inlineStr">
        <is>
          <t>FAZE3Q</t>
        </is>
      </c>
      <c r="B331" s="31" t="inlineStr">
        <is>
          <t>Faze Three Ltd</t>
        </is>
      </c>
      <c r="C331" s="31" t="inlineStr">
        <is>
          <t>textiles</t>
        </is>
      </c>
      <c r="D331" s="31" t="inlineStr">
        <is>
          <t>textiles - processing</t>
        </is>
      </c>
      <c r="E331" s="31" t="inlineStr">
        <is>
          <t>smallcap</t>
        </is>
      </c>
      <c r="F331" s="31" t="n">
        <v>1469.48</v>
      </c>
      <c r="G331" s="31" t="n">
        <v>602.9</v>
      </c>
      <c r="H331" s="31" t="n">
        <v>-0.22</v>
      </c>
      <c r="I331" s="31" t="n">
        <v>14133</v>
      </c>
      <c r="J331" s="31" t="inlineStr">
        <is>
          <t>530079</t>
        </is>
      </c>
    </row>
    <row r="332">
      <c r="A332" s="31" t="inlineStr">
        <is>
          <t>GEOJITFSL</t>
        </is>
      </c>
      <c r="B332" s="31" t="inlineStr">
        <is>
          <t>Geojit Financial Services Ltd</t>
        </is>
      </c>
      <c r="C332" s="31" t="inlineStr">
        <is>
          <t>financials</t>
        </is>
      </c>
      <c r="D332" s="31" t="inlineStr">
        <is>
          <t>finance &amp; investments</t>
        </is>
      </c>
      <c r="E332" s="31" t="inlineStr">
        <is>
          <t>smallcap</t>
        </is>
      </c>
      <c r="F332" s="31" t="n">
        <v>2153.99</v>
      </c>
      <c r="G332" s="31" t="n">
        <v>77</v>
      </c>
      <c r="H332" s="31" t="n">
        <v>-0.22</v>
      </c>
      <c r="I332" s="31" t="n">
        <v>171518</v>
      </c>
      <c r="J332" s="31" t="inlineStr">
        <is>
          <t>532285</t>
        </is>
      </c>
    </row>
    <row r="333">
      <c r="A333" s="31" t="inlineStr">
        <is>
          <t>MANGLMCEM</t>
        </is>
      </c>
      <c r="B333" s="31" t="inlineStr">
        <is>
          <t>Mangalam Cement Limited</t>
        </is>
      </c>
      <c r="C333" s="31" t="inlineStr">
        <is>
          <t>building materials</t>
        </is>
      </c>
      <c r="D333" s="31" t="inlineStr">
        <is>
          <t>cement - north india</t>
        </is>
      </c>
      <c r="E333" s="31" t="inlineStr">
        <is>
          <t>smallcap</t>
        </is>
      </c>
      <c r="F333" s="31" t="n">
        <v>2508.3</v>
      </c>
      <c r="G333" s="31" t="n">
        <v>909.95</v>
      </c>
      <c r="H333" s="31" t="n">
        <v>-0.25</v>
      </c>
      <c r="I333" s="31" t="n">
        <v>20075</v>
      </c>
      <c r="J333" s="31" t="inlineStr">
        <is>
          <t>502157</t>
        </is>
      </c>
    </row>
    <row r="334">
      <c r="A334" s="31" t="inlineStr">
        <is>
          <t>AKUMS</t>
        </is>
      </c>
      <c r="B334" s="31" t="inlineStr">
        <is>
          <t>Akums Drugs &amp; Pharmaceuticals Ltd</t>
        </is>
      </c>
      <c r="C334" s="31" t="inlineStr">
        <is>
          <t>healthcare</t>
        </is>
      </c>
      <c r="D334" s="31" t="inlineStr">
        <is>
          <t>pharmaceuticals - indian - bulk drugs &amp; formln</t>
        </is>
      </c>
      <c r="E334" s="31" t="inlineStr">
        <is>
          <t>midcap</t>
        </is>
      </c>
      <c r="F334" s="31" t="n">
        <v>9831.620000000001</v>
      </c>
      <c r="G334" s="31" t="n">
        <v>623</v>
      </c>
      <c r="H334" s="31" t="n">
        <v>-0.26</v>
      </c>
      <c r="I334" s="31" t="n">
        <v>337198</v>
      </c>
      <c r="J334" s="31" t="inlineStr">
        <is>
          <t>544222</t>
        </is>
      </c>
    </row>
    <row r="335">
      <c r="A335" s="31" t="inlineStr">
        <is>
          <t>NHPC</t>
        </is>
      </c>
      <c r="B335" s="31" t="inlineStr">
        <is>
          <t>Nhpc Limited</t>
        </is>
      </c>
      <c r="C335" s="31" t="inlineStr">
        <is>
          <t>power &amp; utilities</t>
        </is>
      </c>
      <c r="D335" s="31" t="inlineStr">
        <is>
          <t>power generation and supply</t>
        </is>
      </c>
      <c r="E335" s="31" t="inlineStr">
        <is>
          <t>largecap</t>
        </is>
      </c>
      <c r="F335" s="31" t="n">
        <v>81937.35000000001</v>
      </c>
      <c r="G335" s="31" t="n">
        <v>81.33</v>
      </c>
      <c r="H335" s="31" t="n">
        <v>-0.29</v>
      </c>
      <c r="I335" s="31" t="n">
        <v>20941481</v>
      </c>
      <c r="J335" s="31" t="inlineStr">
        <is>
          <t>533098</t>
        </is>
      </c>
    </row>
    <row r="336">
      <c r="A336" s="31" t="inlineStr">
        <is>
          <t>WANBURY</t>
        </is>
      </c>
      <c r="B336" s="31" t="inlineStr">
        <is>
          <t>Wanbury Limited</t>
        </is>
      </c>
      <c r="C336" s="31" t="inlineStr">
        <is>
          <t>healthcare</t>
        </is>
      </c>
      <c r="D336" s="31" t="inlineStr">
        <is>
          <t>pharmaceuticals - indian - bulk drugs &amp; formln</t>
        </is>
      </c>
      <c r="E336" s="31" t="inlineStr">
        <is>
          <t>smallcap</t>
        </is>
      </c>
      <c r="F336" s="31" t="n">
        <v>984.24</v>
      </c>
      <c r="G336" s="31" t="n">
        <v>280.85</v>
      </c>
      <c r="H336" s="31" t="n">
        <v>-0.3</v>
      </c>
      <c r="I336" s="31" t="n">
        <v>228997</v>
      </c>
      <c r="J336" s="31" t="inlineStr">
        <is>
          <t>524212</t>
        </is>
      </c>
    </row>
    <row r="337">
      <c r="A337" s="31" t="inlineStr">
        <is>
          <t>MGEL</t>
        </is>
      </c>
      <c r="B337" s="31" t="inlineStr">
        <is>
          <t>Mangalam Global Enterprise Ltd</t>
        </is>
      </c>
      <c r="C337" s="31" t="inlineStr">
        <is>
          <t>services</t>
        </is>
      </c>
      <c r="D337" s="31" t="inlineStr">
        <is>
          <t>trading</t>
        </is>
      </c>
      <c r="E337" s="31" t="inlineStr">
        <is>
          <t>smallcap</t>
        </is>
      </c>
      <c r="F337" s="31" t="n">
        <v>527.29</v>
      </c>
      <c r="G337" s="31" t="n">
        <v>15.95</v>
      </c>
      <c r="H337" s="31" t="n">
        <v>-0.31</v>
      </c>
      <c r="I337" s="31" t="n">
        <v>116840</v>
      </c>
      <c r="J337" s="31" t="inlineStr">
        <is>
          <t>535349</t>
        </is>
      </c>
    </row>
    <row r="338">
      <c r="A338" s="31" t="inlineStr">
        <is>
          <t>JBCHEPHARM</t>
        </is>
      </c>
      <c r="B338" s="31" t="inlineStr">
        <is>
          <t>Jb Chemicals &amp; Pharmaceuticals Limited</t>
        </is>
      </c>
      <c r="C338" s="31" t="inlineStr">
        <is>
          <t>healthcare</t>
        </is>
      </c>
      <c r="D338" s="31" t="inlineStr">
        <is>
          <t>pharmaceuticals - indian - bulk drugs &amp; formln</t>
        </is>
      </c>
      <c r="E338" s="31" t="inlineStr">
        <is>
          <t>largecap</t>
        </is>
      </c>
      <c r="F338" s="31" t="n">
        <v>36979.88</v>
      </c>
      <c r="G338" s="31" t="n">
        <v>2295.9</v>
      </c>
      <c r="H338" s="31" t="n">
        <v>-0.32</v>
      </c>
      <c r="I338" s="31" t="n">
        <v>533954</v>
      </c>
      <c r="J338" s="31" t="inlineStr">
        <is>
          <t>506943</t>
        </is>
      </c>
    </row>
    <row r="339">
      <c r="A339" s="31" t="inlineStr">
        <is>
          <t>PREMEXPLN</t>
        </is>
      </c>
      <c r="B339" s="31" t="inlineStr">
        <is>
          <t>Premier Explosives Limited</t>
        </is>
      </c>
      <c r="C339" s="31" t="inlineStr">
        <is>
          <t>aerospace &amp; defence</t>
        </is>
      </c>
      <c r="D339" s="31" t="inlineStr">
        <is>
          <t>chemicals</t>
        </is>
      </c>
      <c r="E339" s="31" t="inlineStr">
        <is>
          <t>smallcap</t>
        </is>
      </c>
      <c r="F339" s="31" t="n">
        <v>4346.59</v>
      </c>
      <c r="G339" s="31" t="n">
        <v>805.95</v>
      </c>
      <c r="H339" s="31" t="n">
        <v>-0.32</v>
      </c>
      <c r="I339" s="31" t="n">
        <v>1465570</v>
      </c>
      <c r="J339" s="31" t="inlineStr">
        <is>
          <t>526247</t>
        </is>
      </c>
    </row>
    <row r="340">
      <c r="A340" s="31" t="inlineStr">
        <is>
          <t>RECLTD</t>
        </is>
      </c>
      <c r="B340" s="31" t="inlineStr">
        <is>
          <t>REC Ltd</t>
        </is>
      </c>
      <c r="C340" s="31" t="inlineStr">
        <is>
          <t>financials</t>
        </is>
      </c>
      <c r="D340" s="31" t="inlineStr">
        <is>
          <t>finance - term-lending institutions</t>
        </is>
      </c>
      <c r="E340" s="31" t="inlineStr">
        <is>
          <t>largecap</t>
        </is>
      </c>
      <c r="F340" s="31" t="n">
        <v>96099.50999999999</v>
      </c>
      <c r="G340" s="31" t="n">
        <v>363.8</v>
      </c>
      <c r="H340" s="31" t="n">
        <v>-0.32</v>
      </c>
      <c r="I340" s="31" t="n">
        <v>10341586</v>
      </c>
      <c r="J340" s="31" t="inlineStr">
        <is>
          <t>532955</t>
        </is>
      </c>
    </row>
    <row r="341">
      <c r="A341" s="31" t="inlineStr">
        <is>
          <t>CGPOWER</t>
        </is>
      </c>
      <c r="B341" s="31" t="inlineStr">
        <is>
          <t>CG Power and Industrial Solutions Ltd</t>
        </is>
      </c>
      <c r="C341" s="31" t="inlineStr">
        <is>
          <t>industrials</t>
        </is>
      </c>
      <c r="D341" s="31" t="inlineStr">
        <is>
          <t>electric equipment</t>
        </is>
      </c>
      <c r="E341" s="31" t="inlineStr">
        <is>
          <t>largecap</t>
        </is>
      </c>
      <c r="F341" s="31" t="n">
        <v>150601.84</v>
      </c>
      <c r="G341" s="31" t="n">
        <v>952.15</v>
      </c>
      <c r="H341" s="31" t="n">
        <v>-0.43</v>
      </c>
      <c r="I341" s="31" t="n">
        <v>3299735</v>
      </c>
      <c r="J341" s="31" t="inlineStr">
        <is>
          <t>500093</t>
        </is>
      </c>
    </row>
    <row r="342">
      <c r="A342" s="31" t="inlineStr">
        <is>
          <t>WOCKPHARMA</t>
        </is>
      </c>
      <c r="B342" s="31" t="inlineStr">
        <is>
          <t>Wockhardt Limited</t>
        </is>
      </c>
      <c r="C342" s="31" t="inlineStr">
        <is>
          <t>healthcare</t>
        </is>
      </c>
      <c r="D342" s="31" t="inlineStr">
        <is>
          <t>pharmaceuticals - indian - bulk drugs &amp; formln</t>
        </is>
      </c>
      <c r="E342" s="31" t="inlineStr">
        <is>
          <t>largecap</t>
        </is>
      </c>
      <c r="F342" s="31" t="n">
        <v>31681.1</v>
      </c>
      <c r="G342" s="31" t="n">
        <v>1941.4</v>
      </c>
      <c r="H342" s="31" t="n">
        <v>-0.43</v>
      </c>
      <c r="I342" s="31" t="n">
        <v>623032</v>
      </c>
      <c r="J342" s="31" t="inlineStr">
        <is>
          <t>532300</t>
        </is>
      </c>
    </row>
    <row r="343">
      <c r="A343" s="31" t="inlineStr">
        <is>
          <t>PIDILITIND</t>
        </is>
      </c>
      <c r="B343" s="31" t="inlineStr">
        <is>
          <t>Pidilite Industries Limited</t>
        </is>
      </c>
      <c r="C343" s="31" t="inlineStr">
        <is>
          <t>chemicals</t>
        </is>
      </c>
      <c r="D343" s="31" t="inlineStr">
        <is>
          <t>chemicals</t>
        </is>
      </c>
      <c r="E343" s="31" t="inlineStr">
        <is>
          <t>largecap</t>
        </is>
      </c>
      <c r="F343" s="31" t="n">
        <v>162801.9</v>
      </c>
      <c r="G343" s="31" t="n">
        <v>1592.7</v>
      </c>
      <c r="H343" s="31" t="n">
        <v>-0.43</v>
      </c>
      <c r="I343" s="31" t="n">
        <v>1080728</v>
      </c>
      <c r="J343" s="31" t="inlineStr">
        <is>
          <t>500331</t>
        </is>
      </c>
    </row>
    <row r="344">
      <c r="A344" s="31" t="inlineStr">
        <is>
          <t>MARICO</t>
        </is>
      </c>
      <c r="B344" s="31" t="inlineStr">
        <is>
          <t>Marico Limited</t>
        </is>
      </c>
      <c r="C344" s="31" t="inlineStr">
        <is>
          <t>fmcg</t>
        </is>
      </c>
      <c r="D344" s="31" t="inlineStr">
        <is>
          <t>solvent extraction</t>
        </is>
      </c>
      <c r="E344" s="31" t="inlineStr">
        <is>
          <t>largecap</t>
        </is>
      </c>
      <c r="F344" s="31" t="n">
        <v>109038.02</v>
      </c>
      <c r="G344" s="31" t="n">
        <v>836.25</v>
      </c>
      <c r="H344" s="31" t="n">
        <v>-0.44</v>
      </c>
      <c r="I344" s="31" t="n">
        <v>3911274</v>
      </c>
      <c r="J344" s="31" t="inlineStr">
        <is>
          <t>531642</t>
        </is>
      </c>
    </row>
    <row r="345">
      <c r="A345" s="31" t="inlineStr">
        <is>
          <t>NAM-INDIA</t>
        </is>
      </c>
      <c r="B345" s="31" t="inlineStr">
        <is>
          <t>Nippon Life India Asset Management Ltd</t>
        </is>
      </c>
      <c r="C345" s="31" t="inlineStr">
        <is>
          <t>financials</t>
        </is>
      </c>
      <c r="D345" s="31" t="inlineStr">
        <is>
          <t>finance &amp; investments</t>
        </is>
      </c>
      <c r="E345" s="31" t="inlineStr">
        <is>
          <t>largecap</t>
        </is>
      </c>
      <c r="F345" s="31" t="n">
        <v>74487.28</v>
      </c>
      <c r="G345" s="31" t="n">
        <v>1162</v>
      </c>
      <c r="H345" s="31" t="n">
        <v>-0.45</v>
      </c>
      <c r="I345" s="31" t="n">
        <v>854960</v>
      </c>
      <c r="J345" s="31" t="inlineStr">
        <is>
          <t>540767</t>
        </is>
      </c>
    </row>
    <row r="346">
      <c r="A346" s="31" t="inlineStr">
        <is>
          <t>SOUTHBANK</t>
        </is>
      </c>
      <c r="B346" s="31" t="inlineStr">
        <is>
          <t>The South Indian Bank Limited</t>
        </is>
      </c>
      <c r="C346" s="31" t="inlineStr">
        <is>
          <t>bank</t>
        </is>
      </c>
      <c r="D346" s="31" t="inlineStr">
        <is>
          <t>banks - private sector</t>
        </is>
      </c>
      <c r="E346" s="31" t="inlineStr">
        <is>
          <t>midcap</t>
        </is>
      </c>
      <c r="F346" s="31" t="n">
        <v>11998.93</v>
      </c>
      <c r="G346" s="31" t="n">
        <v>45.63</v>
      </c>
      <c r="H346" s="31" t="n">
        <v>-0.46</v>
      </c>
      <c r="I346" s="31" t="n">
        <v>13306571</v>
      </c>
      <c r="J346" s="31" t="inlineStr">
        <is>
          <t>532218</t>
        </is>
      </c>
    </row>
    <row r="347">
      <c r="A347" s="31" t="inlineStr">
        <is>
          <t>STOVEKRAFT</t>
        </is>
      </c>
      <c r="B347" s="31" t="inlineStr">
        <is>
          <t>Stove Kraft Ltd</t>
        </is>
      </c>
      <c r="C347" s="31" t="inlineStr">
        <is>
          <t>consumer discretionary</t>
        </is>
      </c>
      <c r="D347" s="31" t="inlineStr">
        <is>
          <t>domestic appliances</t>
        </is>
      </c>
      <c r="E347" s="31" t="inlineStr">
        <is>
          <t>smallcap</t>
        </is>
      </c>
      <c r="F347" s="31" t="n">
        <v>2578.23</v>
      </c>
      <c r="G347" s="31" t="n">
        <v>775</v>
      </c>
      <c r="H347" s="31" t="n">
        <v>-0.48</v>
      </c>
      <c r="I347" s="31" t="n">
        <v>125574</v>
      </c>
      <c r="J347" s="31" t="inlineStr">
        <is>
          <t>543260</t>
        </is>
      </c>
    </row>
    <row r="348">
      <c r="A348" s="31" t="inlineStr">
        <is>
          <t>BORORENEW</t>
        </is>
      </c>
      <c r="B348" s="31" t="inlineStr">
        <is>
          <t>Borosil Renewables Ltd</t>
        </is>
      </c>
      <c r="C348" s="31" t="inlineStr">
        <is>
          <t>building materials</t>
        </is>
      </c>
      <c r="D348" s="31" t="inlineStr">
        <is>
          <t>glass &amp; glass products</t>
        </is>
      </c>
      <c r="E348" s="31" t="inlineStr">
        <is>
          <t>midcap</t>
        </is>
      </c>
      <c r="F348" s="31" t="n">
        <v>8483.530000000001</v>
      </c>
      <c r="G348" s="31" t="n">
        <v>602.25</v>
      </c>
      <c r="H348" s="31" t="n">
        <v>-0.48</v>
      </c>
      <c r="I348" s="31" t="n">
        <v>298694</v>
      </c>
      <c r="J348" s="31" t="inlineStr">
        <is>
          <t>502219</t>
        </is>
      </c>
    </row>
    <row r="349">
      <c r="A349" s="31" t="inlineStr">
        <is>
          <t>LT</t>
        </is>
      </c>
      <c r="B349" s="31" t="inlineStr">
        <is>
          <t>Larsen &amp; Toubro Limited</t>
        </is>
      </c>
      <c r="C349" s="31" t="inlineStr">
        <is>
          <t>realty</t>
        </is>
      </c>
      <c r="D349" s="31" t="inlineStr">
        <is>
          <t>engineering - turnkey services</t>
        </is>
      </c>
      <c r="E349" s="31" t="inlineStr">
        <is>
          <t>largecap</t>
        </is>
      </c>
      <c r="F349" s="31" t="n">
        <v>572978.3199999999</v>
      </c>
      <c r="G349" s="31" t="n">
        <v>4143.4</v>
      </c>
      <c r="H349" s="31" t="n">
        <v>-0.52</v>
      </c>
      <c r="I349" s="31" t="n">
        <v>1539100</v>
      </c>
      <c r="J349" s="31" t="inlineStr">
        <is>
          <t>500510</t>
        </is>
      </c>
    </row>
    <row r="350">
      <c r="A350" s="31" t="inlineStr">
        <is>
          <t>JSWENERGY</t>
        </is>
      </c>
      <c r="B350" s="31" t="inlineStr">
        <is>
          <t>Jsw Energy Limited</t>
        </is>
      </c>
      <c r="C350" s="31" t="inlineStr">
        <is>
          <t>power &amp; utilities</t>
        </is>
      </c>
      <c r="D350" s="31" t="inlineStr">
        <is>
          <t>power generation and supply</t>
        </is>
      </c>
      <c r="E350" s="31" t="inlineStr">
        <is>
          <t>largecap</t>
        </is>
      </c>
      <c r="F350" s="31" t="n">
        <v>107487.93</v>
      </c>
      <c r="G350" s="31" t="n">
        <v>583.15</v>
      </c>
      <c r="H350" s="31" t="n">
        <v>-0.53</v>
      </c>
      <c r="I350" s="31" t="n">
        <v>4361565</v>
      </c>
      <c r="J350" s="31" t="inlineStr">
        <is>
          <t>533148</t>
        </is>
      </c>
    </row>
    <row r="351">
      <c r="A351" s="31" t="inlineStr">
        <is>
          <t>STEELXIND</t>
        </is>
      </c>
      <c r="B351" s="31" t="inlineStr">
        <is>
          <t>Steel Exchange India Ltd</t>
        </is>
      </c>
      <c r="C351" s="31" t="inlineStr">
        <is>
          <t>metals &amp; mining</t>
        </is>
      </c>
      <c r="D351" s="31" t="inlineStr">
        <is>
          <t>steel - medium / small</t>
        </is>
      </c>
      <c r="E351" s="31" t="inlineStr">
        <is>
          <t>smallcap</t>
        </is>
      </c>
      <c r="F351" s="31" t="n">
        <v>1607.15</v>
      </c>
      <c r="G351" s="31" t="n">
        <v>12.53</v>
      </c>
      <c r="H351" s="31" t="n">
        <v>-0.5600000000000001</v>
      </c>
      <c r="I351" s="31" t="n">
        <v>1934820</v>
      </c>
      <c r="J351" s="31" t="inlineStr">
        <is>
          <t>534748</t>
        </is>
      </c>
    </row>
    <row r="352">
      <c r="A352" s="31" t="inlineStr">
        <is>
          <t>GNFC</t>
        </is>
      </c>
      <c r="B352" s="31" t="inlineStr">
        <is>
          <t>Gujarat Narmada Valley Fertilizers And Chemicals Limited</t>
        </is>
      </c>
      <c r="C352" s="31" t="inlineStr">
        <is>
          <t>chemicals</t>
        </is>
      </c>
      <c r="D352" s="31" t="inlineStr">
        <is>
          <t>chemicals</t>
        </is>
      </c>
      <c r="E352" s="31" t="inlineStr">
        <is>
          <t>midcap</t>
        </is>
      </c>
      <c r="F352" s="31" t="n">
        <v>8029.57</v>
      </c>
      <c r="G352" s="31" t="n">
        <v>543.4</v>
      </c>
      <c r="H352" s="31" t="n">
        <v>-0.5600000000000001</v>
      </c>
      <c r="I352" s="31" t="n">
        <v>252370</v>
      </c>
      <c r="J352" s="31" t="inlineStr">
        <is>
          <t>500670</t>
        </is>
      </c>
    </row>
    <row r="353">
      <c r="A353" s="31" t="inlineStr">
        <is>
          <t>ANANDRATHI</t>
        </is>
      </c>
      <c r="B353" s="31" t="inlineStr">
        <is>
          <t>Anand Rathi Wealth Ltd</t>
        </is>
      </c>
      <c r="C353" s="31" t="inlineStr">
        <is>
          <t>financials</t>
        </is>
      </c>
      <c r="D353" s="31" t="inlineStr">
        <is>
          <t>finance &amp; investments</t>
        </is>
      </c>
      <c r="E353" s="31" t="inlineStr">
        <is>
          <t>largecap</t>
        </is>
      </c>
      <c r="F353" s="31" t="n">
        <v>33020.63</v>
      </c>
      <c r="G353" s="31" t="n">
        <v>1976.7</v>
      </c>
      <c r="H353" s="31" t="n">
        <v>-0.6</v>
      </c>
      <c r="I353" s="31" t="n">
        <v>549720</v>
      </c>
      <c r="J353" s="31" t="inlineStr">
        <is>
          <t>543415</t>
        </is>
      </c>
    </row>
    <row r="354">
      <c r="A354" s="31" t="inlineStr">
        <is>
          <t>GREENLAM</t>
        </is>
      </c>
      <c r="B354" s="31" t="inlineStr">
        <is>
          <t>Greenlam Industries Limited</t>
        </is>
      </c>
      <c r="C354" s="31" t="inlineStr">
        <is>
          <t>building materials</t>
        </is>
      </c>
      <c r="D354" s="31" t="inlineStr">
        <is>
          <t>miscellaneous</t>
        </is>
      </c>
      <c r="E354" s="31" t="inlineStr">
        <is>
          <t>midcap</t>
        </is>
      </c>
      <c r="F354" s="31" t="n">
        <v>6626.44</v>
      </c>
      <c r="G354" s="31" t="n">
        <v>258</v>
      </c>
      <c r="H354" s="31" t="n">
        <v>-0.66</v>
      </c>
      <c r="I354" s="31" t="n">
        <v>39852</v>
      </c>
      <c r="J354" s="31" t="inlineStr">
        <is>
          <t>538979</t>
        </is>
      </c>
    </row>
    <row r="355">
      <c r="A355" s="31" t="inlineStr">
        <is>
          <t>SUNPHARMA</t>
        </is>
      </c>
      <c r="B355" s="31" t="inlineStr">
        <is>
          <t>Sun Pharmaceuticals Industries Limited</t>
        </is>
      </c>
      <c r="C355" s="31" t="inlineStr">
        <is>
          <t>healthcare</t>
        </is>
      </c>
      <c r="D355" s="31" t="inlineStr">
        <is>
          <t>pharmaceuticals - indian - bulk drugs &amp; formln</t>
        </is>
      </c>
      <c r="E355" s="31" t="inlineStr">
        <is>
          <t>largecap</t>
        </is>
      </c>
      <c r="F355" s="31" t="n">
        <v>449827.32</v>
      </c>
      <c r="G355" s="31" t="n">
        <v>1862.5</v>
      </c>
      <c r="H355" s="31" t="n">
        <v>-0.66</v>
      </c>
      <c r="I355" s="31" t="n">
        <v>2352774</v>
      </c>
      <c r="J355" s="31" t="inlineStr">
        <is>
          <t>524715</t>
        </is>
      </c>
    </row>
    <row r="356">
      <c r="A356" s="31" t="inlineStr">
        <is>
          <t>LLOYDSENGG</t>
        </is>
      </c>
      <c r="B356" s="31" t="inlineStr">
        <is>
          <t>Lloyds Engineering Works Ltd</t>
        </is>
      </c>
      <c r="C356" s="31" t="inlineStr">
        <is>
          <t>industrials</t>
        </is>
      </c>
      <c r="D356" s="31" t="inlineStr">
        <is>
          <t>engineering</t>
        </is>
      </c>
      <c r="E356" s="31" t="inlineStr">
        <is>
          <t>midcap</t>
        </is>
      </c>
      <c r="F356" s="31" t="n">
        <v>12893</v>
      </c>
      <c r="G356" s="31" t="n">
        <v>86.53</v>
      </c>
      <c r="H356" s="31" t="n">
        <v>-0.67</v>
      </c>
      <c r="I356" s="31" t="n">
        <v>11458577</v>
      </c>
      <c r="J356" s="31" t="inlineStr">
        <is>
          <t>539992</t>
        </is>
      </c>
    </row>
    <row r="357">
      <c r="A357" s="31" t="inlineStr">
        <is>
          <t>ADANIGREEN</t>
        </is>
      </c>
      <c r="B357" s="31" t="inlineStr">
        <is>
          <t>Adani Green Energy Ltd</t>
        </is>
      </c>
      <c r="C357" s="31" t="inlineStr">
        <is>
          <t>power &amp; utilities</t>
        </is>
      </c>
      <c r="D357" s="31" t="inlineStr">
        <is>
          <t>power generation and supply</t>
        </is>
      </c>
      <c r="E357" s="31" t="inlineStr">
        <is>
          <t>largecap</t>
        </is>
      </c>
      <c r="F357" s="31" t="n">
        <v>247488.22</v>
      </c>
      <c r="G357" s="31" t="n">
        <v>1492.2</v>
      </c>
      <c r="H357" s="31" t="n">
        <v>-0.6899999999999999</v>
      </c>
      <c r="I357" s="31" t="n">
        <v>2679704</v>
      </c>
      <c r="J357" s="31" t="inlineStr">
        <is>
          <t>541450</t>
        </is>
      </c>
    </row>
    <row r="358">
      <c r="A358" s="31" t="inlineStr">
        <is>
          <t>FINEORG</t>
        </is>
      </c>
      <c r="B358" s="31" t="inlineStr">
        <is>
          <t>Fine Organic Industries Ltd</t>
        </is>
      </c>
      <c r="C358" s="31" t="inlineStr">
        <is>
          <t>chemicals</t>
        </is>
      </c>
      <c r="D358" s="31" t="inlineStr">
        <is>
          <t>chemicals</t>
        </is>
      </c>
      <c r="E358" s="31" t="inlineStr">
        <is>
          <t>midcap</t>
        </is>
      </c>
      <c r="F358" s="31" t="n">
        <v>16354.34</v>
      </c>
      <c r="G358" s="31" t="n">
        <v>5295.8</v>
      </c>
      <c r="H358" s="31" t="n">
        <v>-0.72</v>
      </c>
      <c r="I358" s="31" t="n">
        <v>19949</v>
      </c>
      <c r="J358" s="31" t="inlineStr">
        <is>
          <t>541557</t>
        </is>
      </c>
    </row>
    <row r="359">
      <c r="A359" s="31" t="inlineStr">
        <is>
          <t>AADHARHFC</t>
        </is>
      </c>
      <c r="B359" s="31" t="inlineStr">
        <is>
          <t>Aadhar Housing Finance Ltd</t>
        </is>
      </c>
      <c r="C359" s="31" t="inlineStr">
        <is>
          <t>financials</t>
        </is>
      </c>
      <c r="D359" s="31" t="inlineStr">
        <is>
          <t>finance - housing</t>
        </is>
      </c>
      <c r="E359" s="31" t="inlineStr">
        <is>
          <t>largecap</t>
        </is>
      </c>
      <c r="F359" s="31" t="n">
        <v>22602.13</v>
      </c>
      <c r="G359" s="31" t="n">
        <v>515</v>
      </c>
      <c r="H359" s="31" t="n">
        <v>-0.72</v>
      </c>
      <c r="I359" s="31" t="n">
        <v>249335</v>
      </c>
      <c r="J359" s="31" t="inlineStr">
        <is>
          <t>544176</t>
        </is>
      </c>
    </row>
    <row r="360">
      <c r="A360" s="31" t="inlineStr">
        <is>
          <t>RELIGARE</t>
        </is>
      </c>
      <c r="B360" s="31" t="inlineStr">
        <is>
          <t>Religare Enterprises Limited</t>
        </is>
      </c>
      <c r="C360" s="31" t="inlineStr">
        <is>
          <t>financials</t>
        </is>
      </c>
      <c r="D360" s="31" t="inlineStr">
        <is>
          <t>finance &amp; investments</t>
        </is>
      </c>
      <c r="E360" s="31" t="inlineStr">
        <is>
          <t>midcap</t>
        </is>
      </c>
      <c r="F360" s="31" t="n">
        <v>9212.969999999999</v>
      </c>
      <c r="G360" s="31" t="n">
        <v>268.01</v>
      </c>
      <c r="H360" s="31" t="n">
        <v>-0.73</v>
      </c>
      <c r="I360" s="31" t="n">
        <v>605185</v>
      </c>
      <c r="J360" s="31" t="inlineStr">
        <is>
          <t>532915</t>
        </is>
      </c>
    </row>
    <row r="361">
      <c r="A361" s="31" t="inlineStr">
        <is>
          <t>AEROENTER</t>
        </is>
      </c>
      <c r="B361" s="31" t="inlineStr">
        <is>
          <t>Aeroflex Enterprises Ltd</t>
        </is>
      </c>
      <c r="C361" s="31" t="inlineStr">
        <is>
          <t>metals &amp; mining</t>
        </is>
      </c>
      <c r="D361" s="31" t="inlineStr">
        <is>
          <t>steel - medium / small</t>
        </is>
      </c>
      <c r="E361" s="31" t="inlineStr">
        <is>
          <t>smallcap</t>
        </is>
      </c>
      <c r="F361" s="31" t="n">
        <v>1609.2</v>
      </c>
      <c r="G361" s="31" t="n">
        <v>141.25</v>
      </c>
      <c r="H361" s="31" t="n">
        <v>-0.74</v>
      </c>
      <c r="I361" s="31" t="n">
        <v>1364160</v>
      </c>
      <c r="J361" s="31" t="inlineStr">
        <is>
          <t>511076</t>
        </is>
      </c>
    </row>
    <row r="362">
      <c r="A362" s="31" t="inlineStr">
        <is>
          <t>DLINKINDIA</t>
        </is>
      </c>
      <c r="B362" s="31" t="inlineStr">
        <is>
          <t>D-link (india) Limited</t>
        </is>
      </c>
      <c r="C362" s="31" t="inlineStr">
        <is>
          <t>services</t>
        </is>
      </c>
      <c r="D362" s="31" t="inlineStr">
        <is>
          <t>trading</t>
        </is>
      </c>
      <c r="E362" s="31" t="inlineStr">
        <is>
          <t>smallcap</t>
        </is>
      </c>
      <c r="F362" s="31" t="n">
        <v>1840.93</v>
      </c>
      <c r="G362" s="31" t="n">
        <v>514.65</v>
      </c>
      <c r="H362" s="31" t="n">
        <v>-0.74</v>
      </c>
      <c r="I362" s="31" t="n">
        <v>135904</v>
      </c>
      <c r="J362" s="31" t="inlineStr">
        <is>
          <t>533146</t>
        </is>
      </c>
    </row>
    <row r="363">
      <c r="A363" s="31" t="inlineStr">
        <is>
          <t>RBA</t>
        </is>
      </c>
      <c r="B363" s="31" t="inlineStr">
        <is>
          <t>Restaurant Brands Asia Ltd</t>
        </is>
      </c>
      <c r="C363" s="31" t="inlineStr">
        <is>
          <t>consumer discretionary</t>
        </is>
      </c>
      <c r="D363" s="31" t="inlineStr">
        <is>
          <t>hotels</t>
        </is>
      </c>
      <c r="E363" s="31" t="inlineStr">
        <is>
          <t>midcap</t>
        </is>
      </c>
      <c r="F363" s="31" t="n">
        <v>5676.64</v>
      </c>
      <c r="G363" s="31" t="n">
        <v>79.18000000000001</v>
      </c>
      <c r="H363" s="31" t="n">
        <v>-0.76</v>
      </c>
      <c r="I363" s="31" t="n">
        <v>14539586</v>
      </c>
      <c r="J363" s="31" t="inlineStr">
        <is>
          <t>543248</t>
        </is>
      </c>
    </row>
    <row r="364">
      <c r="A364" s="31" t="inlineStr">
        <is>
          <t>ZYDUSLIFE</t>
        </is>
      </c>
      <c r="B364" s="31" t="inlineStr">
        <is>
          <t>Zydus Lifesciences Ltd</t>
        </is>
      </c>
      <c r="C364" s="31" t="inlineStr">
        <is>
          <t>healthcare</t>
        </is>
      </c>
      <c r="D364" s="31" t="inlineStr">
        <is>
          <t>pharmaceuticals - indian - bulk drugs &amp; formln</t>
        </is>
      </c>
      <c r="E364" s="31" t="inlineStr">
        <is>
          <t>largecap</t>
        </is>
      </c>
      <c r="F364" s="31" t="n">
        <v>111850.1</v>
      </c>
      <c r="G364" s="31" t="n">
        <v>1112.6</v>
      </c>
      <c r="H364" s="31" t="n">
        <v>-0.78</v>
      </c>
      <c r="I364" s="31" t="n">
        <v>1698541</v>
      </c>
      <c r="J364" s="31" t="inlineStr">
        <is>
          <t>532321</t>
        </is>
      </c>
    </row>
    <row r="365">
      <c r="A365" s="31" t="inlineStr">
        <is>
          <t>BELRISE</t>
        </is>
      </c>
      <c r="B365" s="31" t="inlineStr">
        <is>
          <t>Belrise Industries Ltd</t>
        </is>
      </c>
      <c r="C365" s="31" t="inlineStr">
        <is>
          <t>auto</t>
        </is>
      </c>
      <c r="D365" s="31" t="inlineStr">
        <is>
          <t>auto ancillaries</t>
        </is>
      </c>
      <c r="E365" s="31" t="inlineStr">
        <is>
          <t>largecap</t>
        </is>
      </c>
      <c r="F365" s="31" t="n">
        <v>21398.04</v>
      </c>
      <c r="G365" s="31" t="n">
        <v>238.57</v>
      </c>
      <c r="H365" s="31" t="n">
        <v>-0.79</v>
      </c>
      <c r="I365" s="31" t="n">
        <v>2782236</v>
      </c>
      <c r="J365" s="31" t="n"/>
    </row>
    <row r="366">
      <c r="A366" s="31" t="inlineStr">
        <is>
          <t>TORNTPHARM</t>
        </is>
      </c>
      <c r="B366" s="31" t="inlineStr">
        <is>
          <t>Torrent Pharmaceuticals Limited</t>
        </is>
      </c>
      <c r="C366" s="31" t="inlineStr">
        <is>
          <t>healthcare</t>
        </is>
      </c>
      <c r="D366" s="31" t="inlineStr">
        <is>
          <t>pharmaceuticals - indian - formulations</t>
        </is>
      </c>
      <c r="E366" s="31" t="inlineStr">
        <is>
          <t>largecap</t>
        </is>
      </c>
      <c r="F366" s="31" t="n">
        <v>157634.35</v>
      </c>
      <c r="G366" s="31" t="n">
        <v>4620.1</v>
      </c>
      <c r="H366" s="31" t="n">
        <v>-0.8100000000000001</v>
      </c>
      <c r="I366" s="31" t="n">
        <v>466125</v>
      </c>
      <c r="J366" s="31" t="inlineStr">
        <is>
          <t>500420</t>
        </is>
      </c>
    </row>
    <row r="367">
      <c r="A367" s="31" t="inlineStr">
        <is>
          <t>AXISBANK</t>
        </is>
      </c>
      <c r="B367" s="31" t="inlineStr">
        <is>
          <t>Axis Bank Limited</t>
        </is>
      </c>
      <c r="C367" s="31" t="inlineStr">
        <is>
          <t>bank</t>
        </is>
      </c>
      <c r="D367" s="31" t="inlineStr">
        <is>
          <t>banks - private sector</t>
        </is>
      </c>
      <c r="E367" s="31" t="inlineStr">
        <is>
          <t>largecap</t>
        </is>
      </c>
      <c r="F367" s="31" t="n">
        <v>421716.86</v>
      </c>
      <c r="G367" s="31" t="n">
        <v>1345.7</v>
      </c>
      <c r="H367" s="31" t="n">
        <v>-0.82</v>
      </c>
      <c r="I367" s="31" t="n">
        <v>7781221</v>
      </c>
      <c r="J367" s="31" t="inlineStr">
        <is>
          <t>532215</t>
        </is>
      </c>
    </row>
    <row r="368">
      <c r="A368" s="31" t="inlineStr">
        <is>
          <t>THELEELA</t>
        </is>
      </c>
      <c r="B368" s="31" t="inlineStr">
        <is>
          <t>Leela Palaces Hotels &amp; Resorts Ltd</t>
        </is>
      </c>
      <c r="C368" s="31" t="inlineStr">
        <is>
          <t>services</t>
        </is>
      </c>
      <c r="D368" s="31" t="inlineStr">
        <is>
          <t>hotels</t>
        </is>
      </c>
      <c r="E368" s="31" t="inlineStr">
        <is>
          <t>midcap</t>
        </is>
      </c>
      <c r="F368" s="31" t="n">
        <v>16011.61</v>
      </c>
      <c r="G368" s="31" t="n">
        <v>475.45</v>
      </c>
      <c r="H368" s="31" t="n">
        <v>-0.83</v>
      </c>
      <c r="I368" s="31" t="n">
        <v>615183</v>
      </c>
      <c r="J368" s="31" t="inlineStr">
        <is>
          <t>544408</t>
        </is>
      </c>
    </row>
    <row r="369">
      <c r="A369" s="31" t="inlineStr">
        <is>
          <t>FINCABLES</t>
        </is>
      </c>
      <c r="B369" s="31" t="inlineStr">
        <is>
          <t>Finolex Cables Limited</t>
        </is>
      </c>
      <c r="C369" s="31" t="inlineStr">
        <is>
          <t>industrials</t>
        </is>
      </c>
      <c r="D369" s="31" t="inlineStr">
        <is>
          <t>cables - power</t>
        </is>
      </c>
      <c r="E369" s="31" t="inlineStr">
        <is>
          <t>midcap</t>
        </is>
      </c>
      <c r="F369" s="31" t="n">
        <v>18034.61</v>
      </c>
      <c r="G369" s="31" t="n">
        <v>1169.4</v>
      </c>
      <c r="H369" s="31" t="n">
        <v>-0.83</v>
      </c>
      <c r="I369" s="31" t="n">
        <v>364667</v>
      </c>
      <c r="J369" s="31" t="inlineStr">
        <is>
          <t>500144</t>
        </is>
      </c>
    </row>
    <row r="370">
      <c r="A370" s="31" t="inlineStr">
        <is>
          <t>SBC</t>
        </is>
      </c>
      <c r="B370" s="31" t="inlineStr">
        <is>
          <t>SBC Exports Ltd</t>
        </is>
      </c>
      <c r="C370" s="31" t="inlineStr">
        <is>
          <t>textiles</t>
        </is>
      </c>
      <c r="D370" s="31" t="inlineStr">
        <is>
          <t>textiles - products</t>
        </is>
      </c>
      <c r="E370" s="31" t="inlineStr">
        <is>
          <t>smallcap</t>
        </is>
      </c>
      <c r="F370" s="31" t="n">
        <v>1988.09</v>
      </c>
      <c r="G370" s="31" t="n">
        <v>41.4</v>
      </c>
      <c r="H370" s="31" t="n">
        <v>-0.84</v>
      </c>
      <c r="I370" s="31" t="n">
        <v>8408991</v>
      </c>
      <c r="J370" s="31" t="inlineStr">
        <is>
          <t>542725</t>
        </is>
      </c>
    </row>
    <row r="371">
      <c r="A371" s="31" t="inlineStr">
        <is>
          <t>INDSWFTLAB</t>
        </is>
      </c>
      <c r="B371" s="31" t="inlineStr">
        <is>
          <t>Ind-swift Laboratories Limited</t>
        </is>
      </c>
      <c r="C371" s="31" t="inlineStr">
        <is>
          <t>healthcare</t>
        </is>
      </c>
      <c r="D371" s="31" t="inlineStr">
        <is>
          <t>pharmaceuticals - indian - bulk drugs &amp; formln</t>
        </is>
      </c>
      <c r="E371" s="31" t="inlineStr">
        <is>
          <t>smallcap</t>
        </is>
      </c>
      <c r="F371" s="31" t="n">
        <v>1782.49</v>
      </c>
      <c r="G371" s="31" t="n">
        <v>203.53</v>
      </c>
      <c r="H371" s="31" t="n">
        <v>-0.85</v>
      </c>
      <c r="I371" s="31" t="n">
        <v>684200</v>
      </c>
      <c r="J371" s="31" t="inlineStr">
        <is>
          <t>532305</t>
        </is>
      </c>
    </row>
    <row r="372">
      <c r="A372" s="31" t="inlineStr">
        <is>
          <t>NCLIND</t>
        </is>
      </c>
      <c r="B372" s="31" t="inlineStr">
        <is>
          <t>Ncl Industries Limited</t>
        </is>
      </c>
      <c r="C372" s="31" t="inlineStr">
        <is>
          <t>building materials</t>
        </is>
      </c>
      <c r="D372" s="31" t="inlineStr">
        <is>
          <t>cement - south india</t>
        </is>
      </c>
      <c r="E372" s="31" t="inlineStr">
        <is>
          <t>smallcap</t>
        </is>
      </c>
      <c r="F372" s="31" t="n">
        <v>878.42</v>
      </c>
      <c r="G372" s="31" t="n">
        <v>192.53</v>
      </c>
      <c r="H372" s="31" t="n">
        <v>-0.86</v>
      </c>
      <c r="I372" s="31" t="n">
        <v>25703</v>
      </c>
      <c r="J372" s="31" t="inlineStr">
        <is>
          <t>502168</t>
        </is>
      </c>
    </row>
    <row r="373">
      <c r="A373" s="31" t="inlineStr">
        <is>
          <t>REPCOHOME</t>
        </is>
      </c>
      <c r="B373" s="31" t="inlineStr">
        <is>
          <t>Repco Home Finance Limited</t>
        </is>
      </c>
      <c r="C373" s="31" t="inlineStr">
        <is>
          <t>financials</t>
        </is>
      </c>
      <c r="D373" s="31" t="inlineStr">
        <is>
          <t>finance - housing</t>
        </is>
      </c>
      <c r="E373" s="31" t="inlineStr">
        <is>
          <t>smallcap</t>
        </is>
      </c>
      <c r="F373" s="31" t="n">
        <v>2636.65</v>
      </c>
      <c r="G373" s="31" t="n">
        <v>417.75</v>
      </c>
      <c r="H373" s="31" t="n">
        <v>-0.88</v>
      </c>
      <c r="I373" s="31" t="n">
        <v>135934</v>
      </c>
      <c r="J373" s="31" t="inlineStr">
        <is>
          <t>535322</t>
        </is>
      </c>
    </row>
    <row r="374">
      <c r="A374" s="31" t="inlineStr">
        <is>
          <t>ICICIBANK</t>
        </is>
      </c>
      <c r="B374" s="31" t="inlineStr">
        <is>
          <t>Icici Bank Limited</t>
        </is>
      </c>
      <c r="C374" s="31" t="inlineStr">
        <is>
          <t>bank</t>
        </is>
      </c>
      <c r="D374" s="31" t="inlineStr">
        <is>
          <t>banks - private sector</t>
        </is>
      </c>
      <c r="E374" s="31" t="inlineStr">
        <is>
          <t>largecap</t>
        </is>
      </c>
      <c r="F374" s="31" t="n">
        <v>993537.22</v>
      </c>
      <c r="G374" s="31" t="n">
        <v>1375.2</v>
      </c>
      <c r="H374" s="31" t="n">
        <v>-0.89</v>
      </c>
      <c r="I374" s="31" t="n">
        <v>18398097</v>
      </c>
      <c r="J374" s="31" t="inlineStr">
        <is>
          <t>532174</t>
        </is>
      </c>
    </row>
    <row r="375">
      <c r="A375" s="31" t="inlineStr">
        <is>
          <t>OFSS</t>
        </is>
      </c>
      <c r="B375" s="31" t="inlineStr">
        <is>
          <t>Oracle Financial Services Software Limited</t>
        </is>
      </c>
      <c r="C375" s="31" t="inlineStr">
        <is>
          <t>i.t</t>
        </is>
      </c>
      <c r="D375" s="31" t="inlineStr">
        <is>
          <t>computers - software - large</t>
        </is>
      </c>
      <c r="E375" s="31" t="inlineStr">
        <is>
          <t>largecap</t>
        </is>
      </c>
      <c r="F375" s="31" t="n">
        <v>94646.36</v>
      </c>
      <c r="G375" s="31" t="n">
        <v>10775.5</v>
      </c>
      <c r="H375" s="31" t="n">
        <v>-0.91</v>
      </c>
      <c r="I375" s="31" t="n">
        <v>264316</v>
      </c>
      <c r="J375" s="31" t="inlineStr">
        <is>
          <t>532466</t>
        </is>
      </c>
    </row>
    <row r="376">
      <c r="A376" s="31" t="inlineStr">
        <is>
          <t>EMCURE</t>
        </is>
      </c>
      <c r="B376" s="31" t="inlineStr">
        <is>
          <t>Emcure Pharmaceuticals Ltd</t>
        </is>
      </c>
      <c r="C376" s="31" t="inlineStr">
        <is>
          <t>healthcare</t>
        </is>
      </c>
      <c r="D376" s="31" t="inlineStr">
        <is>
          <t>pharmaceuticals - indian - bulk drugs &amp; formln</t>
        </is>
      </c>
      <c r="E376" s="31" t="inlineStr">
        <is>
          <t>largecap</t>
        </is>
      </c>
      <c r="F376" s="31" t="n">
        <v>35064.59</v>
      </c>
      <c r="G376" s="31" t="n">
        <v>1832.6</v>
      </c>
      <c r="H376" s="31" t="n">
        <v>-0.91</v>
      </c>
      <c r="I376" s="31" t="n">
        <v>175204</v>
      </c>
      <c r="J376" s="31" t="inlineStr">
        <is>
          <t>544210</t>
        </is>
      </c>
    </row>
    <row r="377">
      <c r="A377" s="31" t="inlineStr">
        <is>
          <t>ENTERO</t>
        </is>
      </c>
      <c r="B377" s="31" t="inlineStr">
        <is>
          <t>Entero Healthcare Solutions Ltd</t>
        </is>
      </c>
      <c r="C377" s="31" t="inlineStr">
        <is>
          <t>healthcare</t>
        </is>
      </c>
      <c r="D377" s="31" t="inlineStr">
        <is>
          <t>trading</t>
        </is>
      </c>
      <c r="E377" s="31" t="inlineStr">
        <is>
          <t>midcap</t>
        </is>
      </c>
      <c r="F377" s="31" t="n">
        <v>5221.75</v>
      </c>
      <c r="G377" s="31" t="n">
        <v>1189</v>
      </c>
      <c r="H377" s="31" t="n">
        <v>-0.92</v>
      </c>
      <c r="I377" s="31" t="n">
        <v>56892</v>
      </c>
      <c r="J377" s="31" t="inlineStr">
        <is>
          <t>544122</t>
        </is>
      </c>
    </row>
    <row r="378">
      <c r="A378" s="31" t="inlineStr">
        <is>
          <t>LIKHITHA</t>
        </is>
      </c>
      <c r="B378" s="31" t="inlineStr">
        <is>
          <t>Likhitha Infrastructure Ltd</t>
        </is>
      </c>
      <c r="C378" s="31" t="inlineStr">
        <is>
          <t>realty</t>
        </is>
      </c>
      <c r="D378" s="31" t="inlineStr">
        <is>
          <t>construction</t>
        </is>
      </c>
      <c r="E378" s="31" t="inlineStr">
        <is>
          <t>smallcap</t>
        </is>
      </c>
      <c r="F378" s="31" t="n">
        <v>1067.04</v>
      </c>
      <c r="G378" s="31" t="n">
        <v>268</v>
      </c>
      <c r="H378" s="31" t="n">
        <v>-0.92</v>
      </c>
      <c r="I378" s="31" t="n">
        <v>155392</v>
      </c>
      <c r="J378" s="31" t="inlineStr">
        <is>
          <t>543240</t>
        </is>
      </c>
    </row>
    <row r="379">
      <c r="A379" s="31" t="inlineStr">
        <is>
          <t>HMVL</t>
        </is>
      </c>
      <c r="B379" s="31" t="inlineStr">
        <is>
          <t>Hindustan Media Ventures Limited</t>
        </is>
      </c>
      <c r="C379" s="31" t="inlineStr">
        <is>
          <t>media</t>
        </is>
      </c>
      <c r="D379" s="31" t="inlineStr">
        <is>
          <t>entertainment / electronic media software</t>
        </is>
      </c>
      <c r="E379" s="31" t="inlineStr">
        <is>
          <t>smallcap</t>
        </is>
      </c>
      <c r="F379" s="31" t="n">
        <v>640.0599999999999</v>
      </c>
      <c r="G379" s="31" t="n">
        <v>86</v>
      </c>
      <c r="H379" s="31" t="n">
        <v>-1.01</v>
      </c>
      <c r="I379" s="31" t="n">
        <v>21904</v>
      </c>
      <c r="J379" s="31" t="inlineStr">
        <is>
          <t>533217</t>
        </is>
      </c>
    </row>
    <row r="380">
      <c r="A380" s="31" t="inlineStr">
        <is>
          <t>JSWDULUX</t>
        </is>
      </c>
      <c r="B380" s="31" t="inlineStr">
        <is>
          <t>JSW Dulux Ltd</t>
        </is>
      </c>
      <c r="C380" s="31" t="inlineStr">
        <is>
          <t>building materials</t>
        </is>
      </c>
      <c r="D380" s="31" t="inlineStr">
        <is>
          <t>paints / varnishes</t>
        </is>
      </c>
      <c r="E380" s="31" t="inlineStr">
        <is>
          <t>midcap</t>
        </is>
      </c>
      <c r="F380" s="31" t="n">
        <v>14859.35</v>
      </c>
      <c r="G380" s="31" t="n">
        <v>3230</v>
      </c>
      <c r="H380" s="31" t="n">
        <v>-1.01</v>
      </c>
      <c r="I380" s="31" t="n">
        <v>19648</v>
      </c>
      <c r="J380" s="31" t="inlineStr">
        <is>
          <t>500710</t>
        </is>
      </c>
    </row>
    <row r="381">
      <c r="A381" s="31" t="inlineStr">
        <is>
          <t>TBOTEK</t>
        </is>
      </c>
      <c r="B381" s="31" t="inlineStr">
        <is>
          <t>TBO Tek Ltd</t>
        </is>
      </c>
      <c r="C381" s="31" t="inlineStr">
        <is>
          <t>i.t</t>
        </is>
      </c>
      <c r="D381" s="31" t="inlineStr">
        <is>
          <t>travel agencies</t>
        </is>
      </c>
      <c r="E381" s="31" t="inlineStr">
        <is>
          <t>midcap</t>
        </is>
      </c>
      <c r="F381" s="31" t="n">
        <v>15635.56</v>
      </c>
      <c r="G381" s="31" t="n">
        <v>1425</v>
      </c>
      <c r="H381" s="31" t="n">
        <v>-1.03</v>
      </c>
      <c r="I381" s="31" t="n">
        <v>79036</v>
      </c>
      <c r="J381" s="31" t="inlineStr">
        <is>
          <t>544174</t>
        </is>
      </c>
    </row>
    <row r="382">
      <c r="A382" s="31" t="inlineStr">
        <is>
          <t>INNOVACAP</t>
        </is>
      </c>
      <c r="B382" s="31" t="inlineStr">
        <is>
          <t>Innova Captab Ltd</t>
        </is>
      </c>
      <c r="C382" s="31" t="inlineStr">
        <is>
          <t>healthcare</t>
        </is>
      </c>
      <c r="D382" s="31" t="inlineStr">
        <is>
          <t>pharmaceuticals - indian - bulk drugs &amp; formln</t>
        </is>
      </c>
      <c r="E382" s="31" t="inlineStr">
        <is>
          <t>midcap</t>
        </is>
      </c>
      <c r="F382" s="31" t="n">
        <v>5689.3</v>
      </c>
      <c r="G382" s="31" t="n">
        <v>983.9</v>
      </c>
      <c r="H382" s="31" t="n">
        <v>-1.04</v>
      </c>
      <c r="I382" s="31" t="n">
        <v>62194</v>
      </c>
      <c r="J382" s="31" t="inlineStr">
        <is>
          <t>544067</t>
        </is>
      </c>
    </row>
    <row r="383">
      <c r="A383" s="31" t="inlineStr">
        <is>
          <t>CEIGALL</t>
        </is>
      </c>
      <c r="B383" s="31" t="inlineStr">
        <is>
          <t>Ceigall India Ltd</t>
        </is>
      </c>
      <c r="C383" s="31" t="inlineStr">
        <is>
          <t>realty</t>
        </is>
      </c>
      <c r="D383" s="31" t="inlineStr">
        <is>
          <t>construction</t>
        </is>
      </c>
      <c r="E383" s="31" t="inlineStr">
        <is>
          <t>midcap</t>
        </is>
      </c>
      <c r="F383" s="31" t="n">
        <v>6897.64</v>
      </c>
      <c r="G383" s="31" t="n">
        <v>391.85</v>
      </c>
      <c r="H383" s="31" t="n">
        <v>-1.04</v>
      </c>
      <c r="I383" s="31" t="n">
        <v>976692</v>
      </c>
      <c r="J383" s="31" t="inlineStr">
        <is>
          <t>544223</t>
        </is>
      </c>
    </row>
    <row r="384">
      <c r="A384" s="31" t="inlineStr">
        <is>
          <t>SAILIFE</t>
        </is>
      </c>
      <c r="B384" s="31" t="inlineStr">
        <is>
          <t>Sai Life Sciences Ltd</t>
        </is>
      </c>
      <c r="C384" s="31" t="inlineStr">
        <is>
          <t>healthcare</t>
        </is>
      </c>
      <c r="D384" s="31" t="inlineStr">
        <is>
          <t>pharmaceuticals - indian - bulk drugs &amp; formln</t>
        </is>
      </c>
      <c r="E384" s="31" t="inlineStr">
        <is>
          <t>largecap</t>
        </is>
      </c>
      <c r="F384" s="31" t="n">
        <v>26427.93</v>
      </c>
      <c r="G384" s="31" t="n">
        <v>1234.3</v>
      </c>
      <c r="H384" s="31" t="n">
        <v>-1.09</v>
      </c>
      <c r="I384" s="31" t="n">
        <v>533131</v>
      </c>
      <c r="J384" s="31" t="inlineStr">
        <is>
          <t>544306</t>
        </is>
      </c>
    </row>
    <row r="385">
      <c r="A385" s="31" t="inlineStr">
        <is>
          <t>JAMNAAUTO</t>
        </is>
      </c>
      <c r="B385" s="31" t="inlineStr">
        <is>
          <t>Jamna Auto Industries Limited</t>
        </is>
      </c>
      <c r="C385" s="31" t="inlineStr">
        <is>
          <t>auto</t>
        </is>
      </c>
      <c r="D385" s="31" t="inlineStr">
        <is>
          <t>auto ancillaries</t>
        </is>
      </c>
      <c r="E385" s="31" t="inlineStr">
        <is>
          <t>midcap</t>
        </is>
      </c>
      <c r="F385" s="31" t="n">
        <v>5310.56</v>
      </c>
      <c r="G385" s="31" t="n">
        <v>131.37</v>
      </c>
      <c r="H385" s="31" t="n">
        <v>-1.12</v>
      </c>
      <c r="I385" s="31" t="n">
        <v>1540669</v>
      </c>
      <c r="J385" s="31" t="inlineStr">
        <is>
          <t>520051</t>
        </is>
      </c>
    </row>
    <row r="386">
      <c r="A386" s="31" t="inlineStr">
        <is>
          <t>TATACOMM</t>
        </is>
      </c>
      <c r="B386" s="31" t="inlineStr">
        <is>
          <t>Tata Communications Limited</t>
        </is>
      </c>
      <c r="C386" s="31" t="inlineStr">
        <is>
          <t>telecom-service</t>
        </is>
      </c>
      <c r="D386" s="31" t="inlineStr">
        <is>
          <t>telecommunications - service provider</t>
        </is>
      </c>
      <c r="E386" s="31" t="inlineStr">
        <is>
          <t>largecap</t>
        </is>
      </c>
      <c r="F386" s="31" t="n">
        <v>56811.9</v>
      </c>
      <c r="G386" s="31" t="n">
        <v>1970.6</v>
      </c>
      <c r="H386" s="31" t="n">
        <v>-1.14</v>
      </c>
      <c r="I386" s="31" t="n">
        <v>579724</v>
      </c>
      <c r="J386" s="31" t="inlineStr">
        <is>
          <t>500483</t>
        </is>
      </c>
    </row>
    <row r="387">
      <c r="A387" s="31" t="inlineStr">
        <is>
          <t>ACUTAAS</t>
        </is>
      </c>
      <c r="B387" s="31" t="inlineStr">
        <is>
          <t>Acutaas Chemicals Ltd</t>
        </is>
      </c>
      <c r="C387" s="31" t="inlineStr">
        <is>
          <t>healthcare</t>
        </is>
      </c>
      <c r="D387" s="31" t="inlineStr">
        <is>
          <t>pharmaceuticals - indian - bulk drugs</t>
        </is>
      </c>
      <c r="E387" s="31" t="inlineStr">
        <is>
          <t>largecap</t>
        </is>
      </c>
      <c r="F387" s="31" t="n">
        <v>29213.25</v>
      </c>
      <c r="G387" s="31" t="n">
        <v>3526.2</v>
      </c>
      <c r="H387" s="31" t="n">
        <v>-1.18</v>
      </c>
      <c r="I387" s="31" t="n">
        <v>327659</v>
      </c>
      <c r="J387" s="31" t="inlineStr">
        <is>
          <t>543349</t>
        </is>
      </c>
    </row>
    <row r="388">
      <c r="A388" s="31" t="inlineStr">
        <is>
          <t>STYLAMIND</t>
        </is>
      </c>
      <c r="B388" s="31" t="inlineStr">
        <is>
          <t>Stylam Industries Ltd</t>
        </is>
      </c>
      <c r="C388" s="31" t="inlineStr">
        <is>
          <t>building materials</t>
        </is>
      </c>
      <c r="D388" s="31" t="inlineStr">
        <is>
          <t>miscellaneous</t>
        </is>
      </c>
      <c r="E388" s="31" t="inlineStr">
        <is>
          <t>midcap</t>
        </is>
      </c>
      <c r="F388" s="31" t="n">
        <v>5572.01</v>
      </c>
      <c r="G388" s="31" t="n">
        <v>3248.3</v>
      </c>
      <c r="H388" s="31" t="n">
        <v>-1.2</v>
      </c>
      <c r="I388" s="31" t="n">
        <v>17469</v>
      </c>
      <c r="J388" s="31" t="inlineStr">
        <is>
          <t>526951</t>
        </is>
      </c>
    </row>
    <row r="389">
      <c r="A389" s="31" t="inlineStr">
        <is>
          <t>SAREGAMA</t>
        </is>
      </c>
      <c r="B389" s="31" t="inlineStr">
        <is>
          <t>Saregama India Limited</t>
        </is>
      </c>
      <c r="C389" s="31" t="inlineStr">
        <is>
          <t>media</t>
        </is>
      </c>
      <c r="D389" s="31" t="inlineStr">
        <is>
          <t>entertainment / electronic media software</t>
        </is>
      </c>
      <c r="E389" s="31" t="inlineStr">
        <is>
          <t>midcap</t>
        </is>
      </c>
      <c r="F389" s="31" t="n">
        <v>9619.27</v>
      </c>
      <c r="G389" s="31" t="n">
        <v>492.8</v>
      </c>
      <c r="H389" s="31" t="n">
        <v>-1.22</v>
      </c>
      <c r="I389" s="31" t="n">
        <v>327493</v>
      </c>
      <c r="J389" s="31" t="inlineStr">
        <is>
          <t>532163</t>
        </is>
      </c>
    </row>
    <row r="390">
      <c r="A390" s="31" t="inlineStr">
        <is>
          <t>BHARATFORG</t>
        </is>
      </c>
      <c r="B390" s="31" t="inlineStr">
        <is>
          <t>Bharat Forge Limited</t>
        </is>
      </c>
      <c r="C390" s="31" t="inlineStr">
        <is>
          <t>industrials</t>
        </is>
      </c>
      <c r="D390" s="31" t="inlineStr">
        <is>
          <t>castings &amp; forgings</t>
        </is>
      </c>
      <c r="E390" s="31" t="inlineStr">
        <is>
          <t>largecap</t>
        </is>
      </c>
      <c r="F390" s="31" t="n">
        <v>103788.26</v>
      </c>
      <c r="G390" s="31" t="n">
        <v>2144.1</v>
      </c>
      <c r="H390" s="31" t="n">
        <v>-1.23</v>
      </c>
      <c r="I390" s="31" t="n">
        <v>2138525</v>
      </c>
      <c r="J390" s="31" t="inlineStr">
        <is>
          <t>500493</t>
        </is>
      </c>
    </row>
    <row r="391">
      <c r="A391" s="31" t="inlineStr">
        <is>
          <t>CARBORUNIV</t>
        </is>
      </c>
      <c r="B391" s="31" t="inlineStr">
        <is>
          <t>Carborundum Universal Limited</t>
        </is>
      </c>
      <c r="C391" s="31" t="inlineStr">
        <is>
          <t>industrials</t>
        </is>
      </c>
      <c r="D391" s="31" t="inlineStr">
        <is>
          <t>abrasives and grinding wheels</t>
        </is>
      </c>
      <c r="E391" s="31" t="inlineStr">
        <is>
          <t>largecap</t>
        </is>
      </c>
      <c r="F391" s="31" t="n">
        <v>22704.8</v>
      </c>
      <c r="G391" s="31" t="n">
        <v>1176.8</v>
      </c>
      <c r="H391" s="31" t="n">
        <v>-1.27</v>
      </c>
      <c r="I391" s="31" t="n">
        <v>145243</v>
      </c>
      <c r="J391" s="31" t="inlineStr">
        <is>
          <t>513375</t>
        </is>
      </c>
    </row>
    <row r="392">
      <c r="A392" s="31" t="inlineStr">
        <is>
          <t>GREENPLY</t>
        </is>
      </c>
      <c r="B392" s="31" t="inlineStr">
        <is>
          <t>Greenply Industries Limited</t>
        </is>
      </c>
      <c r="C392" s="31" t="inlineStr">
        <is>
          <t>building materials</t>
        </is>
      </c>
      <c r="D392" s="31" t="inlineStr">
        <is>
          <t>miscellaneous</t>
        </is>
      </c>
      <c r="E392" s="31" t="inlineStr">
        <is>
          <t>smallcap</t>
        </is>
      </c>
      <c r="F392" s="31" t="n">
        <v>3755.8</v>
      </c>
      <c r="G392" s="31" t="n">
        <v>296.64</v>
      </c>
      <c r="H392" s="31" t="n">
        <v>-1.35</v>
      </c>
      <c r="I392" s="31" t="n">
        <v>135240</v>
      </c>
      <c r="J392" s="31" t="inlineStr">
        <is>
          <t>526797</t>
        </is>
      </c>
    </row>
    <row r="393">
      <c r="A393" s="31" t="inlineStr">
        <is>
          <t>DRREDDY</t>
        </is>
      </c>
      <c r="B393" s="31" t="inlineStr">
        <is>
          <t>Dr. Reddy's Laboratories Limited</t>
        </is>
      </c>
      <c r="C393" s="31" t="inlineStr">
        <is>
          <t>healthcare</t>
        </is>
      </c>
      <c r="D393" s="31" t="inlineStr">
        <is>
          <t>pharmaceuticals - indian - bulk drugs &amp; formln</t>
        </is>
      </c>
      <c r="E393" s="31" t="inlineStr">
        <is>
          <t>largecap</t>
        </is>
      </c>
      <c r="F393" s="31" t="n">
        <v>114823.76</v>
      </c>
      <c r="G393" s="31" t="n">
        <v>1357.1</v>
      </c>
      <c r="H393" s="31" t="n">
        <v>-1.35</v>
      </c>
      <c r="I393" s="31" t="n">
        <v>2446441</v>
      </c>
      <c r="J393" s="31" t="inlineStr">
        <is>
          <t>500124</t>
        </is>
      </c>
    </row>
    <row r="394">
      <c r="A394" s="31" t="inlineStr">
        <is>
          <t>RISHABH</t>
        </is>
      </c>
      <c r="B394" s="31" t="inlineStr">
        <is>
          <t>Rishabh Instruments Ltd</t>
        </is>
      </c>
      <c r="C394" s="31" t="inlineStr">
        <is>
          <t>industrials</t>
        </is>
      </c>
      <c r="D394" s="31" t="inlineStr">
        <is>
          <t>electric equipment</t>
        </is>
      </c>
      <c r="E394" s="31" t="inlineStr">
        <is>
          <t>smallcap</t>
        </is>
      </c>
      <c r="F394" s="31" t="n">
        <v>2235.09</v>
      </c>
      <c r="G394" s="31" t="n">
        <v>572.05</v>
      </c>
      <c r="H394" s="31" t="n">
        <v>-1.35</v>
      </c>
      <c r="I394" s="31" t="n">
        <v>50285</v>
      </c>
      <c r="J394" s="31" t="inlineStr">
        <is>
          <t>543977</t>
        </is>
      </c>
    </row>
    <row r="395">
      <c r="A395" s="31" t="inlineStr">
        <is>
          <t>ABSLAMC</t>
        </is>
      </c>
      <c r="B395" s="31" t="inlineStr">
        <is>
          <t>Aditya Birla Sun Life AMC Ltd</t>
        </is>
      </c>
      <c r="C395" s="31" t="inlineStr">
        <is>
          <t>financials</t>
        </is>
      </c>
      <c r="D395" s="31" t="inlineStr">
        <is>
          <t>finance &amp; investments</t>
        </is>
      </c>
      <c r="E395" s="31" t="inlineStr">
        <is>
          <t>largecap</t>
        </is>
      </c>
      <c r="F395" s="31" t="n">
        <v>33813.43</v>
      </c>
      <c r="G395" s="31" t="n">
        <v>1154.7</v>
      </c>
      <c r="H395" s="31" t="n">
        <v>-1.38</v>
      </c>
      <c r="I395" s="31" t="n">
        <v>342084</v>
      </c>
      <c r="J395" s="31" t="inlineStr">
        <is>
          <t>543374</t>
        </is>
      </c>
    </row>
    <row r="396">
      <c r="A396" s="31" t="inlineStr">
        <is>
          <t>ORBTEXP</t>
        </is>
      </c>
      <c r="B396" s="31" t="inlineStr">
        <is>
          <t>Orbit Exports Limited</t>
        </is>
      </c>
      <c r="C396" s="31" t="inlineStr">
        <is>
          <t>textiles</t>
        </is>
      </c>
      <c r="D396" s="31" t="inlineStr">
        <is>
          <t>textiles - processing</t>
        </is>
      </c>
      <c r="E396" s="31" t="inlineStr">
        <is>
          <t>smallcap</t>
        </is>
      </c>
      <c r="F396" s="31" t="n">
        <v>594.35</v>
      </c>
      <c r="G396" s="31" t="n">
        <v>221</v>
      </c>
      <c r="H396" s="31" t="n">
        <v>-1.42</v>
      </c>
      <c r="I396" s="31" t="n">
        <v>14869</v>
      </c>
      <c r="J396" s="31" t="inlineStr">
        <is>
          <t>512626</t>
        </is>
      </c>
    </row>
    <row r="397">
      <c r="A397" s="31" t="inlineStr">
        <is>
          <t>AVL</t>
        </is>
      </c>
      <c r="B397" s="31" t="inlineStr">
        <is>
          <t>Aditya Vision Ltd</t>
        </is>
      </c>
      <c r="C397" s="31" t="inlineStr">
        <is>
          <t>consumer discretionary</t>
        </is>
      </c>
      <c r="D397" s="31" t="inlineStr">
        <is>
          <t>trading</t>
        </is>
      </c>
      <c r="E397" s="31" t="inlineStr">
        <is>
          <t>midcap</t>
        </is>
      </c>
      <c r="F397" s="31" t="n">
        <v>8633.52</v>
      </c>
      <c r="G397" s="31" t="n">
        <v>658.6</v>
      </c>
      <c r="H397" s="31" t="n">
        <v>-1.49</v>
      </c>
      <c r="I397" s="31" t="n">
        <v>150775</v>
      </c>
      <c r="J397" s="31" t="inlineStr">
        <is>
          <t>540205</t>
        </is>
      </c>
    </row>
    <row r="398">
      <c r="A398" s="31" t="inlineStr">
        <is>
          <t>NOCIL</t>
        </is>
      </c>
      <c r="B398" s="31" t="inlineStr">
        <is>
          <t>Nocil Limited</t>
        </is>
      </c>
      <c r="C398" s="31" t="inlineStr">
        <is>
          <t>chemicals</t>
        </is>
      </c>
      <c r="D398" s="31" t="inlineStr">
        <is>
          <t>chemicals</t>
        </is>
      </c>
      <c r="E398" s="31" t="inlineStr">
        <is>
          <t>smallcap</t>
        </is>
      </c>
      <c r="F398" s="31" t="n">
        <v>3049.21</v>
      </c>
      <c r="G398" s="31" t="n">
        <v>179.81</v>
      </c>
      <c r="H398" s="31" t="n">
        <v>-1.51</v>
      </c>
      <c r="I398" s="31" t="n">
        <v>549091</v>
      </c>
      <c r="J398" s="31" t="inlineStr">
        <is>
          <t>500730</t>
        </is>
      </c>
    </row>
    <row r="399">
      <c r="A399" s="31" t="inlineStr">
        <is>
          <t>INDOBORAX</t>
        </is>
      </c>
      <c r="B399" s="31" t="inlineStr">
        <is>
          <t>Indo Borax &amp; Chemicals Ltd</t>
        </is>
      </c>
      <c r="C399" s="31" t="inlineStr">
        <is>
          <t>chemicals</t>
        </is>
      </c>
      <c r="D399" s="31" t="inlineStr">
        <is>
          <t>chemicals</t>
        </is>
      </c>
      <c r="E399" s="31" t="inlineStr">
        <is>
          <t>smallcap</t>
        </is>
      </c>
      <c r="F399" s="31" t="n">
        <v>1234.82</v>
      </c>
      <c r="G399" s="31" t="n">
        <v>378.9</v>
      </c>
      <c r="H399" s="31" t="n">
        <v>-1.53</v>
      </c>
      <c r="I399" s="31" t="n">
        <v>54327</v>
      </c>
      <c r="J399" s="31" t="inlineStr">
        <is>
          <t>524342</t>
        </is>
      </c>
    </row>
    <row r="400">
      <c r="A400" s="31" t="inlineStr">
        <is>
          <t>PANACHE</t>
        </is>
      </c>
      <c r="B400" s="31" t="inlineStr">
        <is>
          <t>Panache Digilife Ltd</t>
        </is>
      </c>
      <c r="C400" s="31" t="inlineStr">
        <is>
          <t>i.t</t>
        </is>
      </c>
      <c r="D400" s="31" t="inlineStr">
        <is>
          <t>computers - hardware</t>
        </is>
      </c>
      <c r="E400" s="31" t="inlineStr">
        <is>
          <t>smallcap</t>
        </is>
      </c>
      <c r="F400" s="31" t="n">
        <v>697.8099999999999</v>
      </c>
      <c r="G400" s="31" t="n">
        <v>429</v>
      </c>
      <c r="H400" s="31" t="n">
        <v>-1.55</v>
      </c>
      <c r="I400" s="31" t="n">
        <v>8200</v>
      </c>
      <c r="J400" s="31" t="inlineStr">
        <is>
          <t>538424</t>
        </is>
      </c>
    </row>
    <row r="401">
      <c r="A401" s="31" t="inlineStr">
        <is>
          <t>VADILALIND</t>
        </is>
      </c>
      <c r="B401" s="31" t="inlineStr">
        <is>
          <t>Vadilal Industries Limited</t>
        </is>
      </c>
      <c r="C401" s="31" t="inlineStr">
        <is>
          <t>fmcg</t>
        </is>
      </c>
      <c r="D401" s="31" t="inlineStr">
        <is>
          <t>food - processing - indian</t>
        </is>
      </c>
      <c r="E401" s="31" t="inlineStr">
        <is>
          <t>smallcap</t>
        </is>
      </c>
      <c r="F401" s="31" t="n">
        <v>4573.9</v>
      </c>
      <c r="G401" s="31" t="n">
        <v>6264.3</v>
      </c>
      <c r="H401" s="31" t="n">
        <v>-1.56</v>
      </c>
      <c r="I401" s="31" t="n">
        <v>7102</v>
      </c>
      <c r="J401" s="31" t="inlineStr">
        <is>
          <t>519156</t>
        </is>
      </c>
    </row>
    <row r="402">
      <c r="A402" s="31" t="inlineStr">
        <is>
          <t>MOTHERSON</t>
        </is>
      </c>
      <c r="B402" s="31" t="inlineStr">
        <is>
          <t>Samvardhana Motherson International Ltd</t>
        </is>
      </c>
      <c r="C402" s="31" t="inlineStr">
        <is>
          <t>auto</t>
        </is>
      </c>
      <c r="D402" s="31" t="inlineStr">
        <is>
          <t>auto ancillaries</t>
        </is>
      </c>
      <c r="E402" s="31" t="inlineStr">
        <is>
          <t>largecap</t>
        </is>
      </c>
      <c r="F402" s="31" t="n">
        <v>158907.69</v>
      </c>
      <c r="G402" s="31" t="n">
        <v>148.11</v>
      </c>
      <c r="H402" s="31" t="n">
        <v>-1.63</v>
      </c>
      <c r="I402" s="31" t="n">
        <v>25616527</v>
      </c>
      <c r="J402" s="31" t="inlineStr">
        <is>
          <t>517334</t>
        </is>
      </c>
    </row>
    <row r="403">
      <c r="A403" s="31" t="inlineStr">
        <is>
          <t>YASHO</t>
        </is>
      </c>
      <c r="B403" s="31" t="inlineStr">
        <is>
          <t>Yasho Industries Ltd</t>
        </is>
      </c>
      <c r="C403" s="31" t="inlineStr">
        <is>
          <t>chemicals</t>
        </is>
      </c>
      <c r="D403" s="31" t="inlineStr">
        <is>
          <t>chemicals</t>
        </is>
      </c>
      <c r="E403" s="31" t="inlineStr">
        <is>
          <t>smallcap</t>
        </is>
      </c>
      <c r="F403" s="31" t="n">
        <v>3566.37</v>
      </c>
      <c r="G403" s="31" t="n">
        <v>2905</v>
      </c>
      <c r="H403" s="31" t="n">
        <v>-1.79</v>
      </c>
      <c r="I403" s="31" t="n">
        <v>48553</v>
      </c>
      <c r="J403" s="31" t="inlineStr">
        <is>
          <t>541167</t>
        </is>
      </c>
    </row>
    <row r="404">
      <c r="A404" s="31" t="inlineStr">
        <is>
          <t>STLTECH</t>
        </is>
      </c>
      <c r="B404" s="31" t="inlineStr">
        <is>
          <t>Sterlite Technologies Limited</t>
        </is>
      </c>
      <c r="C404" s="31" t="inlineStr">
        <is>
          <t>industrials</t>
        </is>
      </c>
      <c r="D404" s="31" t="inlineStr">
        <is>
          <t>cables - telephone</t>
        </is>
      </c>
      <c r="E404" s="31" t="inlineStr">
        <is>
          <t>largecap</t>
        </is>
      </c>
      <c r="F404" s="31" t="n">
        <v>30486.32</v>
      </c>
      <c r="G404" s="31" t="n">
        <v>613.3</v>
      </c>
      <c r="H404" s="31" t="n">
        <v>-1.8</v>
      </c>
      <c r="I404" s="31" t="n">
        <v>1488066</v>
      </c>
      <c r="J404" s="31" t="inlineStr">
        <is>
          <t>532374</t>
        </is>
      </c>
    </row>
    <row r="405">
      <c r="A405" s="31" t="inlineStr">
        <is>
          <t>MAXHEALTH</t>
        </is>
      </c>
      <c r="B405" s="31" t="inlineStr">
        <is>
          <t>Max Healthcare Institute Ltd</t>
        </is>
      </c>
      <c r="C405" s="31" t="inlineStr">
        <is>
          <t>healthcare</t>
        </is>
      </c>
      <c r="D405" s="31" t="inlineStr">
        <is>
          <t>healthcare</t>
        </is>
      </c>
      <c r="E405" s="31" t="inlineStr">
        <is>
          <t>largecap</t>
        </is>
      </c>
      <c r="F405" s="31" t="n">
        <v>111900.8</v>
      </c>
      <c r="G405" s="31" t="n">
        <v>1129.25</v>
      </c>
      <c r="H405" s="31" t="n">
        <v>-1.8</v>
      </c>
      <c r="I405" s="31" t="n">
        <v>2457312</v>
      </c>
      <c r="J405" s="31" t="inlineStr">
        <is>
          <t>543220</t>
        </is>
      </c>
    </row>
    <row r="406">
      <c r="A406" s="31" t="inlineStr">
        <is>
          <t>PIXTRANS</t>
        </is>
      </c>
      <c r="B406" s="31" t="inlineStr">
        <is>
          <t>Pix Transmission Ltd</t>
        </is>
      </c>
      <c r="C406" s="31" t="inlineStr">
        <is>
          <t>fmcg</t>
        </is>
      </c>
      <c r="D406" s="31" t="inlineStr">
        <is>
          <t>miscellaneous</t>
        </is>
      </c>
      <c r="E406" s="31" t="inlineStr">
        <is>
          <t>smallcap</t>
        </is>
      </c>
      <c r="F406" s="31" t="n">
        <v>2547.37</v>
      </c>
      <c r="G406" s="31" t="n">
        <v>1835.6</v>
      </c>
      <c r="H406" s="31" t="n">
        <v>-1.82</v>
      </c>
      <c r="I406" s="31" t="n">
        <v>124311</v>
      </c>
      <c r="J406" s="31" t="inlineStr">
        <is>
          <t>500333</t>
        </is>
      </c>
    </row>
    <row r="407">
      <c r="A407" s="31" t="inlineStr">
        <is>
          <t>APARINDS</t>
        </is>
      </c>
      <c r="B407" s="31" t="inlineStr">
        <is>
          <t>Apar Industries Limited</t>
        </is>
      </c>
      <c r="C407" s="31" t="inlineStr">
        <is>
          <t>industrials</t>
        </is>
      </c>
      <c r="D407" s="31" t="inlineStr">
        <is>
          <t>electric equipment</t>
        </is>
      </c>
      <c r="E407" s="31" t="inlineStr">
        <is>
          <t>largecap</t>
        </is>
      </c>
      <c r="F407" s="31" t="n">
        <v>64213.07</v>
      </c>
      <c r="G407" s="31" t="n">
        <v>15695</v>
      </c>
      <c r="H407" s="31" t="n">
        <v>-1.82</v>
      </c>
      <c r="I407" s="31" t="n">
        <v>125252</v>
      </c>
      <c r="J407" s="31" t="inlineStr">
        <is>
          <t>532259</t>
        </is>
      </c>
    </row>
    <row r="408">
      <c r="A408" s="31" t="inlineStr">
        <is>
          <t>JASH</t>
        </is>
      </c>
      <c r="B408" s="31" t="inlineStr">
        <is>
          <t>Jash Engineering Ltd</t>
        </is>
      </c>
      <c r="C408" s="31" t="inlineStr">
        <is>
          <t>industrials</t>
        </is>
      </c>
      <c r="D408" s="31" t="inlineStr">
        <is>
          <t>engineering</t>
        </is>
      </c>
      <c r="E408" s="31" t="inlineStr">
        <is>
          <t>smallcap</t>
        </is>
      </c>
      <c r="F408" s="31" t="n">
        <v>3266.17</v>
      </c>
      <c r="G408" s="31" t="n">
        <v>507.3</v>
      </c>
      <c r="H408" s="31" t="n">
        <v>-1.85</v>
      </c>
      <c r="I408" s="31" t="n">
        <v>1157968</v>
      </c>
      <c r="J408" s="31" t="inlineStr">
        <is>
          <t>535019</t>
        </is>
      </c>
    </row>
    <row r="409">
      <c r="A409" s="31" t="inlineStr">
        <is>
          <t>WELSPUNLIV</t>
        </is>
      </c>
      <c r="B409" s="31" t="inlineStr">
        <is>
          <t>Welspun Living Ltd</t>
        </is>
      </c>
      <c r="C409" s="31" t="inlineStr">
        <is>
          <t>textiles</t>
        </is>
      </c>
      <c r="D409" s="31" t="inlineStr">
        <is>
          <t>textiles - products</t>
        </is>
      </c>
      <c r="E409" s="31" t="inlineStr">
        <is>
          <t>midcap</t>
        </is>
      </c>
      <c r="F409" s="31" t="n">
        <v>15542.11</v>
      </c>
      <c r="G409" s="31" t="n">
        <v>158.84</v>
      </c>
      <c r="H409" s="31" t="n">
        <v>-1.97</v>
      </c>
      <c r="I409" s="31" t="n">
        <v>3314370</v>
      </c>
      <c r="J409" s="31" t="inlineStr">
        <is>
          <t>514162</t>
        </is>
      </c>
    </row>
    <row r="410">
      <c r="A410" s="31" t="inlineStr">
        <is>
          <t>PAISALO</t>
        </is>
      </c>
      <c r="B410" s="31" t="inlineStr">
        <is>
          <t>Paisalo Digital Ltd</t>
        </is>
      </c>
      <c r="C410" s="31" t="inlineStr">
        <is>
          <t>financials</t>
        </is>
      </c>
      <c r="D410" s="31" t="inlineStr">
        <is>
          <t>finance &amp; investments</t>
        </is>
      </c>
      <c r="E410" s="31" t="inlineStr">
        <is>
          <t>midcap</t>
        </is>
      </c>
      <c r="F410" s="31" t="n">
        <v>5486.24</v>
      </c>
      <c r="G410" s="31" t="n">
        <v>59.1</v>
      </c>
      <c r="H410" s="31" t="n">
        <v>-2.02</v>
      </c>
      <c r="I410" s="31" t="n">
        <v>13140263</v>
      </c>
      <c r="J410" s="31" t="inlineStr">
        <is>
          <t>532900</t>
        </is>
      </c>
    </row>
    <row r="411">
      <c r="A411" s="31" t="inlineStr">
        <is>
          <t>HESTERBIO</t>
        </is>
      </c>
      <c r="B411" s="31" t="inlineStr">
        <is>
          <t>Hester Biosciences Limited</t>
        </is>
      </c>
      <c r="C411" s="31" t="inlineStr">
        <is>
          <t>healthcare</t>
        </is>
      </c>
      <c r="D411" s="31" t="inlineStr">
        <is>
          <t>pharmaceuticals - indian - formulations</t>
        </is>
      </c>
      <c r="E411" s="31" t="inlineStr">
        <is>
          <t>smallcap</t>
        </is>
      </c>
      <c r="F411" s="31" t="n">
        <v>1870.32</v>
      </c>
      <c r="G411" s="31" t="n">
        <v>2151.5</v>
      </c>
      <c r="H411" s="31" t="n">
        <v>-2.14</v>
      </c>
      <c r="I411" s="31" t="n">
        <v>2593</v>
      </c>
      <c r="J411" s="31" t="inlineStr">
        <is>
          <t>524669</t>
        </is>
      </c>
    </row>
    <row r="412">
      <c r="A412" s="31" t="inlineStr">
        <is>
          <t>KIRLOSIND</t>
        </is>
      </c>
      <c r="B412" s="31" t="inlineStr">
        <is>
          <t>Kirloskar Industries Limited</t>
        </is>
      </c>
      <c r="C412" s="31" t="inlineStr">
        <is>
          <t>financials</t>
        </is>
      </c>
      <c r="D412" s="31" t="inlineStr">
        <is>
          <t>finance &amp; investments</t>
        </is>
      </c>
      <c r="E412" s="31" t="inlineStr">
        <is>
          <t>smallcap</t>
        </is>
      </c>
      <c r="F412" s="31" t="n">
        <v>4213.52</v>
      </c>
      <c r="G412" s="31" t="n">
        <v>3915.1</v>
      </c>
      <c r="H412" s="31" t="n">
        <v>-2.35</v>
      </c>
      <c r="I412" s="31" t="n">
        <v>16275</v>
      </c>
      <c r="J412" s="31" t="inlineStr">
        <is>
          <t>500243</t>
        </is>
      </c>
    </row>
    <row r="413">
      <c r="A413" s="31" t="inlineStr">
        <is>
          <t>RANEHOLDIN</t>
        </is>
      </c>
      <c r="B413" s="31" t="inlineStr">
        <is>
          <t>Rane Holdings Limited</t>
        </is>
      </c>
      <c r="C413" s="31" t="inlineStr">
        <is>
          <t>financials</t>
        </is>
      </c>
      <c r="D413" s="31" t="inlineStr">
        <is>
          <t>finance &amp; investments</t>
        </is>
      </c>
      <c r="E413" s="31" t="inlineStr">
        <is>
          <t>smallcap</t>
        </is>
      </c>
      <c r="F413" s="31" t="n">
        <v>2438.65</v>
      </c>
      <c r="G413" s="31" t="n">
        <v>1666.2</v>
      </c>
      <c r="H413" s="31" t="n">
        <v>-2.45</v>
      </c>
      <c r="I413" s="31" t="n">
        <v>35352</v>
      </c>
      <c r="J413" s="31" t="inlineStr">
        <is>
          <t>505800</t>
        </is>
      </c>
    </row>
    <row r="414">
      <c r="A414" s="31" t="inlineStr">
        <is>
          <t>MAHABANK</t>
        </is>
      </c>
      <c r="B414" s="31" t="inlineStr">
        <is>
          <t>Bank Of Maharashtra Ltd</t>
        </is>
      </c>
      <c r="C414" s="31" t="inlineStr">
        <is>
          <t>bank</t>
        </is>
      </c>
      <c r="D414" s="31" t="inlineStr">
        <is>
          <t>banks - public sector</t>
        </is>
      </c>
      <c r="E414" s="31" t="inlineStr">
        <is>
          <t>largecap</t>
        </is>
      </c>
      <c r="F414" s="31" t="n">
        <v>72185.24000000001</v>
      </c>
      <c r="G414" s="31" t="n">
        <v>91.44</v>
      </c>
      <c r="H414" s="31" t="n">
        <v>-2.57</v>
      </c>
      <c r="I414" s="31" t="n">
        <v>18306519</v>
      </c>
      <c r="J414" s="31" t="inlineStr">
        <is>
          <t>532525</t>
        </is>
      </c>
    </row>
    <row r="415">
      <c r="A415" s="31" t="inlineStr">
        <is>
          <t>GABRIEL</t>
        </is>
      </c>
      <c r="B415" s="31" t="inlineStr">
        <is>
          <t>Gabriel India Limited</t>
        </is>
      </c>
      <c r="C415" s="31" t="inlineStr">
        <is>
          <t>auto</t>
        </is>
      </c>
      <c r="D415" s="31" t="inlineStr">
        <is>
          <t>auto ancillaries</t>
        </is>
      </c>
      <c r="E415" s="31" t="inlineStr">
        <is>
          <t>largecap</t>
        </is>
      </c>
      <c r="F415" s="31" t="n">
        <v>22600.37</v>
      </c>
      <c r="G415" s="31" t="n">
        <v>1239.3</v>
      </c>
      <c r="H415" s="31" t="n">
        <v>-2.82</v>
      </c>
      <c r="I415" s="31" t="n">
        <v>277145</v>
      </c>
      <c r="J415" s="31" t="inlineStr">
        <is>
          <t>505714</t>
        </is>
      </c>
    </row>
    <row r="416">
      <c r="A416" s="31" t="inlineStr">
        <is>
          <t>UFBL</t>
        </is>
      </c>
      <c r="B416" s="31" t="inlineStr">
        <is>
          <t>United Foodbrands Ltd</t>
        </is>
      </c>
      <c r="C416" s="31" t="inlineStr">
        <is>
          <t>consumer discretionary</t>
        </is>
      </c>
      <c r="D416" s="31" t="inlineStr">
        <is>
          <t>hotels</t>
        </is>
      </c>
      <c r="E416" s="31" t="inlineStr">
        <is>
          <t>smallcap</t>
        </is>
      </c>
      <c r="F416" s="31" t="n">
        <v>2565.44</v>
      </c>
      <c r="G416" s="31" t="n">
        <v>637.45</v>
      </c>
      <c r="H416" s="31" t="n">
        <v>-2.88</v>
      </c>
      <c r="I416" s="31" t="n">
        <v>206758</v>
      </c>
      <c r="J416" s="31" t="inlineStr">
        <is>
          <t>543283</t>
        </is>
      </c>
    </row>
    <row r="417">
      <c r="A417" s="31" t="inlineStr">
        <is>
          <t>QUADFUTURE</t>
        </is>
      </c>
      <c r="B417" s="31" t="inlineStr">
        <is>
          <t>Quadrant Future Tek Ltd</t>
        </is>
      </c>
      <c r="C417" s="31" t="inlineStr">
        <is>
          <t>industrials</t>
        </is>
      </c>
      <c r="D417" s="31" t="inlineStr">
        <is>
          <t>cables - power</t>
        </is>
      </c>
      <c r="E417" s="31" t="inlineStr">
        <is>
          <t>smallcap</t>
        </is>
      </c>
      <c r="F417" s="31" t="n">
        <v>1782.6</v>
      </c>
      <c r="G417" s="31" t="n">
        <v>432.55</v>
      </c>
      <c r="H417" s="31" t="n">
        <v>-2.94</v>
      </c>
      <c r="I417" s="31" t="n">
        <v>583352</v>
      </c>
      <c r="J417" s="31" t="inlineStr">
        <is>
          <t>544336</t>
        </is>
      </c>
    </row>
    <row r="418">
      <c r="A418" s="31" t="inlineStr">
        <is>
          <t>POKARNA</t>
        </is>
      </c>
      <c r="B418" s="31" t="inlineStr">
        <is>
          <t>Pokarna Limited</t>
        </is>
      </c>
      <c r="C418" s="31" t="inlineStr">
        <is>
          <t>consumer discretionary</t>
        </is>
      </c>
      <c r="D418" s="31" t="inlineStr">
        <is>
          <t>miscellaneous</t>
        </is>
      </c>
      <c r="E418" s="31" t="inlineStr">
        <is>
          <t>smallcap</t>
        </is>
      </c>
      <c r="F418" s="31" t="n">
        <v>3294.95</v>
      </c>
      <c r="G418" s="31" t="n">
        <v>1030.8</v>
      </c>
      <c r="H418" s="31" t="n">
        <v>-3.01</v>
      </c>
      <c r="I418" s="31" t="n">
        <v>90623</v>
      </c>
      <c r="J418" s="31" t="inlineStr">
        <is>
          <t>532486</t>
        </is>
      </c>
    </row>
    <row r="419">
      <c r="A419" s="31" t="inlineStr">
        <is>
          <t>KIRLOSENG</t>
        </is>
      </c>
      <c r="B419" s="31" t="inlineStr">
        <is>
          <t>Kirloskar Oil Engines Limited</t>
        </is>
      </c>
      <c r="C419" s="31" t="inlineStr">
        <is>
          <t>industrials</t>
        </is>
      </c>
      <c r="D419" s="31" t="inlineStr">
        <is>
          <t>engines</t>
        </is>
      </c>
      <c r="E419" s="31" t="inlineStr">
        <is>
          <t>largecap</t>
        </is>
      </c>
      <c r="F419" s="31" t="n">
        <v>35483.64</v>
      </c>
      <c r="G419" s="31" t="n">
        <v>2364</v>
      </c>
      <c r="H419" s="31" t="n">
        <v>-3.16</v>
      </c>
      <c r="I419" s="31" t="n">
        <v>777393</v>
      </c>
      <c r="J419" s="31" t="inlineStr">
        <is>
          <t>533293</t>
        </is>
      </c>
    </row>
    <row r="420">
      <c r="A420" s="31" t="inlineStr">
        <is>
          <t>SKMEGGPROD</t>
        </is>
      </c>
      <c r="B420" s="31" t="inlineStr">
        <is>
          <t>Skm Egg Products Export (india) Limited</t>
        </is>
      </c>
      <c r="C420" s="31" t="inlineStr">
        <is>
          <t>fmcg</t>
        </is>
      </c>
      <c r="D420" s="31" t="inlineStr">
        <is>
          <t>food - processing - indian</t>
        </is>
      </c>
      <c r="E420" s="31" t="inlineStr">
        <is>
          <t>smallcap</t>
        </is>
      </c>
      <c r="F420" s="31" t="n">
        <v>1601.13</v>
      </c>
      <c r="G420" s="31" t="n">
        <v>293.02</v>
      </c>
      <c r="H420" s="31" t="n">
        <v>-3.63</v>
      </c>
      <c r="I420" s="31" t="n">
        <v>1152605</v>
      </c>
      <c r="J420" s="31" t="inlineStr">
        <is>
          <t>532143</t>
        </is>
      </c>
    </row>
    <row r="421">
      <c r="A421" s="31" t="inlineStr">
        <is>
          <t>RRKABEL</t>
        </is>
      </c>
      <c r="B421" s="31" t="inlineStr">
        <is>
          <t>R R Kabel Ltd</t>
        </is>
      </c>
      <c r="C421" s="31" t="inlineStr">
        <is>
          <t>industrials</t>
        </is>
      </c>
      <c r="D421" s="31" t="inlineStr">
        <is>
          <t>cables - power</t>
        </is>
      </c>
      <c r="E421" s="31" t="inlineStr">
        <is>
          <t>largecap</t>
        </is>
      </c>
      <c r="F421" s="31" t="n">
        <v>28302.39</v>
      </c>
      <c r="G421" s="31" t="n">
        <v>2395.2</v>
      </c>
      <c r="H421" s="31" t="n">
        <v>-4.28</v>
      </c>
      <c r="I421" s="31" t="n">
        <v>2286964</v>
      </c>
      <c r="J421" s="31" t="inlineStr">
        <is>
          <t>543981</t>
        </is>
      </c>
    </row>
    <row r="422">
      <c r="A422" s="31" t="inlineStr">
        <is>
          <t>SPECIALITY</t>
        </is>
      </c>
      <c r="B422" s="31" t="inlineStr">
        <is>
          <t>Speciality Restaurants Limited</t>
        </is>
      </c>
      <c r="C422" s="31" t="inlineStr">
        <is>
          <t>services</t>
        </is>
      </c>
      <c r="D422" s="31" t="inlineStr">
        <is>
          <t>hotels</t>
        </is>
      </c>
      <c r="E422" s="31" t="inlineStr">
        <is>
          <t>smallcap</t>
        </is>
      </c>
      <c r="F422" s="31" t="n">
        <v>643.03</v>
      </c>
      <c r="G422" s="31" t="n">
        <v>126.81</v>
      </c>
      <c r="H422" s="31" t="n">
        <v>-4.88</v>
      </c>
      <c r="I422" s="31" t="n">
        <v>65202</v>
      </c>
      <c r="J422" s="31" t="inlineStr">
        <is>
          <t>534425</t>
        </is>
      </c>
    </row>
    <row r="423">
      <c r="A423" s="31" t="inlineStr">
        <is>
          <t>SIGMAADV</t>
        </is>
      </c>
      <c r="B423" s="31" t="inlineStr">
        <is>
          <t>Sigma Advanced System Ltd</t>
        </is>
      </c>
      <c r="C423" s="31" t="inlineStr">
        <is>
          <t>aerospace &amp; defence</t>
        </is>
      </c>
      <c r="D423" s="31" t="inlineStr">
        <is>
          <t>electronics - components</t>
        </is>
      </c>
      <c r="E423" s="31" t="inlineStr">
        <is>
          <t>midcap</t>
        </is>
      </c>
      <c r="F423" s="31" t="n">
        <v>10297.69</v>
      </c>
      <c r="G423" s="31" t="n">
        <v>555.1</v>
      </c>
      <c r="H423" s="31" t="n">
        <v>-5</v>
      </c>
      <c r="I423" s="31" t="n">
        <v>87898</v>
      </c>
      <c r="J423" s="31" t="inlineStr">
        <is>
          <t>532408</t>
        </is>
      </c>
    </row>
    <row r="424">
      <c r="A424" s="31" t="inlineStr">
        <is>
          <t>VENUSREM</t>
        </is>
      </c>
      <c r="B424" s="31" t="inlineStr">
        <is>
          <t>Venus Remedies Limited</t>
        </is>
      </c>
      <c r="C424" s="31" t="inlineStr">
        <is>
          <t>healthcare</t>
        </is>
      </c>
      <c r="D424" s="31" t="inlineStr">
        <is>
          <t>pharmaceuticals - indian - formulations</t>
        </is>
      </c>
      <c r="E424" s="31" t="inlineStr">
        <is>
          <t>smallcap</t>
        </is>
      </c>
      <c r="F424" s="31" t="n">
        <v>2579.83</v>
      </c>
      <c r="G424" s="31" t="n">
        <v>1833.5</v>
      </c>
      <c r="H424" s="31" t="n">
        <v>-5</v>
      </c>
      <c r="I424" s="31" t="n">
        <v>50534</v>
      </c>
      <c r="J424" s="31" t="inlineStr">
        <is>
          <t>526953</t>
        </is>
      </c>
    </row>
    <row r="425">
      <c r="A425" s="31" t="inlineStr">
        <is>
          <t>ELECTHERM</t>
        </is>
      </c>
      <c r="B425" s="31" t="inlineStr">
        <is>
          <t>Electrotherm (india) Limited</t>
        </is>
      </c>
      <c r="C425" s="31" t="inlineStr">
        <is>
          <t>metals &amp; mining</t>
        </is>
      </c>
      <c r="D425" s="31" t="inlineStr">
        <is>
          <t>steel - medium / small</t>
        </is>
      </c>
      <c r="E425" s="31" t="inlineStr">
        <is>
          <t>smallcap</t>
        </is>
      </c>
      <c r="F425" s="31" t="n">
        <v>1485.18</v>
      </c>
      <c r="G425" s="31" t="n">
        <v>1097.9</v>
      </c>
      <c r="H425" s="31" t="n">
        <v>-5.8</v>
      </c>
      <c r="I425" s="31" t="n">
        <v>65495</v>
      </c>
      <c r="J425" s="31" t="inlineStr">
        <is>
          <t>526608</t>
        </is>
      </c>
    </row>
    <row r="426">
      <c r="A426" s="31" t="inlineStr">
        <is>
          <t>SCHNEIDER</t>
        </is>
      </c>
      <c r="B426" s="31" t="inlineStr">
        <is>
          <t>Schneider Electric Infrastructure Limited</t>
        </is>
      </c>
      <c r="C426" s="31" t="inlineStr">
        <is>
          <t>industrials</t>
        </is>
      </c>
      <c r="D426" s="31" t="inlineStr">
        <is>
          <t>electric equipment</t>
        </is>
      </c>
      <c r="E426" s="31" t="inlineStr">
        <is>
          <t>largecap</t>
        </is>
      </c>
      <c r="F426" s="31" t="n">
        <v>34756.16</v>
      </c>
      <c r="G426" s="31" t="n">
        <v>1360.2</v>
      </c>
      <c r="H426" s="31" t="n">
        <v>-6.43</v>
      </c>
      <c r="I426" s="31" t="n">
        <v>634602</v>
      </c>
      <c r="J426" s="31" t="inlineStr">
        <is>
          <t>534139</t>
        </is>
      </c>
    </row>
  </sheetData>
  <autoFilter ref="A1:J4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WHEELS</t>
        </is>
      </c>
      <c r="E2" s="31" t="inlineStr">
        <is>
          <t>Wheels India Limited</t>
        </is>
      </c>
      <c r="F2" s="31" t="inlineStr">
        <is>
          <t>Auto Ancillaries - Wheels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24</v>
      </c>
      <c r="K2" s="31" t="n">
        <v>27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CUPID</t>
        </is>
      </c>
      <c r="E3" s="31" t="inlineStr">
        <is>
          <t>Cupid Limited</t>
        </is>
      </c>
      <c r="F3" s="31" t="inlineStr">
        <is>
          <t>Contraceptives/Protectives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24</v>
      </c>
      <c r="K3" s="31" t="n">
        <v>30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THANGAMAYL</t>
        </is>
      </c>
      <c r="E4" s="31" t="inlineStr">
        <is>
          <t>Thangamayil Jewellery Limited</t>
        </is>
      </c>
      <c r="F4" s="31" t="inlineStr">
        <is>
          <t>Diamond, Gems &amp; Jewellery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26</v>
      </c>
      <c r="K4" s="31" t="n">
        <v>27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BHAGYANGR</t>
        </is>
      </c>
      <c r="E5" s="31" t="inlineStr">
        <is>
          <t>Bhagyanagar India</t>
        </is>
      </c>
      <c r="F5" s="31" t="inlineStr">
        <is>
          <t>Recycling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23</v>
      </c>
      <c r="K5" s="31" t="n">
        <v>25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MINDACORP</t>
        </is>
      </c>
      <c r="E6" s="31" t="inlineStr">
        <is>
          <t>Minda Corporation Limited</t>
        </is>
      </c>
      <c r="F6" s="31" t="inlineStr">
        <is>
          <t>Auto Ancillaries - Diversified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19</v>
      </c>
      <c r="K6" s="31" t="n">
        <v>30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NYKAA</t>
        </is>
      </c>
      <c r="E7" s="31" t="inlineStr">
        <is>
          <t>FSN E-Commerce Ventures Ltd</t>
        </is>
      </c>
      <c r="F7" s="31" t="inlineStr">
        <is>
          <t>New age - Platform - E-Retail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22</v>
      </c>
      <c r="K7" s="31" t="n">
        <v>13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VIYASH</t>
        </is>
      </c>
      <c r="E8" s="31" t="inlineStr">
        <is>
          <t>Viyash Scientific Ltd</t>
        </is>
      </c>
      <c r="F8" s="31" t="inlineStr">
        <is>
          <t>Pharma - Animal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23</v>
      </c>
      <c r="K8" s="31" t="n">
        <v>28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GMRAIRPORT</t>
        </is>
      </c>
      <c r="E9" s="31" t="inlineStr">
        <is>
          <t>GMR Airports Ltd</t>
        </is>
      </c>
      <c r="F9" s="31" t="inlineStr">
        <is>
          <t>Miscellaneous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21</v>
      </c>
      <c r="K9" s="31" t="n">
        <v>23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SETL</t>
        </is>
      </c>
      <c r="E10" s="31" t="inlineStr">
        <is>
          <t>Standard Enginnering Technology Ltd</t>
        </is>
      </c>
      <c r="F10" s="31" t="inlineStr">
        <is>
          <t>Engineering - Heavy - Glass - lined Equipment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19</v>
      </c>
      <c r="K10" s="31" t="n">
        <v>12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SATIN</t>
        </is>
      </c>
      <c r="E11" s="31" t="inlineStr">
        <is>
          <t>Satin Creditcare Network Limited</t>
        </is>
      </c>
      <c r="F11" s="31" t="inlineStr">
        <is>
          <t>Finance &amp; Investments - Microfinance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22</v>
      </c>
      <c r="K11" s="31" t="n">
        <v>27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MAHABANK</t>
        </is>
      </c>
      <c r="E12" s="31" t="inlineStr">
        <is>
          <t>Bank Of Maharashtra Ltd</t>
        </is>
      </c>
      <c r="F12" s="31" t="inlineStr">
        <is>
          <t>Banks - PSU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20</v>
      </c>
      <c r="K12" s="31" t="n">
        <v>19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BAJAJCON</t>
        </is>
      </c>
      <c r="E13" s="31" t="inlineStr">
        <is>
          <t>Bajaj Consumer Care Ltd</t>
        </is>
      </c>
      <c r="F13" s="31" t="inlineStr">
        <is>
          <t>FMCG - Personal Care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23</v>
      </c>
      <c r="K13" s="31" t="n">
        <v>27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RPTECH</t>
        </is>
      </c>
      <c r="E14" s="31" t="inlineStr">
        <is>
          <t>Rashi Peripherals Ltd</t>
        </is>
      </c>
      <c r="F14" s="31" t="inlineStr">
        <is>
          <t>Trading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28</v>
      </c>
      <c r="K14" s="31" t="n">
        <v>28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FEDERALBNK</t>
        </is>
      </c>
      <c r="E15" s="31" t="inlineStr">
        <is>
          <t>The Federal Bank  Limited</t>
        </is>
      </c>
      <c r="F15" s="31" t="inlineStr">
        <is>
          <t>Banks - Private</t>
        </is>
      </c>
      <c r="G15" s="31" t="n">
        <v>2</v>
      </c>
      <c r="H15" s="31" t="inlineStr">
        <is>
          <t>52W Breakout</t>
        </is>
      </c>
      <c r="I15" s="31" t="inlineStr">
        <is>
          <t>Yes</t>
        </is>
      </c>
      <c r="J15" s="31" t="n">
        <v>11</v>
      </c>
      <c r="K15" s="31" t="n">
        <v>23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IOLCP</t>
        </is>
      </c>
      <c r="E16" s="31" t="inlineStr">
        <is>
          <t>Iol Chemicals And Pharmaceuticals Limited</t>
        </is>
      </c>
      <c r="F16" s="31" t="inlineStr">
        <is>
          <t>Pharma - API &amp; CRAMS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18</v>
      </c>
      <c r="K16" s="31" t="n">
        <v>28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RANEHOLDIN</t>
        </is>
      </c>
      <c r="E17" s="31" t="inlineStr">
        <is>
          <t>Rane Holdings Limited</t>
        </is>
      </c>
      <c r="F17" s="31" t="inlineStr">
        <is>
          <t>Finance - Holding Company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18</v>
      </c>
      <c r="K17" s="31" t="n">
        <v>20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GRANULES</t>
        </is>
      </c>
      <c r="E18" s="31" t="inlineStr">
        <is>
          <t>Granules India Limited</t>
        </is>
      </c>
      <c r="F18" s="31" t="inlineStr">
        <is>
          <t>Pharma - API &amp; CRAMS</t>
        </is>
      </c>
      <c r="G18" s="31" t="n">
        <v>2</v>
      </c>
      <c r="H18" s="31" t="inlineStr">
        <is>
          <t>52W Breakout</t>
        </is>
      </c>
      <c r="I18" s="31" t="inlineStr">
        <is>
          <t>Yes</t>
        </is>
      </c>
      <c r="J18" s="31" t="n">
        <v>14</v>
      </c>
      <c r="K18" s="31" t="n">
        <v>23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IBULLSLTD</t>
        </is>
      </c>
      <c r="E19" s="31" t="inlineStr">
        <is>
          <t>Indiabulls Limited</t>
        </is>
      </c>
      <c r="F19" s="31" t="inlineStr">
        <is>
          <t>Diversified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21</v>
      </c>
      <c r="K19" s="31" t="n">
        <v>30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RADICO</t>
        </is>
      </c>
      <c r="E20" s="31" t="inlineStr">
        <is>
          <t>Radico Khaitan Limited</t>
        </is>
      </c>
      <c r="F20" s="31" t="inlineStr">
        <is>
          <t>Alcoholic Beverages</t>
        </is>
      </c>
      <c r="G20" s="31" t="n">
        <v>2</v>
      </c>
      <c r="H20" s="31" t="inlineStr">
        <is>
          <t>52W Breakout</t>
        </is>
      </c>
      <c r="I20" s="31" t="inlineStr">
        <is>
          <t>Yes</t>
        </is>
      </c>
      <c r="J20" s="31" t="n">
        <v>16</v>
      </c>
      <c r="K20" s="31" t="n">
        <v>25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INDOBORAX</t>
        </is>
      </c>
      <c r="E21" s="31" t="inlineStr">
        <is>
          <t>Indo Borax &amp; Chemicals Ltd</t>
        </is>
      </c>
      <c r="F21" s="31" t="inlineStr">
        <is>
          <t>Chemicals - Inorganic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19</v>
      </c>
      <c r="K21" s="31" t="n">
        <v>30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ATHERENERG</t>
        </is>
      </c>
      <c r="E22" s="31" t="inlineStr">
        <is>
          <t>Ather Energy Ltd</t>
        </is>
      </c>
      <c r="F22" s="31" t="inlineStr">
        <is>
          <t>Auto - 2 &amp; 3 Wheelers</t>
        </is>
      </c>
      <c r="G22" s="31" t="n">
        <v>2</v>
      </c>
      <c r="H22" s="31" t="inlineStr">
        <is>
          <t>52W Breakout</t>
        </is>
      </c>
      <c r="I22" s="31" t="inlineStr">
        <is>
          <t>Yes</t>
        </is>
      </c>
      <c r="J22" s="31" t="n">
        <v>17</v>
      </c>
      <c r="K22" s="31" t="n">
        <v>23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GLAND</t>
        </is>
      </c>
      <c r="E23" s="31" t="inlineStr">
        <is>
          <t>Gland Pharma Ltd</t>
        </is>
      </c>
      <c r="F23" s="31" t="inlineStr">
        <is>
          <t>Pharma - API &amp; CRAMS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20</v>
      </c>
      <c r="K23" s="31" t="n">
        <v>24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CGCL</t>
        </is>
      </c>
      <c r="E24" s="31" t="inlineStr">
        <is>
          <t>Capri Global Capital Limited</t>
        </is>
      </c>
      <c r="F24" s="31" t="inlineStr">
        <is>
          <t>Finance &amp; Investments - Gold Loan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24</v>
      </c>
      <c r="K24" s="31" t="n">
        <v>28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BLISSGVS</t>
        </is>
      </c>
      <c r="E25" s="31" t="inlineStr">
        <is>
          <t>Bliss Gvs Pharma Limited</t>
        </is>
      </c>
      <c r="F25" s="31" t="inlineStr">
        <is>
          <t>Pharma - Formulators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21</v>
      </c>
      <c r="K25" s="31" t="n">
        <v>30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PAISALO</t>
        </is>
      </c>
      <c r="E26" s="31" t="inlineStr">
        <is>
          <t>Paisalo Digital Ltd</t>
        </is>
      </c>
      <c r="F26" s="31" t="inlineStr">
        <is>
          <t>Finance - Capital Markets - Brokers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19</v>
      </c>
      <c r="K26" s="31" t="n">
        <v>30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PGIL</t>
        </is>
      </c>
      <c r="E27" s="31" t="inlineStr">
        <is>
          <t>Pearl Global Industries Limited</t>
        </is>
      </c>
      <c r="F27" s="31" t="inlineStr">
        <is>
          <t>Textiles - Readymade Apparel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19</v>
      </c>
      <c r="K27" s="31" t="n">
        <v>25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SYRMA</t>
        </is>
      </c>
      <c r="E28" s="31" t="inlineStr">
        <is>
          <t>Syrma SGS Technology Ltd</t>
        </is>
      </c>
      <c r="F28" s="31" t="inlineStr">
        <is>
          <t>Consumer Electronics - EMS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18</v>
      </c>
      <c r="K28" s="31" t="n">
        <v>30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UNIPARTS</t>
        </is>
      </c>
      <c r="E29" s="31" t="inlineStr">
        <is>
          <t>Uniparts India Ltd</t>
        </is>
      </c>
      <c r="F29" s="31" t="inlineStr">
        <is>
          <t>Castings, Forgings &amp; Fastners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22</v>
      </c>
      <c r="K29" s="31" t="n">
        <v>30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AEGISLOG</t>
        </is>
      </c>
      <c r="E30" s="31" t="inlineStr">
        <is>
          <t>Aegis Logistics Ltd</t>
        </is>
      </c>
      <c r="F30" s="31" t="inlineStr">
        <is>
          <t>Logistics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26</v>
      </c>
      <c r="K30" s="31" t="n">
        <v>23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CEMPRO</t>
        </is>
      </c>
      <c r="E31" s="31" t="inlineStr">
        <is>
          <t>Cemindia Projects Ltd</t>
        </is>
      </c>
      <c r="F31" s="31" t="inlineStr">
        <is>
          <t>Infra - Construction &amp; Contracting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18</v>
      </c>
      <c r="K31" s="31" t="n">
        <v>30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ASTRAMICRO</t>
        </is>
      </c>
      <c r="E32" s="31" t="inlineStr">
        <is>
          <t>Astra Microwave Products Limited</t>
        </is>
      </c>
      <c r="F32" s="31" t="inlineStr">
        <is>
          <t>Aerospace &amp; Defence - Equipments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18</v>
      </c>
      <c r="K32" s="31" t="n">
        <v>30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KIRLPNU</t>
        </is>
      </c>
      <c r="E33" s="31" t="inlineStr">
        <is>
          <t>Kirloskar Pneumatic Company Ltd</t>
        </is>
      </c>
      <c r="F33" s="31" t="inlineStr">
        <is>
          <t>Compressors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17</v>
      </c>
      <c r="K33" s="31" t="n">
        <v>28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WABAG</t>
        </is>
      </c>
      <c r="E34" s="31" t="inlineStr">
        <is>
          <t>Va Tech Wabag Limited</t>
        </is>
      </c>
      <c r="F34" s="31" t="inlineStr">
        <is>
          <t>Water Treatment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19</v>
      </c>
      <c r="K34" s="31" t="n">
        <v>29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RAMCOSYS</t>
        </is>
      </c>
      <c r="E35" s="31" t="inlineStr">
        <is>
          <t>Ramco Systems Limited</t>
        </is>
      </c>
      <c r="F35" s="31" t="inlineStr">
        <is>
          <t>IT Product Companies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25</v>
      </c>
      <c r="K35" s="31" t="n">
        <v>18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AVALON</t>
        </is>
      </c>
      <c r="E36" s="31" t="inlineStr">
        <is>
          <t>Avalon Technologies Ltd</t>
        </is>
      </c>
      <c r="F36" s="31" t="inlineStr">
        <is>
          <t>Consumer Electronics - EMS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22</v>
      </c>
      <c r="K36" s="31" t="n">
        <v>30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INDOTECH</t>
        </is>
      </c>
      <c r="E37" s="31" t="inlineStr">
        <is>
          <t>Indo Tech Transformers Limited</t>
        </is>
      </c>
      <c r="F37" s="31" t="inlineStr">
        <is>
          <t>Capital Goods - Transformers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19</v>
      </c>
      <c r="K37" s="31" t="n">
        <v>23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SKMEGGPROD</t>
        </is>
      </c>
      <c r="E38" s="31" t="inlineStr">
        <is>
          <t>Skm Egg Products Export (india) Limited</t>
        </is>
      </c>
      <c r="F38" s="31" t="inlineStr">
        <is>
          <t>FMCG - Animal/Polutry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28</v>
      </c>
      <c r="K38" s="31" t="n">
        <v>29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VENUSREM</t>
        </is>
      </c>
      <c r="E39" s="31" t="inlineStr">
        <is>
          <t>Venus Remedies Limited</t>
        </is>
      </c>
      <c r="F39" s="31" t="inlineStr">
        <is>
          <t>Pharmaceuticals - I V Fluids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18</v>
      </c>
      <c r="K39" s="31" t="n">
        <v>30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MARKSANS</t>
        </is>
      </c>
      <c r="E40" s="31" t="inlineStr">
        <is>
          <t>Marksans Pharma Limited</t>
        </is>
      </c>
      <c r="F40" s="31" t="inlineStr">
        <is>
          <t>Pharma - Formulators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21</v>
      </c>
      <c r="K40" s="31" t="n">
        <v>30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NGLFINE</t>
        </is>
      </c>
      <c r="E41" s="31" t="inlineStr">
        <is>
          <t>NGL Fine Chem Ltd</t>
        </is>
      </c>
      <c r="F41" s="31" t="inlineStr">
        <is>
          <t>Pharma - Animal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21</v>
      </c>
      <c r="K41" s="31" t="n">
        <v>29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VADILALIND</t>
        </is>
      </c>
      <c r="E42" s="31" t="inlineStr">
        <is>
          <t>Vadilal Industries Limited</t>
        </is>
      </c>
      <c r="F42" s="31" t="inlineStr">
        <is>
          <t>FMCG - Dairy Products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26</v>
      </c>
      <c r="K42" s="31" t="n">
        <v>24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ACUTAAS</t>
        </is>
      </c>
      <c r="E43" s="31" t="inlineStr">
        <is>
          <t>Acutaas Chemicals Ltd</t>
        </is>
      </c>
      <c r="F43" s="31" t="inlineStr">
        <is>
          <t>Pharma - API &amp; CRAMS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25</v>
      </c>
      <c r="K43" s="31" t="n">
        <v>28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DIFFNKG</t>
        </is>
      </c>
      <c r="E44" s="31" t="inlineStr">
        <is>
          <t>Diffusion Engineers Ltd</t>
        </is>
      </c>
      <c r="F44" s="31" t="inlineStr">
        <is>
          <t>Welding Equipments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19</v>
      </c>
      <c r="K44" s="31" t="n">
        <v>17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AUROPHARMA</t>
        </is>
      </c>
      <c r="E45" s="31" t="inlineStr">
        <is>
          <t>Aurobindo Pharma Limited</t>
        </is>
      </c>
      <c r="F45" s="31" t="inlineStr">
        <is>
          <t>Pharma - Formulators</t>
        </is>
      </c>
      <c r="G45" s="31" t="n">
        <v>2</v>
      </c>
      <c r="H45" s="31" t="inlineStr">
        <is>
          <t>52W Breakout</t>
        </is>
      </c>
      <c r="I45" s="31" t="inlineStr">
        <is>
          <t>Yes</t>
        </is>
      </c>
      <c r="J45" s="31" t="n">
        <v>8</v>
      </c>
      <c r="K45" s="31" t="n">
        <v>9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ANANDRATHI</t>
        </is>
      </c>
      <c r="E46" s="31" t="inlineStr">
        <is>
          <t>Anand Rathi Wealth Ltd</t>
        </is>
      </c>
      <c r="F46" s="31" t="inlineStr">
        <is>
          <t>Finance - Capital Markets - Wealth Management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19</v>
      </c>
      <c r="K46" s="31" t="n">
        <v>3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OFSS</t>
        </is>
      </c>
      <c r="E47" s="31" t="inlineStr">
        <is>
          <t>Oracle Financial Services Software Limited</t>
        </is>
      </c>
      <c r="F47" s="31" t="inlineStr">
        <is>
          <t>IT Product Companies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17</v>
      </c>
      <c r="K47" s="31" t="n">
        <v>21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SENORES</t>
        </is>
      </c>
      <c r="E48" s="31" t="inlineStr">
        <is>
          <t>Senores Pharmaceuticals Ltd</t>
        </is>
      </c>
      <c r="F48" s="31" t="inlineStr">
        <is>
          <t>Pharma - API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19</v>
      </c>
      <c r="K48" s="31" t="n">
        <v>23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SHILPAMED</t>
        </is>
      </c>
      <c r="E49" s="31" t="inlineStr">
        <is>
          <t>Shilpa Medicare Limited</t>
        </is>
      </c>
      <c r="F49" s="31" t="inlineStr">
        <is>
          <t>Pharma - API &amp; CRAMS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21</v>
      </c>
      <c r="K49" s="31" t="n">
        <v>30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HONASA</t>
        </is>
      </c>
      <c r="E50" s="31" t="inlineStr">
        <is>
          <t>Honasa Consumer Ltd</t>
        </is>
      </c>
      <c r="F50" s="31" t="inlineStr">
        <is>
          <t>New age - Platform - E-Retail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18</v>
      </c>
      <c r="K50" s="31" t="n">
        <v>30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RATEGAIN</t>
        </is>
      </c>
      <c r="E51" s="31" t="inlineStr">
        <is>
          <t>Rategain Travel Technologies Ltd</t>
        </is>
      </c>
      <c r="F51" s="31" t="inlineStr">
        <is>
          <t>IT Product Companies</t>
        </is>
      </c>
      <c r="G51" s="31" t="n">
        <v>2</v>
      </c>
      <c r="H51" s="31" t="inlineStr">
        <is>
          <t>52W Breakout</t>
        </is>
      </c>
      <c r="I51" s="31" t="inlineStr">
        <is>
          <t>Yes</t>
        </is>
      </c>
      <c r="J51" s="31" t="n">
        <v>17</v>
      </c>
      <c r="K51" s="31" t="n">
        <v>30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THELEELA</t>
        </is>
      </c>
      <c r="E52" s="31" t="inlineStr">
        <is>
          <t>Leela Palaces Hotels &amp; Resorts Ltd</t>
        </is>
      </c>
      <c r="F52" s="31" t="inlineStr">
        <is>
          <t>Hotels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17</v>
      </c>
      <c r="K52" s="31" t="n">
        <v>13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CRAFTSMAN</t>
        </is>
      </c>
      <c r="E53" s="31" t="inlineStr">
        <is>
          <t>Craftsman Automation Ltd</t>
        </is>
      </c>
      <c r="F53" s="31" t="inlineStr">
        <is>
          <t>Auto &amp; Auto Ancl - CV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22</v>
      </c>
      <c r="K53" s="31" t="n">
        <v>29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PARAS</t>
        </is>
      </c>
      <c r="E54" s="31" t="inlineStr">
        <is>
          <t>Paras Defence and Space Technologies Ltd</t>
        </is>
      </c>
      <c r="F54" s="31" t="inlineStr">
        <is>
          <t>Aerospace &amp; Defence - Equipments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18</v>
      </c>
      <c r="K54" s="31" t="n">
        <v>29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ZYDUSWELL</t>
        </is>
      </c>
      <c r="E55" s="31" t="inlineStr">
        <is>
          <t>Zydus Wellness Limited</t>
        </is>
      </c>
      <c r="F55" s="31" t="inlineStr">
        <is>
          <t>FMCG - Personal Care</t>
        </is>
      </c>
      <c r="G55" s="31" t="n">
        <v>2</v>
      </c>
      <c r="H55" s="31" t="inlineStr">
        <is>
          <t>52W Breakout</t>
        </is>
      </c>
      <c r="I55" s="31" t="inlineStr">
        <is>
          <t>Yes</t>
        </is>
      </c>
      <c r="J55" s="31" t="n">
        <v>12</v>
      </c>
      <c r="K55" s="31" t="n">
        <v>10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SFL</t>
        </is>
      </c>
      <c r="E56" s="31" t="inlineStr">
        <is>
          <t>Sheela Foam Limited</t>
        </is>
      </c>
      <c r="F56" s="31" t="inlineStr">
        <is>
          <t>Mattress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20</v>
      </c>
      <c r="K56" s="31" t="n">
        <v>24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PREMEXPLN</t>
        </is>
      </c>
      <c r="E57" s="31" t="inlineStr">
        <is>
          <t>Premier Explosives Limited</t>
        </is>
      </c>
      <c r="F57" s="31" t="inlineStr">
        <is>
          <t>Industrial Explosives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18</v>
      </c>
      <c r="K57" s="31" t="n">
        <v>30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LAURUSLABS</t>
        </is>
      </c>
      <c r="E58" s="31" t="inlineStr">
        <is>
          <t>Laurus Labs Limited</t>
        </is>
      </c>
      <c r="F58" s="31" t="inlineStr">
        <is>
          <t>Pharma - API &amp; CRAMS</t>
        </is>
      </c>
      <c r="G58" s="31" t="n">
        <v>2</v>
      </c>
      <c r="H58" s="31" t="inlineStr">
        <is>
          <t>52W Breakout</t>
        </is>
      </c>
      <c r="I58" s="31" t="inlineStr">
        <is>
          <t>Yes</t>
        </is>
      </c>
      <c r="J58" s="31" t="n">
        <v>15</v>
      </c>
      <c r="K58" s="31" t="n">
        <v>30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CEIGALL</t>
        </is>
      </c>
      <c r="E59" s="31" t="inlineStr">
        <is>
          <t>Ceigall India Ltd</t>
        </is>
      </c>
      <c r="F59" s="31" t="inlineStr">
        <is>
          <t>Construction - Civil/Turnkey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22</v>
      </c>
      <c r="K59" s="31" t="n">
        <v>28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HAPPYFORGE</t>
        </is>
      </c>
      <c r="E60" s="31" t="inlineStr">
        <is>
          <t>Happy Forgings Ltd</t>
        </is>
      </c>
      <c r="F60" s="31" t="inlineStr">
        <is>
          <t>Castings, Forgings &amp; Fastners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18</v>
      </c>
      <c r="K60" s="31" t="n">
        <v>14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DIVGIITTS</t>
        </is>
      </c>
      <c r="E61" s="31" t="inlineStr">
        <is>
          <t>Divgi Torqtransfer Systems Ltd</t>
        </is>
      </c>
      <c r="F61" s="31" t="inlineStr">
        <is>
          <t>Auto Ancillaries - Transmission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23</v>
      </c>
      <c r="K61" s="31" t="n">
        <v>30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WELCORP</t>
        </is>
      </c>
      <c r="E62" s="31" t="inlineStr">
        <is>
          <t>Welspun Corp Limited</t>
        </is>
      </c>
      <c r="F62" s="31" t="inlineStr">
        <is>
          <t>DI Pipes/Saw Pipes</t>
        </is>
      </c>
      <c r="G62" s="31" t="n">
        <v>2</v>
      </c>
      <c r="H62" s="31" t="inlineStr">
        <is>
          <t>52W Breakout</t>
        </is>
      </c>
      <c r="I62" s="31" t="inlineStr">
        <is>
          <t>Yes</t>
        </is>
      </c>
      <c r="J62" s="31" t="n">
        <v>16</v>
      </c>
      <c r="K62" s="31" t="n">
        <v>30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SHRIPISTON</t>
        </is>
      </c>
      <c r="E63" s="31" t="inlineStr">
        <is>
          <t>Shriram Pistons &amp; Rings Limited</t>
        </is>
      </c>
      <c r="F63" s="31" t="inlineStr">
        <is>
          <t>Auto Ancillaries - Engine Parts</t>
        </is>
      </c>
      <c r="G63" s="31" t="n">
        <v>2</v>
      </c>
      <c r="H63" s="31" t="inlineStr">
        <is>
          <t>52W Breakout</t>
        </is>
      </c>
      <c r="I63" s="31" t="inlineStr">
        <is>
          <t>Yes</t>
        </is>
      </c>
      <c r="J63" s="31" t="n">
        <v>14</v>
      </c>
      <c r="K63" s="31" t="n">
        <v>16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APOLLO</t>
        </is>
      </c>
      <c r="E64" s="31" t="inlineStr">
        <is>
          <t>Apollo Micro Systems Ltd</t>
        </is>
      </c>
      <c r="F64" s="31" t="inlineStr">
        <is>
          <t>Aerospace &amp; Defence - Equipments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20</v>
      </c>
      <c r="K64" s="31" t="n">
        <v>24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RPEL</t>
        </is>
      </c>
      <c r="E65" s="31" t="inlineStr">
        <is>
          <t>Raghav Productivity Enhancers Ltd</t>
        </is>
      </c>
      <c r="F65" s="31" t="inlineStr">
        <is>
          <t>Steel Products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18</v>
      </c>
      <c r="K65" s="31" t="n">
        <v>30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SKYGOLD</t>
        </is>
      </c>
      <c r="E66" s="31" t="inlineStr">
        <is>
          <t>Sky Gold Ltd</t>
        </is>
      </c>
      <c r="F66" s="31" t="inlineStr">
        <is>
          <t>Diamond, Gems &amp; Jewellery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22</v>
      </c>
      <c r="K66" s="31" t="n">
        <v>19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AURUM</t>
        </is>
      </c>
      <c r="E67" s="31" t="inlineStr">
        <is>
          <t>Aurum Proptech Ltd</t>
        </is>
      </c>
      <c r="F67" s="31" t="inlineStr">
        <is>
          <t>IT Enabled Services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24</v>
      </c>
      <c r="K67" s="31" t="n">
        <v>18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JAYBARMARU</t>
        </is>
      </c>
      <c r="E68" s="31" t="inlineStr">
        <is>
          <t>Jay Bharat Maruti Limited</t>
        </is>
      </c>
      <c r="F68" s="31" t="inlineStr">
        <is>
          <t>Auto Ancillaries - Diversified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21</v>
      </c>
      <c r="K68" s="31" t="n">
        <v>30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HFCL</t>
        </is>
      </c>
      <c r="E69" s="31" t="inlineStr">
        <is>
          <t>HFCL Ltd</t>
        </is>
      </c>
      <c r="F69" s="31" t="inlineStr">
        <is>
          <t>Telecom Services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23</v>
      </c>
      <c r="K69" s="31" t="n">
        <v>29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INDNIPPON</t>
        </is>
      </c>
      <c r="E70" s="31" t="inlineStr">
        <is>
          <t>India Nippon Electricals Limited</t>
        </is>
      </c>
      <c r="F70" s="31" t="inlineStr">
        <is>
          <t>Auto Ancillaries - Engine Parts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22</v>
      </c>
      <c r="K70" s="31" t="n">
        <v>25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RAMCOIND</t>
        </is>
      </c>
      <c r="E71" s="31" t="inlineStr">
        <is>
          <t>Ramco Industries Limited</t>
        </is>
      </c>
      <c r="F71" s="31" t="inlineStr">
        <is>
          <t>Cement Products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20</v>
      </c>
      <c r="K71" s="31" t="n">
        <v>4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STOVEKRAFT</t>
        </is>
      </c>
      <c r="E72" s="31" t="inlineStr">
        <is>
          <t>Stove Kraft Ltd</t>
        </is>
      </c>
      <c r="F72" s="31" t="inlineStr">
        <is>
          <t>Domestic Appliances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18</v>
      </c>
      <c r="K72" s="31" t="n">
        <v>17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KERNEX</t>
        </is>
      </c>
      <c r="E73" s="31" t="inlineStr">
        <is>
          <t>Kernex Microsystems (india) Limited</t>
        </is>
      </c>
      <c r="F73" s="31" t="inlineStr">
        <is>
          <t>Railways - Kavach/Springs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21</v>
      </c>
      <c r="K73" s="31" t="n">
        <v>30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KMEW</t>
        </is>
      </c>
      <c r="E74" s="31" t="inlineStr">
        <is>
          <t>Knowledge Marine &amp; Engineering Works Ltd</t>
        </is>
      </c>
      <c r="F74" s="31" t="inlineStr">
        <is>
          <t>Shipping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28</v>
      </c>
      <c r="K74" s="31" t="n">
        <v>11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JNKINDIA</t>
        </is>
      </c>
      <c r="E75" s="31" t="inlineStr">
        <is>
          <t>JNK India Ltd</t>
        </is>
      </c>
      <c r="F75" s="31" t="inlineStr">
        <is>
          <t>Capital Goods - Engineering Heavy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27</v>
      </c>
      <c r="K75" s="31" t="n">
        <v>28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SIGMAADV</t>
        </is>
      </c>
      <c r="E76" s="31" t="inlineStr">
        <is>
          <t>Sigma Advanced System Ltd</t>
        </is>
      </c>
      <c r="F76" s="31" t="inlineStr">
        <is>
          <t>Aerospace &amp; Defence - Equipments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23</v>
      </c>
      <c r="K76" s="31" t="n">
        <v>30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OLECTRA</t>
        </is>
      </c>
      <c r="E77" s="31" t="inlineStr">
        <is>
          <t>Olectra Greentech Ltd</t>
        </is>
      </c>
      <c r="F77" s="31" t="inlineStr">
        <is>
          <t>Auto - Bus/LCVs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20</v>
      </c>
      <c r="K77" s="31" t="n">
        <v>9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AEROENTER</t>
        </is>
      </c>
      <c r="E78" s="31" t="inlineStr">
        <is>
          <t>Aeroflex Enterprises Ltd</t>
        </is>
      </c>
      <c r="F78" s="31" t="inlineStr">
        <is>
          <t>Miscellaneous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23</v>
      </c>
      <c r="K78" s="31" t="n">
        <v>22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GUFICBIO</t>
        </is>
      </c>
      <c r="E79" s="31" t="inlineStr">
        <is>
          <t>Gufic Biosciences Limited</t>
        </is>
      </c>
      <c r="F79" s="31" t="inlineStr">
        <is>
          <t>Pharma - Formulators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22</v>
      </c>
      <c r="K79" s="31" t="n">
        <v>27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AEROFLEX</t>
        </is>
      </c>
      <c r="E80" s="31" t="inlineStr">
        <is>
          <t>Aeroflex Industries Ltd</t>
        </is>
      </c>
      <c r="F80" s="31" t="inlineStr">
        <is>
          <t>Stainless Steel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19</v>
      </c>
      <c r="K80" s="31" t="n">
        <v>29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DIACABS</t>
        </is>
      </c>
      <c r="E81" s="31" t="inlineStr">
        <is>
          <t>Diamond Power Infrastructure Ltd</t>
        </is>
      </c>
      <c r="F81" s="31" t="inlineStr">
        <is>
          <t>Cables - Power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18</v>
      </c>
      <c r="K81" s="31" t="n">
        <v>27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APOLLOHOSP</t>
        </is>
      </c>
      <c r="E82" s="31" t="inlineStr">
        <is>
          <t>Apollo Hospitals Enterprise Limited</t>
        </is>
      </c>
      <c r="F82" s="31" t="inlineStr">
        <is>
          <t>Hospitals</t>
        </is>
      </c>
      <c r="G82" s="31" t="n">
        <v>2</v>
      </c>
      <c r="H82" s="31" t="inlineStr">
        <is>
          <t>52W Breakout</t>
        </is>
      </c>
      <c r="I82" s="31" t="inlineStr">
        <is>
          <t>Yes</t>
        </is>
      </c>
      <c r="J82" s="31" t="n">
        <v>8</v>
      </c>
      <c r="K82" s="31" t="n">
        <v>28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GREAVESCOT</t>
        </is>
      </c>
      <c r="E83" s="31" t="inlineStr">
        <is>
          <t>Greaves Cotton Limited</t>
        </is>
      </c>
      <c r="F83" s="31" t="inlineStr">
        <is>
          <t>Engines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21</v>
      </c>
      <c r="K83" s="31" t="n">
        <v>8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RML</t>
        </is>
      </c>
      <c r="E84" s="31" t="inlineStr">
        <is>
          <t>Rane (madras) Limited</t>
        </is>
      </c>
      <c r="F84" s="31" t="inlineStr">
        <is>
          <t>Auto Ancillaries - Gears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23</v>
      </c>
      <c r="K84" s="31" t="n">
        <v>28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TBZ</t>
        </is>
      </c>
      <c r="E85" s="31" t="inlineStr">
        <is>
          <t>Tribhovandas Bhimji Zaveri Limited</t>
        </is>
      </c>
      <c r="F85" s="31" t="inlineStr">
        <is>
          <t>Diamond, Gems &amp; Jewellery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20</v>
      </c>
      <c r="K85" s="31" t="n">
        <v>16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NIBE</t>
        </is>
      </c>
      <c r="E86" s="31" t="inlineStr">
        <is>
          <t>NIBE Ltd</t>
        </is>
      </c>
      <c r="F86" s="31" t="inlineStr">
        <is>
          <t>Aerospace &amp; Defence - Equipments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18</v>
      </c>
      <c r="K86" s="31" t="n">
        <v>12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ACMESOLAR</t>
        </is>
      </c>
      <c r="E87" s="31" t="inlineStr">
        <is>
          <t>ACME Solar Holdings Ltd</t>
        </is>
      </c>
      <c r="F87" s="31" t="inlineStr">
        <is>
          <t>Engineering - Turnkey Services</t>
        </is>
      </c>
      <c r="G87" s="31" t="n">
        <v>2</v>
      </c>
      <c r="H87" s="31" t="inlineStr">
        <is>
          <t>52W Breakout</t>
        </is>
      </c>
      <c r="I87" s="31" t="inlineStr">
        <is>
          <t>Yes</t>
        </is>
      </c>
      <c r="J87" s="31" t="n">
        <v>14</v>
      </c>
      <c r="K87" s="31" t="n">
        <v>30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GALAPREC</t>
        </is>
      </c>
      <c r="E88" s="31" t="inlineStr">
        <is>
          <t>Gala Precision Engineering Ltd</t>
        </is>
      </c>
      <c r="F88" s="31" t="inlineStr">
        <is>
          <t>Castings, Forgings &amp; Fastners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20</v>
      </c>
      <c r="K88" s="31" t="n">
        <v>28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LLOYDSME</t>
        </is>
      </c>
      <c r="E89" s="31" t="inlineStr">
        <is>
          <t>Lloyds Metals &amp; Energy Ltd</t>
        </is>
      </c>
      <c r="F89" s="31" t="inlineStr">
        <is>
          <t>Mining/Minerals - Iron Ore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19</v>
      </c>
      <c r="K89" s="31" t="n">
        <v>16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MARUTI</t>
        </is>
      </c>
      <c r="E90" s="31" t="inlineStr">
        <is>
          <t>Maruti Suzuki India Limited</t>
        </is>
      </c>
      <c r="F90" s="31" t="inlineStr">
        <is>
          <t>Auto - 4 Wheelers</t>
        </is>
      </c>
      <c r="G90" s="31" t="n">
        <v>2</v>
      </c>
      <c r="H90" s="31" t="inlineStr">
        <is>
          <t>EMA Crossover</t>
        </is>
      </c>
      <c r="I90" s="31" t="inlineStr">
        <is>
          <t>Yes</t>
        </is>
      </c>
      <c r="J90" s="31" t="n">
        <v>4</v>
      </c>
      <c r="K90" s="31" t="n">
        <v>1</v>
      </c>
    </row>
  </sheetData>
  <autoFilter ref="A1:K90"/>
  <conditionalFormatting sqref="G2:G9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0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7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IF(B2=0,"",RANK(B2,$B$2:$B$370,0))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BAJAJCON</t>
        </is>
      </c>
      <c r="D2" s="31" t="inlineStr">
        <is>
          <t>Bajaj Consumer Care Ltd</t>
        </is>
      </c>
      <c r="E2" s="31" t="inlineStr">
        <is>
          <t>fmcg</t>
        </is>
      </c>
      <c r="F2" s="31" t="inlineStr">
        <is>
          <t>personal care - indian</t>
        </is>
      </c>
      <c r="G2" s="31" t="inlineStr">
        <is>
          <t>midcap</t>
        </is>
      </c>
      <c r="H2" s="32" t="n">
        <v>7799.87</v>
      </c>
      <c r="I2" s="32" t="n">
        <v>599</v>
      </c>
      <c r="J2" s="32" t="n">
        <v>0.31</v>
      </c>
      <c r="K2" s="32" t="n">
        <v>405365</v>
      </c>
      <c r="L2" s="31" t="n">
        <v>92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71.08</v>
      </c>
      <c r="P2" s="32" t="n">
        <v>61.08</v>
      </c>
      <c r="Q2" s="32" t="n">
        <v>491.24</v>
      </c>
      <c r="R2" s="31" t="inlineStr">
        <is>
          <t>Near 52W High Breakout</t>
        </is>
      </c>
      <c r="S2" s="31" t="inlineStr">
        <is>
          <t>Nifty FMCG</t>
        </is>
      </c>
      <c r="T2" s="32" t="n">
        <v>-10.85</v>
      </c>
      <c r="U2" s="32" t="n">
        <v>171.2</v>
      </c>
      <c r="V2" s="32" t="n">
        <v>204.22</v>
      </c>
      <c r="W2" s="32" t="n">
        <v>37.45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IF(B3=0,"",RANK(B3,$B$2:$B$370,0))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PGHL</t>
        </is>
      </c>
      <c r="D3" s="31" t="inlineStr">
        <is>
          <t>Procter &amp; Gamble Health Ltd</t>
        </is>
      </c>
      <c r="E3" s="31" t="inlineStr">
        <is>
          <t>healthcare</t>
        </is>
      </c>
      <c r="F3" s="31" t="inlineStr">
        <is>
          <t>pharmaceuticals - multinational</t>
        </is>
      </c>
      <c r="G3" s="31" t="inlineStr">
        <is>
          <t>midcap</t>
        </is>
      </c>
      <c r="H3" s="32" t="n">
        <v>10368.8</v>
      </c>
      <c r="I3" s="32" t="n">
        <v>6326.5</v>
      </c>
      <c r="J3" s="32" t="n">
        <v>1.28</v>
      </c>
      <c r="K3" s="32" t="n">
        <v>21161</v>
      </c>
      <c r="L3" s="31" t="n">
        <v>37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74.53</v>
      </c>
      <c r="P3" s="32" t="n">
        <v>49.69</v>
      </c>
      <c r="Q3" s="32" t="n">
        <v>5435.07</v>
      </c>
      <c r="R3" s="31" t="inlineStr">
        <is>
          <t>Near 52W High Breakout</t>
        </is>
      </c>
      <c r="S3" s="31" t="inlineStr">
        <is>
          <t>Nifty Pharma</t>
        </is>
      </c>
      <c r="T3" s="32" t="n">
        <v>13.14</v>
      </c>
      <c r="U3" s="32" t="n">
        <v>14.01</v>
      </c>
      <c r="V3" s="32" t="n">
        <v>0.77</v>
      </c>
      <c r="W3" s="32" t="n">
        <v>10.35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IF(B4=0,"",RANK(B4,$B$2:$B$370,0))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RPTECH</t>
        </is>
      </c>
      <c r="D4" s="31" t="inlineStr">
        <is>
          <t>Rashi Peripherals Ltd</t>
        </is>
      </c>
      <c r="E4" s="31" t="inlineStr">
        <is>
          <t>services</t>
        </is>
      </c>
      <c r="F4" s="31" t="inlineStr">
        <is>
          <t>trading</t>
        </is>
      </c>
      <c r="G4" s="31" t="inlineStr">
        <is>
          <t>smallcap</t>
        </is>
      </c>
      <c r="H4" s="32" t="n">
        <v>4963.23</v>
      </c>
      <c r="I4" s="32" t="n">
        <v>773.75</v>
      </c>
      <c r="J4" s="32" t="n">
        <v>2.74</v>
      </c>
      <c r="K4" s="32" t="n">
        <v>884402</v>
      </c>
      <c r="L4" s="31" t="n">
        <v>95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87.66</v>
      </c>
      <c r="P4" s="32" t="n">
        <v>63.65</v>
      </c>
      <c r="Q4" s="32" t="n">
        <v>610.3200000000001</v>
      </c>
      <c r="R4" s="31" t="inlineStr">
        <is>
          <t>Near 52W High Breakout</t>
        </is>
      </c>
      <c r="S4" s="31" t="inlineStr">
        <is>
          <t>Nifty 50</t>
        </is>
      </c>
      <c r="T4" s="32" t="n">
        <v>-6.27</v>
      </c>
      <c r="U4" s="32" t="n">
        <v>162.84</v>
      </c>
      <c r="V4" s="32" t="n">
        <v>180.41</v>
      </c>
      <c r="W4" s="32" t="n">
        <v>49.38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Less than 50%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IF(B5=0,"",RANK(B5,$B$2:$B$370,0))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STYLAMIND</t>
        </is>
      </c>
      <c r="D5" s="31" t="inlineStr">
        <is>
          <t>Stylam Industries Ltd</t>
        </is>
      </c>
      <c r="E5" s="31" t="inlineStr">
        <is>
          <t>building materials</t>
        </is>
      </c>
      <c r="F5" s="31" t="inlineStr">
        <is>
          <t>miscellaneous</t>
        </is>
      </c>
      <c r="G5" s="31" t="inlineStr">
        <is>
          <t>midcap</t>
        </is>
      </c>
      <c r="H5" s="32" t="n">
        <v>5572.01</v>
      </c>
      <c r="I5" s="32" t="n">
        <v>3248.3</v>
      </c>
      <c r="J5" s="32" t="n">
        <v>-1.2</v>
      </c>
      <c r="K5" s="32" t="n">
        <v>17469</v>
      </c>
      <c r="L5" s="31" t="n">
        <v>82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84.58</v>
      </c>
      <c r="P5" s="32" t="n">
        <v>64.47</v>
      </c>
      <c r="Q5" s="32" t="n">
        <v>2842.93</v>
      </c>
      <c r="R5" s="31" t="inlineStr">
        <is>
          <t>Near 52W High Breakout</t>
        </is>
      </c>
      <c r="S5" s="31" t="inlineStr">
        <is>
          <t>Nifty Infra</t>
        </is>
      </c>
      <c r="T5" s="32" t="n">
        <v>-0.44</v>
      </c>
      <c r="U5" s="32" t="n">
        <v>100.61</v>
      </c>
      <c r="V5" s="32" t="n">
        <v>101.5</v>
      </c>
      <c r="W5" s="32" t="n">
        <v>26.34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IF(B6=0,"",RANK(B6,$B$2:$B$370,0))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GRANULES</t>
        </is>
      </c>
      <c r="D6" s="31" t="inlineStr">
        <is>
          <t>Granules India Limited</t>
        </is>
      </c>
      <c r="E6" s="31" t="inlineStr">
        <is>
          <t>healthcare</t>
        </is>
      </c>
      <c r="F6" s="31" t="inlineStr">
        <is>
          <t>pharmaceuticals - indian - bulk drugs &amp; formln</t>
        </is>
      </c>
      <c r="G6" s="31" t="inlineStr">
        <is>
          <t>midcap</t>
        </is>
      </c>
      <c r="H6" s="32" t="n">
        <v>19694.9</v>
      </c>
      <c r="I6" s="32" t="n">
        <v>813.25</v>
      </c>
      <c r="J6" s="32" t="n">
        <v>2.32</v>
      </c>
      <c r="K6" s="32" t="n">
        <v>1560172</v>
      </c>
      <c r="L6" s="31" t="n">
        <v>65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72.65000000000001</v>
      </c>
      <c r="P6" s="32" t="n">
        <v>40.69</v>
      </c>
      <c r="Q6" s="32" t="n">
        <v>677.96</v>
      </c>
      <c r="R6" s="31" t="inlineStr">
        <is>
          <t>Near 52W High Breakout</t>
        </is>
      </c>
      <c r="S6" s="31" t="inlineStr">
        <is>
          <t>Nifty Pharma</t>
        </is>
      </c>
      <c r="T6" s="32" t="n">
        <v>13.14</v>
      </c>
      <c r="U6" s="32" t="n">
        <v>65.59999999999999</v>
      </c>
      <c r="V6" s="32" t="n">
        <v>46.36</v>
      </c>
      <c r="W6" s="32" t="n">
        <v>17.74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Between 50% to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IF(B7=0,"",RANK(B7,$B$2:$B$370,0))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IOLCP</t>
        </is>
      </c>
      <c r="D7" s="31" t="inlineStr">
        <is>
          <t>Iol Chemicals And Pharmaceuticals Limited</t>
        </is>
      </c>
      <c r="E7" s="31" t="inlineStr">
        <is>
          <t>healthcare</t>
        </is>
      </c>
      <c r="F7" s="31" t="inlineStr">
        <is>
          <t>pharmaceuticals - indian - bulk drugs &amp; formln</t>
        </is>
      </c>
      <c r="G7" s="31" t="inlineStr">
        <is>
          <t>smallcap</t>
        </is>
      </c>
      <c r="H7" s="32" t="n">
        <v>4177.78</v>
      </c>
      <c r="I7" s="32" t="n">
        <v>145.29</v>
      </c>
      <c r="J7" s="32" t="n">
        <v>2.08</v>
      </c>
      <c r="K7" s="32" t="n">
        <v>8740429</v>
      </c>
      <c r="L7" s="31" t="n">
        <v>88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80.98999999999999</v>
      </c>
      <c r="P7" s="32" t="n">
        <v>55.02</v>
      </c>
      <c r="Q7" s="32" t="n">
        <v>110.85</v>
      </c>
      <c r="R7" s="31" t="inlineStr">
        <is>
          <t>Near 52W High Breakout</t>
        </is>
      </c>
      <c r="S7" s="31" t="inlineStr">
        <is>
          <t>Nifty Pharma</t>
        </is>
      </c>
      <c r="T7" s="32" t="n">
        <v>13.14</v>
      </c>
      <c r="U7" s="32" t="n">
        <v>57.26</v>
      </c>
      <c r="V7" s="32" t="n">
        <v>38.99</v>
      </c>
      <c r="W7" s="32" t="n">
        <v>32.31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IF(B8=0,"",RANK(B8,$B$2:$B$370,0))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RADICO</t>
        </is>
      </c>
      <c r="D8" s="31" t="inlineStr">
        <is>
          <t>Radico Khaitan Limited</t>
        </is>
      </c>
      <c r="E8" s="31" t="inlineStr">
        <is>
          <t>fmcg</t>
        </is>
      </c>
      <c r="F8" s="31" t="inlineStr">
        <is>
          <t>breweries &amp; distilleries</t>
        </is>
      </c>
      <c r="G8" s="31" t="inlineStr">
        <is>
          <t>largecap</t>
        </is>
      </c>
      <c r="H8" s="32" t="n">
        <v>51910.89</v>
      </c>
      <c r="I8" s="32" t="n">
        <v>3945.5</v>
      </c>
      <c r="J8" s="32" t="n">
        <v>1.77</v>
      </c>
      <c r="K8" s="32" t="n">
        <v>691278</v>
      </c>
      <c r="L8" s="31" t="n">
        <v>72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77.31</v>
      </c>
      <c r="P8" s="32" t="n">
        <v>43.34</v>
      </c>
      <c r="Q8" s="32" t="n">
        <v>3306.18</v>
      </c>
      <c r="R8" s="31" t="inlineStr">
        <is>
          <t>Near 52W High Breakout</t>
        </is>
      </c>
      <c r="S8" s="31" t="inlineStr">
        <is>
          <t>Nifty FMCG</t>
        </is>
      </c>
      <c r="T8" s="32" t="n">
        <v>-10.85</v>
      </c>
      <c r="U8" s="32" t="n">
        <v>50.19</v>
      </c>
      <c r="V8" s="32" t="n">
        <v>68.47</v>
      </c>
      <c r="W8" s="32" t="n">
        <v>20.56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IF(B9=0,"",RANK(B9,$B$2:$B$370,0))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EMCURE</t>
        </is>
      </c>
      <c r="D9" s="31" t="inlineStr">
        <is>
          <t>Emcure Pharmaceuticals Ltd</t>
        </is>
      </c>
      <c r="E9" s="31" t="inlineStr">
        <is>
          <t>healthcare</t>
        </is>
      </c>
      <c r="F9" s="31" t="inlineStr">
        <is>
          <t>pharmaceuticals - indian - bulk drugs &amp; formln</t>
        </is>
      </c>
      <c r="G9" s="31" t="inlineStr">
        <is>
          <t>largecap</t>
        </is>
      </c>
      <c r="H9" s="32" t="n">
        <v>35064.59</v>
      </c>
      <c r="I9" s="32" t="n">
        <v>1832.6</v>
      </c>
      <c r="J9" s="32" t="n">
        <v>-0.91</v>
      </c>
      <c r="K9" s="32" t="n">
        <v>175204</v>
      </c>
      <c r="L9" s="31" t="n">
        <v>45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66.42</v>
      </c>
      <c r="P9" s="32" t="n">
        <v>52.67</v>
      </c>
      <c r="Q9" s="32" t="n">
        <v>1493.26</v>
      </c>
      <c r="R9" s="31" t="inlineStr">
        <is>
          <t>Near 52W High Breakout</t>
        </is>
      </c>
      <c r="S9" s="31" t="inlineStr">
        <is>
          <t>Nifty Pharma</t>
        </is>
      </c>
      <c r="T9" s="32" t="n">
        <v>13.14</v>
      </c>
      <c r="U9" s="32" t="n">
        <v>46.91</v>
      </c>
      <c r="V9" s="32" t="n">
        <v>29.85</v>
      </c>
      <c r="W9" s="32" t="n">
        <v>11.89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IF(B10=0,"",RANK(B10,$B$2:$B$370,0))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ATHERENERG</t>
        </is>
      </c>
      <c r="D10" s="31" t="inlineStr">
        <is>
          <t>Ather Energy Ltd</t>
        </is>
      </c>
      <c r="E10" s="31" t="inlineStr">
        <is>
          <t>auto</t>
        </is>
      </c>
      <c r="F10" s="31" t="inlineStr">
        <is>
          <t>automobiles - scooters and 3 - wheelers</t>
        </is>
      </c>
      <c r="G10" s="31" t="inlineStr">
        <is>
          <t>largecap</t>
        </is>
      </c>
      <c r="H10" s="32" t="n">
        <v>41472.2</v>
      </c>
      <c r="I10" s="32" t="n">
        <v>1140.55</v>
      </c>
      <c r="J10" s="32" t="n">
        <v>5.24</v>
      </c>
      <c r="K10" s="32" t="n">
        <v>11196926</v>
      </c>
      <c r="L10" s="31" t="n">
        <v>93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74.45</v>
      </c>
      <c r="P10" s="32" t="n">
        <v>51.03</v>
      </c>
      <c r="Q10" s="32" t="n">
        <v>876.5599999999999</v>
      </c>
      <c r="R10" s="31" t="inlineStr">
        <is>
          <t>Near 52W High Breakout</t>
        </is>
      </c>
      <c r="S10" s="31" t="inlineStr">
        <is>
          <t>Nifty Auto</t>
        </is>
      </c>
      <c r="T10" s="32" t="n">
        <v>10.42</v>
      </c>
      <c r="U10" s="32" t="n">
        <v>247.46</v>
      </c>
      <c r="V10" s="32" t="n">
        <v>214.67</v>
      </c>
      <c r="W10" s="32" t="n">
        <v>41.56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Negative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IF(B11=0,"",RANK(B11,$B$2:$B$370,0))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PREMIERPOL</t>
        </is>
      </c>
      <c r="D11" s="31" t="inlineStr">
        <is>
          <t>Premier Polyfilm Limited</t>
        </is>
      </c>
      <c r="E11" s="31" t="inlineStr">
        <is>
          <t>plastic products</t>
        </is>
      </c>
      <c r="F11" s="31" t="inlineStr">
        <is>
          <t>plastics products</t>
        </is>
      </c>
      <c r="G11" s="31" t="inlineStr">
        <is>
          <t>smallcap</t>
        </is>
      </c>
      <c r="H11" s="32" t="n">
        <v>689.42</v>
      </c>
      <c r="I11" s="32" t="n">
        <v>67.98999999999999</v>
      </c>
      <c r="J11" s="32" t="n">
        <v>3.3</v>
      </c>
      <c r="K11" s="32" t="n">
        <v>123191</v>
      </c>
      <c r="L11" s="31" t="n">
        <v>32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66.37</v>
      </c>
      <c r="P11" s="32" t="n">
        <v>44.53</v>
      </c>
      <c r="Q11" s="32" t="n">
        <v>48.34</v>
      </c>
      <c r="R11" s="31" t="inlineStr">
        <is>
          <t>Near 52W High Breakout</t>
        </is>
      </c>
      <c r="S11" s="31" t="inlineStr">
        <is>
          <t>Nifty 50</t>
        </is>
      </c>
      <c r="T11" s="32" t="n">
        <v>-6.27</v>
      </c>
      <c r="U11" s="32" t="n">
        <v>31.57</v>
      </c>
      <c r="V11" s="32" t="n">
        <v>40.36</v>
      </c>
      <c r="W11" s="32" t="n">
        <v>9.43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Between 50% to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IF(B12=0,"",RANK(B12,$B$2:$B$370,0))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IBULLSLTD</t>
        </is>
      </c>
      <c r="D12" s="31" t="inlineStr">
        <is>
          <t>Indiabulls Limited</t>
        </is>
      </c>
      <c r="E12" s="31" t="inlineStr">
        <is>
          <t>miscellaneous</t>
        </is>
      </c>
      <c r="F12" s="31" t="inlineStr">
        <is>
          <t>diversified - medium / small</t>
        </is>
      </c>
      <c r="G12" s="31" t="inlineStr">
        <is>
          <t>midcap</t>
        </is>
      </c>
      <c r="H12" s="32" t="n">
        <v>6268.86</v>
      </c>
      <c r="I12" s="32" t="n">
        <v>27.81</v>
      </c>
      <c r="J12" s="32" t="n">
        <v>3.11</v>
      </c>
      <c r="K12" s="32" t="n">
        <v>7391175</v>
      </c>
      <c r="L12" s="31" t="n">
        <v>96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76.29000000000001</v>
      </c>
      <c r="P12" s="32" t="n">
        <v>38.76</v>
      </c>
      <c r="Q12" s="32" t="n">
        <v>20.15</v>
      </c>
      <c r="R12" s="31" t="inlineStr">
        <is>
          <t>Near 52W High Breakout</t>
        </is>
      </c>
      <c r="S12" s="31" t="inlineStr">
        <is>
          <t>Nifty 50</t>
        </is>
      </c>
      <c r="T12" s="32" t="n">
        <v>-6.27</v>
      </c>
      <c r="U12" s="32" t="n">
        <v>64.95</v>
      </c>
      <c r="V12" s="32" t="n">
        <v>75.97</v>
      </c>
      <c r="W12" s="32" t="n">
        <v>58.05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20 to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Between 50% to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IF(B13=0,"",RANK(B13,$B$2:$B$370,0))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KPIL</t>
        </is>
      </c>
      <c r="D13" s="31" t="inlineStr">
        <is>
          <t>Kalpataru Projects International Ltd</t>
        </is>
      </c>
      <c r="E13" s="31" t="inlineStr">
        <is>
          <t>realty</t>
        </is>
      </c>
      <c r="F13" s="31" t="inlineStr">
        <is>
          <t>transmisson line towers / equipment</t>
        </is>
      </c>
      <c r="G13" s="31" t="inlineStr">
        <is>
          <t>largecap</t>
        </is>
      </c>
      <c r="H13" s="32" t="n">
        <v>22987.69</v>
      </c>
      <c r="I13" s="32" t="n">
        <v>1370.1</v>
      </c>
      <c r="J13" s="32" t="n">
        <v>1.78</v>
      </c>
      <c r="K13" s="32" t="n">
        <v>611495</v>
      </c>
      <c r="L13" s="31" t="n">
        <v>27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64.61</v>
      </c>
      <c r="P13" s="32" t="n">
        <v>26.84</v>
      </c>
      <c r="Q13" s="32" t="n">
        <v>1142.26</v>
      </c>
      <c r="R13" s="31" t="inlineStr">
        <is>
          <t>Near 52W High Breakout</t>
        </is>
      </c>
      <c r="S13" s="31" t="inlineStr">
        <is>
          <t>Nifty Realty</t>
        </is>
      </c>
      <c r="T13" s="32" t="n">
        <v>-14.65</v>
      </c>
      <c r="U13" s="32" t="n">
        <v>14.85</v>
      </c>
      <c r="V13" s="32" t="n">
        <v>34.57</v>
      </c>
      <c r="W13" s="32" t="n">
        <v>8.140000000000001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IF(B14=0,"",RANK(B14,$B$2:$B$370,0))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WHEELS</t>
        </is>
      </c>
      <c r="D14" s="31" t="inlineStr">
        <is>
          <t>Wheels India Limited</t>
        </is>
      </c>
      <c r="E14" s="31" t="inlineStr">
        <is>
          <t>auto</t>
        </is>
      </c>
      <c r="F14" s="31" t="inlineStr">
        <is>
          <t>auto ancillaries</t>
        </is>
      </c>
      <c r="G14" s="31" t="inlineStr">
        <is>
          <t>smallcap</t>
        </is>
      </c>
      <c r="H14" s="32" t="n">
        <v>4329.53</v>
      </c>
      <c r="I14" s="32" t="n">
        <v>1786</v>
      </c>
      <c r="J14" s="32" t="n">
        <v>0.79</v>
      </c>
      <c r="K14" s="32" t="n">
        <v>232975</v>
      </c>
      <c r="L14" s="31" t="n">
        <v>92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74.31999999999999</v>
      </c>
      <c r="P14" s="32" t="n">
        <v>57.51</v>
      </c>
      <c r="Q14" s="32" t="n">
        <v>1360.87</v>
      </c>
      <c r="R14" s="31" t="inlineStr">
        <is>
          <t>Near 52W High Breakout</t>
        </is>
      </c>
      <c r="S14" s="31" t="inlineStr">
        <is>
          <t>Nifty Auto</t>
        </is>
      </c>
      <c r="T14" s="32" t="n">
        <v>10.42</v>
      </c>
      <c r="U14" s="32" t="n">
        <v>121.9</v>
      </c>
      <c r="V14" s="32" t="n">
        <v>100.96</v>
      </c>
      <c r="W14" s="32" t="n">
        <v>37.62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Less than 12%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IF(B15=0,"",RANK(B15,$B$2:$B$370,0))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BLUSPRING</t>
        </is>
      </c>
      <c r="D15" s="31" t="inlineStr">
        <is>
          <t>Bluspring Enterprises Ltd</t>
        </is>
      </c>
      <c r="E15" s="31" t="inlineStr">
        <is>
          <t>miscellaneous</t>
        </is>
      </c>
      <c r="F15" s="31" t="inlineStr">
        <is>
          <t>diversified - large</t>
        </is>
      </c>
      <c r="G15" s="31" t="inlineStr">
        <is>
          <t>smallcap</t>
        </is>
      </c>
      <c r="H15" s="32" t="n">
        <v>1653.43</v>
      </c>
      <c r="I15" s="32" t="n">
        <v>111.02</v>
      </c>
      <c r="J15" s="32" t="n">
        <v>0.14</v>
      </c>
      <c r="K15" s="32" t="n">
        <v>311826</v>
      </c>
      <c r="L15" s="31" t="n">
        <v>85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74.87</v>
      </c>
      <c r="P15" s="32" t="n">
        <v>39.78</v>
      </c>
      <c r="Q15" s="32" t="n">
        <v>78.86</v>
      </c>
      <c r="R15" s="31" t="inlineStr">
        <is>
          <t>Near 52W High Breakout</t>
        </is>
      </c>
      <c r="S15" s="31" t="inlineStr">
        <is>
          <t>Nifty 50</t>
        </is>
      </c>
      <c r="T15" s="32" t="n">
        <v>-6.27</v>
      </c>
      <c r="U15" s="32" t="n">
        <v>39.18</v>
      </c>
      <c r="V15" s="32" t="n">
        <v>48.48</v>
      </c>
      <c r="W15" s="32" t="n">
        <v>30.5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Between 50% to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IF(B16=0,"",RANK(B16,$B$2:$B$370,0))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INDOBORAX</t>
        </is>
      </c>
      <c r="D16" s="31" t="inlineStr">
        <is>
          <t>Indo Borax &amp; Chemicals Ltd</t>
        </is>
      </c>
      <c r="E16" s="31" t="inlineStr">
        <is>
          <t>chemicals</t>
        </is>
      </c>
      <c r="F16" s="31" t="inlineStr">
        <is>
          <t>chemicals</t>
        </is>
      </c>
      <c r="G16" s="31" t="inlineStr">
        <is>
          <t>smallcap</t>
        </is>
      </c>
      <c r="H16" s="32" t="n">
        <v>1234.82</v>
      </c>
      <c r="I16" s="32" t="n">
        <v>378.9</v>
      </c>
      <c r="J16" s="32" t="n">
        <v>-1.53</v>
      </c>
      <c r="K16" s="32" t="n">
        <v>54327</v>
      </c>
      <c r="L16" s="31" t="n">
        <v>79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78.88</v>
      </c>
      <c r="P16" s="32" t="n">
        <v>59.93</v>
      </c>
      <c r="Q16" s="32" t="n">
        <v>294.42</v>
      </c>
      <c r="R16" s="31" t="inlineStr">
        <is>
          <t>Near 52W High Breakout</t>
        </is>
      </c>
      <c r="S16" s="31" t="inlineStr">
        <is>
          <t>Nifty 50</t>
        </is>
      </c>
      <c r="T16" s="32" t="n">
        <v>-6.27</v>
      </c>
      <c r="U16" s="32" t="n">
        <v>72.77</v>
      </c>
      <c r="V16" s="32" t="n">
        <v>84.31999999999999</v>
      </c>
      <c r="W16" s="32" t="n">
        <v>24.21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IF(B17=0,"",RANK(B17,$B$2:$B$370,0))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SAKSOFT</t>
        </is>
      </c>
      <c r="D17" s="31" t="inlineStr">
        <is>
          <t>Saksoft Limited</t>
        </is>
      </c>
      <c r="E17" s="31" t="inlineStr">
        <is>
          <t>i.t</t>
        </is>
      </c>
      <c r="F17" s="31" t="inlineStr">
        <is>
          <t>computers - software - medium / small</t>
        </is>
      </c>
      <c r="G17" s="31" t="inlineStr">
        <is>
          <t>smallcap</t>
        </is>
      </c>
      <c r="H17" s="32" t="n">
        <v>2435.89</v>
      </c>
      <c r="I17" s="32" t="n">
        <v>206.71</v>
      </c>
      <c r="J17" s="32" t="n">
        <v>12.48</v>
      </c>
      <c r="K17" s="32" t="n">
        <v>127442091</v>
      </c>
      <c r="L17" s="31" t="n">
        <v>60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68.63</v>
      </c>
      <c r="P17" s="32" t="n">
        <v>26.89</v>
      </c>
      <c r="Q17" s="32" t="n">
        <v>149.55</v>
      </c>
      <c r="R17" s="31" t="inlineStr">
        <is>
          <t>Volume Spike / Accumulation</t>
        </is>
      </c>
      <c r="S17" s="31" t="inlineStr">
        <is>
          <t>Nifty IT</t>
        </is>
      </c>
      <c r="T17" s="32" t="n">
        <v>-32.85</v>
      </c>
      <c r="U17" s="32" t="n">
        <v>-11.81</v>
      </c>
      <c r="V17" s="32" t="n">
        <v>31.34</v>
      </c>
      <c r="W17" s="32" t="n">
        <v>16.07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IF(B18=0,"",RANK(B18,$B$2:$B$370,0))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SMSPHARMA</t>
        </is>
      </c>
      <c r="D18" s="31" t="inlineStr">
        <is>
          <t>Sms Pharmaceuticals Limited</t>
        </is>
      </c>
      <c r="E18" s="31" t="inlineStr">
        <is>
          <t>healthcare</t>
        </is>
      </c>
      <c r="F18" s="31" t="inlineStr">
        <is>
          <t>pharmaceuticals - indian - bulk drugs</t>
        </is>
      </c>
      <c r="G18" s="31" t="inlineStr">
        <is>
          <t>smallcap</t>
        </is>
      </c>
      <c r="H18" s="32" t="n">
        <v>3565.33</v>
      </c>
      <c r="I18" s="32" t="n">
        <v>412.55</v>
      </c>
      <c r="J18" s="32" t="n">
        <v>8.369999999999999</v>
      </c>
      <c r="K18" s="32" t="n">
        <v>7823928</v>
      </c>
      <c r="L18" s="31" t="n">
        <v>48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62.36</v>
      </c>
      <c r="P18" s="32" t="n">
        <v>47.44</v>
      </c>
      <c r="Q18" s="32" t="n">
        <v>320.61</v>
      </c>
      <c r="R18" s="31" t="inlineStr">
        <is>
          <t>Volume Spike &amp; Near 52W High Breakout</t>
        </is>
      </c>
      <c r="S18" s="31" t="inlineStr">
        <is>
          <t>Nifty Pharma</t>
        </is>
      </c>
      <c r="T18" s="32" t="n">
        <v>13.14</v>
      </c>
      <c r="U18" s="32" t="n">
        <v>69.69</v>
      </c>
      <c r="V18" s="32" t="n">
        <v>49.98</v>
      </c>
      <c r="W18" s="32" t="n">
        <v>12.69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Less than 50%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IF(B19=0,"",RANK(B19,$B$2:$B$370,0))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GLAND</t>
        </is>
      </c>
      <c r="D19" s="31" t="inlineStr">
        <is>
          <t>Gland Pharma Ltd</t>
        </is>
      </c>
      <c r="E19" s="31" t="inlineStr">
        <is>
          <t>healthcare</t>
        </is>
      </c>
      <c r="F19" s="31" t="inlineStr">
        <is>
          <t>pharmaceuticals - indian - formulations</t>
        </is>
      </c>
      <c r="G19" s="31" t="inlineStr">
        <is>
          <t>largecap</t>
        </is>
      </c>
      <c r="H19" s="32" t="n">
        <v>39096.7</v>
      </c>
      <c r="I19" s="32" t="n">
        <v>2495</v>
      </c>
      <c r="J19" s="32" t="n">
        <v>5.14</v>
      </c>
      <c r="K19" s="32" t="n">
        <v>2296503</v>
      </c>
      <c r="L19" s="31" t="n">
        <v>64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72.90000000000001</v>
      </c>
      <c r="P19" s="32" t="n">
        <v>40.7</v>
      </c>
      <c r="Q19" s="32" t="n">
        <v>2012.8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13.14</v>
      </c>
      <c r="U19" s="32" t="n">
        <v>34.47</v>
      </c>
      <c r="V19" s="32" t="n">
        <v>18.85</v>
      </c>
      <c r="W19" s="32" t="n">
        <v>17.41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IF(B20=0,"",RANK(B20,$B$2:$B$370,0))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ASTERDM</t>
        </is>
      </c>
      <c r="D20" s="31" t="inlineStr">
        <is>
          <t>Aster DM Healthcare Ltd</t>
        </is>
      </c>
      <c r="E20" s="31" t="inlineStr">
        <is>
          <t>healthcare</t>
        </is>
      </c>
      <c r="F20" s="31" t="inlineStr">
        <is>
          <t>healthcare</t>
        </is>
      </c>
      <c r="G20" s="31" t="inlineStr">
        <is>
          <t>largecap</t>
        </is>
      </c>
      <c r="H20" s="32" t="n">
        <v>39672.53</v>
      </c>
      <c r="I20" s="32" t="n">
        <v>784.45</v>
      </c>
      <c r="J20" s="32" t="n">
        <v>2.45</v>
      </c>
      <c r="K20" s="32" t="n">
        <v>910984</v>
      </c>
      <c r="L20" s="31" t="n">
        <v>30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63.65</v>
      </c>
      <c r="P20" s="32" t="n">
        <v>43.41</v>
      </c>
      <c r="Q20" s="32" t="n">
        <v>660.42</v>
      </c>
      <c r="R20" s="31" t="inlineStr">
        <is>
          <t>Near 52W High Breakout</t>
        </is>
      </c>
      <c r="S20" s="31" t="inlineStr">
        <is>
          <t>Nifty Pharma</t>
        </is>
      </c>
      <c r="T20" s="32" t="n">
        <v>13.14</v>
      </c>
      <c r="U20" s="32" t="n">
        <v>24.65</v>
      </c>
      <c r="V20" s="32" t="n">
        <v>10.17</v>
      </c>
      <c r="W20" s="32" t="n">
        <v>8.77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Between 1.5 to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IF(B21=0,"",RANK(B21,$B$2:$B$370,0))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BLISSGVS</t>
        </is>
      </c>
      <c r="D21" s="31" t="inlineStr">
        <is>
          <t>Bliss Gvs Pharma Limited</t>
        </is>
      </c>
      <c r="E21" s="31" t="inlineStr">
        <is>
          <t>healthcare</t>
        </is>
      </c>
      <c r="F21" s="31" t="inlineStr">
        <is>
          <t>pharmaceuticals - indian - formulations</t>
        </is>
      </c>
      <c r="G21" s="31" t="inlineStr">
        <is>
          <t>midcap</t>
        </is>
      </c>
      <c r="H21" s="32" t="n">
        <v>5605.76</v>
      </c>
      <c r="I21" s="32" t="n">
        <v>539.6</v>
      </c>
      <c r="J21" s="32" t="n">
        <v>1.83</v>
      </c>
      <c r="K21" s="32" t="n">
        <v>1324216</v>
      </c>
      <c r="L21" s="31" t="n">
        <v>97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92.08</v>
      </c>
      <c r="P21" s="32" t="n">
        <v>70.89</v>
      </c>
      <c r="Q21" s="32" t="n">
        <v>421.7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13.14</v>
      </c>
      <c r="U21" s="32" t="n">
        <v>247.2</v>
      </c>
      <c r="V21" s="32" t="n">
        <v>206.87</v>
      </c>
      <c r="W21" s="32" t="n">
        <v>61.95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IF(B22=0,"",RANK(B22,$B$2:$B$370,0))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CCL</t>
        </is>
      </c>
      <c r="D22" s="31" t="inlineStr">
        <is>
          <t>Ccl Products (india) Limited</t>
        </is>
      </c>
      <c r="E22" s="31" t="inlineStr">
        <is>
          <t>fmcg</t>
        </is>
      </c>
      <c r="F22" s="31" t="inlineStr">
        <is>
          <t>tea</t>
        </is>
      </c>
      <c r="G22" s="31" t="inlineStr">
        <is>
          <t>midcap</t>
        </is>
      </c>
      <c r="H22" s="32" t="n">
        <v>15553.33</v>
      </c>
      <c r="I22" s="32" t="n">
        <v>1181.2</v>
      </c>
      <c r="J22" s="32" t="n">
        <v>1.41</v>
      </c>
      <c r="K22" s="32" t="n">
        <v>115925</v>
      </c>
      <c r="L22" s="31" t="n">
        <v>26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68.15000000000001</v>
      </c>
      <c r="P22" s="32" t="n">
        <v>44.03</v>
      </c>
      <c r="Q22" s="32" t="n">
        <v>950.55</v>
      </c>
      <c r="R22" s="31" t="inlineStr">
        <is>
          <t>Near 52W High Breakout</t>
        </is>
      </c>
      <c r="S22" s="31" t="inlineStr">
        <is>
          <t>Nifty FMCG</t>
        </is>
      </c>
      <c r="T22" s="32" t="n">
        <v>-10.85</v>
      </c>
      <c r="U22" s="32" t="n">
        <v>34.7</v>
      </c>
      <c r="V22" s="32" t="n">
        <v>51.1</v>
      </c>
      <c r="W22" s="32" t="n">
        <v>8.029999999999999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B2C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Between 12 to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IF(B23=0,"",RANK(B23,$B$2:$B$370,0))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CUPID</t>
        </is>
      </c>
      <c r="D23" s="31" t="inlineStr">
        <is>
          <t>Cupid Limited</t>
        </is>
      </c>
      <c r="E23" s="31" t="inlineStr">
        <is>
          <t>fmcg</t>
        </is>
      </c>
      <c r="F23" s="31" t="inlineStr">
        <is>
          <t>personal care - indian</t>
        </is>
      </c>
      <c r="G23" s="31" t="inlineStr">
        <is>
          <t>largecap</t>
        </is>
      </c>
      <c r="H23" s="32" t="n">
        <v>25333.41</v>
      </c>
      <c r="I23" s="32" t="n">
        <v>189.93</v>
      </c>
      <c r="J23" s="32" t="n">
        <v>0.8100000000000001</v>
      </c>
      <c r="K23" s="32" t="n">
        <v>21761025</v>
      </c>
      <c r="L23" s="31" t="n">
        <v>98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86.19</v>
      </c>
      <c r="P23" s="32" t="n">
        <v>56.1</v>
      </c>
      <c r="Q23" s="32" t="n">
        <v>152.86</v>
      </c>
      <c r="R23" s="31" t="inlineStr">
        <is>
          <t>Near 52W High Breakout</t>
        </is>
      </c>
      <c r="S23" s="31" t="inlineStr">
        <is>
          <t>Nifty FMCG</t>
        </is>
      </c>
      <c r="T23" s="32" t="n">
        <v>-10.85</v>
      </c>
      <c r="U23" s="32" t="n">
        <v>772.6799999999999</v>
      </c>
      <c r="V23" s="32" t="n">
        <v>878.9400000000001</v>
      </c>
      <c r="W23" s="32" t="n">
        <v>86.20999999999999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B2C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Less than 50%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IF(B24=0,"",RANK(B24,$B$2:$B$370,0))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SAKAR</t>
        </is>
      </c>
      <c r="D24" s="31" t="inlineStr">
        <is>
          <t>Sakar Healthcare Ltd</t>
        </is>
      </c>
      <c r="E24" s="31" t="inlineStr">
        <is>
          <t>healthcare</t>
        </is>
      </c>
      <c r="F24" s="31" t="inlineStr">
        <is>
          <t>pharmaceuticals - indian - bulk drugs &amp; formln</t>
        </is>
      </c>
      <c r="G24" s="31" t="inlineStr">
        <is>
          <t>smallcap</t>
        </is>
      </c>
      <c r="H24" s="32" t="n">
        <v>1852.19</v>
      </c>
      <c r="I24" s="32" t="n">
        <v>838.1</v>
      </c>
      <c r="J24" s="32" t="n">
        <v>0.68</v>
      </c>
      <c r="K24" s="32" t="n">
        <v>86946</v>
      </c>
      <c r="L24" s="31" t="n">
        <v>88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75.34</v>
      </c>
      <c r="P24" s="32" t="n">
        <v>54.73</v>
      </c>
      <c r="Q24" s="32" t="n">
        <v>597.79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13.14</v>
      </c>
      <c r="U24" s="32" t="n">
        <v>140.83</v>
      </c>
      <c r="V24" s="32" t="n">
        <v>112.86</v>
      </c>
      <c r="W24" s="32" t="n">
        <v>33.67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IF(B25=0,"",RANK(B25,$B$2:$B$370,0))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INNOVACAP</t>
        </is>
      </c>
      <c r="D25" s="31" t="inlineStr">
        <is>
          <t>Innova Captab Ltd</t>
        </is>
      </c>
      <c r="E25" s="31" t="inlineStr">
        <is>
          <t>healthcare</t>
        </is>
      </c>
      <c r="F25" s="31" t="inlineStr">
        <is>
          <t>pharmaceuticals - indian - bulk drugs &amp; formln</t>
        </is>
      </c>
      <c r="G25" s="31" t="inlineStr">
        <is>
          <t>midcap</t>
        </is>
      </c>
      <c r="H25" s="32" t="n">
        <v>5689.3</v>
      </c>
      <c r="I25" s="32" t="n">
        <v>983.9</v>
      </c>
      <c r="J25" s="32" t="n">
        <v>-1.04</v>
      </c>
      <c r="K25" s="32" t="n">
        <v>62194</v>
      </c>
      <c r="L25" s="31" t="n">
        <v>45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73.29000000000001</v>
      </c>
      <c r="P25" s="32" t="n">
        <v>40.87</v>
      </c>
      <c r="Q25" s="32" t="n">
        <v>768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13.14</v>
      </c>
      <c r="U25" s="32" t="n">
        <v>14.16</v>
      </c>
      <c r="V25" s="32" t="n">
        <v>0.9</v>
      </c>
      <c r="W25" s="32" t="n">
        <v>11.89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Between 50% to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IF(B26=0,"",RANK(B26,$B$2:$B$370,0))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THANGAMAYL</t>
        </is>
      </c>
      <c r="D26" s="31" t="inlineStr">
        <is>
          <t>Thangamayil Jewellery Limited</t>
        </is>
      </c>
      <c r="E26" s="31" t="inlineStr">
        <is>
          <t>consumer discretionary</t>
        </is>
      </c>
      <c r="F26" s="31" t="inlineStr">
        <is>
          <t>diamond cutting / jewellery</t>
        </is>
      </c>
      <c r="G26" s="31" t="inlineStr">
        <is>
          <t>midcap</t>
        </is>
      </c>
      <c r="H26" s="32" t="n">
        <v>18261</v>
      </c>
      <c r="I26" s="32" t="n">
        <v>6398.2</v>
      </c>
      <c r="J26" s="32" t="n">
        <v>8.9</v>
      </c>
      <c r="K26" s="32" t="n">
        <v>443898</v>
      </c>
      <c r="L26" s="31" t="n">
        <v>95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77</v>
      </c>
      <c r="P26" s="32" t="n">
        <v>43.28</v>
      </c>
      <c r="Q26" s="32" t="n">
        <v>4851.09</v>
      </c>
      <c r="R26" s="31" t="inlineStr">
        <is>
          <t>Near 52W High Breakout</t>
        </is>
      </c>
      <c r="S26" s="31" t="inlineStr">
        <is>
          <t>Nifty 50</t>
        </is>
      </c>
      <c r="T26" s="32" t="n">
        <v>-6.27</v>
      </c>
      <c r="U26" s="32" t="n">
        <v>239.11</v>
      </c>
      <c r="V26" s="32" t="n">
        <v>261.78</v>
      </c>
      <c r="W26" s="32" t="n">
        <v>47.24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Between 50% to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IF(B27=0,"",RANK(B27,$B$2:$B$370,0))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MAYURUNIQ</t>
        </is>
      </c>
      <c r="D27" s="31" t="inlineStr">
        <is>
          <t>Mayur Uniquoters Ltd</t>
        </is>
      </c>
      <c r="E27" s="31" t="inlineStr">
        <is>
          <t>consumer discretionary</t>
        </is>
      </c>
      <c r="F27" s="31" t="inlineStr">
        <is>
          <t>leather / leather products</t>
        </is>
      </c>
      <c r="G27" s="31" t="inlineStr">
        <is>
          <t>smallcap</t>
        </is>
      </c>
      <c r="H27" s="32" t="n">
        <v>3546.17</v>
      </c>
      <c r="I27" s="32" t="n">
        <v>860.8</v>
      </c>
      <c r="J27" s="32" t="n">
        <v>5.48</v>
      </c>
      <c r="K27" s="32" t="n">
        <v>467762</v>
      </c>
      <c r="L27" s="31" t="n">
        <v>79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76.65000000000001</v>
      </c>
      <c r="P27" s="32" t="n">
        <v>49.65</v>
      </c>
      <c r="Q27" s="32" t="n">
        <v>676.0700000000001</v>
      </c>
      <c r="R27" s="31" t="inlineStr">
        <is>
          <t>Near 52W High Breakout</t>
        </is>
      </c>
      <c r="S27" s="31" t="inlineStr">
        <is>
          <t>Nifty 50</t>
        </is>
      </c>
      <c r="T27" s="32" t="n">
        <v>-6.27</v>
      </c>
      <c r="U27" s="32" t="n">
        <v>51.88</v>
      </c>
      <c r="V27" s="32" t="n">
        <v>62.04</v>
      </c>
      <c r="W27" s="32" t="n">
        <v>23.84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Between 50% to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IF(B28=0,"",RANK(B28,$B$2:$B$370,0))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CEMPRO</t>
        </is>
      </c>
      <c r="D28" s="31" t="inlineStr">
        <is>
          <t>Cemindia Projects Ltd</t>
        </is>
      </c>
      <c r="E28" s="31" t="inlineStr">
        <is>
          <t>realty</t>
        </is>
      </c>
      <c r="F28" s="31" t="inlineStr">
        <is>
          <t>construction</t>
        </is>
      </c>
      <c r="G28" s="31" t="inlineStr">
        <is>
          <t>largecap</t>
        </is>
      </c>
      <c r="H28" s="32" t="n">
        <v>21521.55</v>
      </c>
      <c r="I28" s="32" t="n">
        <v>1298.7</v>
      </c>
      <c r="J28" s="32" t="n">
        <v>3.66</v>
      </c>
      <c r="K28" s="32" t="n">
        <v>574813</v>
      </c>
      <c r="L28" s="31" t="n">
        <v>95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77.98999999999999</v>
      </c>
      <c r="P28" s="32" t="n">
        <v>43.19</v>
      </c>
      <c r="Q28" s="32" t="n">
        <v>1002.27</v>
      </c>
      <c r="R28" s="31" t="inlineStr">
        <is>
          <t>Near 52W High Breakout</t>
        </is>
      </c>
      <c r="S28" s="31" t="inlineStr">
        <is>
          <t>Nifty Realty</t>
        </is>
      </c>
      <c r="T28" s="32" t="n">
        <v>-14.65</v>
      </c>
      <c r="U28" s="32" t="n">
        <v>44.67</v>
      </c>
      <c r="V28" s="32" t="n">
        <v>69.5</v>
      </c>
      <c r="W28" s="32" t="n">
        <v>47.6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Less than 50%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IF(B29=0,"",RANK(B29,$B$2:$B$370,0))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AMBIKCO</t>
        </is>
      </c>
      <c r="D29" s="31" t="inlineStr">
        <is>
          <t>Ambika Cotton Mills Limited</t>
        </is>
      </c>
      <c r="E29" s="31" t="inlineStr">
        <is>
          <t>textiles</t>
        </is>
      </c>
      <c r="F29" s="31" t="inlineStr">
        <is>
          <t>textiles - cotton/blended</t>
        </is>
      </c>
      <c r="G29" s="31" t="inlineStr">
        <is>
          <t>smallcap</t>
        </is>
      </c>
      <c r="H29" s="32" t="n">
        <v>974.74</v>
      </c>
      <c r="I29" s="32" t="n">
        <v>1759.8</v>
      </c>
      <c r="J29" s="32" t="n">
        <v>3.36</v>
      </c>
      <c r="K29" s="32" t="n">
        <v>24885</v>
      </c>
      <c r="L29" s="31" t="n">
        <v>46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70.67</v>
      </c>
      <c r="P29" s="32" t="n">
        <v>29.87</v>
      </c>
      <c r="Q29" s="32" t="n">
        <v>1408.18</v>
      </c>
      <c r="R29" s="31" t="inlineStr">
        <is>
          <t>Near 52W High Breakout</t>
        </is>
      </c>
      <c r="S29" s="31" t="inlineStr">
        <is>
          <t>Nifty 50</t>
        </is>
      </c>
      <c r="T29" s="32" t="n">
        <v>-6.27</v>
      </c>
      <c r="U29" s="32" t="n">
        <v>14.09</v>
      </c>
      <c r="V29" s="32" t="n">
        <v>21.71</v>
      </c>
      <c r="W29" s="32" t="n">
        <v>12.2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IF(B30=0,"",RANK(B30,$B$2:$B$370,0))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HMT</t>
        </is>
      </c>
      <c r="D30" s="31" t="inlineStr">
        <is>
          <t>Hmt Limited</t>
        </is>
      </c>
      <c r="E30" s="31" t="inlineStr">
        <is>
          <t>consumer discretionary</t>
        </is>
      </c>
      <c r="F30" s="31" t="inlineStr">
        <is>
          <t>miscellaneous</t>
        </is>
      </c>
      <c r="G30" s="31" t="inlineStr">
        <is>
          <t>midcap</t>
        </is>
      </c>
      <c r="H30" s="32" t="n">
        <v>7972.29</v>
      </c>
      <c r="I30" s="32" t="n">
        <v>67.87</v>
      </c>
      <c r="J30" s="32" t="n">
        <v>2.51</v>
      </c>
      <c r="K30" s="32" t="n">
        <v>18413</v>
      </c>
      <c r="L30" s="31" t="n">
        <v>13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63.09</v>
      </c>
      <c r="P30" s="32" t="n">
        <v>27.05</v>
      </c>
      <c r="Q30" s="32" t="n">
        <v>51.65</v>
      </c>
      <c r="R30" s="31" t="inlineStr">
        <is>
          <t>Near 52W High Breakout</t>
        </is>
      </c>
      <c r="S30" s="31" t="inlineStr">
        <is>
          <t>Nifty 50</t>
        </is>
      </c>
      <c r="T30" s="32" t="n">
        <v>-6.27</v>
      </c>
      <c r="U30" s="32" t="n">
        <v>5.52</v>
      </c>
      <c r="V30" s="32" t="n">
        <v>12.57</v>
      </c>
      <c r="W30" s="32" t="n">
        <v>4.5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IF(B31=0,"",RANK(B31,$B$2:$B$370,0))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SYRMA</t>
        </is>
      </c>
      <c r="D31" s="31" t="inlineStr">
        <is>
          <t>Syrma SGS Technology Ltd</t>
        </is>
      </c>
      <c r="E31" s="31" t="inlineStr">
        <is>
          <t>consumer discretionary</t>
        </is>
      </c>
      <c r="F31" s="31" t="inlineStr">
        <is>
          <t>electronics - components</t>
        </is>
      </c>
      <c r="G31" s="31" t="inlineStr">
        <is>
          <t>largecap</t>
        </is>
      </c>
      <c r="H31" s="32" t="n">
        <v>26385</v>
      </c>
      <c r="I31" s="32" t="n">
        <v>1396.3</v>
      </c>
      <c r="J31" s="32" t="n">
        <v>2.05</v>
      </c>
      <c r="K31" s="32" t="n">
        <v>981267</v>
      </c>
      <c r="L31" s="31" t="n">
        <v>91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75.34</v>
      </c>
      <c r="P31" s="32" t="n">
        <v>47.35</v>
      </c>
      <c r="Q31" s="32" t="n">
        <v>1137.04</v>
      </c>
      <c r="R31" s="31" t="inlineStr">
        <is>
          <t>Near 52W High Breakout</t>
        </is>
      </c>
      <c r="S31" s="31" t="inlineStr">
        <is>
          <t>Nifty 50</t>
        </is>
      </c>
      <c r="T31" s="32" t="n">
        <v>-6.27</v>
      </c>
      <c r="U31" s="32" t="n">
        <v>129.49</v>
      </c>
      <c r="V31" s="32" t="n">
        <v>144.83</v>
      </c>
      <c r="W31" s="32" t="n">
        <v>36.75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Between 1.5 to 2</t>
        </is>
      </c>
      <c r="BU31" s="31">
        <f>IF(BT31="Above 2",0,IF(BT31="Between 1.5 to 2",5,IF(BT31="Less than 1.5",10,0)))</f>
        <v/>
      </c>
      <c r="BV31" s="31" t="inlineStr">
        <is>
          <t>Between 50% to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IF(B32=0,"",RANK(B32,$B$2:$B$370,0))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RACLGEAR</t>
        </is>
      </c>
      <c r="D32" s="31" t="inlineStr">
        <is>
          <t>RACL Geartech Ltd</t>
        </is>
      </c>
      <c r="E32" s="31" t="inlineStr">
        <is>
          <t>auto</t>
        </is>
      </c>
      <c r="F32" s="31" t="inlineStr">
        <is>
          <t>auto ancillaries</t>
        </is>
      </c>
      <c r="G32" s="31" t="inlineStr">
        <is>
          <t>smallcap</t>
        </is>
      </c>
      <c r="H32" s="32" t="n">
        <v>1627.7</v>
      </c>
      <c r="I32" s="32" t="n">
        <v>1403.2</v>
      </c>
      <c r="J32" s="32" t="n">
        <v>1.62</v>
      </c>
      <c r="K32" s="32" t="n">
        <v>31212</v>
      </c>
      <c r="L32" s="31" t="n">
        <v>43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58.78</v>
      </c>
      <c r="P32" s="32" t="n">
        <v>50.11</v>
      </c>
      <c r="Q32" s="32" t="n">
        <v>954.79</v>
      </c>
      <c r="R32" s="31" t="inlineStr">
        <is>
          <t>Earnings / Momentum Support</t>
        </is>
      </c>
      <c r="S32" s="31" t="inlineStr">
        <is>
          <t>Nifty Auto</t>
        </is>
      </c>
      <c r="T32" s="32" t="n">
        <v>10.42</v>
      </c>
      <c r="U32" s="32" t="n">
        <v>52.57</v>
      </c>
      <c r="V32" s="32" t="n">
        <v>38.17</v>
      </c>
      <c r="W32" s="32" t="n">
        <v>11.6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IF(B33=0,"",RANK(B33,$B$2:$B$370,0))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UNIPARTS</t>
        </is>
      </c>
      <c r="D33" s="31" t="inlineStr">
        <is>
          <t>Uniparts India Ltd</t>
        </is>
      </c>
      <c r="E33" s="31" t="inlineStr">
        <is>
          <t>industrials</t>
        </is>
      </c>
      <c r="F33" s="31" t="inlineStr">
        <is>
          <t>engineering</t>
        </is>
      </c>
      <c r="G33" s="31" t="inlineStr">
        <is>
          <t>smallcap</t>
        </is>
      </c>
      <c r="H33" s="32" t="n">
        <v>2996.6</v>
      </c>
      <c r="I33" s="32" t="n">
        <v>673.6</v>
      </c>
      <c r="J33" s="32" t="n">
        <v>1.48</v>
      </c>
      <c r="K33" s="32" t="n">
        <v>64448</v>
      </c>
      <c r="L33" s="31" t="n">
        <v>75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71.81</v>
      </c>
      <c r="P33" s="32" t="n">
        <v>45.86</v>
      </c>
      <c r="Q33" s="32" t="n">
        <v>529.9299999999999</v>
      </c>
      <c r="R33" s="31" t="inlineStr">
        <is>
          <t>Near 52W High Breakout</t>
        </is>
      </c>
      <c r="S33" s="31" t="inlineStr">
        <is>
          <t>Nifty 50</t>
        </is>
      </c>
      <c r="T33" s="32" t="n">
        <v>-6.27</v>
      </c>
      <c r="U33" s="32" t="n">
        <v>75.06</v>
      </c>
      <c r="V33" s="32" t="n">
        <v>86.76000000000001</v>
      </c>
      <c r="W33" s="32" t="n">
        <v>21.92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IF(B34=0,"",RANK(B34,$B$2:$B$370,0))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CENTENKA</t>
        </is>
      </c>
      <c r="D34" s="31" t="inlineStr">
        <is>
          <t>Century Enka Limited</t>
        </is>
      </c>
      <c r="E34" s="31" t="inlineStr">
        <is>
          <t>textiles</t>
        </is>
      </c>
      <c r="F34" s="31" t="inlineStr">
        <is>
          <t>textiles - manmade</t>
        </is>
      </c>
      <c r="G34" s="31" t="inlineStr">
        <is>
          <t>smallcap</t>
        </is>
      </c>
      <c r="H34" s="32" t="n">
        <v>1121.7</v>
      </c>
      <c r="I34" s="32" t="n">
        <v>520</v>
      </c>
      <c r="J34" s="32" t="n">
        <v>1.3</v>
      </c>
      <c r="K34" s="32" t="n">
        <v>40557</v>
      </c>
      <c r="L34" s="31" t="n">
        <v>25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60.49</v>
      </c>
      <c r="P34" s="32" t="n">
        <v>40.9</v>
      </c>
      <c r="Q34" s="32" t="n">
        <v>408</v>
      </c>
      <c r="R34" s="31" t="inlineStr">
        <is>
          <t>Near 52W High Breakout</t>
        </is>
      </c>
      <c r="S34" s="31" t="inlineStr">
        <is>
          <t>Nifty 50</t>
        </is>
      </c>
      <c r="T34" s="32" t="n">
        <v>-6.27</v>
      </c>
      <c r="U34" s="32" t="n">
        <v>2.54</v>
      </c>
      <c r="V34" s="32" t="n">
        <v>9.390000000000001</v>
      </c>
      <c r="W34" s="32" t="n">
        <v>7.67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IF(B35=0,"",RANK(B35,$B$2:$B$370,0))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SJS</t>
        </is>
      </c>
      <c r="D35" s="31" t="inlineStr">
        <is>
          <t>S J S Enterprises Ltd</t>
        </is>
      </c>
      <c r="E35" s="31" t="inlineStr">
        <is>
          <t>auto</t>
        </is>
      </c>
      <c r="F35" s="31" t="inlineStr">
        <is>
          <t>plastics products</t>
        </is>
      </c>
      <c r="G35" s="31" t="inlineStr">
        <is>
          <t>midcap</t>
        </is>
      </c>
      <c r="H35" s="32" t="n">
        <v>7062.33</v>
      </c>
      <c r="I35" s="32" t="n">
        <v>2228</v>
      </c>
      <c r="J35" s="32" t="n">
        <v>0.9399999999999999</v>
      </c>
      <c r="K35" s="32" t="n">
        <v>120306</v>
      </c>
      <c r="L35" s="31" t="n">
        <v>73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65.18000000000001</v>
      </c>
      <c r="P35" s="32" t="n">
        <v>30.04</v>
      </c>
      <c r="Q35" s="32" t="n">
        <v>1746.25</v>
      </c>
      <c r="R35" s="31" t="inlineStr">
        <is>
          <t>Near 52W High Breakout</t>
        </is>
      </c>
      <c r="S35" s="31" t="inlineStr">
        <is>
          <t>Nifty Auto</t>
        </is>
      </c>
      <c r="T35" s="32" t="n">
        <v>10.42</v>
      </c>
      <c r="U35" s="32" t="n">
        <v>74.3</v>
      </c>
      <c r="V35" s="32" t="n">
        <v>57.85</v>
      </c>
      <c r="W35" s="32" t="n">
        <v>20.9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IF(B36=0,"",RANK(B36,$B$2:$B$370,0))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CARYSIL</t>
        </is>
      </c>
      <c r="D36" s="31" t="inlineStr">
        <is>
          <t>Carysil Ltd</t>
        </is>
      </c>
      <c r="E36" s="31" t="inlineStr">
        <is>
          <t>consumer discretionary</t>
        </is>
      </c>
      <c r="F36" s="31" t="inlineStr">
        <is>
          <t>domestic appliances</t>
        </is>
      </c>
      <c r="G36" s="31" t="inlineStr">
        <is>
          <t>smallcap</t>
        </is>
      </c>
      <c r="H36" s="32" t="n">
        <v>3379.27</v>
      </c>
      <c r="I36" s="32" t="n">
        <v>1196</v>
      </c>
      <c r="J36" s="32" t="n">
        <v>0.66</v>
      </c>
      <c r="K36" s="32" t="n">
        <v>65535</v>
      </c>
      <c r="L36" s="31" t="n">
        <v>66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70.69</v>
      </c>
      <c r="P36" s="32" t="n">
        <v>27.91</v>
      </c>
      <c r="Q36" s="32" t="n">
        <v>914.63</v>
      </c>
      <c r="R36" s="31" t="inlineStr">
        <is>
          <t>Near 52W High Breakout</t>
        </is>
      </c>
      <c r="S36" s="31" t="inlineStr">
        <is>
          <t>Nifty 50</t>
        </is>
      </c>
      <c r="T36" s="32" t="n">
        <v>-6.27</v>
      </c>
      <c r="U36" s="32" t="n">
        <v>35.28</v>
      </c>
      <c r="V36" s="32" t="n">
        <v>44.32</v>
      </c>
      <c r="W36" s="32" t="n">
        <v>18.18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Between 50% to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IF(B37=0,"",RANK(B37,$B$2:$B$370,0))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PGIL</t>
        </is>
      </c>
      <c r="D37" s="31" t="inlineStr">
        <is>
          <t>Pearl Global Industries Limited</t>
        </is>
      </c>
      <c r="E37" s="31" t="inlineStr">
        <is>
          <t>consumer discretionary</t>
        </is>
      </c>
      <c r="F37" s="31" t="inlineStr">
        <is>
          <t>textiles - products</t>
        </is>
      </c>
      <c r="G37" s="31" t="inlineStr">
        <is>
          <t>midcap</t>
        </is>
      </c>
      <c r="H37" s="32" t="n">
        <v>9246.280000000001</v>
      </c>
      <c r="I37" s="32" t="n">
        <v>2015.6</v>
      </c>
      <c r="J37" s="32" t="n">
        <v>0.59</v>
      </c>
      <c r="K37" s="32" t="n">
        <v>104629</v>
      </c>
      <c r="L37" s="31" t="n">
        <v>54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66.93000000000001</v>
      </c>
      <c r="P37" s="32" t="n">
        <v>38.48</v>
      </c>
      <c r="Q37" s="32" t="n">
        <v>1575.74</v>
      </c>
      <c r="R37" s="31" t="inlineStr">
        <is>
          <t>Near 52W High Breakout</t>
        </is>
      </c>
      <c r="S37" s="31" t="inlineStr">
        <is>
          <t>Nifty 50</t>
        </is>
      </c>
      <c r="T37" s="32" t="n">
        <v>-6.27</v>
      </c>
      <c r="U37" s="32" t="n">
        <v>28.3</v>
      </c>
      <c r="V37" s="32" t="n">
        <v>36.87</v>
      </c>
      <c r="W37" s="32" t="n">
        <v>14.86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Between 1.5 to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IF(B38=0,"",RANK(B38,$B$2:$B$370,0))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BHEL</t>
        </is>
      </c>
      <c r="D38" s="31" t="inlineStr">
        <is>
          <t>Bharat Heavy Electricals Limited</t>
        </is>
      </c>
      <c r="E38" s="31" t="inlineStr">
        <is>
          <t>industrials</t>
        </is>
      </c>
      <c r="F38" s="31" t="inlineStr">
        <is>
          <t>electric equipment</t>
        </is>
      </c>
      <c r="G38" s="31" t="inlineStr">
        <is>
          <t>largecap</t>
        </is>
      </c>
      <c r="H38" s="32" t="n">
        <v>144070.37</v>
      </c>
      <c r="I38" s="32" t="n">
        <v>414.1</v>
      </c>
      <c r="J38" s="32" t="n">
        <v>0.08</v>
      </c>
      <c r="K38" s="32" t="n">
        <v>18542596</v>
      </c>
      <c r="L38" s="31" t="n">
        <v>82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68.75</v>
      </c>
      <c r="P38" s="32" t="n">
        <v>45.26</v>
      </c>
      <c r="Q38" s="32" t="n">
        <v>336.13</v>
      </c>
      <c r="R38" s="31" t="inlineStr">
        <is>
          <t>Near 52W High Breakout</t>
        </is>
      </c>
      <c r="S38" s="31" t="inlineStr">
        <is>
          <t>Nifty 500</t>
        </is>
      </c>
      <c r="T38" s="32" t="n">
        <v>-2.41</v>
      </c>
      <c r="U38" s="32" t="n">
        <v>59.51</v>
      </c>
      <c r="V38" s="32" t="n">
        <v>63.44</v>
      </c>
      <c r="W38" s="32" t="n">
        <v>26.65</v>
      </c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IF(B39=0,"",RANK(B39,$B$2:$B$370,0))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AEGISLOG</t>
        </is>
      </c>
      <c r="D39" s="31" t="inlineStr">
        <is>
          <t>Aegis Logistics Ltd</t>
        </is>
      </c>
      <c r="E39" s="31" t="inlineStr">
        <is>
          <t>services</t>
        </is>
      </c>
      <c r="F39" s="31" t="inlineStr">
        <is>
          <t>trading</t>
        </is>
      </c>
      <c r="G39" s="31" t="inlineStr">
        <is>
          <t>largecap</t>
        </is>
      </c>
      <c r="H39" s="32" t="n">
        <v>41210.91</v>
      </c>
      <c r="I39" s="32" t="n">
        <v>1173.95</v>
      </c>
      <c r="J39" s="32" t="n">
        <v>-0.01</v>
      </c>
      <c r="K39" s="32" t="n">
        <v>2085925</v>
      </c>
      <c r="L39" s="31" t="n">
        <v>90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81.43000000000001</v>
      </c>
      <c r="P39" s="32" t="n">
        <v>30.69</v>
      </c>
      <c r="Q39" s="32" t="n">
        <v>928.46</v>
      </c>
      <c r="R39" s="31" t="inlineStr">
        <is>
          <t>Near 52W High Breakout</t>
        </is>
      </c>
      <c r="S39" s="31" t="inlineStr">
        <is>
          <t>Nifty 50</t>
        </is>
      </c>
      <c r="T39" s="32" t="n">
        <v>-6.27</v>
      </c>
      <c r="U39" s="32" t="n">
        <v>56.94</v>
      </c>
      <c r="V39" s="32" t="n">
        <v>67.43000000000001</v>
      </c>
      <c r="W39" s="32" t="n">
        <v>35.96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IF(B40=0,"",RANK(B40,$B$2:$B$370,0))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MOTHERSON</t>
        </is>
      </c>
      <c r="D40" s="31" t="inlineStr">
        <is>
          <t>Samvardhana Motherson International Ltd</t>
        </is>
      </c>
      <c r="E40" s="31" t="inlineStr">
        <is>
          <t>auto</t>
        </is>
      </c>
      <c r="F40" s="31" t="inlineStr">
        <is>
          <t>auto ancillaries</t>
        </is>
      </c>
      <c r="G40" s="31" t="inlineStr">
        <is>
          <t>largecap</t>
        </is>
      </c>
      <c r="H40" s="32" t="n">
        <v>158907.69</v>
      </c>
      <c r="I40" s="32" t="n">
        <v>148.11</v>
      </c>
      <c r="J40" s="32" t="n">
        <v>-1.63</v>
      </c>
      <c r="K40" s="32" t="n">
        <v>25616527</v>
      </c>
      <c r="L40" s="31" t="n">
        <v>61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66.13</v>
      </c>
      <c r="P40" s="32" t="n">
        <v>28.49</v>
      </c>
      <c r="Q40" s="32" t="n">
        <v>122.3</v>
      </c>
      <c r="R40" s="31" t="inlineStr">
        <is>
          <t>Near 52W High Breakout</t>
        </is>
      </c>
      <c r="S40" s="31" t="inlineStr">
        <is>
          <t>Nifty Auto</t>
        </is>
      </c>
      <c r="T40" s="32" t="n">
        <v>10.42</v>
      </c>
      <c r="U40" s="32" t="n">
        <v>44.8</v>
      </c>
      <c r="V40" s="32" t="n">
        <v>31.14</v>
      </c>
      <c r="W40" s="32" t="n">
        <v>16.7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IF(B41=0,"",RANK(B41,$B$2:$B$370,0))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RAMCOSYS</t>
        </is>
      </c>
      <c r="D41" s="31" t="inlineStr">
        <is>
          <t>Ramco Systems Limited</t>
        </is>
      </c>
      <c r="E41" s="31" t="inlineStr">
        <is>
          <t>i.t</t>
        </is>
      </c>
      <c r="F41" s="31" t="inlineStr">
        <is>
          <t>computers - software - medium / small</t>
        </is>
      </c>
      <c r="G41" s="31" t="inlineStr">
        <is>
          <t>smallcap</t>
        </is>
      </c>
      <c r="H41" s="32" t="n">
        <v>2967.51</v>
      </c>
      <c r="I41" s="32" t="n">
        <v>836.05</v>
      </c>
      <c r="J41" s="32" t="n">
        <v>5.4</v>
      </c>
      <c r="K41" s="32" t="n">
        <v>12377403</v>
      </c>
      <c r="L41" s="31" t="n">
        <v>96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77.17</v>
      </c>
      <c r="P41" s="32" t="n">
        <v>20.69</v>
      </c>
      <c r="Q41" s="32" t="n">
        <v>608.22</v>
      </c>
      <c r="R41" s="31" t="inlineStr">
        <is>
          <t>Volume Spike &amp; Near 52W High Breakout</t>
        </is>
      </c>
      <c r="S41" s="31" t="inlineStr">
        <is>
          <t>Nifty IT</t>
        </is>
      </c>
      <c r="T41" s="32" t="n">
        <v>-32.85</v>
      </c>
      <c r="U41" s="32" t="n">
        <v>108.65</v>
      </c>
      <c r="V41" s="32" t="n">
        <v>210.73</v>
      </c>
      <c r="W41" s="32" t="n">
        <v>52.36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IF(B42=0,"",RANK(B42,$B$2:$B$370,0))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SUPRIYA</t>
        </is>
      </c>
      <c r="D42" s="31" t="inlineStr">
        <is>
          <t>Supriya Lifescience Ltd</t>
        </is>
      </c>
      <c r="E42" s="31" t="inlineStr">
        <is>
          <t>healthcare</t>
        </is>
      </c>
      <c r="F42" s="31" t="inlineStr">
        <is>
          <t>pharmaceuticals - indian - bulk drugs &amp; formln</t>
        </is>
      </c>
      <c r="G42" s="31" t="inlineStr">
        <is>
          <t>midcap</t>
        </is>
      </c>
      <c r="H42" s="32" t="n">
        <v>7812.87</v>
      </c>
      <c r="I42" s="32" t="n">
        <v>1018.05</v>
      </c>
      <c r="J42" s="32" t="n">
        <v>4.87</v>
      </c>
      <c r="K42" s="32" t="n">
        <v>1116859</v>
      </c>
      <c r="L42" s="31" t="n">
        <v>78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74.70999999999999</v>
      </c>
      <c r="P42" s="32" t="n">
        <v>38.4</v>
      </c>
      <c r="Q42" s="32" t="n">
        <v>767.36</v>
      </c>
      <c r="R42" s="31" t="inlineStr">
        <is>
          <t>Near 52W High Breakout</t>
        </is>
      </c>
      <c r="S42" s="31" t="inlineStr">
        <is>
          <t>Nifty Pharma</t>
        </is>
      </c>
      <c r="T42" s="32" t="n">
        <v>13.14</v>
      </c>
      <c r="U42" s="32" t="n">
        <v>38.66</v>
      </c>
      <c r="V42" s="32" t="n">
        <v>22.56</v>
      </c>
      <c r="W42" s="32" t="n">
        <v>23.28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Between 50% to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IF(B43=0,"",RANK(B43,$B$2:$B$370,0))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NEULANDLAB</t>
        </is>
      </c>
      <c r="D43" s="31" t="inlineStr">
        <is>
          <t>Neuland Laboratories Limited</t>
        </is>
      </c>
      <c r="E43" s="31" t="inlineStr">
        <is>
          <t>healthcare</t>
        </is>
      </c>
      <c r="F43" s="31" t="inlineStr">
        <is>
          <t>pharmaceuticals - indian - bulk drugs</t>
        </is>
      </c>
      <c r="G43" s="31" t="inlineStr">
        <is>
          <t>largecap</t>
        </is>
      </c>
      <c r="H43" s="32" t="n">
        <v>23206.7</v>
      </c>
      <c r="I43" s="32" t="n">
        <v>18579</v>
      </c>
      <c r="J43" s="32" t="n">
        <v>2.71</v>
      </c>
      <c r="K43" s="32" t="n">
        <v>69065</v>
      </c>
      <c r="L43" s="31" t="n">
        <v>74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67.86</v>
      </c>
      <c r="P43" s="32" t="n">
        <v>35.64</v>
      </c>
      <c r="Q43" s="32" t="n">
        <v>14788.74</v>
      </c>
      <c r="R43" s="31" t="inlineStr">
        <is>
          <t>Near 52W High Breakout</t>
        </is>
      </c>
      <c r="S43" s="31" t="inlineStr">
        <is>
          <t>Nifty Pharma</t>
        </is>
      </c>
      <c r="T43" s="32" t="n">
        <v>13.14</v>
      </c>
      <c r="U43" s="32" t="n">
        <v>54.97</v>
      </c>
      <c r="V43" s="32" t="n">
        <v>36.97</v>
      </c>
      <c r="W43" s="32" t="n">
        <v>21.51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IF(B44=0,"",RANK(B44,$B$2:$B$370,0))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ADFFOODS</t>
        </is>
      </c>
      <c r="D44" s="31" t="inlineStr">
        <is>
          <t>Adf Foods Limited</t>
        </is>
      </c>
      <c r="E44" s="31" t="inlineStr">
        <is>
          <t>fmcg</t>
        </is>
      </c>
      <c r="F44" s="31" t="inlineStr">
        <is>
          <t>food - processing - indian</t>
        </is>
      </c>
      <c r="G44" s="31" t="inlineStr">
        <is>
          <t>smallcap</t>
        </is>
      </c>
      <c r="H44" s="32" t="n">
        <v>3351.39</v>
      </c>
      <c r="I44" s="32" t="n">
        <v>310.7</v>
      </c>
      <c r="J44" s="32" t="n">
        <v>1.85</v>
      </c>
      <c r="K44" s="32" t="n">
        <v>161489</v>
      </c>
      <c r="L44" s="31" t="n">
        <v>76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68.09</v>
      </c>
      <c r="P44" s="32" t="n">
        <v>35.12</v>
      </c>
      <c r="Q44" s="32" t="n">
        <v>230.94</v>
      </c>
      <c r="R44" s="31" t="inlineStr">
        <is>
          <t>Near 52W High Breakout</t>
        </is>
      </c>
      <c r="S44" s="31" t="inlineStr">
        <is>
          <t>Nifty FMCG</t>
        </is>
      </c>
      <c r="T44" s="32" t="n">
        <v>-10.85</v>
      </c>
      <c r="U44" s="32" t="n">
        <v>16.72</v>
      </c>
      <c r="V44" s="32" t="n">
        <v>30.93</v>
      </c>
      <c r="W44" s="32" t="n">
        <v>22.39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B2C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IF(B45=0,"",RANK(B45,$B$2:$B$370,0))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HESTERBIO</t>
        </is>
      </c>
      <c r="D45" s="31" t="inlineStr">
        <is>
          <t>Hester Biosciences Limited</t>
        </is>
      </c>
      <c r="E45" s="31" t="inlineStr">
        <is>
          <t>healthcare</t>
        </is>
      </c>
      <c r="F45" s="31" t="inlineStr">
        <is>
          <t>pharmaceuticals - indian - formulations</t>
        </is>
      </c>
      <c r="G45" s="31" t="inlineStr">
        <is>
          <t>smallcap</t>
        </is>
      </c>
      <c r="H45" s="32" t="n">
        <v>1870.32</v>
      </c>
      <c r="I45" s="32" t="n">
        <v>2151.5</v>
      </c>
      <c r="J45" s="32" t="n">
        <v>-2.14</v>
      </c>
      <c r="K45" s="32" t="n">
        <v>2593</v>
      </c>
      <c r="L45" s="31" t="n">
        <v>62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70.81</v>
      </c>
      <c r="P45" s="32" t="n">
        <v>42.43</v>
      </c>
      <c r="Q45" s="32" t="n">
        <v>1744.84</v>
      </c>
      <c r="R45" s="31" t="inlineStr">
        <is>
          <t>Near 52W High Breakout</t>
        </is>
      </c>
      <c r="S45" s="31" t="inlineStr">
        <is>
          <t>Nifty Pharma</t>
        </is>
      </c>
      <c r="T45" s="32" t="n">
        <v>13.14</v>
      </c>
      <c r="U45" s="32" t="n">
        <v>20.99</v>
      </c>
      <c r="V45" s="32" t="n">
        <v>6.94</v>
      </c>
      <c r="W45" s="32" t="n">
        <v>16.71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IF(B46=0,"",RANK(B46,$B$2:$B$370,0))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INDOTECH</t>
        </is>
      </c>
      <c r="D46" s="31" t="inlineStr">
        <is>
          <t>Indo Tech Transformers Limited</t>
        </is>
      </c>
      <c r="E46" s="31" t="inlineStr">
        <is>
          <t>industrials</t>
        </is>
      </c>
      <c r="F46" s="31" t="inlineStr">
        <is>
          <t>electric equipment</t>
        </is>
      </c>
      <c r="G46" s="31" t="inlineStr">
        <is>
          <t>smallcap</t>
        </is>
      </c>
      <c r="H46" s="32" t="n">
        <v>3272.98</v>
      </c>
      <c r="I46" s="32" t="n">
        <v>3235.9</v>
      </c>
      <c r="J46" s="32" t="n">
        <v>5</v>
      </c>
      <c r="K46" s="32" t="n">
        <v>205661</v>
      </c>
      <c r="L46" s="31" t="n">
        <v>96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73.36</v>
      </c>
      <c r="P46" s="32" t="n">
        <v>42.37</v>
      </c>
      <c r="Q46" s="32" t="n">
        <v>2353.27</v>
      </c>
      <c r="R46" s="31" t="inlineStr">
        <is>
          <t>Near 52W High Breakout</t>
        </is>
      </c>
      <c r="S46" s="31" t="inlineStr">
        <is>
          <t>Nifty 50</t>
        </is>
      </c>
      <c r="T46" s="32" t="n">
        <v>-6.27</v>
      </c>
      <c r="U46" s="32" t="n">
        <v>67.7</v>
      </c>
      <c r="V46" s="32" t="n">
        <v>78.91</v>
      </c>
      <c r="W46" s="32" t="n">
        <v>55.47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Between 12 to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Less than 50%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IF(B47=0,"",RANK(B47,$B$2:$B$370,0))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BHAGYANGR</t>
        </is>
      </c>
      <c r="D47" s="31" t="inlineStr">
        <is>
          <t>Bhagyanagar India</t>
        </is>
      </c>
      <c r="E47" s="31" t="inlineStr">
        <is>
          <t>power &amp; utilities</t>
        </is>
      </c>
      <c r="F47" s="31" t="inlineStr">
        <is>
          <t>power generation and supply</t>
        </is>
      </c>
      <c r="G47" s="31" t="inlineStr">
        <is>
          <t>smallcap</t>
        </is>
      </c>
      <c r="H47" s="32" t="n">
        <v>1317.39</v>
      </c>
      <c r="I47" s="32" t="n">
        <v>431.85</v>
      </c>
      <c r="J47" s="32" t="n">
        <v>4.88</v>
      </c>
      <c r="K47" s="32" t="n">
        <v>179911</v>
      </c>
      <c r="L47" s="31" t="n">
        <v>98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85.05</v>
      </c>
      <c r="P47" s="32" t="n">
        <v>66.38</v>
      </c>
      <c r="Q47" s="32" t="n">
        <v>317.38</v>
      </c>
      <c r="R47" s="31" t="inlineStr">
        <is>
          <t>Near 52W High Breakout</t>
        </is>
      </c>
      <c r="S47" s="31" t="inlineStr">
        <is>
          <t>Nifty IT</t>
        </is>
      </c>
      <c r="T47" s="32" t="n">
        <v>-32.85</v>
      </c>
      <c r="U47" s="32" t="n">
        <v>444.99</v>
      </c>
      <c r="V47" s="32" t="n">
        <v>711.64</v>
      </c>
      <c r="W47" s="32" t="n">
        <v>90.31999999999999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Between 50% to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Between 0.7 to 1.2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IF(B48=0,"",RANK(B48,$B$2:$B$370,0))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SANGHVIMOV</t>
        </is>
      </c>
      <c r="D48" s="31" t="inlineStr">
        <is>
          <t>Sanghvi Movers Limited</t>
        </is>
      </c>
      <c r="E48" s="31" t="inlineStr">
        <is>
          <t>miscellaneous</t>
        </is>
      </c>
      <c r="F48" s="31" t="inlineStr">
        <is>
          <t>miscellaneous</t>
        </is>
      </c>
      <c r="G48" s="31" t="inlineStr">
        <is>
          <t>smallcap</t>
        </is>
      </c>
      <c r="H48" s="32" t="n">
        <v>3653.07</v>
      </c>
      <c r="I48" s="32" t="n">
        <v>438.4</v>
      </c>
      <c r="J48" s="32" t="n">
        <v>3.9</v>
      </c>
      <c r="K48" s="32" t="n">
        <v>639087</v>
      </c>
      <c r="L48" s="31" t="n">
        <v>78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70.42</v>
      </c>
      <c r="P48" s="32" t="n">
        <v>25.72</v>
      </c>
      <c r="Q48" s="32" t="n">
        <v>326.62</v>
      </c>
      <c r="R48" s="31" t="inlineStr">
        <is>
          <t>Near 52W High Breakout</t>
        </is>
      </c>
      <c r="S48" s="31" t="inlineStr">
        <is>
          <t>Nifty 50</t>
        </is>
      </c>
      <c r="T48" s="32" t="n">
        <v>-6.27</v>
      </c>
      <c r="U48" s="32" t="n">
        <v>57.64</v>
      </c>
      <c r="V48" s="32" t="n">
        <v>68.18000000000001</v>
      </c>
      <c r="W48" s="32" t="n">
        <v>23.47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Between 50% to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IF(B49=0,"",RANK(B49,$B$2:$B$370,0))</f>
        <v/>
      </c>
      <c r="B49" s="32">
        <f>SUM(N49,Y49,AA49,AC49,AE49,AG49,AI49,AK49,AM49,AO49,AQ49,AS49,AU49,AW49,AY49,BA49,BC49,BE49,BG49,BI49,BK49,BM49,BO49,BQ49,BS49,BU49,BW49,BY49,CA49,CC49,CE49)</f>
        <v/>
      </c>
      <c r="C49" s="33" t="inlineStr">
        <is>
          <t>SOMANYCERA</t>
        </is>
      </c>
      <c r="D49" s="33" t="inlineStr">
        <is>
          <t>Somany Ceramics Limited</t>
        </is>
      </c>
      <c r="E49" s="31" t="inlineStr">
        <is>
          <t>building materials</t>
        </is>
      </c>
      <c r="F49" s="31" t="inlineStr">
        <is>
          <t>ceramics - tiles / sanitaryware</t>
        </is>
      </c>
      <c r="G49" s="31" t="inlineStr">
        <is>
          <t>smallcap</t>
        </is>
      </c>
      <c r="H49" s="32" t="n">
        <v>2123.03</v>
      </c>
      <c r="I49" s="32" t="n">
        <v>533.85</v>
      </c>
      <c r="J49" s="32" t="n">
        <v>3.13</v>
      </c>
      <c r="K49" s="32" t="n">
        <v>498279</v>
      </c>
      <c r="L49" s="31" t="n">
        <v>26</v>
      </c>
      <c r="M49" s="31" t="inlineStr">
        <is>
          <t>Underperforming</t>
        </is>
      </c>
      <c r="N49" s="32">
        <f>IF(M49="Underperforming",-5,IF(L49&gt;=95,15,IF(L49&gt;=90,10,IF(L49&gt;=80,5,0))))</f>
        <v/>
      </c>
      <c r="O49" s="32" t="n">
        <v>65.56</v>
      </c>
      <c r="P49" s="32" t="n">
        <v>26.22</v>
      </c>
      <c r="Q49" s="32" t="n">
        <v>411.27</v>
      </c>
      <c r="R49" s="31" t="inlineStr">
        <is>
          <t>Near 52W High Breakout</t>
        </is>
      </c>
      <c r="S49" s="31" t="inlineStr">
        <is>
          <t>Nifty Infra</t>
        </is>
      </c>
      <c r="T49" s="32" t="n">
        <v>-0.44</v>
      </c>
      <c r="U49" s="32" t="n">
        <v>-8.27</v>
      </c>
      <c r="V49" s="32" t="n">
        <v>-7.86</v>
      </c>
      <c r="W49" s="32" t="n">
        <v>7.92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IF(B50=0,"",RANK(B50,$B$2:$B$370,0))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KIRLPNU</t>
        </is>
      </c>
      <c r="D50" s="31" t="inlineStr">
        <is>
          <t>Kirloskar Pneumatic Company Ltd</t>
        </is>
      </c>
      <c r="E50" s="31" t="inlineStr">
        <is>
          <t>industrials</t>
        </is>
      </c>
      <c r="F50" s="31" t="inlineStr">
        <is>
          <t>compressors / drilling equipment</t>
        </is>
      </c>
      <c r="G50" s="31" t="inlineStr">
        <is>
          <t>midcap</t>
        </is>
      </c>
      <c r="H50" s="32" t="n">
        <v>12379.08</v>
      </c>
      <c r="I50" s="32" t="n">
        <v>1953</v>
      </c>
      <c r="J50" s="32" t="n">
        <v>2.48</v>
      </c>
      <c r="K50" s="32" t="n">
        <v>279217</v>
      </c>
      <c r="L50" s="31" t="n">
        <v>82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80.92</v>
      </c>
      <c r="P50" s="32" t="n">
        <v>49.47</v>
      </c>
      <c r="Q50" s="32" t="n">
        <v>1521.28</v>
      </c>
      <c r="R50" s="31" t="inlineStr">
        <is>
          <t>Near 52W High Breakout</t>
        </is>
      </c>
      <c r="S50" s="31" t="inlineStr">
        <is>
          <t>Nifty 50</t>
        </is>
      </c>
      <c r="T50" s="32" t="n">
        <v>-6.27</v>
      </c>
      <c r="U50" s="32" t="n">
        <v>36.43</v>
      </c>
      <c r="V50" s="32" t="n">
        <v>45.55</v>
      </c>
      <c r="W50" s="32" t="n">
        <v>26.66</v>
      </c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Between 50% to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IF(B51=0,"",RANK(B51,$B$2:$B$370,0))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NITINSPIN</t>
        </is>
      </c>
      <c r="D51" s="31" t="inlineStr">
        <is>
          <t>Nitin Spinners Limited</t>
        </is>
      </c>
      <c r="E51" s="31" t="inlineStr">
        <is>
          <t>textiles</t>
        </is>
      </c>
      <c r="F51" s="31" t="inlineStr">
        <is>
          <t>textiles - cotton/blended</t>
        </is>
      </c>
      <c r="G51" s="31" t="inlineStr">
        <is>
          <t>smallcap</t>
        </is>
      </c>
      <c r="H51" s="32" t="n">
        <v>3148.04</v>
      </c>
      <c r="I51" s="32" t="n">
        <v>572</v>
      </c>
      <c r="J51" s="32" t="n">
        <v>2.15</v>
      </c>
      <c r="K51" s="32" t="n">
        <v>114630</v>
      </c>
      <c r="L51" s="31" t="n">
        <v>72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77.68000000000001</v>
      </c>
      <c r="P51" s="32" t="n">
        <v>62.94</v>
      </c>
      <c r="Q51" s="32" t="n">
        <v>453.29</v>
      </c>
      <c r="R51" s="31" t="inlineStr">
        <is>
          <t>Near 52W High Breakout</t>
        </is>
      </c>
      <c r="S51" s="31" t="inlineStr">
        <is>
          <t>Nifty 50</t>
        </is>
      </c>
      <c r="T51" s="32" t="n">
        <v>-6.27</v>
      </c>
      <c r="U51" s="32" t="n">
        <v>46.75</v>
      </c>
      <c r="V51" s="32" t="n">
        <v>56.56</v>
      </c>
      <c r="W51" s="32" t="n">
        <v>20.6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Between 0.7 to 1.2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IF(B52=0,"",RANK(B52,$B$2:$B$370,0))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ASTRAMICRO</t>
        </is>
      </c>
      <c r="D52" s="31" t="inlineStr">
        <is>
          <t>Astra Microwave Products Limited</t>
        </is>
      </c>
      <c r="E52" s="31" t="inlineStr">
        <is>
          <t>aerospace &amp; defence</t>
        </is>
      </c>
      <c r="F52" s="31" t="inlineStr">
        <is>
          <t>telecommunications - equipment</t>
        </is>
      </c>
      <c r="G52" s="31" t="inlineStr">
        <is>
          <t>midcap</t>
        </is>
      </c>
      <c r="H52" s="32" t="n">
        <v>16399.85</v>
      </c>
      <c r="I52" s="32" t="n">
        <v>1761.6</v>
      </c>
      <c r="J52" s="32" t="n">
        <v>1.99</v>
      </c>
      <c r="K52" s="32" t="n">
        <v>925950</v>
      </c>
      <c r="L52" s="31" t="n">
        <v>87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84.16</v>
      </c>
      <c r="P52" s="32" t="n">
        <v>43</v>
      </c>
      <c r="Q52" s="32" t="n">
        <v>1410.43</v>
      </c>
      <c r="R52" s="31" t="inlineStr">
        <is>
          <t>Near 52W High Breakout</t>
        </is>
      </c>
      <c r="S52" s="31" t="inlineStr">
        <is>
          <t>Nifty 50</t>
        </is>
      </c>
      <c r="T52" s="32" t="n">
        <v>-6.27</v>
      </c>
      <c r="U52" s="32" t="n">
        <v>64.03</v>
      </c>
      <c r="V52" s="32" t="n">
        <v>74.98999999999999</v>
      </c>
      <c r="W52" s="32" t="n">
        <v>31.78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Oligopoly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Between 1.5 to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IF(B53=0,"",RANK(B53,$B$2:$B$370,0))</f>
        <v/>
      </c>
      <c r="B53" s="32">
        <f>SUM(N53,Y53,AA53,AC53,AE53,AG53,AI53,AK53,AM53,AO53,AQ53,AS53,AU53,AW53,AY53,BA53,BC53,BE53,BG53,BI53,BK53,BM53,BO53,BQ53,BS53,BU53,BW53,BY53,CA53,CC53,CE53)</f>
        <v/>
      </c>
      <c r="C53" s="33" t="inlineStr">
        <is>
          <t>IMPAL</t>
        </is>
      </c>
      <c r="D53" s="33" t="inlineStr">
        <is>
          <t>India Motor Parts And Accessories Limited</t>
        </is>
      </c>
      <c r="E53" s="31" t="inlineStr">
        <is>
          <t>auto</t>
        </is>
      </c>
      <c r="F53" s="31" t="inlineStr">
        <is>
          <t>auto ancillaries</t>
        </is>
      </c>
      <c r="G53" s="31" t="inlineStr">
        <is>
          <t>smallcap</t>
        </is>
      </c>
      <c r="H53" s="32" t="n">
        <v>1369.8</v>
      </c>
      <c r="I53" s="32" t="n">
        <v>1110.9</v>
      </c>
      <c r="J53" s="32" t="n">
        <v>1.21</v>
      </c>
      <c r="K53" s="32" t="n">
        <v>2545</v>
      </c>
      <c r="L53" s="31" t="n">
        <v>6</v>
      </c>
      <c r="M53" s="31" t="inlineStr">
        <is>
          <t>Underperforming</t>
        </is>
      </c>
      <c r="N53" s="32">
        <f>IF(M53="Underperforming",-5,IF(L53&gt;=95,15,IF(L53&gt;=90,10,IF(L53&gt;=80,5,0))))</f>
        <v/>
      </c>
      <c r="O53" s="32" t="n">
        <v>60.26</v>
      </c>
      <c r="P53" s="32" t="n">
        <v>20.71</v>
      </c>
      <c r="Q53" s="32" t="n">
        <v>928.84</v>
      </c>
      <c r="R53" s="31" t="inlineStr">
        <is>
          <t>Near 52W High Breakout</t>
        </is>
      </c>
      <c r="S53" s="31" t="inlineStr">
        <is>
          <t>Nifty Auto</t>
        </is>
      </c>
      <c r="T53" s="32" t="n">
        <v>10.42</v>
      </c>
      <c r="U53" s="32" t="n">
        <v>-1.77</v>
      </c>
      <c r="V53" s="32" t="n">
        <v>-11.04</v>
      </c>
      <c r="W53" s="32" t="n">
        <v>2.6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IF(B54=0,"",RANK(B54,$B$2:$B$370,0))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AVALON</t>
        </is>
      </c>
      <c r="D54" s="31" t="inlineStr">
        <is>
          <t>Avalon Technologies Ltd</t>
        </is>
      </c>
      <c r="E54" s="31" t="inlineStr">
        <is>
          <t>consumer discretionary</t>
        </is>
      </c>
      <c r="F54" s="31" t="inlineStr">
        <is>
          <t>electronics - components</t>
        </is>
      </c>
      <c r="G54" s="31" t="inlineStr">
        <is>
          <t>midcap</t>
        </is>
      </c>
      <c r="H54" s="32" t="n">
        <v>11915.76</v>
      </c>
      <c r="I54" s="32" t="n">
        <v>1801.9</v>
      </c>
      <c r="J54" s="32" t="n">
        <v>0.96</v>
      </c>
      <c r="K54" s="32" t="n">
        <v>361946</v>
      </c>
      <c r="L54" s="31" t="n">
        <v>93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78.97</v>
      </c>
      <c r="P54" s="32" t="n">
        <v>47.4</v>
      </c>
      <c r="Q54" s="32" t="n">
        <v>1367.12</v>
      </c>
      <c r="R54" s="31" t="inlineStr">
        <is>
          <t>Near 52W High Breakout</t>
        </is>
      </c>
      <c r="S54" s="31" t="inlineStr">
        <is>
          <t>Nifty 50</t>
        </is>
      </c>
      <c r="T54" s="32" t="n">
        <v>-6.27</v>
      </c>
      <c r="U54" s="32" t="n">
        <v>116.5</v>
      </c>
      <c r="V54" s="32" t="n">
        <v>130.97</v>
      </c>
      <c r="W54" s="32" t="n">
        <v>40.15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Between 1.5 to 2</t>
        </is>
      </c>
      <c r="BU54" s="31">
        <f>IF(BT54="Above 2",0,IF(BT54="Between 1.5 to 2",5,IF(BT54="Less than 1.5",10,0)))</f>
        <v/>
      </c>
      <c r="BV54" s="31" t="inlineStr">
        <is>
          <t>Less than 50%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IF(B55=0,"",RANK(B55,$B$2:$B$370,0))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ADOR</t>
        </is>
      </c>
      <c r="D55" s="31" t="inlineStr">
        <is>
          <t>Ador Welding Ltd</t>
        </is>
      </c>
      <c r="E55" s="31" t="inlineStr">
        <is>
          <t>industrials</t>
        </is>
      </c>
      <c r="F55" s="31" t="inlineStr">
        <is>
          <t>electrodes - welding equipment</t>
        </is>
      </c>
      <c r="G55" s="31" t="inlineStr">
        <is>
          <t>smallcap</t>
        </is>
      </c>
      <c r="H55" s="32" t="n">
        <v>2177.44</v>
      </c>
      <c r="I55" s="32" t="n">
        <v>1261.5</v>
      </c>
      <c r="J55" s="32" t="n">
        <v>0.82</v>
      </c>
      <c r="K55" s="32" t="n">
        <v>30314</v>
      </c>
      <c r="L55" s="31" t="n">
        <v>53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70.86</v>
      </c>
      <c r="P55" s="32" t="n">
        <v>27.5</v>
      </c>
      <c r="Q55" s="32" t="n">
        <v>1019.32</v>
      </c>
      <c r="R55" s="31" t="inlineStr">
        <is>
          <t>Near 52W High Breakout</t>
        </is>
      </c>
      <c r="S55" s="31" t="inlineStr">
        <is>
          <t>Nifty 50</t>
        </is>
      </c>
      <c r="T55" s="32" t="n">
        <v>-6.27</v>
      </c>
      <c r="U55" s="32" t="n">
        <v>17.24</v>
      </c>
      <c r="V55" s="32" t="n">
        <v>25.08</v>
      </c>
      <c r="W55" s="32" t="n">
        <v>14.37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IF(B56=0,"",RANK(B56,$B$2:$B$370,0))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WABAG</t>
        </is>
      </c>
      <c r="D56" s="31" t="inlineStr">
        <is>
          <t>Va Tech Wabag Limited</t>
        </is>
      </c>
      <c r="E56" s="31" t="inlineStr">
        <is>
          <t>realty</t>
        </is>
      </c>
      <c r="F56" s="31" t="inlineStr">
        <is>
          <t>engineering - turnkey services</t>
        </is>
      </c>
      <c r="G56" s="31" t="inlineStr">
        <is>
          <t>midcap</t>
        </is>
      </c>
      <c r="H56" s="32" t="n">
        <v>12450.08</v>
      </c>
      <c r="I56" s="32" t="n">
        <v>2009.1</v>
      </c>
      <c r="J56" s="32" t="n">
        <v>0.55</v>
      </c>
      <c r="K56" s="32" t="n">
        <v>657196</v>
      </c>
      <c r="L56" s="31" t="n">
        <v>74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72.91</v>
      </c>
      <c r="P56" s="32" t="n">
        <v>21.69</v>
      </c>
      <c r="Q56" s="32" t="n">
        <v>1689.13</v>
      </c>
      <c r="R56" s="31" t="inlineStr">
        <is>
          <t>Near 52W High Breakout</t>
        </is>
      </c>
      <c r="S56" s="31" t="inlineStr">
        <is>
          <t>Nifty Realty</t>
        </is>
      </c>
      <c r="T56" s="32" t="n">
        <v>-14.65</v>
      </c>
      <c r="U56" s="32" t="n">
        <v>37.6</v>
      </c>
      <c r="V56" s="32" t="n">
        <v>61.22</v>
      </c>
      <c r="W56" s="32" t="n">
        <v>21.66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Less than 50%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IF(B57=0,"",RANK(B57,$B$2:$B$370,0))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HITECHCORP</t>
        </is>
      </c>
      <c r="D57" s="31" t="inlineStr">
        <is>
          <t>Hitech Corporation</t>
        </is>
      </c>
      <c r="E57" s="31" t="inlineStr">
        <is>
          <t>industrials</t>
        </is>
      </c>
      <c r="F57" s="31" t="inlineStr">
        <is>
          <t>packaging</t>
        </is>
      </c>
      <c r="G57" s="31" t="inlineStr">
        <is>
          <t>smallcap</t>
        </is>
      </c>
      <c r="H57" s="32" t="n">
        <v>538.8200000000001</v>
      </c>
      <c r="I57" s="32" t="n">
        <v>315.25</v>
      </c>
      <c r="J57" s="32" t="n">
        <v>0.49</v>
      </c>
      <c r="K57" s="32" t="n">
        <v>5945</v>
      </c>
      <c r="L57" s="31" t="n">
        <v>94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79.65000000000001</v>
      </c>
      <c r="P57" s="32" t="n">
        <v>40.66</v>
      </c>
      <c r="Q57" s="32" t="n">
        <v>243.33</v>
      </c>
      <c r="R57" s="31" t="inlineStr">
        <is>
          <t>Near 52W High Breakout</t>
        </is>
      </c>
      <c r="S57" s="31" t="inlineStr">
        <is>
          <t>Nifty 50</t>
        </is>
      </c>
      <c r="T57" s="32" t="n">
        <v>-6.27</v>
      </c>
      <c r="U57" s="32" t="n">
        <v>51.59</v>
      </c>
      <c r="V57" s="32" t="n">
        <v>61.72</v>
      </c>
      <c r="W57" s="32" t="n">
        <v>46.64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Between 50% to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IF(B58=0,"",RANK(B58,$B$2:$B$370,0))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PIDILITIND</t>
        </is>
      </c>
      <c r="D58" s="31" t="inlineStr">
        <is>
          <t>Pidilite Industries Limited</t>
        </is>
      </c>
      <c r="E58" s="31" t="inlineStr">
        <is>
          <t>chemicals</t>
        </is>
      </c>
      <c r="F58" s="31" t="inlineStr">
        <is>
          <t>chemicals</t>
        </is>
      </c>
      <c r="G58" s="31" t="inlineStr">
        <is>
          <t>largecap</t>
        </is>
      </c>
      <c r="H58" s="32" t="n">
        <v>162801.9</v>
      </c>
      <c r="I58" s="32" t="n">
        <v>1592.7</v>
      </c>
      <c r="J58" s="32" t="n">
        <v>-0.43</v>
      </c>
      <c r="K58" s="32" t="n">
        <v>1080728</v>
      </c>
      <c r="L58" s="31" t="n">
        <v>21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66.45</v>
      </c>
      <c r="P58" s="32" t="n">
        <v>20.59</v>
      </c>
      <c r="Q58" s="32" t="n">
        <v>1393.98</v>
      </c>
      <c r="R58" s="31" t="inlineStr">
        <is>
          <t>Near 52W High Breakout</t>
        </is>
      </c>
      <c r="S58" s="31" t="inlineStr">
        <is>
          <t>Nifty 50</t>
        </is>
      </c>
      <c r="T58" s="32" t="n">
        <v>-6.27</v>
      </c>
      <c r="U58" s="32" t="n">
        <v>4.13</v>
      </c>
      <c r="V58" s="32" t="n">
        <v>11.09</v>
      </c>
      <c r="W58" s="32" t="n">
        <v>6.58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Between 1.5 to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IF(B59=0,"",RANK(B59,$B$2:$B$370,0))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BELRISE</t>
        </is>
      </c>
      <c r="D59" s="31" t="inlineStr">
        <is>
          <t>Belrise Industries Ltd</t>
        </is>
      </c>
      <c r="E59" s="31" t="inlineStr">
        <is>
          <t>auto</t>
        </is>
      </c>
      <c r="F59" s="31" t="inlineStr">
        <is>
          <t>auto ancillaries</t>
        </is>
      </c>
      <c r="G59" s="31" t="inlineStr">
        <is>
          <t>largecap</t>
        </is>
      </c>
      <c r="H59" s="32" t="n">
        <v>21398.04</v>
      </c>
      <c r="I59" s="32" t="n">
        <v>238.57</v>
      </c>
      <c r="J59" s="32" t="n">
        <v>-0.79</v>
      </c>
      <c r="K59" s="32" t="n">
        <v>2782236</v>
      </c>
      <c r="L59" s="31" t="n">
        <v>81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69.48999999999999</v>
      </c>
      <c r="P59" s="32" t="n">
        <v>55.67</v>
      </c>
      <c r="Q59" s="32" t="n">
        <v>198.38</v>
      </c>
      <c r="R59" s="31" t="inlineStr">
        <is>
          <t>Near 52W High Breakout</t>
        </is>
      </c>
      <c r="S59" s="31" t="inlineStr">
        <is>
          <t>Nifty Auto</t>
        </is>
      </c>
      <c r="T59" s="32" t="n">
        <v>10.42</v>
      </c>
      <c r="U59" s="32" t="n">
        <v>131.99</v>
      </c>
      <c r="V59" s="32" t="n">
        <v>110.09</v>
      </c>
      <c r="W59" s="32" t="n">
        <v>25.05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Less than 12%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IF(B60=0,"",RANK(B60,$B$2:$B$370,0))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RISHABH</t>
        </is>
      </c>
      <c r="D60" s="31" t="inlineStr">
        <is>
          <t>Rishabh Instruments Ltd</t>
        </is>
      </c>
      <c r="E60" s="31" t="inlineStr">
        <is>
          <t>industrials</t>
        </is>
      </c>
      <c r="F60" s="31" t="inlineStr">
        <is>
          <t>electric equipment</t>
        </is>
      </c>
      <c r="G60" s="31" t="inlineStr">
        <is>
          <t>smallcap</t>
        </is>
      </c>
      <c r="H60" s="32" t="n">
        <v>2235.09</v>
      </c>
      <c r="I60" s="32" t="n">
        <v>572.05</v>
      </c>
      <c r="J60" s="32" t="n">
        <v>-1.35</v>
      </c>
      <c r="K60" s="32" t="n">
        <v>50285</v>
      </c>
      <c r="L60" s="31" t="n">
        <v>82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65.73999999999999</v>
      </c>
      <c r="P60" s="32" t="n">
        <v>34.91</v>
      </c>
      <c r="Q60" s="32" t="n">
        <v>421.82</v>
      </c>
      <c r="R60" s="31" t="inlineStr">
        <is>
          <t>Near 52W High Breakout</t>
        </is>
      </c>
      <c r="S60" s="31" t="inlineStr">
        <is>
          <t>Nifty Infra</t>
        </is>
      </c>
      <c r="T60" s="32" t="n">
        <v>-0.44</v>
      </c>
      <c r="U60" s="32" t="n">
        <v>100.9</v>
      </c>
      <c r="V60" s="32" t="n">
        <v>101.79</v>
      </c>
      <c r="W60" s="32" t="n">
        <v>26.91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IF(B61=0,"",RANK(B61,$B$2:$B$370,0))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MANORAMA</t>
        </is>
      </c>
      <c r="D61" s="31" t="inlineStr">
        <is>
          <t>Manorama Industries Ltd</t>
        </is>
      </c>
      <c r="E61" s="31" t="inlineStr">
        <is>
          <t>fmcg</t>
        </is>
      </c>
      <c r="F61" s="31" t="inlineStr">
        <is>
          <t>food - processing - indian</t>
        </is>
      </c>
      <c r="G61" s="31" t="inlineStr">
        <is>
          <t>midcap</t>
        </is>
      </c>
      <c r="H61" s="32" t="n">
        <v>9476.34</v>
      </c>
      <c r="I61" s="32" t="n">
        <v>1655.3</v>
      </c>
      <c r="J61" s="32" t="n">
        <v>4.3</v>
      </c>
      <c r="K61" s="32" t="n">
        <v>476739</v>
      </c>
      <c r="L61" s="31" t="n">
        <v>39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63.47</v>
      </c>
      <c r="P61" s="32" t="n">
        <v>12.97</v>
      </c>
      <c r="Q61" s="32" t="n">
        <v>1276.68</v>
      </c>
      <c r="R61" s="31" t="inlineStr">
        <is>
          <t>Near 52W High Breakout</t>
        </is>
      </c>
      <c r="S61" s="31" t="inlineStr">
        <is>
          <t>Nifty FMCG</t>
        </is>
      </c>
      <c r="T61" s="32" t="n">
        <v>-10.85</v>
      </c>
      <c r="U61" s="32" t="n">
        <v>12.36</v>
      </c>
      <c r="V61" s="32" t="n">
        <v>26.04</v>
      </c>
      <c r="W61" s="32" t="n">
        <v>10.73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B2C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0 to 20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IF(B62=0,"",RANK(B62,$B$2:$B$370,0))</f>
        <v/>
      </c>
      <c r="B62" s="32">
        <f>SUM(N62,Y62,AA62,AC62,AE62,AG62,AI62,AK62,AM62,AO62,AQ62,AS62,AU62,AW62,AY62,BA62,BC62,BE62,BG62,BI62,BK62,BM62,BO62,BQ62,BS62,BU62,BW62,BY62,CA62,CC62,CE62)</f>
        <v/>
      </c>
      <c r="C62" s="33" t="inlineStr">
        <is>
          <t>MARKSANS</t>
        </is>
      </c>
      <c r="D62" s="33" t="inlineStr">
        <is>
          <t>Marksans Pharma Limited</t>
        </is>
      </c>
      <c r="E62" s="31" t="inlineStr">
        <is>
          <t>healthcare</t>
        </is>
      </c>
      <c r="F62" s="31" t="inlineStr">
        <is>
          <t>pharmaceuticals - indian - formulations</t>
        </is>
      </c>
      <c r="G62" s="31" t="inlineStr">
        <is>
          <t>midcap</t>
        </is>
      </c>
      <c r="H62" s="32" t="n">
        <v>11936.33</v>
      </c>
      <c r="I62" s="32" t="n">
        <v>272.81</v>
      </c>
      <c r="J62" s="32" t="n">
        <v>3.57</v>
      </c>
      <c r="K62" s="32" t="n">
        <v>2578664</v>
      </c>
      <c r="L62" s="31" t="n">
        <v>65</v>
      </c>
      <c r="M62" s="31" t="inlineStr">
        <is>
          <t>Underperforming</t>
        </is>
      </c>
      <c r="N62" s="32">
        <f>IF(M62="Underperforming",-5,IF(L62&gt;=95,15,IF(L62&gt;=90,10,IF(L62&gt;=80,5,0))))</f>
        <v/>
      </c>
      <c r="O62" s="32" t="n">
        <v>74.90000000000001</v>
      </c>
      <c r="P62" s="32" t="n">
        <v>38.99</v>
      </c>
      <c r="Q62" s="32" t="n">
        <v>212.93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13.14</v>
      </c>
      <c r="U62" s="32" t="n">
        <v>4.08</v>
      </c>
      <c r="V62" s="32" t="n">
        <v>-8.01</v>
      </c>
      <c r="W62" s="32" t="n">
        <v>17.94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IF(B63=0,"",RANK(B63,$B$2:$B$370,0))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NINSYS</t>
        </is>
      </c>
      <c r="D63" s="31" t="inlineStr">
        <is>
          <t>NINtec Systems Ltd</t>
        </is>
      </c>
      <c r="E63" s="31" t="inlineStr">
        <is>
          <t>i.t</t>
        </is>
      </c>
      <c r="F63" s="31" t="inlineStr">
        <is>
          <t>computers - software - medium / small</t>
        </is>
      </c>
      <c r="G63" s="31" t="inlineStr">
        <is>
          <t>smallcap</t>
        </is>
      </c>
      <c r="H63" s="32" t="n">
        <v>1501.03</v>
      </c>
      <c r="I63" s="32" t="n">
        <v>824.85</v>
      </c>
      <c r="J63" s="32" t="n">
        <v>2.08</v>
      </c>
      <c r="K63" s="32" t="n">
        <v>7748</v>
      </c>
      <c r="L63" s="31" t="n">
        <v>93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84.67</v>
      </c>
      <c r="P63" s="32" t="n">
        <v>59.49</v>
      </c>
      <c r="Q63" s="32" t="n">
        <v>632.9299999999999</v>
      </c>
      <c r="R63" s="31" t="inlineStr">
        <is>
          <t>Near 52W High Breakout</t>
        </is>
      </c>
      <c r="S63" s="31" t="inlineStr">
        <is>
          <t>Nifty IT</t>
        </is>
      </c>
      <c r="T63" s="32" t="n">
        <v>-32.85</v>
      </c>
      <c r="U63" s="32" t="n">
        <v>83.12</v>
      </c>
      <c r="V63" s="32" t="n">
        <v>172.71</v>
      </c>
      <c r="W63" s="32" t="n">
        <v>42.8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Between 12 to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IF(B64=0,"",RANK(B64,$B$2:$B$370,0))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TINNARUBR</t>
        </is>
      </c>
      <c r="D64" s="31" t="inlineStr">
        <is>
          <t>Tinna Rubber &amp; Infrastructure Ltd</t>
        </is>
      </c>
      <c r="E64" s="31" t="inlineStr">
        <is>
          <t>fmcg</t>
        </is>
      </c>
      <c r="F64" s="31" t="inlineStr">
        <is>
          <t>miscellaneous</t>
        </is>
      </c>
      <c r="G64" s="31" t="inlineStr">
        <is>
          <t>smallcap</t>
        </is>
      </c>
      <c r="H64" s="32" t="n">
        <v>1677.27</v>
      </c>
      <c r="I64" s="32" t="n">
        <v>950</v>
      </c>
      <c r="J64" s="32" t="n">
        <v>2.04</v>
      </c>
      <c r="K64" s="32" t="n">
        <v>64878</v>
      </c>
      <c r="L64" s="31" t="n">
        <v>57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63.65</v>
      </c>
      <c r="P64" s="32" t="n">
        <v>24.52</v>
      </c>
      <c r="Q64" s="32" t="n">
        <v>700.83</v>
      </c>
      <c r="R64" s="31" t="inlineStr">
        <is>
          <t>Earnings / Momentum Support</t>
        </is>
      </c>
      <c r="S64" s="31" t="inlineStr">
        <is>
          <t>Nifty FMCG</t>
        </is>
      </c>
      <c r="T64" s="32" t="n">
        <v>-10.85</v>
      </c>
      <c r="U64" s="32" t="n">
        <v>2.7</v>
      </c>
      <c r="V64" s="32" t="n">
        <v>15.2</v>
      </c>
      <c r="W64" s="32" t="n">
        <v>15.27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B2C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Between 50% to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IF(B65=0,"",RANK(B65,$B$2:$B$370,0))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AUROPHARMA</t>
        </is>
      </c>
      <c r="D65" s="31" t="inlineStr">
        <is>
          <t>Aurobindo Pharma Limited</t>
        </is>
      </c>
      <c r="E65" s="31" t="inlineStr">
        <is>
          <t>healthcare</t>
        </is>
      </c>
      <c r="F65" s="31" t="inlineStr">
        <is>
          <t>pharmaceuticals - indian - bulk drugs &amp; formln</t>
        </is>
      </c>
      <c r="G65" s="31" t="inlineStr">
        <is>
          <t>largecap</t>
        </is>
      </c>
      <c r="H65" s="32" t="n">
        <v>89879.05</v>
      </c>
      <c r="I65" s="32" t="n">
        <v>1578.7</v>
      </c>
      <c r="J65" s="32" t="n">
        <v>2.02</v>
      </c>
      <c r="K65" s="32" t="n">
        <v>3230878</v>
      </c>
      <c r="L65" s="31" t="n">
        <v>35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73.88</v>
      </c>
      <c r="P65" s="32" t="n">
        <v>45.3</v>
      </c>
      <c r="Q65" s="32" t="n">
        <v>1346.61</v>
      </c>
      <c r="R65" s="31" t="inlineStr">
        <is>
          <t>Near 52W High Breakout</t>
        </is>
      </c>
      <c r="S65" s="31" t="inlineStr">
        <is>
          <t>Nifty Pharma</t>
        </is>
      </c>
      <c r="T65" s="32" t="n">
        <v>13.14</v>
      </c>
      <c r="U65" s="32" t="n">
        <v>33.02</v>
      </c>
      <c r="V65" s="32" t="n">
        <v>17.57</v>
      </c>
      <c r="W65" s="32" t="n">
        <v>9.949999999999999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Less than 12%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IF(B66=0,"",RANK(B66,$B$2:$B$370,0))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SPARC</t>
        </is>
      </c>
      <c r="D66" s="31" t="inlineStr">
        <is>
          <t>Sun Pharma Advanced Research Company Limited</t>
        </is>
      </c>
      <c r="E66" s="31" t="inlineStr">
        <is>
          <t>healthcare</t>
        </is>
      </c>
      <c r="F66" s="31" t="inlineStr">
        <is>
          <t>miscellaneous</t>
        </is>
      </c>
      <c r="G66" s="31" t="inlineStr">
        <is>
          <t>midcap</t>
        </is>
      </c>
      <c r="H66" s="32" t="n">
        <v>7502.61</v>
      </c>
      <c r="I66" s="32" t="n">
        <v>234.75</v>
      </c>
      <c r="J66" s="32" t="n">
        <v>1.54</v>
      </c>
      <c r="K66" s="32" t="n">
        <v>1210418</v>
      </c>
      <c r="L66" s="31" t="n">
        <v>86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73.34999999999999</v>
      </c>
      <c r="P66" s="32" t="n">
        <v>57.94</v>
      </c>
      <c r="Q66" s="32" t="n">
        <v>169.15</v>
      </c>
      <c r="R66" s="31" t="inlineStr">
        <is>
          <t>Near 52W High Breakout</t>
        </is>
      </c>
      <c r="S66" s="31" t="inlineStr">
        <is>
          <t>Nifty Pharma</t>
        </is>
      </c>
      <c r="T66" s="32" t="n">
        <v>13.14</v>
      </c>
      <c r="U66" s="32" t="n">
        <v>47.79</v>
      </c>
      <c r="V66" s="32" t="n">
        <v>30.62</v>
      </c>
      <c r="W66" s="32" t="n">
        <v>31.15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Negative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IF(B67=0,"",RANK(B67,$B$2:$B$370,0))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NGLFINE</t>
        </is>
      </c>
      <c r="D67" s="31" t="inlineStr">
        <is>
          <t>NGL Fine Chem Ltd</t>
        </is>
      </c>
      <c r="E67" s="31" t="inlineStr">
        <is>
          <t>healthcare</t>
        </is>
      </c>
      <c r="F67" s="31" t="inlineStr">
        <is>
          <t>pharmaceuticals - indian - bulk drugs</t>
        </is>
      </c>
      <c r="G67" s="31" t="inlineStr">
        <is>
          <t>smallcap</t>
        </is>
      </c>
      <c r="H67" s="32" t="n">
        <v>1904.93</v>
      </c>
      <c r="I67" s="32" t="n">
        <v>3110</v>
      </c>
      <c r="J67" s="32" t="n">
        <v>0.86</v>
      </c>
      <c r="K67" s="32" t="n">
        <v>5847</v>
      </c>
      <c r="L67" s="31" t="n">
        <v>87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77.95</v>
      </c>
      <c r="P67" s="32" t="n">
        <v>66.45</v>
      </c>
      <c r="Q67" s="32" t="n">
        <v>2129.3</v>
      </c>
      <c r="R67" s="31" t="inlineStr">
        <is>
          <t>Near 52W High Breakout</t>
        </is>
      </c>
      <c r="S67" s="31" t="inlineStr">
        <is>
          <t>Nifty Pharma</t>
        </is>
      </c>
      <c r="T67" s="32" t="n">
        <v>13.14</v>
      </c>
      <c r="U67" s="32" t="n">
        <v>151.98</v>
      </c>
      <c r="V67" s="32" t="n">
        <v>122.71</v>
      </c>
      <c r="W67" s="32" t="n">
        <v>31.49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Between 50% to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IF(B68=0,"",RANK(B68,$B$2:$B$370,0))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SANSTAR</t>
        </is>
      </c>
      <c r="D68" s="31" t="inlineStr">
        <is>
          <t>Sanstar Ltd</t>
        </is>
      </c>
      <c r="E68" s="31" t="inlineStr">
        <is>
          <t>fmcg</t>
        </is>
      </c>
      <c r="F68" s="31" t="inlineStr">
        <is>
          <t>miscellaneous</t>
        </is>
      </c>
      <c r="G68" s="31" t="inlineStr">
        <is>
          <t>smallcap</t>
        </is>
      </c>
      <c r="H68" s="32" t="n">
        <v>2423.45</v>
      </c>
      <c r="I68" s="32" t="n">
        <v>121.47</v>
      </c>
      <c r="J68" s="32" t="n">
        <v>0.38</v>
      </c>
      <c r="K68" s="32" t="n">
        <v>428410</v>
      </c>
      <c r="L68" s="31" t="n">
        <v>66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71.92</v>
      </c>
      <c r="P68" s="32" t="n">
        <v>39.34</v>
      </c>
      <c r="Q68" s="32" t="n">
        <v>97.8</v>
      </c>
      <c r="R68" s="31" t="inlineStr">
        <is>
          <t>Near 52W High Breakout</t>
        </is>
      </c>
      <c r="S68" s="31" t="inlineStr">
        <is>
          <t>Nifty FMCG</t>
        </is>
      </c>
      <c r="T68" s="32" t="n">
        <v>-10.85</v>
      </c>
      <c r="U68" s="32" t="n">
        <v>22.71</v>
      </c>
      <c r="V68" s="32" t="n">
        <v>37.65</v>
      </c>
      <c r="W68" s="32" t="n">
        <v>18.09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B2C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IF(B69=0,"",RANK(B69,$B$2:$B$370,0))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MARICO</t>
        </is>
      </c>
      <c r="D69" s="31" t="inlineStr">
        <is>
          <t>Marico Limited</t>
        </is>
      </c>
      <c r="E69" s="31" t="inlineStr">
        <is>
          <t>fmcg</t>
        </is>
      </c>
      <c r="F69" s="31" t="inlineStr">
        <is>
          <t>solvent extraction</t>
        </is>
      </c>
      <c r="G69" s="31" t="inlineStr">
        <is>
          <t>largecap</t>
        </is>
      </c>
      <c r="H69" s="32" t="n">
        <v>109038.02</v>
      </c>
      <c r="I69" s="32" t="n">
        <v>836.25</v>
      </c>
      <c r="J69" s="32" t="n">
        <v>-0.44</v>
      </c>
      <c r="K69" s="32" t="n">
        <v>3911274</v>
      </c>
      <c r="L69" s="31" t="n">
        <v>14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65.04000000000001</v>
      </c>
      <c r="P69" s="32" t="n">
        <v>20.19</v>
      </c>
      <c r="Q69" s="32" t="n">
        <v>746.86</v>
      </c>
      <c r="R69" s="31" t="inlineStr">
        <is>
          <t>Near 52W High Breakout</t>
        </is>
      </c>
      <c r="S69" s="31" t="inlineStr">
        <is>
          <t>Nifty FMCG</t>
        </is>
      </c>
      <c r="T69" s="32" t="n">
        <v>-10.85</v>
      </c>
      <c r="U69" s="32" t="n">
        <v>15.92</v>
      </c>
      <c r="V69" s="32" t="n">
        <v>30.03</v>
      </c>
      <c r="W69" s="32" t="n">
        <v>5.06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B2C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Between 12 to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IF(B70=0,"",RANK(B70,$B$2:$B$370,0))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ACUTAAS</t>
        </is>
      </c>
      <c r="D70" s="31" t="inlineStr">
        <is>
          <t>Acutaas Chemicals Ltd</t>
        </is>
      </c>
      <c r="E70" s="31" t="inlineStr">
        <is>
          <t>healthcare</t>
        </is>
      </c>
      <c r="F70" s="31" t="inlineStr">
        <is>
          <t>pharmaceuticals - indian - bulk drugs</t>
        </is>
      </c>
      <c r="G70" s="31" t="inlineStr">
        <is>
          <t>largecap</t>
        </is>
      </c>
      <c r="H70" s="32" t="n">
        <v>29213.25</v>
      </c>
      <c r="I70" s="32" t="n">
        <v>3526.2</v>
      </c>
      <c r="J70" s="32" t="n">
        <v>-1.18</v>
      </c>
      <c r="K70" s="32" t="n">
        <v>327659</v>
      </c>
      <c r="L70" s="31" t="n">
        <v>93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77.20999999999999</v>
      </c>
      <c r="P70" s="32" t="n">
        <v>64.81</v>
      </c>
      <c r="Q70" s="32" t="n">
        <v>2761.08</v>
      </c>
      <c r="R70" s="31" t="inlineStr">
        <is>
          <t>Near 52W High Breakout</t>
        </is>
      </c>
      <c r="S70" s="31" t="inlineStr">
        <is>
          <t>Nifty Pharma</t>
        </is>
      </c>
      <c r="T70" s="32" t="n">
        <v>13.14</v>
      </c>
      <c r="U70" s="32" t="n">
        <v>214.57</v>
      </c>
      <c r="V70" s="32" t="n">
        <v>178.03</v>
      </c>
      <c r="W70" s="32" t="n">
        <v>40.94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Between 50% to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IF(B71=0,"",RANK(B71,$B$2:$B$370,0))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VADILALIND</t>
        </is>
      </c>
      <c r="D71" s="31" t="inlineStr">
        <is>
          <t>Vadilal Industries Limited</t>
        </is>
      </c>
      <c r="E71" s="31" t="inlineStr">
        <is>
          <t>fmcg</t>
        </is>
      </c>
      <c r="F71" s="31" t="inlineStr">
        <is>
          <t>food - processing - indian</t>
        </is>
      </c>
      <c r="G71" s="31" t="inlineStr">
        <is>
          <t>smallcap</t>
        </is>
      </c>
      <c r="H71" s="32" t="n">
        <v>4573.9</v>
      </c>
      <c r="I71" s="32" t="n">
        <v>6264.3</v>
      </c>
      <c r="J71" s="32" t="n">
        <v>-1.56</v>
      </c>
      <c r="K71" s="32" t="n">
        <v>7102</v>
      </c>
      <c r="L71" s="31" t="n">
        <v>54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67.88</v>
      </c>
      <c r="P71" s="32" t="n">
        <v>20.96</v>
      </c>
      <c r="Q71" s="32" t="n">
        <v>5039.02</v>
      </c>
      <c r="R71" s="31" t="inlineStr">
        <is>
          <t>Near 52W High Breakout</t>
        </is>
      </c>
      <c r="S71" s="31" t="inlineStr">
        <is>
          <t>Nifty FMCG</t>
        </is>
      </c>
      <c r="T71" s="32" t="n">
        <v>-10.85</v>
      </c>
      <c r="U71" s="32" t="n">
        <v>17.96</v>
      </c>
      <c r="V71" s="32" t="n">
        <v>32.32</v>
      </c>
      <c r="W71" s="32" t="n">
        <v>14.53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B2C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Between 50% to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IF(B72=0,"",RANK(B72,$B$2:$B$370,0))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SKMEGGPROD</t>
        </is>
      </c>
      <c r="D72" s="31" t="inlineStr">
        <is>
          <t>Skm Egg Products Export (india) Limited</t>
        </is>
      </c>
      <c r="E72" s="31" t="inlineStr">
        <is>
          <t>fmcg</t>
        </is>
      </c>
      <c r="F72" s="31" t="inlineStr">
        <is>
          <t>food - processing - indian</t>
        </is>
      </c>
      <c r="G72" s="31" t="inlineStr">
        <is>
          <t>smallcap</t>
        </is>
      </c>
      <c r="H72" s="32" t="n">
        <v>1601.13</v>
      </c>
      <c r="I72" s="32" t="n">
        <v>293.02</v>
      </c>
      <c r="J72" s="32" t="n">
        <v>-3.63</v>
      </c>
      <c r="K72" s="32" t="n">
        <v>1152605</v>
      </c>
      <c r="L72" s="31" t="n">
        <v>92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77</v>
      </c>
      <c r="P72" s="32" t="n">
        <v>30.55</v>
      </c>
      <c r="Q72" s="32" t="n">
        <v>211.14</v>
      </c>
      <c r="R72" s="31" t="inlineStr">
        <is>
          <t>Near 52W High Breakout</t>
        </is>
      </c>
      <c r="S72" s="31" t="inlineStr">
        <is>
          <t>Nifty FMCG</t>
        </is>
      </c>
      <c r="T72" s="32" t="n">
        <v>-10.85</v>
      </c>
      <c r="U72" s="32" t="n">
        <v>119.9</v>
      </c>
      <c r="V72" s="32" t="n">
        <v>146.68</v>
      </c>
      <c r="W72" s="32" t="n">
        <v>39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B2C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Less than 50%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IF(B73=0,"",RANK(B73,$B$2:$B$370,0))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VENUSREM</t>
        </is>
      </c>
      <c r="D73" s="31" t="inlineStr">
        <is>
          <t>Venus Remedies Limited</t>
        </is>
      </c>
      <c r="E73" s="31" t="inlineStr">
        <is>
          <t>healthcare</t>
        </is>
      </c>
      <c r="F73" s="31" t="inlineStr">
        <is>
          <t>pharmaceuticals - indian - formulations</t>
        </is>
      </c>
      <c r="G73" s="31" t="inlineStr">
        <is>
          <t>smallcap</t>
        </is>
      </c>
      <c r="H73" s="32" t="n">
        <v>2579.83</v>
      </c>
      <c r="I73" s="32" t="n">
        <v>1833.5</v>
      </c>
      <c r="J73" s="32" t="n">
        <v>-5</v>
      </c>
      <c r="K73" s="32" t="n">
        <v>50534</v>
      </c>
      <c r="L73" s="31" t="n">
        <v>96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75.62</v>
      </c>
      <c r="P73" s="32" t="n">
        <v>57.25</v>
      </c>
      <c r="Q73" s="32" t="n">
        <v>1455.09</v>
      </c>
      <c r="R73" s="31" t="inlineStr">
        <is>
          <t>Earnings / Momentum Support</t>
        </is>
      </c>
      <c r="S73" s="31" t="inlineStr">
        <is>
          <t>Nifty Pharma</t>
        </is>
      </c>
      <c r="T73" s="32" t="n">
        <v>13.14</v>
      </c>
      <c r="U73" s="32" t="n">
        <v>311.74</v>
      </c>
      <c r="V73" s="32" t="n">
        <v>263.92</v>
      </c>
      <c r="W73" s="32" t="n">
        <v>59.22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IF(B74=0,"",RANK(B74,$B$2:$B$370,0))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ARVIND</t>
        </is>
      </c>
      <c r="D74" s="31" t="inlineStr">
        <is>
          <t>Arvind Limited</t>
        </is>
      </c>
      <c r="E74" s="31" t="inlineStr">
        <is>
          <t>textiles</t>
        </is>
      </c>
      <c r="F74" s="31" t="inlineStr">
        <is>
          <t>textiles - cotton/blended</t>
        </is>
      </c>
      <c r="G74" s="31" t="inlineStr">
        <is>
          <t>midcap</t>
        </is>
      </c>
      <c r="H74" s="32" t="n">
        <v>14403.2</v>
      </c>
      <c r="I74" s="32" t="n">
        <v>587.1</v>
      </c>
      <c r="J74" s="32" t="n">
        <v>6.84</v>
      </c>
      <c r="K74" s="32" t="n">
        <v>5470137</v>
      </c>
      <c r="L74" s="31" t="n">
        <v>82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84.69</v>
      </c>
      <c r="P74" s="32" t="n">
        <v>50.15</v>
      </c>
      <c r="Q74" s="32" t="n">
        <v>475.1</v>
      </c>
      <c r="R74" s="31" t="inlineStr">
        <is>
          <t>Near 52W High Breakout</t>
        </is>
      </c>
      <c r="S74" s="31" t="inlineStr">
        <is>
          <t>Nifty 50</t>
        </is>
      </c>
      <c r="T74" s="32" t="n">
        <v>-6.27</v>
      </c>
      <c r="U74" s="32" t="n">
        <v>69.64</v>
      </c>
      <c r="V74" s="32" t="n">
        <v>80.97</v>
      </c>
      <c r="W74" s="32" t="n">
        <v>25.8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Less than 12%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IF(B75=0,"",RANK(B75,$B$2:$B$370,0))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SOLARINDS</t>
        </is>
      </c>
      <c r="D75" s="31" t="inlineStr">
        <is>
          <t>Solar Industries India Limited</t>
        </is>
      </c>
      <c r="E75" s="31" t="inlineStr">
        <is>
          <t>aerospace &amp; defence</t>
        </is>
      </c>
      <c r="F75" s="31" t="inlineStr">
        <is>
          <t>chemicals</t>
        </is>
      </c>
      <c r="G75" s="31" t="inlineStr">
        <is>
          <t>largecap</t>
        </is>
      </c>
      <c r="H75" s="32" t="n">
        <v>161054.2</v>
      </c>
      <c r="I75" s="32" t="n">
        <v>18696</v>
      </c>
      <c r="J75" s="32" t="n">
        <v>5.05</v>
      </c>
      <c r="K75" s="32" t="n">
        <v>306107</v>
      </c>
      <c r="L75" s="31" t="n">
        <v>48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66.87</v>
      </c>
      <c r="P75" s="32" t="n">
        <v>34.79</v>
      </c>
      <c r="Q75" s="32" t="n">
        <v>15139.53</v>
      </c>
      <c r="R75" s="31" t="inlineStr">
        <is>
          <t>Near 52W High Breakout</t>
        </is>
      </c>
      <c r="S75" s="31" t="inlineStr">
        <is>
          <t>Nifty 50</t>
        </is>
      </c>
      <c r="T75" s="32" t="n">
        <v>-6.27</v>
      </c>
      <c r="U75" s="32" t="n">
        <v>10.98</v>
      </c>
      <c r="V75" s="32" t="n">
        <v>18.4</v>
      </c>
      <c r="W75" s="32" t="n">
        <v>12.56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Less than 50%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IF(B76=0,"",RANK(B76,$B$2:$B$370,0))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MINDACORP</t>
        </is>
      </c>
      <c r="D76" s="31" t="inlineStr">
        <is>
          <t>Minda Corporation Limited</t>
        </is>
      </c>
      <c r="E76" s="31" t="inlineStr">
        <is>
          <t>auto</t>
        </is>
      </c>
      <c r="F76" s="31" t="inlineStr">
        <is>
          <t>auto ancillaries</t>
        </is>
      </c>
      <c r="G76" s="31" t="inlineStr">
        <is>
          <t>midcap</t>
        </is>
      </c>
      <c r="H76" s="32" t="n">
        <v>16075.7</v>
      </c>
      <c r="I76" s="32" t="n">
        <v>696.8</v>
      </c>
      <c r="J76" s="32" t="n">
        <v>3.63</v>
      </c>
      <c r="K76" s="32" t="n">
        <v>913293</v>
      </c>
      <c r="L76" s="31" t="n">
        <v>57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71.13</v>
      </c>
      <c r="P76" s="32" t="n">
        <v>21.58</v>
      </c>
      <c r="Q76" s="32" t="n">
        <v>568.09</v>
      </c>
      <c r="R76" s="31" t="inlineStr">
        <is>
          <t>Near 52W High Breakout</t>
        </is>
      </c>
      <c r="S76" s="31" t="inlineStr">
        <is>
          <t>Nifty Auto</t>
        </is>
      </c>
      <c r="T76" s="32" t="n">
        <v>10.42</v>
      </c>
      <c r="U76" s="32" t="n">
        <v>34.21</v>
      </c>
      <c r="V76" s="32" t="n">
        <v>21.55</v>
      </c>
      <c r="W76" s="32" t="n">
        <v>15.37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IF(B77=0,"",RANK(B77,$B$2:$B$370,0))</f>
        <v/>
      </c>
      <c r="B77" s="32">
        <f>SUM(N77,Y77,AA77,AC77,AE77,AG77,AI77,AK77,AM77,AO77,AQ77,AS77,AU77,AW77,AY77,BA77,BC77,BE77,BG77,BI77,BK77,BM77,BO77,BQ77,BS77,BU77,BW77,BY77,CA77,CC77,CE77)</f>
        <v/>
      </c>
      <c r="C77" s="33" t="inlineStr">
        <is>
          <t>WSTCSTPAPR</t>
        </is>
      </c>
      <c r="D77" s="33" t="inlineStr">
        <is>
          <t>West Coast Paper Mills Limited</t>
        </is>
      </c>
      <c r="E77" s="31" t="inlineStr">
        <is>
          <t>building materials</t>
        </is>
      </c>
      <c r="F77" s="31" t="inlineStr">
        <is>
          <t>paper</t>
        </is>
      </c>
      <c r="G77" s="31" t="inlineStr">
        <is>
          <t>smallcap</t>
        </is>
      </c>
      <c r="H77" s="32" t="n">
        <v>3409.44</v>
      </c>
      <c r="I77" s="32" t="n">
        <v>534.35</v>
      </c>
      <c r="J77" s="32" t="n">
        <v>3.52</v>
      </c>
      <c r="K77" s="32" t="n">
        <v>970947</v>
      </c>
      <c r="L77" s="31" t="n">
        <v>14</v>
      </c>
      <c r="M77" s="31" t="inlineStr">
        <is>
          <t>Underperforming</t>
        </is>
      </c>
      <c r="N77" s="32">
        <f>IF(M77="Underperforming",-5,IF(L77&gt;=95,15,IF(L77&gt;=90,10,IF(L77&gt;=80,5,0))))</f>
        <v/>
      </c>
      <c r="O77" s="32" t="n">
        <v>61.5</v>
      </c>
      <c r="P77" s="32" t="n">
        <v>32.9</v>
      </c>
      <c r="Q77" s="32" t="n">
        <v>415.63</v>
      </c>
      <c r="R77" s="31" t="inlineStr">
        <is>
          <t>Volume Spike &amp; Near 52W High Breakout</t>
        </is>
      </c>
      <c r="S77" s="31" t="inlineStr">
        <is>
          <t>Nifty Infra</t>
        </is>
      </c>
      <c r="T77" s="32" t="n">
        <v>-0.44</v>
      </c>
      <c r="U77" s="32" t="n">
        <v>-4.16</v>
      </c>
      <c r="V77" s="32" t="n">
        <v>-3.73</v>
      </c>
      <c r="W77" s="32" t="n">
        <v>4.79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Between 12 to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IF(B78=0,"",RANK(B78,$B$2:$B$370,0))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KENNAMET</t>
        </is>
      </c>
      <c r="D78" s="31" t="inlineStr">
        <is>
          <t>Kennametal India Ltd</t>
        </is>
      </c>
      <c r="E78" s="31" t="inlineStr">
        <is>
          <t>industrials</t>
        </is>
      </c>
      <c r="F78" s="31" t="inlineStr">
        <is>
          <t>castings &amp; forgings</t>
        </is>
      </c>
      <c r="G78" s="31" t="inlineStr">
        <is>
          <t>midcap</t>
        </is>
      </c>
      <c r="H78" s="32" t="n">
        <v>6562.7</v>
      </c>
      <c r="I78" s="32" t="n">
        <v>3080.2</v>
      </c>
      <c r="J78" s="32" t="n">
        <v>3.15</v>
      </c>
      <c r="K78" s="32" t="n">
        <v>10488</v>
      </c>
      <c r="L78" s="31" t="n">
        <v>53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67.88</v>
      </c>
      <c r="P78" s="32" t="n">
        <v>47.35</v>
      </c>
      <c r="Q78" s="32" t="n">
        <v>2421.34</v>
      </c>
      <c r="R78" s="31" t="inlineStr">
        <is>
          <t>Near 52W High Breakout</t>
        </is>
      </c>
      <c r="S78" s="31" t="inlineStr">
        <is>
          <t>Nifty 50</t>
        </is>
      </c>
      <c r="T78" s="32" t="n">
        <v>-6.27</v>
      </c>
      <c r="U78" s="32" t="n">
        <v>31.54</v>
      </c>
      <c r="V78" s="32" t="n">
        <v>40.34</v>
      </c>
      <c r="W78" s="32" t="n">
        <v>14.49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IF(B79=0,"",RANK(B79,$B$2:$B$370,0))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AIAENG</t>
        </is>
      </c>
      <c r="D79" s="31" t="inlineStr">
        <is>
          <t>Aia Engineering Limited</t>
        </is>
      </c>
      <c r="E79" s="31" t="inlineStr">
        <is>
          <t>industrials</t>
        </is>
      </c>
      <c r="F79" s="31" t="inlineStr">
        <is>
          <t>castings &amp; forgings</t>
        </is>
      </c>
      <c r="G79" s="31" t="inlineStr">
        <is>
          <t>largecap</t>
        </is>
      </c>
      <c r="H79" s="32" t="n">
        <v>46206.65</v>
      </c>
      <c r="I79" s="32" t="n">
        <v>5081.4</v>
      </c>
      <c r="J79" s="32" t="n">
        <v>2.63</v>
      </c>
      <c r="K79" s="32" t="n">
        <v>205878</v>
      </c>
      <c r="L79" s="31" t="n">
        <v>66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72.65000000000001</v>
      </c>
      <c r="P79" s="32" t="n">
        <v>24.8</v>
      </c>
      <c r="Q79" s="32" t="n">
        <v>4141.29</v>
      </c>
      <c r="R79" s="31" t="inlineStr">
        <is>
          <t>Near 52W High Breakout</t>
        </is>
      </c>
      <c r="S79" s="31" t="inlineStr">
        <is>
          <t>Nifty 500</t>
        </is>
      </c>
      <c r="T79" s="32" t="n">
        <v>-2.41</v>
      </c>
      <c r="U79" s="32" t="n">
        <v>54.04</v>
      </c>
      <c r="V79" s="32" t="n">
        <v>57.83</v>
      </c>
      <c r="W79" s="32" t="n">
        <v>18.19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Less than 50%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IF(B80=0,"",RANK(B80,$B$2:$B$370,0))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KANORICHEM</t>
        </is>
      </c>
      <c r="D80" s="31" t="inlineStr">
        <is>
          <t>Kanoria Chemicals &amp; Industries Limited</t>
        </is>
      </c>
      <c r="E80" s="31" t="inlineStr">
        <is>
          <t>chemicals</t>
        </is>
      </c>
      <c r="F80" s="31" t="inlineStr">
        <is>
          <t>chemicals</t>
        </is>
      </c>
      <c r="G80" s="31" t="inlineStr">
        <is>
          <t>smallcap</t>
        </is>
      </c>
      <c r="H80" s="32" t="n">
        <v>573.78</v>
      </c>
      <c r="I80" s="32" t="n">
        <v>134.5</v>
      </c>
      <c r="J80" s="32" t="n">
        <v>2.42</v>
      </c>
      <c r="K80" s="32" t="n">
        <v>99646</v>
      </c>
      <c r="L80" s="31" t="n">
        <v>91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76.04000000000001</v>
      </c>
      <c r="P80" s="32" t="n">
        <v>37.12</v>
      </c>
      <c r="Q80" s="32" t="n">
        <v>100.77</v>
      </c>
      <c r="R80" s="31" t="inlineStr">
        <is>
          <t>Near 52W High Breakout</t>
        </is>
      </c>
      <c r="S80" s="31" t="inlineStr">
        <is>
          <t>Nifty 50</t>
        </is>
      </c>
      <c r="T80" s="32" t="n">
        <v>-6.27</v>
      </c>
      <c r="U80" s="32" t="n">
        <v>42.74</v>
      </c>
      <c r="V80" s="32" t="n">
        <v>52.28</v>
      </c>
      <c r="W80" s="32" t="n">
        <v>36.39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IF(B81=0,"",RANK(B81,$B$2:$B$370,0))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GNA</t>
        </is>
      </c>
      <c r="D81" s="31" t="inlineStr">
        <is>
          <t>Gna Axles Limited</t>
        </is>
      </c>
      <c r="E81" s="31" t="inlineStr">
        <is>
          <t>auto</t>
        </is>
      </c>
      <c r="F81" s="31" t="inlineStr">
        <is>
          <t>auto ancillaries</t>
        </is>
      </c>
      <c r="G81" s="31" t="inlineStr">
        <is>
          <t>smallcap</t>
        </is>
      </c>
      <c r="H81" s="32" t="n">
        <v>1851.39</v>
      </c>
      <c r="I81" s="32" t="n">
        <v>441.25</v>
      </c>
      <c r="J81" s="32" t="n">
        <v>2.32</v>
      </c>
      <c r="K81" s="32" t="n">
        <v>137948</v>
      </c>
      <c r="L81" s="31" t="n">
        <v>39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62.71</v>
      </c>
      <c r="P81" s="32" t="n">
        <v>19.88</v>
      </c>
      <c r="Q81" s="32" t="n">
        <v>326.47</v>
      </c>
      <c r="R81" s="31" t="inlineStr">
        <is>
          <t>Near 52W High Breakout</t>
        </is>
      </c>
      <c r="S81" s="31" t="inlineStr">
        <is>
          <t>Nifty Auto</t>
        </is>
      </c>
      <c r="T81" s="32" t="n">
        <v>10.42</v>
      </c>
      <c r="U81" s="32" t="n">
        <v>36.97</v>
      </c>
      <c r="V81" s="32" t="n">
        <v>24.05</v>
      </c>
      <c r="W81" s="32" t="n">
        <v>10.84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IF(B82=0,"",RANK(B82,$B$2:$B$370,0))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PRIVISCL</t>
        </is>
      </c>
      <c r="D82" s="31" t="inlineStr">
        <is>
          <t>Privi Speciality Chemicals Ltd</t>
        </is>
      </c>
      <c r="E82" s="31" t="inlineStr">
        <is>
          <t>chemicals</t>
        </is>
      </c>
      <c r="F82" s="31" t="inlineStr">
        <is>
          <t>chemicals</t>
        </is>
      </c>
      <c r="G82" s="31" t="inlineStr">
        <is>
          <t>midcap</t>
        </is>
      </c>
      <c r="H82" s="32" t="n">
        <v>14055.54</v>
      </c>
      <c r="I82" s="32" t="n">
        <v>3680</v>
      </c>
      <c r="J82" s="32" t="n">
        <v>2.27</v>
      </c>
      <c r="K82" s="32" t="n">
        <v>67377</v>
      </c>
      <c r="L82" s="31" t="n">
        <v>51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67.02</v>
      </c>
      <c r="P82" s="32" t="n">
        <v>23.15</v>
      </c>
      <c r="Q82" s="32" t="n">
        <v>3009.06</v>
      </c>
      <c r="R82" s="31" t="inlineStr">
        <is>
          <t>Near 52W High Breakout</t>
        </is>
      </c>
      <c r="S82" s="31" t="inlineStr">
        <is>
          <t>Nifty 50</t>
        </is>
      </c>
      <c r="T82" s="32" t="n">
        <v>-6.27</v>
      </c>
      <c r="U82" s="32" t="n">
        <v>49</v>
      </c>
      <c r="V82" s="32" t="n">
        <v>58.96</v>
      </c>
      <c r="W82" s="32" t="n">
        <v>13.72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IF(B83=0,"",RANK(B83,$B$2:$B$370,0))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PSPPROJECT</t>
        </is>
      </c>
      <c r="D83" s="31" t="inlineStr">
        <is>
          <t>PSP Projects Ltd</t>
        </is>
      </c>
      <c r="E83" s="31" t="inlineStr">
        <is>
          <t>realty</t>
        </is>
      </c>
      <c r="F83" s="31" t="inlineStr">
        <is>
          <t>construction</t>
        </is>
      </c>
      <c r="G83" s="31" t="inlineStr">
        <is>
          <t>smallcap</t>
        </is>
      </c>
      <c r="H83" s="32" t="n">
        <v>3880.34</v>
      </c>
      <c r="I83" s="32" t="n">
        <v>1000.8</v>
      </c>
      <c r="J83" s="32" t="n">
        <v>2.24</v>
      </c>
      <c r="K83" s="32" t="n">
        <v>98379</v>
      </c>
      <c r="L83" s="31" t="n">
        <v>72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68.89</v>
      </c>
      <c r="P83" s="32" t="n">
        <v>24.75</v>
      </c>
      <c r="Q83" s="32" t="n">
        <v>764.92</v>
      </c>
      <c r="R83" s="31" t="inlineStr">
        <is>
          <t>Near 52W High Breakout</t>
        </is>
      </c>
      <c r="S83" s="31" t="inlineStr">
        <is>
          <t>Nifty Realty</t>
        </is>
      </c>
      <c r="T83" s="32" t="n">
        <v>-14.65</v>
      </c>
      <c r="U83" s="32" t="n">
        <v>28.63</v>
      </c>
      <c r="V83" s="32" t="n">
        <v>50.71</v>
      </c>
      <c r="W83" s="32" t="n">
        <v>20.75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IF(B84=0,"",RANK(B84,$B$2:$B$370,0))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DIFFNKG</t>
        </is>
      </c>
      <c r="D84" s="31" t="inlineStr">
        <is>
          <t>Diffusion Engineers Ltd</t>
        </is>
      </c>
      <c r="E84" s="31" t="inlineStr">
        <is>
          <t>industrials</t>
        </is>
      </c>
      <c r="F84" s="31" t="inlineStr">
        <is>
          <t>electrodes - welding equipment</t>
        </is>
      </c>
      <c r="G84" s="31" t="inlineStr">
        <is>
          <t>smallcap</t>
        </is>
      </c>
      <c r="H84" s="32" t="n">
        <v>1554.31</v>
      </c>
      <c r="I84" s="32" t="n">
        <v>424.2</v>
      </c>
      <c r="J84" s="32" t="n">
        <v>2.14</v>
      </c>
      <c r="K84" s="32" t="n">
        <v>534011</v>
      </c>
      <c r="L84" s="31" t="n">
        <v>70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74.41</v>
      </c>
      <c r="P84" s="32" t="n">
        <v>20.16</v>
      </c>
      <c r="Q84" s="32" t="n">
        <v>322</v>
      </c>
      <c r="R84" s="31" t="inlineStr">
        <is>
          <t>Volume Spike &amp; Near 52W High Breakout</t>
        </is>
      </c>
      <c r="S84" s="31" t="inlineStr">
        <is>
          <t>Nifty Infra</t>
        </is>
      </c>
      <c r="T84" s="32" t="n">
        <v>-0.44</v>
      </c>
      <c r="U84" s="32" t="n">
        <v>40.63</v>
      </c>
      <c r="V84" s="32" t="n">
        <v>41.25</v>
      </c>
      <c r="W84" s="32" t="n">
        <v>19.74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Less than 50%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IF(B85=0,"",RANK(B85,$B$2:$B$370,0))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SANSERA</t>
        </is>
      </c>
      <c r="D85" s="31" t="inlineStr">
        <is>
          <t>Sansera Engineering Ltd</t>
        </is>
      </c>
      <c r="E85" s="31" t="inlineStr">
        <is>
          <t>auto</t>
        </is>
      </c>
      <c r="F85" s="31" t="inlineStr">
        <is>
          <t>auto ancillaries</t>
        </is>
      </c>
      <c r="G85" s="31" t="inlineStr">
        <is>
          <t>midcap</t>
        </is>
      </c>
      <c r="H85" s="32" t="n">
        <v>19570.39</v>
      </c>
      <c r="I85" s="32" t="n">
        <v>3196</v>
      </c>
      <c r="J85" s="32" t="n">
        <v>1.79</v>
      </c>
      <c r="K85" s="32" t="n">
        <v>287348</v>
      </c>
      <c r="L85" s="31" t="n">
        <v>85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78.05</v>
      </c>
      <c r="P85" s="32" t="n">
        <v>45.79</v>
      </c>
      <c r="Q85" s="32" t="n">
        <v>2535.18</v>
      </c>
      <c r="R85" s="31" t="inlineStr">
        <is>
          <t>Near 52W High Breakout</t>
        </is>
      </c>
      <c r="S85" s="31" t="inlineStr">
        <is>
          <t>Nifty Auto</t>
        </is>
      </c>
      <c r="T85" s="32" t="n">
        <v>10.42</v>
      </c>
      <c r="U85" s="32" t="n">
        <v>131.52</v>
      </c>
      <c r="V85" s="32" t="n">
        <v>109.66</v>
      </c>
      <c r="W85" s="32" t="n">
        <v>29.68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Between 50% to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IF(B86=0,"",RANK(B86,$B$2:$B$370,0))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CARTRADE</t>
        </is>
      </c>
      <c r="D86" s="31" t="inlineStr">
        <is>
          <t>Cartrade Tech Ltd</t>
        </is>
      </c>
      <c r="E86" s="31" t="inlineStr">
        <is>
          <t>consumer discretionary</t>
        </is>
      </c>
      <c r="F86" s="31" t="inlineStr">
        <is>
          <t>miscellaneous</t>
        </is>
      </c>
      <c r="G86" s="31" t="inlineStr">
        <is>
          <t>midcap</t>
        </is>
      </c>
      <c r="H86" s="32" t="n">
        <v>12728.85</v>
      </c>
      <c r="I86" s="32" t="n">
        <v>2693</v>
      </c>
      <c r="J86" s="32" t="n">
        <v>1.29</v>
      </c>
      <c r="K86" s="32" t="n">
        <v>533708</v>
      </c>
      <c r="L86" s="31" t="n">
        <v>83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64.83</v>
      </c>
      <c r="P86" s="32" t="n">
        <v>24.35</v>
      </c>
      <c r="Q86" s="32" t="n">
        <v>1934.42</v>
      </c>
      <c r="R86" s="31" t="inlineStr">
        <is>
          <t>Earnings / Momentum Support</t>
        </is>
      </c>
      <c r="S86" s="31" t="inlineStr">
        <is>
          <t>Nifty 50</t>
        </is>
      </c>
      <c r="T86" s="32" t="n">
        <v>-6.27</v>
      </c>
      <c r="U86" s="32" t="n">
        <v>58.47</v>
      </c>
      <c r="V86" s="32" t="n">
        <v>69.06</v>
      </c>
      <c r="W86" s="32" t="n">
        <v>27.84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IF(B87=0,"",RANK(B87,$B$2:$B$370,0))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GPTINFRA</t>
        </is>
      </c>
      <c r="D87" s="31" t="inlineStr">
        <is>
          <t>Gpt Infraprojects Limited</t>
        </is>
      </c>
      <c r="E87" s="31" t="inlineStr">
        <is>
          <t>realty</t>
        </is>
      </c>
      <c r="F87" s="31" t="inlineStr">
        <is>
          <t>construction</t>
        </is>
      </c>
      <c r="G87" s="31" t="inlineStr">
        <is>
          <t>smallcap</t>
        </is>
      </c>
      <c r="H87" s="32" t="n">
        <v>1677.62</v>
      </c>
      <c r="I87" s="32" t="n">
        <v>133.38</v>
      </c>
      <c r="J87" s="32" t="n">
        <v>0.47</v>
      </c>
      <c r="K87" s="32" t="n">
        <v>274414</v>
      </c>
      <c r="L87" s="31" t="n">
        <v>26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68.56999999999999</v>
      </c>
      <c r="P87" s="32" t="n">
        <v>21.93</v>
      </c>
      <c r="Q87" s="32" t="n">
        <v>101.2</v>
      </c>
      <c r="R87" s="31" t="inlineStr">
        <is>
          <t>Near 52W High Breakout</t>
        </is>
      </c>
      <c r="S87" s="31" t="inlineStr">
        <is>
          <t>Nifty Realty</t>
        </is>
      </c>
      <c r="T87" s="32" t="n">
        <v>-14.65</v>
      </c>
      <c r="U87" s="32" t="n">
        <v>6.46</v>
      </c>
      <c r="V87" s="32" t="n">
        <v>24.73</v>
      </c>
      <c r="W87" s="32" t="n">
        <v>7.84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Less than 50%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IF(B88=0,"",RANK(B88,$B$2:$B$370,0))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PTL</t>
        </is>
      </c>
      <c r="D88" s="31" t="inlineStr">
        <is>
          <t>Ptl Enterprises Limited</t>
        </is>
      </c>
      <c r="E88" s="31" t="inlineStr">
        <is>
          <t>miscellaneous</t>
        </is>
      </c>
      <c r="F88" s="31" t="inlineStr">
        <is>
          <t>miscellaneous</t>
        </is>
      </c>
      <c r="G88" s="31" t="inlineStr">
        <is>
          <t>smallcap</t>
        </is>
      </c>
      <c r="H88" s="32" t="n">
        <v>559.16</v>
      </c>
      <c r="I88" s="32" t="n">
        <v>42.44</v>
      </c>
      <c r="J88" s="32" t="n">
        <v>0.47</v>
      </c>
      <c r="K88" s="32" t="n">
        <v>23277</v>
      </c>
      <c r="L88" s="31" t="n">
        <v>8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64.64</v>
      </c>
      <c r="P88" s="32" t="n">
        <v>12.31</v>
      </c>
      <c r="Q88" s="32" t="n">
        <v>36.77</v>
      </c>
      <c r="R88" s="31" t="inlineStr">
        <is>
          <t>Near 52W High Breakout</t>
        </is>
      </c>
      <c r="S88" s="31" t="inlineStr">
        <is>
          <t>Nifty 50</t>
        </is>
      </c>
      <c r="T88" s="32" t="n">
        <v>-6.27</v>
      </c>
      <c r="U88" s="32" t="n">
        <v>0.55</v>
      </c>
      <c r="V88" s="32" t="n">
        <v>7.27</v>
      </c>
      <c r="W88" s="32" t="n">
        <v>3.15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0 to 20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IF(B89=0,"",RANK(B89,$B$2:$B$370,0))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ORIENTHOT</t>
        </is>
      </c>
      <c r="D89" s="31" t="inlineStr">
        <is>
          <t>Oriental Hotels Limited</t>
        </is>
      </c>
      <c r="E89" s="31" t="inlineStr">
        <is>
          <t>services</t>
        </is>
      </c>
      <c r="F89" s="31" t="inlineStr">
        <is>
          <t>hotels</t>
        </is>
      </c>
      <c r="G89" s="31" t="inlineStr">
        <is>
          <t>smallcap</t>
        </is>
      </c>
      <c r="H89" s="32" t="n">
        <v>2520.57</v>
      </c>
      <c r="I89" s="32" t="n">
        <v>140.88</v>
      </c>
      <c r="J89" s="32" t="n">
        <v>-0.18</v>
      </c>
      <c r="K89" s="32" t="n">
        <v>357999</v>
      </c>
      <c r="L89" s="31" t="n">
        <v>52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69.77</v>
      </c>
      <c r="P89" s="32" t="n">
        <v>21.3</v>
      </c>
      <c r="Q89" s="32" t="n">
        <v>107.39</v>
      </c>
      <c r="R89" s="31" t="inlineStr">
        <is>
          <t>Earnings / Momentum Support</t>
        </is>
      </c>
      <c r="S89" s="31" t="inlineStr">
        <is>
          <t>Nifty 50</t>
        </is>
      </c>
      <c r="T89" s="32" t="n">
        <v>-6.27</v>
      </c>
      <c r="U89" s="32" t="n">
        <v>-2.5</v>
      </c>
      <c r="V89" s="32" t="n">
        <v>4.02</v>
      </c>
      <c r="W89" s="32" t="n">
        <v>14.14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IF(B90=0,"",RANK(B90,$B$2:$B$370,0))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THYROCARE</t>
        </is>
      </c>
      <c r="D90" s="31" t="inlineStr">
        <is>
          <t>Thyrocare Technologies Limited</t>
        </is>
      </c>
      <c r="E90" s="31" t="inlineStr">
        <is>
          <t>healthcare</t>
        </is>
      </c>
      <c r="F90" s="31" t="inlineStr">
        <is>
          <t>healthcare</t>
        </is>
      </c>
      <c r="G90" s="31" t="inlineStr">
        <is>
          <t>midcap</t>
        </is>
      </c>
      <c r="H90" s="32" t="n">
        <v>8346.629999999999</v>
      </c>
      <c r="I90" s="32" t="n">
        <v>549.3</v>
      </c>
      <c r="J90" s="32" t="n">
        <v>4.75</v>
      </c>
      <c r="K90" s="32" t="n">
        <v>464142</v>
      </c>
      <c r="L90" s="31" t="n">
        <v>78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69.11</v>
      </c>
      <c r="P90" s="32" t="n">
        <v>37.12</v>
      </c>
      <c r="Q90" s="32" t="n">
        <v>417.38</v>
      </c>
      <c r="R90" s="31" t="inlineStr">
        <is>
          <t>Near 52W High Breakout</t>
        </is>
      </c>
      <c r="S90" s="31" t="inlineStr">
        <is>
          <t>Nifty Pharma</t>
        </is>
      </c>
      <c r="T90" s="32" t="n">
        <v>13.14</v>
      </c>
      <c r="U90" s="32" t="n">
        <v>66.69</v>
      </c>
      <c r="V90" s="32" t="n">
        <v>47.33</v>
      </c>
      <c r="W90" s="32" t="n">
        <v>23.67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IF(B91=0,"",RANK(B91,$B$2:$B$370,0))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SHILPAMED</t>
        </is>
      </c>
      <c r="D91" s="31" t="inlineStr">
        <is>
          <t>Shilpa Medicare Limited</t>
        </is>
      </c>
      <c r="E91" s="31" t="inlineStr">
        <is>
          <t>healthcare</t>
        </is>
      </c>
      <c r="F91" s="31" t="inlineStr">
        <is>
          <t>pharmaceuticals - indian - formulations</t>
        </is>
      </c>
      <c r="G91" s="31" t="inlineStr">
        <is>
          <t>midcap</t>
        </is>
      </c>
      <c r="H91" s="32" t="n">
        <v>11218.57</v>
      </c>
      <c r="I91" s="32" t="n">
        <v>598.4</v>
      </c>
      <c r="J91" s="32" t="n">
        <v>4.32</v>
      </c>
      <c r="K91" s="32" t="n">
        <v>3553184</v>
      </c>
      <c r="L91" s="31" t="n">
        <v>70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83.64</v>
      </c>
      <c r="P91" s="32" t="n">
        <v>59.14</v>
      </c>
      <c r="Q91" s="32" t="n">
        <v>464.57</v>
      </c>
      <c r="R91" s="31" t="inlineStr">
        <is>
          <t>Near 52W High Breakout</t>
        </is>
      </c>
      <c r="S91" s="31" t="inlineStr">
        <is>
          <t>Nifty Pharma</t>
        </is>
      </c>
      <c r="T91" s="32" t="n">
        <v>13.14</v>
      </c>
      <c r="U91" s="32" t="n">
        <v>33.59</v>
      </c>
      <c r="V91" s="32" t="n">
        <v>18.07</v>
      </c>
      <c r="W91" s="32" t="n">
        <v>19.67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IF(B92=0,"",RANK(B92,$B$2:$B$370,0))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RATEGAIN</t>
        </is>
      </c>
      <c r="D92" s="31" t="inlineStr">
        <is>
          <t>Rategain Travel Technologies Ltd</t>
        </is>
      </c>
      <c r="E92" s="31" t="inlineStr">
        <is>
          <t>i.t</t>
        </is>
      </c>
      <c r="F92" s="31" t="inlineStr">
        <is>
          <t>computers - software - medium / small</t>
        </is>
      </c>
      <c r="G92" s="31" t="inlineStr">
        <is>
          <t>midcap</t>
        </is>
      </c>
      <c r="H92" s="32" t="n">
        <v>10214.22</v>
      </c>
      <c r="I92" s="32" t="n">
        <v>899.15</v>
      </c>
      <c r="J92" s="32" t="n">
        <v>4.02</v>
      </c>
      <c r="K92" s="32" t="n">
        <v>762540</v>
      </c>
      <c r="L92" s="31" t="n">
        <v>91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76.36</v>
      </c>
      <c r="P92" s="32" t="n">
        <v>28.81</v>
      </c>
      <c r="Q92" s="32" t="n">
        <v>703.7</v>
      </c>
      <c r="R92" s="31" t="inlineStr">
        <is>
          <t>Near 52W High Breakout</t>
        </is>
      </c>
      <c r="S92" s="31" t="inlineStr">
        <is>
          <t>Nifty IT</t>
        </is>
      </c>
      <c r="T92" s="32" t="n">
        <v>-32.85</v>
      </c>
      <c r="U92" s="32" t="n">
        <v>94.56</v>
      </c>
      <c r="V92" s="32" t="n">
        <v>189.75</v>
      </c>
      <c r="W92" s="32" t="n">
        <v>37.33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Between 50% to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IF(B93=0,"",RANK(B93,$B$2:$B$370,0))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IPCALAB</t>
        </is>
      </c>
      <c r="D93" s="31" t="inlineStr">
        <is>
          <t>Ipca Laboratories Limited</t>
        </is>
      </c>
      <c r="E93" s="31" t="inlineStr">
        <is>
          <t>healthcare</t>
        </is>
      </c>
      <c r="F93" s="31" t="inlineStr">
        <is>
          <t>pharmaceuticals - indian - bulk drugs &amp; formln</t>
        </is>
      </c>
      <c r="G93" s="31" t="inlineStr">
        <is>
          <t>largecap</t>
        </is>
      </c>
      <c r="H93" s="32" t="n">
        <v>41790.16</v>
      </c>
      <c r="I93" s="32" t="n">
        <v>1701</v>
      </c>
      <c r="J93" s="32" t="n">
        <v>3.27</v>
      </c>
      <c r="K93" s="32" t="n">
        <v>919075</v>
      </c>
      <c r="L93" s="31" t="n">
        <v>22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62.48</v>
      </c>
      <c r="P93" s="32" t="n">
        <v>29.7</v>
      </c>
      <c r="Q93" s="32" t="n">
        <v>1379.37</v>
      </c>
      <c r="R93" s="31" t="inlineStr">
        <is>
          <t>Near 52W High Breakout</t>
        </is>
      </c>
      <c r="S93" s="31" t="inlineStr">
        <is>
          <t>Nifty Pharma</t>
        </is>
      </c>
      <c r="T93" s="32" t="n">
        <v>13.14</v>
      </c>
      <c r="U93" s="32" t="n">
        <v>19.72</v>
      </c>
      <c r="V93" s="32" t="n">
        <v>5.81</v>
      </c>
      <c r="W93" s="32" t="n">
        <v>6.79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Between 50% to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IF(B94=0,"",RANK(B94,$B$2:$B$370,0))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ORCHPHARMA</t>
        </is>
      </c>
      <c r="D94" s="31" t="inlineStr">
        <is>
          <t>Orchid Pharma Ltd</t>
        </is>
      </c>
      <c r="E94" s="31" t="inlineStr">
        <is>
          <t>healthcare</t>
        </is>
      </c>
      <c r="F94" s="31" t="inlineStr">
        <is>
          <t>pharmaceuticals - indian - bulk drugs &amp; formln</t>
        </is>
      </c>
      <c r="G94" s="31" t="inlineStr">
        <is>
          <t>smallcap</t>
        </is>
      </c>
      <c r="H94" s="32" t="n">
        <v>4822.37</v>
      </c>
      <c r="I94" s="32" t="n">
        <v>972.8</v>
      </c>
      <c r="J94" s="32" t="n">
        <v>2.31</v>
      </c>
      <c r="K94" s="32" t="n">
        <v>71803</v>
      </c>
      <c r="L94" s="31" t="n">
        <v>84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72.98999999999999</v>
      </c>
      <c r="P94" s="32" t="n">
        <v>36.86</v>
      </c>
      <c r="Q94" s="32" t="n">
        <v>735.99</v>
      </c>
      <c r="R94" s="31" t="inlineStr">
        <is>
          <t>Near 52W High Breakout</t>
        </is>
      </c>
      <c r="S94" s="31" t="inlineStr">
        <is>
          <t>Nifty Pharma</t>
        </is>
      </c>
      <c r="T94" s="32" t="n">
        <v>13.14</v>
      </c>
      <c r="U94" s="32" t="n">
        <v>28.67</v>
      </c>
      <c r="V94" s="32" t="n">
        <v>13.72</v>
      </c>
      <c r="W94" s="32" t="n">
        <v>28.51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IF(B95=0,"",RANK(B95,$B$2:$B$370,0))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PANACEABIO</t>
        </is>
      </c>
      <c r="D95" s="31" t="inlineStr">
        <is>
          <t>Panacea Biotec Limited</t>
        </is>
      </c>
      <c r="E95" s="31" t="inlineStr">
        <is>
          <t>healthcare</t>
        </is>
      </c>
      <c r="F95" s="31" t="inlineStr">
        <is>
          <t>pharmaceuticals - indian - bulk drugs &amp; formln</t>
        </is>
      </c>
      <c r="G95" s="31" t="inlineStr">
        <is>
          <t>smallcap</t>
        </is>
      </c>
      <c r="H95" s="32" t="n">
        <v>3391.76</v>
      </c>
      <c r="I95" s="32" t="n">
        <v>565.85</v>
      </c>
      <c r="J95" s="32" t="n">
        <v>2.19</v>
      </c>
      <c r="K95" s="32" t="n">
        <v>598461</v>
      </c>
      <c r="L95" s="31" t="n">
        <v>81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77.94</v>
      </c>
      <c r="P95" s="32" t="n">
        <v>36.78</v>
      </c>
      <c r="Q95" s="32" t="n">
        <v>397.17</v>
      </c>
      <c r="R95" s="31" t="inlineStr">
        <is>
          <t>Near 52W High Breakout</t>
        </is>
      </c>
      <c r="S95" s="31" t="inlineStr">
        <is>
          <t>Nifty Pharma</t>
        </is>
      </c>
      <c r="T95" s="32" t="n">
        <v>13.14</v>
      </c>
      <c r="U95" s="32" t="n">
        <v>37.89</v>
      </c>
      <c r="V95" s="32" t="n">
        <v>21.88</v>
      </c>
      <c r="W95" s="32" t="n">
        <v>25.55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Less than 12%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IF(B96=0,"",RANK(B96,$B$2:$B$370,0))</f>
        <v/>
      </c>
      <c r="B96" s="32">
        <f>SUM(N96,Y96,AA96,AC96,AE96,AG96,AI96,AK96,AM96,AO96,AQ96,AS96,AU96,AW96,AY96,BA96,BC96,BE96,BG96,BI96,BK96,BM96,BO96,BQ96,BS96,BU96,BW96,BY96,CA96,CC96,CE96)</f>
        <v/>
      </c>
      <c r="C96" s="33" t="inlineStr">
        <is>
          <t>SUVEN</t>
        </is>
      </c>
      <c r="D96" s="33" t="inlineStr">
        <is>
          <t>Suven Life Sciences Limited</t>
        </is>
      </c>
      <c r="E96" s="31" t="inlineStr">
        <is>
          <t>healthcare</t>
        </is>
      </c>
      <c r="F96" s="31" t="inlineStr">
        <is>
          <t>miscellaneous</t>
        </is>
      </c>
      <c r="G96" s="31" t="inlineStr">
        <is>
          <t>midcap</t>
        </is>
      </c>
      <c r="H96" s="32" t="n">
        <v>7305.06</v>
      </c>
      <c r="I96" s="32" t="n">
        <v>280.65</v>
      </c>
      <c r="J96" s="32" t="n">
        <v>1.32</v>
      </c>
      <c r="K96" s="32" t="n">
        <v>920333</v>
      </c>
      <c r="L96" s="31" t="n">
        <v>76</v>
      </c>
      <c r="M96" s="31" t="inlineStr">
        <is>
          <t>Underperforming</t>
        </is>
      </c>
      <c r="N96" s="32">
        <f>IF(M96="Underperforming",-5,IF(L96&gt;=95,15,IF(L96&gt;=90,10,IF(L96&gt;=80,5,0))))</f>
        <v/>
      </c>
      <c r="O96" s="32" t="n">
        <v>68.25</v>
      </c>
      <c r="P96" s="32" t="n">
        <v>38.11</v>
      </c>
      <c r="Q96" s="32" t="n">
        <v>196.66</v>
      </c>
      <c r="R96" s="31" t="inlineStr">
        <is>
          <t>Near 52W High Breakout</t>
        </is>
      </c>
      <c r="S96" s="31" t="inlineStr">
        <is>
          <t>Nifty Pharma</t>
        </is>
      </c>
      <c r="T96" s="32" t="n">
        <v>13.14</v>
      </c>
      <c r="U96" s="32" t="n">
        <v>10.01</v>
      </c>
      <c r="V96" s="32" t="n">
        <v>-2.77</v>
      </c>
      <c r="W96" s="32" t="n">
        <v>22.39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Yes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IF(B97=0,"",RANK(B97,$B$2:$B$370,0))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ABDL</t>
        </is>
      </c>
      <c r="D97" s="31" t="inlineStr">
        <is>
          <t>Allied Blenders &amp; Distillers Ltd</t>
        </is>
      </c>
      <c r="E97" s="31" t="inlineStr">
        <is>
          <t>fmcg</t>
        </is>
      </c>
      <c r="F97" s="31" t="inlineStr">
        <is>
          <t>breweries &amp; distilleries</t>
        </is>
      </c>
      <c r="G97" s="31" t="inlineStr">
        <is>
          <t>midcap</t>
        </is>
      </c>
      <c r="H97" s="32" t="n">
        <v>18446.88</v>
      </c>
      <c r="I97" s="32" t="n">
        <v>667.9</v>
      </c>
      <c r="J97" s="32" t="n">
        <v>1.27</v>
      </c>
      <c r="K97" s="32" t="n">
        <v>486932</v>
      </c>
      <c r="L97" s="31" t="n">
        <v>80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64.70999999999999</v>
      </c>
      <c r="P97" s="32" t="n">
        <v>21.01</v>
      </c>
      <c r="Q97" s="32" t="n">
        <v>516.8</v>
      </c>
      <c r="R97" s="31" t="inlineStr">
        <is>
          <t>Near 52W High Breakout</t>
        </is>
      </c>
      <c r="S97" s="31" t="inlineStr">
        <is>
          <t>Nifty FMCG</t>
        </is>
      </c>
      <c r="T97" s="32" t="n">
        <v>-10.85</v>
      </c>
      <c r="U97" s="32" t="n">
        <v>55.62</v>
      </c>
      <c r="V97" s="32" t="n">
        <v>74.56999999999999</v>
      </c>
      <c r="W97" s="32" t="n">
        <v>24.72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B2C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Less than 12%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Between 50% to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IF(B98=0,"",RANK(B98,$B$2:$B$370,0))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LAURUSLABS</t>
        </is>
      </c>
      <c r="D98" s="31" t="inlineStr">
        <is>
          <t>Laurus Labs Limited</t>
        </is>
      </c>
      <c r="E98" s="31" t="inlineStr">
        <is>
          <t>healthcare</t>
        </is>
      </c>
      <c r="F98" s="31" t="inlineStr">
        <is>
          <t>pharmaceuticals - indian - bulk drugs &amp; formln</t>
        </is>
      </c>
      <c r="G98" s="31" t="inlineStr">
        <is>
          <t>largecap</t>
        </is>
      </c>
      <c r="H98" s="32" t="n">
        <v>80994.67999999999</v>
      </c>
      <c r="I98" s="32" t="n">
        <v>1517.4</v>
      </c>
      <c r="J98" s="32" t="n">
        <v>1.14</v>
      </c>
      <c r="K98" s="32" t="n">
        <v>3274623</v>
      </c>
      <c r="L98" s="31" t="n">
        <v>81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78.25</v>
      </c>
      <c r="P98" s="32" t="n">
        <v>44.49</v>
      </c>
      <c r="Q98" s="32" t="n">
        <v>1289.01</v>
      </c>
      <c r="R98" s="31" t="inlineStr">
        <is>
          <t>Near 52W High Breakout</t>
        </is>
      </c>
      <c r="S98" s="31" t="inlineStr">
        <is>
          <t>Nifty Pharma</t>
        </is>
      </c>
      <c r="T98" s="32" t="n">
        <v>13.14</v>
      </c>
      <c r="U98" s="32" t="n">
        <v>95.90000000000001</v>
      </c>
      <c r="V98" s="32" t="n">
        <v>73.14</v>
      </c>
      <c r="W98" s="32" t="n">
        <v>25.01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Yes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Above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Between 12 to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IF(B99=0,"",RANK(B99,$B$2:$B$370,0))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ZYDUSWELL</t>
        </is>
      </c>
      <c r="D99" s="31" t="inlineStr">
        <is>
          <t>Zydus Wellness Limited</t>
        </is>
      </c>
      <c r="E99" s="31" t="inlineStr">
        <is>
          <t>fmcg</t>
        </is>
      </c>
      <c r="F99" s="31" t="inlineStr">
        <is>
          <t>food - processing - indian</t>
        </is>
      </c>
      <c r="G99" s="31" t="inlineStr">
        <is>
          <t>midcap</t>
        </is>
      </c>
      <c r="H99" s="32" t="n">
        <v>18117.66</v>
      </c>
      <c r="I99" s="32" t="n">
        <v>575.4</v>
      </c>
      <c r="J99" s="32" t="n">
        <v>1.04</v>
      </c>
      <c r="K99" s="32" t="n">
        <v>2240118</v>
      </c>
      <c r="L99" s="31" t="n">
        <v>53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72.54000000000001</v>
      </c>
      <c r="P99" s="32" t="n">
        <v>46.27</v>
      </c>
      <c r="Q99" s="32" t="n">
        <v>454.05</v>
      </c>
      <c r="R99" s="31" t="inlineStr">
        <is>
          <t>Volume Spike &amp; Near 52W High Breakout</t>
        </is>
      </c>
      <c r="S99" s="31" t="inlineStr">
        <is>
          <t>Nifty FMCG</t>
        </is>
      </c>
      <c r="T99" s="32" t="n">
        <v>-10.85</v>
      </c>
      <c r="U99" s="32" t="n">
        <v>44.63</v>
      </c>
      <c r="V99" s="32" t="n">
        <v>62.24</v>
      </c>
      <c r="W99" s="32" t="n">
        <v>14.39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B2C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Annuity, Lower One Time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Less than 12%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Less than 50%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IF(B100=0,"",RANK(B100,$B$2:$B$370,0))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SENORES</t>
        </is>
      </c>
      <c r="D100" s="31" t="inlineStr">
        <is>
          <t>Senores Pharmaceuticals Ltd</t>
        </is>
      </c>
      <c r="E100" s="31" t="inlineStr">
        <is>
          <t>healthcare</t>
        </is>
      </c>
      <c r="F100" s="31" t="inlineStr">
        <is>
          <t>pharmaceuticals - indian - formulations</t>
        </is>
      </c>
      <c r="G100" s="31" t="inlineStr">
        <is>
          <t>midcap</t>
        </is>
      </c>
      <c r="H100" s="32" t="n">
        <v>6077.23</v>
      </c>
      <c r="I100" s="32" t="n">
        <v>1329.9</v>
      </c>
      <c r="J100" s="32" t="n">
        <v>0.78</v>
      </c>
      <c r="K100" s="32" t="n">
        <v>116513</v>
      </c>
      <c r="L100" s="31" t="n">
        <v>90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75.64</v>
      </c>
      <c r="P100" s="32" t="n">
        <v>51.29</v>
      </c>
      <c r="Q100" s="32" t="n">
        <v>1038.73</v>
      </c>
      <c r="R100" s="31" t="inlineStr">
        <is>
          <t>Near 52W High Breakout</t>
        </is>
      </c>
      <c r="S100" s="31" t="inlineStr">
        <is>
          <t>Nifty Pharma</t>
        </is>
      </c>
      <c r="T100" s="32" t="n">
        <v>13.14</v>
      </c>
      <c r="U100" s="32" t="n">
        <v>134.62</v>
      </c>
      <c r="V100" s="32" t="n">
        <v>107.37</v>
      </c>
      <c r="W100" s="32" t="n">
        <v>35.34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Yes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Annuity, Lower One Time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Less than 50%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IF(B101=0,"",RANK(B101,$B$2:$B$370,0))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LUPIN</t>
        </is>
      </c>
      <c r="D101" s="31" t="inlineStr">
        <is>
          <t>Lupin Limited</t>
        </is>
      </c>
      <c r="E101" s="31" t="inlineStr">
        <is>
          <t>healthcare</t>
        </is>
      </c>
      <c r="F101" s="31" t="inlineStr">
        <is>
          <t>pharmaceuticals - indian - bulk drugs &amp; formln</t>
        </is>
      </c>
      <c r="G101" s="31" t="inlineStr">
        <is>
          <t>largecap</t>
        </is>
      </c>
      <c r="H101" s="32" t="n">
        <v>110148.16</v>
      </c>
      <c r="I101" s="32" t="n">
        <v>2419</v>
      </c>
      <c r="J101" s="32" t="n">
        <v>0.4</v>
      </c>
      <c r="K101" s="32" t="n">
        <v>1412728</v>
      </c>
      <c r="L101" s="31" t="n">
        <v>17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66.7</v>
      </c>
      <c r="P101" s="32" t="n">
        <v>10.95</v>
      </c>
      <c r="Q101" s="32" t="n">
        <v>2127.24</v>
      </c>
      <c r="R101" s="31" t="inlineStr">
        <is>
          <t>Near 52W High Breakout</t>
        </is>
      </c>
      <c r="S101" s="31" t="inlineStr">
        <is>
          <t>Nifty Pharma</t>
        </is>
      </c>
      <c r="T101" s="32" t="n">
        <v>13.14</v>
      </c>
      <c r="U101" s="32" t="n">
        <v>22.88</v>
      </c>
      <c r="V101" s="32" t="n">
        <v>8.6</v>
      </c>
      <c r="W101" s="32" t="n">
        <v>5.53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Yes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Annuity, Lower One Time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0 to 20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IF(B102=0,"",RANK(B102,$B$2:$B$370,0))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PIXTRANS</t>
        </is>
      </c>
      <c r="D102" s="31" t="inlineStr">
        <is>
          <t>Pix Transmission Ltd</t>
        </is>
      </c>
      <c r="E102" s="31" t="inlineStr">
        <is>
          <t>fmcg</t>
        </is>
      </c>
      <c r="F102" s="31" t="inlineStr">
        <is>
          <t>miscellaneous</t>
        </is>
      </c>
      <c r="G102" s="31" t="inlineStr">
        <is>
          <t>smallcap</t>
        </is>
      </c>
      <c r="H102" s="32" t="n">
        <v>2547.37</v>
      </c>
      <c r="I102" s="32" t="n">
        <v>1835.6</v>
      </c>
      <c r="J102" s="32" t="n">
        <v>-1.82</v>
      </c>
      <c r="K102" s="32" t="n">
        <v>124311</v>
      </c>
      <c r="L102" s="31" t="n">
        <v>29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72.66</v>
      </c>
      <c r="P102" s="32" t="n">
        <v>31.87</v>
      </c>
      <c r="Q102" s="32" t="n">
        <v>1489.51</v>
      </c>
      <c r="R102" s="31" t="inlineStr">
        <is>
          <t>Volume Spike &amp; Near 52W High Breakout</t>
        </is>
      </c>
      <c r="S102" s="31" t="inlineStr">
        <is>
          <t>Nifty FMCG</t>
        </is>
      </c>
      <c r="T102" s="32" t="n">
        <v>-10.85</v>
      </c>
      <c r="U102" s="32" t="n">
        <v>15.09</v>
      </c>
      <c r="V102" s="32" t="n">
        <v>29.11</v>
      </c>
      <c r="W102" s="32" t="n">
        <v>8.65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B2C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Annuity, Lower One Time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Less than 12%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IF(B103=0,"",RANK(B103,$B$2:$B$370,0))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DIVGIITTS</t>
        </is>
      </c>
      <c r="D103" s="31" t="inlineStr">
        <is>
          <t>Divgi Torqtransfer Systems Ltd</t>
        </is>
      </c>
      <c r="E103" s="31" t="inlineStr">
        <is>
          <t>auto</t>
        </is>
      </c>
      <c r="F103" s="31" t="inlineStr">
        <is>
          <t>auto ancillaries</t>
        </is>
      </c>
      <c r="G103" s="31" t="inlineStr">
        <is>
          <t>smallcap</t>
        </is>
      </c>
      <c r="H103" s="32" t="n">
        <v>2670.96</v>
      </c>
      <c r="I103" s="32" t="n">
        <v>987.55</v>
      </c>
      <c r="J103" s="32" t="n">
        <v>13.08</v>
      </c>
      <c r="K103" s="32" t="n">
        <v>6111203</v>
      </c>
      <c r="L103" s="31" t="n">
        <v>77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71.39</v>
      </c>
      <c r="P103" s="32" t="n">
        <v>32.74</v>
      </c>
      <c r="Q103" s="32" t="n">
        <v>741.0700000000001</v>
      </c>
      <c r="R103" s="31" t="inlineStr">
        <is>
          <t>Volume Spike &amp; Near 52W High Breakout</t>
        </is>
      </c>
      <c r="S103" s="31" t="inlineStr">
        <is>
          <t>Nifty Auto</t>
        </is>
      </c>
      <c r="T103" s="32" t="n">
        <v>10.42</v>
      </c>
      <c r="U103" s="32" t="n">
        <v>57.96</v>
      </c>
      <c r="V103" s="32" t="n">
        <v>43.05</v>
      </c>
      <c r="W103" s="32" t="n">
        <v>22.76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Between 50% to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IF(B104=0,"",RANK(B104,$B$2:$B$370,0))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AYMSYNTEX</t>
        </is>
      </c>
      <c r="D104" s="31" t="inlineStr">
        <is>
          <t>Aym Syntex Limited</t>
        </is>
      </c>
      <c r="E104" s="31" t="inlineStr">
        <is>
          <t>textiles</t>
        </is>
      </c>
      <c r="F104" s="31" t="inlineStr">
        <is>
          <t>textiles - processing</t>
        </is>
      </c>
      <c r="G104" s="31" t="inlineStr">
        <is>
          <t>smallcap</t>
        </is>
      </c>
      <c r="H104" s="32" t="n">
        <v>1271.63</v>
      </c>
      <c r="I104" s="32" t="n">
        <v>237.7</v>
      </c>
      <c r="J104" s="32" t="n">
        <v>9.56</v>
      </c>
      <c r="K104" s="32" t="n">
        <v>68026</v>
      </c>
      <c r="L104" s="31" t="n">
        <v>22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61.82</v>
      </c>
      <c r="P104" s="32" t="n">
        <v>20.37</v>
      </c>
      <c r="Q104" s="32" t="n">
        <v>166.72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-6.27</v>
      </c>
      <c r="U104" s="32" t="n">
        <v>-0.6899999999999999</v>
      </c>
      <c r="V104" s="32" t="n">
        <v>5.94</v>
      </c>
      <c r="W104" s="32" t="n">
        <v>6.79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IF(B105=0,"",RANK(B105,$B$2:$B$370,0))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PARAS</t>
        </is>
      </c>
      <c r="D105" s="31" t="inlineStr">
        <is>
          <t>Paras Defence and Space Technologies Ltd</t>
        </is>
      </c>
      <c r="E105" s="31" t="inlineStr">
        <is>
          <t>aerospace &amp; defence</t>
        </is>
      </c>
      <c r="F105" s="31" t="inlineStr">
        <is>
          <t>engineering</t>
        </is>
      </c>
      <c r="G105" s="31" t="inlineStr">
        <is>
          <t>midcap</t>
        </is>
      </c>
      <c r="H105" s="32" t="n">
        <v>9532.68</v>
      </c>
      <c r="I105" s="32" t="n">
        <v>1289.05</v>
      </c>
      <c r="J105" s="32" t="n">
        <v>8.970000000000001</v>
      </c>
      <c r="K105" s="32" t="n">
        <v>6389365</v>
      </c>
      <c r="L105" s="31" t="n">
        <v>89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70.13</v>
      </c>
      <c r="P105" s="32" t="n">
        <v>48.87</v>
      </c>
      <c r="Q105" s="32" t="n">
        <v>1042.44</v>
      </c>
      <c r="R105" s="31" t="inlineStr">
        <is>
          <t>Earnings / Momentum Support</t>
        </is>
      </c>
      <c r="S105" s="31" t="inlineStr">
        <is>
          <t>Nifty 50</t>
        </is>
      </c>
      <c r="T105" s="32" t="n">
        <v>-6.27</v>
      </c>
      <c r="U105" s="32" t="n">
        <v>38.18</v>
      </c>
      <c r="V105" s="32" t="n">
        <v>47.42</v>
      </c>
      <c r="W105" s="32" t="n">
        <v>34.12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Between 1.5 to 2</t>
        </is>
      </c>
      <c r="BU105" s="31">
        <f>IF(BT105="Above 2",0,IF(BT105="Between 1.5 to 2",5,IF(BT105="Less than 1.5",10,0)))</f>
        <v/>
      </c>
      <c r="BV105" s="31" t="inlineStr">
        <is>
          <t>Less than 50%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IF(B106=0,"",RANK(B106,$B$2:$B$370,0))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3" t="inlineStr">
        <is>
          <t>QUESS</t>
        </is>
      </c>
      <c r="D106" s="33" t="inlineStr">
        <is>
          <t>Quess Corp Limited</t>
        </is>
      </c>
      <c r="E106" s="31" t="inlineStr">
        <is>
          <t>miscellaneous</t>
        </is>
      </c>
      <c r="F106" s="31" t="inlineStr">
        <is>
          <t>diversified - large</t>
        </is>
      </c>
      <c r="G106" s="31" t="inlineStr">
        <is>
          <t>smallcap</t>
        </is>
      </c>
      <c r="H106" s="32" t="n">
        <v>3702.52</v>
      </c>
      <c r="I106" s="32" t="n">
        <v>267.61</v>
      </c>
      <c r="J106" s="32" t="n">
        <v>7.93</v>
      </c>
      <c r="K106" s="32" t="n">
        <v>3937885</v>
      </c>
      <c r="L106" s="31" t="n">
        <v>42</v>
      </c>
      <c r="M106" s="31" t="inlineStr">
        <is>
          <t>Underperforming</t>
        </is>
      </c>
      <c r="N106" s="32">
        <f>IF(M106="Underperforming",-5,IF(L106&gt;=95,15,IF(L106&gt;=90,10,IF(L106&gt;=80,5,0))))</f>
        <v/>
      </c>
      <c r="O106" s="32" t="n">
        <v>69.3</v>
      </c>
      <c r="P106" s="32" t="n">
        <v>29.39</v>
      </c>
      <c r="Q106" s="32" t="n">
        <v>210.52</v>
      </c>
      <c r="R106" s="31" t="inlineStr">
        <is>
          <t>Earnings / Momentum Support</t>
        </is>
      </c>
      <c r="S106" s="31" t="inlineStr">
        <is>
          <t>Nifty 50</t>
        </is>
      </c>
      <c r="T106" s="32" t="n">
        <v>-6.27</v>
      </c>
      <c r="U106" s="32" t="n">
        <v>-8.49</v>
      </c>
      <c r="V106" s="32" t="n">
        <v>-2.37</v>
      </c>
      <c r="W106" s="32" t="n">
        <v>11.35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IF(B107=0,"",RANK(B107,$B$2:$B$370,0))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SANDHAR</t>
        </is>
      </c>
      <c r="D107" s="31" t="inlineStr">
        <is>
          <t>Sandhar Technologies Limited</t>
        </is>
      </c>
      <c r="E107" s="31" t="inlineStr">
        <is>
          <t>auto</t>
        </is>
      </c>
      <c r="F107" s="31" t="inlineStr">
        <is>
          <t>auto ancillaries</t>
        </is>
      </c>
      <c r="G107" s="31" t="inlineStr">
        <is>
          <t>smallcap</t>
        </is>
      </c>
      <c r="H107" s="32" t="n">
        <v>4057.15</v>
      </c>
      <c r="I107" s="32" t="n">
        <v>716.9</v>
      </c>
      <c r="J107" s="32" t="n">
        <v>6.36</v>
      </c>
      <c r="K107" s="32" t="n">
        <v>970733</v>
      </c>
      <c r="L107" s="31" t="n">
        <v>73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69.55</v>
      </c>
      <c r="P107" s="32" t="n">
        <v>29.14</v>
      </c>
      <c r="Q107" s="32" t="n">
        <v>534.8099999999999</v>
      </c>
      <c r="R107" s="31" t="inlineStr">
        <is>
          <t>Near 52W High Breakout</t>
        </is>
      </c>
      <c r="S107" s="31" t="inlineStr">
        <is>
          <t>Nifty Auto</t>
        </is>
      </c>
      <c r="T107" s="32" t="n">
        <v>10.42</v>
      </c>
      <c r="U107" s="32" t="n">
        <v>36.24</v>
      </c>
      <c r="V107" s="32" t="n">
        <v>23.38</v>
      </c>
      <c r="W107" s="32" t="n">
        <v>20.89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Less than 50%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Between 0.7 to 1.2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IF(B108=0,"",RANK(B108,$B$2:$B$370,0))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SHRIPISTON</t>
        </is>
      </c>
      <c r="D108" s="31" t="inlineStr">
        <is>
          <t>Shriram Pistons &amp; Rings Limited</t>
        </is>
      </c>
      <c r="E108" s="31" t="inlineStr">
        <is>
          <t>auto</t>
        </is>
      </c>
      <c r="F108" s="31" t="inlineStr">
        <is>
          <t>auto ancillaries</t>
        </is>
      </c>
      <c r="G108" s="31" t="inlineStr">
        <is>
          <t>midcap</t>
        </is>
      </c>
      <c r="H108" s="32" t="n">
        <v>17659.13</v>
      </c>
      <c r="I108" s="32" t="n">
        <v>4180</v>
      </c>
      <c r="J108" s="32" t="n">
        <v>4.27</v>
      </c>
      <c r="K108" s="32" t="n">
        <v>152799</v>
      </c>
      <c r="L108" s="31" t="n">
        <v>71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70.18000000000001</v>
      </c>
      <c r="P108" s="32" t="n">
        <v>33.03</v>
      </c>
      <c r="Q108" s="32" t="n">
        <v>3339.1</v>
      </c>
      <c r="R108" s="31" t="inlineStr">
        <is>
          <t>Near 52W High Breakout</t>
        </is>
      </c>
      <c r="S108" s="31" t="inlineStr">
        <is>
          <t>Nifty Auto</t>
        </is>
      </c>
      <c r="T108" s="32" t="n">
        <v>10.42</v>
      </c>
      <c r="U108" s="32" t="n">
        <v>63.42</v>
      </c>
      <c r="V108" s="32" t="n">
        <v>47.99</v>
      </c>
      <c r="W108" s="32" t="n">
        <v>20.41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Less than 12%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IF(B109=0,"",RANK(B109,$B$2:$B$370,0))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NRBBEARING</t>
        </is>
      </c>
      <c r="D109" s="31" t="inlineStr">
        <is>
          <t>Nrb Bearing Limited</t>
        </is>
      </c>
      <c r="E109" s="31" t="inlineStr">
        <is>
          <t>industrials</t>
        </is>
      </c>
      <c r="F109" s="31" t="inlineStr">
        <is>
          <t>bearings</t>
        </is>
      </c>
      <c r="G109" s="31" t="inlineStr">
        <is>
          <t>smallcap</t>
        </is>
      </c>
      <c r="H109" s="32" t="n">
        <v>4165.73</v>
      </c>
      <c r="I109" s="32" t="n">
        <v>444</v>
      </c>
      <c r="J109" s="32" t="n">
        <v>3.3</v>
      </c>
      <c r="K109" s="32" t="n">
        <v>3608706</v>
      </c>
      <c r="L109" s="31" t="n">
        <v>88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80.83</v>
      </c>
      <c r="P109" s="32" t="n">
        <v>38.87</v>
      </c>
      <c r="Q109" s="32" t="n">
        <v>343.62</v>
      </c>
      <c r="R109" s="31" t="inlineStr">
        <is>
          <t>Near 52W High Breakout</t>
        </is>
      </c>
      <c r="S109" s="31" t="inlineStr">
        <is>
          <t>Nifty 50</t>
        </is>
      </c>
      <c r="T109" s="32" t="n">
        <v>-6.27</v>
      </c>
      <c r="U109" s="32" t="n">
        <v>60.41</v>
      </c>
      <c r="V109" s="32" t="n">
        <v>71.13</v>
      </c>
      <c r="W109" s="32" t="n">
        <v>33.03</v>
      </c>
      <c r="X109" s="31" t="inlineStr">
        <is>
          <t>Cyclical in an Upturn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Above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IF(B110=0,"",RANK(B110,$B$2:$B$370,0))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ICIL</t>
        </is>
      </c>
      <c r="D110" s="31" t="inlineStr">
        <is>
          <t>Indo Count Industries Limited</t>
        </is>
      </c>
      <c r="E110" s="31" t="inlineStr">
        <is>
          <t>textiles</t>
        </is>
      </c>
      <c r="F110" s="31" t="inlineStr">
        <is>
          <t>textiles - cotton/blended</t>
        </is>
      </c>
      <c r="G110" s="31" t="inlineStr">
        <is>
          <t>midcap</t>
        </is>
      </c>
      <c r="H110" s="32" t="n">
        <v>8415.33</v>
      </c>
      <c r="I110" s="32" t="n">
        <v>438.25</v>
      </c>
      <c r="J110" s="32" t="n">
        <v>3.14</v>
      </c>
      <c r="K110" s="32" t="n">
        <v>1315847</v>
      </c>
      <c r="L110" s="31" t="n">
        <v>83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75.95</v>
      </c>
      <c r="P110" s="32" t="n">
        <v>37.55</v>
      </c>
      <c r="Q110" s="32" t="n">
        <v>327.5</v>
      </c>
      <c r="R110" s="31" t="inlineStr">
        <is>
          <t>Near 52W High Breakout</t>
        </is>
      </c>
      <c r="S110" s="31" t="inlineStr">
        <is>
          <t>Nifty 50</t>
        </is>
      </c>
      <c r="T110" s="32" t="n">
        <v>-6.27</v>
      </c>
      <c r="U110" s="32" t="n">
        <v>52.27</v>
      </c>
      <c r="V110" s="32" t="n">
        <v>62.45</v>
      </c>
      <c r="W110" s="32" t="n">
        <v>28.01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Above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IF(B111=0,"",RANK(B111,$B$2:$B$370,0))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UNIVCABLES</t>
        </is>
      </c>
      <c r="D111" s="31" t="inlineStr">
        <is>
          <t>Universal Cables Limited</t>
        </is>
      </c>
      <c r="E111" s="31" t="inlineStr">
        <is>
          <t>industrials</t>
        </is>
      </c>
      <c r="F111" s="31" t="inlineStr">
        <is>
          <t>cables - power</t>
        </is>
      </c>
      <c r="G111" s="31" t="inlineStr">
        <is>
          <t>smallcap</t>
        </is>
      </c>
      <c r="H111" s="32" t="n">
        <v>4245.33</v>
      </c>
      <c r="I111" s="32" t="n">
        <v>1253.6</v>
      </c>
      <c r="J111" s="32" t="n">
        <v>2.45</v>
      </c>
      <c r="K111" s="32" t="n">
        <v>134381</v>
      </c>
      <c r="L111" s="31" t="n">
        <v>89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66.81</v>
      </c>
      <c r="P111" s="32" t="n">
        <v>47.8</v>
      </c>
      <c r="Q111" s="32" t="n">
        <v>869.48</v>
      </c>
      <c r="R111" s="31" t="inlineStr">
        <is>
          <t>Near 52W High Breakout</t>
        </is>
      </c>
      <c r="S111" s="31" t="inlineStr">
        <is>
          <t>Nifty Energy</t>
        </is>
      </c>
      <c r="T111" s="32" t="n">
        <v>8.85</v>
      </c>
      <c r="U111" s="32" t="n">
        <v>60.23</v>
      </c>
      <c r="V111" s="32" t="n">
        <v>47.2</v>
      </c>
      <c r="W111" s="32" t="n">
        <v>33.79</v>
      </c>
      <c r="X111" s="31" t="inlineStr">
        <is>
          <t>Cyclical in an Upturn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Less than 12%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Less than 50%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IF(B112=0,"",RANK(B112,$B$2:$B$370,0))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ASHIANA</t>
        </is>
      </c>
      <c r="D112" s="31" t="inlineStr">
        <is>
          <t>Ashiana Housing Limited</t>
        </is>
      </c>
      <c r="E112" s="31" t="inlineStr">
        <is>
          <t>realty</t>
        </is>
      </c>
      <c r="F112" s="31" t="inlineStr">
        <is>
          <t>construction</t>
        </is>
      </c>
      <c r="G112" s="31" t="inlineStr">
        <is>
          <t>smallcap</t>
        </is>
      </c>
      <c r="H112" s="32" t="n">
        <v>3886.29</v>
      </c>
      <c r="I112" s="32" t="n">
        <v>395.95</v>
      </c>
      <c r="J112" s="32" t="n">
        <v>2.42</v>
      </c>
      <c r="K112" s="32" t="n">
        <v>127352</v>
      </c>
      <c r="L112" s="31" t="n">
        <v>35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67.67</v>
      </c>
      <c r="P112" s="32" t="n">
        <v>34.99</v>
      </c>
      <c r="Q112" s="32" t="n">
        <v>307.68</v>
      </c>
      <c r="R112" s="31" t="inlineStr">
        <is>
          <t>Near 52W High Breakout</t>
        </is>
      </c>
      <c r="S112" s="31" t="inlineStr">
        <is>
          <t>Nifty Realty</t>
        </is>
      </c>
      <c r="T112" s="32" t="n">
        <v>-14.65</v>
      </c>
      <c r="U112" s="32" t="n">
        <v>17.17</v>
      </c>
      <c r="V112" s="32" t="n">
        <v>37.28</v>
      </c>
      <c r="W112" s="32" t="n">
        <v>9.99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Less than 12%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IF(B113=0,"",RANK(B113,$B$2:$B$370,0))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VERANDA</t>
        </is>
      </c>
      <c r="D113" s="31" t="inlineStr">
        <is>
          <t>Veranda Learning Solutions Ltd</t>
        </is>
      </c>
      <c r="E113" s="31" t="inlineStr">
        <is>
          <t>services</t>
        </is>
      </c>
      <c r="F113" s="31" t="inlineStr">
        <is>
          <t>miscellaneous</t>
        </is>
      </c>
      <c r="G113" s="31" t="inlineStr">
        <is>
          <t>smallcap</t>
        </is>
      </c>
      <c r="H113" s="32" t="n">
        <v>2246.23</v>
      </c>
      <c r="I113" s="32" t="n">
        <v>238.98</v>
      </c>
      <c r="J113" s="32" t="n">
        <v>2.32</v>
      </c>
      <c r="K113" s="32" t="n">
        <v>136146</v>
      </c>
      <c r="L113" s="31" t="n">
        <v>69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61.68</v>
      </c>
      <c r="P113" s="32" t="n">
        <v>28.35</v>
      </c>
      <c r="Q113" s="32" t="n">
        <v>177.7</v>
      </c>
      <c r="R113" s="31" t="inlineStr">
        <is>
          <t>Earnings / Momentum Support</t>
        </is>
      </c>
      <c r="S113" s="31" t="inlineStr">
        <is>
          <t>Nifty 50</t>
        </is>
      </c>
      <c r="T113" s="32" t="n">
        <v>-6.27</v>
      </c>
      <c r="U113" s="32" t="n">
        <v>5.28</v>
      </c>
      <c r="V113" s="32" t="n">
        <v>12.32</v>
      </c>
      <c r="W113" s="32" t="n">
        <v>19.24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Between 50% to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IF(B114=0,"",RANK(B114,$B$2:$B$370,0))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SANGAMIND</t>
        </is>
      </c>
      <c r="D114" s="31" t="inlineStr">
        <is>
          <t>Sangam (india) Limited</t>
        </is>
      </c>
      <c r="E114" s="31" t="inlineStr">
        <is>
          <t>textiles</t>
        </is>
      </c>
      <c r="F114" s="31" t="inlineStr">
        <is>
          <t>textiles - spinning - synthetic / blended</t>
        </is>
      </c>
      <c r="G114" s="31" t="inlineStr">
        <is>
          <t>smallcap</t>
        </is>
      </c>
      <c r="H114" s="32" t="n">
        <v>2674.88</v>
      </c>
      <c r="I114" s="32" t="n">
        <v>543</v>
      </c>
      <c r="J114" s="32" t="n">
        <v>2</v>
      </c>
      <c r="K114" s="32" t="n">
        <v>22938</v>
      </c>
      <c r="L114" s="31" t="n">
        <v>38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67.04000000000001</v>
      </c>
      <c r="P114" s="32" t="n">
        <v>37.54</v>
      </c>
      <c r="Q114" s="32" t="n">
        <v>425.09</v>
      </c>
      <c r="R114" s="31" t="inlineStr">
        <is>
          <t>Near 52W High Breakout</t>
        </is>
      </c>
      <c r="S114" s="31" t="inlineStr">
        <is>
          <t>Nifty 50</t>
        </is>
      </c>
      <c r="T114" s="32" t="n">
        <v>-6.27</v>
      </c>
      <c r="U114" s="32" t="n">
        <v>20.98</v>
      </c>
      <c r="V114" s="32" t="n">
        <v>29.07</v>
      </c>
      <c r="W114" s="32" t="n">
        <v>10.54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Between 0.7 to 1.2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IF(B115=0,"",RANK(B115,$B$2:$B$370,0))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PHOENIXLTD</t>
        </is>
      </c>
      <c r="D115" s="31" t="inlineStr">
        <is>
          <t>The Phoenix Mills Limited</t>
        </is>
      </c>
      <c r="E115" s="31" t="inlineStr">
        <is>
          <t>realty</t>
        </is>
      </c>
      <c r="F115" s="31" t="inlineStr">
        <is>
          <t>construction</t>
        </is>
      </c>
      <c r="G115" s="31" t="inlineStr">
        <is>
          <t>largecap</t>
        </is>
      </c>
      <c r="H115" s="32" t="n">
        <v>68379.74000000001</v>
      </c>
      <c r="I115" s="32" t="n">
        <v>1948.6</v>
      </c>
      <c r="J115" s="32" t="n">
        <v>1.91</v>
      </c>
      <c r="K115" s="32" t="n">
        <v>1027050</v>
      </c>
      <c r="L115" s="31" t="n">
        <v>45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64.95</v>
      </c>
      <c r="P115" s="32" t="n">
        <v>10.97</v>
      </c>
      <c r="Q115" s="32" t="n">
        <v>1625.26</v>
      </c>
      <c r="R115" s="31" t="inlineStr">
        <is>
          <t>Near 52W High Breakout</t>
        </is>
      </c>
      <c r="S115" s="31" t="inlineStr">
        <is>
          <t>Nifty Realty</t>
        </is>
      </c>
      <c r="T115" s="32" t="n">
        <v>-14.65</v>
      </c>
      <c r="U115" s="32" t="n">
        <v>26.55</v>
      </c>
      <c r="V115" s="32" t="n">
        <v>48.28</v>
      </c>
      <c r="W115" s="32" t="n">
        <v>11.79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0 to 20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Less than 1.5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IF(B116=0,"",RANK(B116,$B$2:$B$370,0))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MOLDTKPAC</t>
        </is>
      </c>
      <c r="D116" s="31" t="inlineStr">
        <is>
          <t>Mold-tek Packaging Limited</t>
        </is>
      </c>
      <c r="E116" s="31" t="inlineStr">
        <is>
          <t>industrials</t>
        </is>
      </c>
      <c r="F116" s="31" t="inlineStr">
        <is>
          <t>packaging</t>
        </is>
      </c>
      <c r="G116" s="31" t="inlineStr">
        <is>
          <t>smallcap</t>
        </is>
      </c>
      <c r="H116" s="32" t="n">
        <v>2351.78</v>
      </c>
      <c r="I116" s="32" t="n">
        <v>720</v>
      </c>
      <c r="J116" s="32" t="n">
        <v>1.73</v>
      </c>
      <c r="K116" s="32" t="n">
        <v>248975</v>
      </c>
      <c r="L116" s="31" t="n">
        <v>35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62.86</v>
      </c>
      <c r="P116" s="32" t="n">
        <v>27.59</v>
      </c>
      <c r="Q116" s="32" t="n">
        <v>561.47</v>
      </c>
      <c r="R116" s="31" t="inlineStr">
        <is>
          <t>Earnings / Momentum Support</t>
        </is>
      </c>
      <c r="S116" s="31" t="inlineStr">
        <is>
          <t>Nifty 50</t>
        </is>
      </c>
      <c r="T116" s="32" t="n">
        <v>-6.27</v>
      </c>
      <c r="U116" s="32" t="n">
        <v>2.71</v>
      </c>
      <c r="V116" s="32" t="n">
        <v>9.57</v>
      </c>
      <c r="W116" s="32" t="n">
        <v>9.970000000000001</v>
      </c>
      <c r="X116" s="31" t="inlineStr">
        <is>
          <t>Cyclical in an Upturn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IF(B117=0,"",RANK(B117,$B$2:$B$370,0))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3" t="inlineStr">
        <is>
          <t>ROLEXRINGS</t>
        </is>
      </c>
      <c r="D117" s="33" t="inlineStr">
        <is>
          <t>Rolex Rings Ltd</t>
        </is>
      </c>
      <c r="E117" s="31" t="inlineStr">
        <is>
          <t>auto</t>
        </is>
      </c>
      <c r="F117" s="31" t="inlineStr">
        <is>
          <t>auto ancillaries</t>
        </is>
      </c>
      <c r="G117" s="31" t="inlineStr">
        <is>
          <t>smallcap</t>
        </is>
      </c>
      <c r="H117" s="32" t="n">
        <v>4022.63</v>
      </c>
      <c r="I117" s="32" t="n">
        <v>149.58</v>
      </c>
      <c r="J117" s="32" t="n">
        <v>1.27</v>
      </c>
      <c r="K117" s="32" t="n">
        <v>1053483</v>
      </c>
      <c r="L117" s="31" t="n">
        <v>17</v>
      </c>
      <c r="M117" s="31" t="inlineStr">
        <is>
          <t>Underperforming</t>
        </is>
      </c>
      <c r="N117" s="32">
        <f>IF(M117="Underperforming",-5,IF(L117&gt;=95,15,IF(L117&gt;=90,10,IF(L117&gt;=80,5,0))))</f>
        <v/>
      </c>
      <c r="O117" s="32" t="n">
        <v>58.95</v>
      </c>
      <c r="P117" s="32" t="n">
        <v>31.75</v>
      </c>
      <c r="Q117" s="32" t="n">
        <v>122.93</v>
      </c>
      <c r="R117" s="31" t="inlineStr">
        <is>
          <t>Near 52W High Breakout</t>
        </is>
      </c>
      <c r="S117" s="31" t="inlineStr">
        <is>
          <t>Nifty Auto</t>
        </is>
      </c>
      <c r="T117" s="32" t="n">
        <v>10.42</v>
      </c>
      <c r="U117" s="32" t="n">
        <v>-3.12</v>
      </c>
      <c r="V117" s="32" t="n">
        <v>-12.27</v>
      </c>
      <c r="W117" s="32" t="n">
        <v>5.73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IF(B118=0,"",RANK(B118,$B$2:$B$370,0))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GRWRHITECH</t>
        </is>
      </c>
      <c r="D118" s="31" t="inlineStr">
        <is>
          <t>Garware Hi Tech Films Ltd</t>
        </is>
      </c>
      <c r="E118" s="31" t="inlineStr">
        <is>
          <t>industrials</t>
        </is>
      </c>
      <c r="F118" s="31" t="inlineStr">
        <is>
          <t>packaging</t>
        </is>
      </c>
      <c r="G118" s="31" t="inlineStr">
        <is>
          <t>midcap</t>
        </is>
      </c>
      <c r="H118" s="32" t="n">
        <v>15383.33</v>
      </c>
      <c r="I118" s="32" t="n">
        <v>6677.5</v>
      </c>
      <c r="J118" s="32" t="n">
        <v>0.85</v>
      </c>
      <c r="K118" s="32" t="n">
        <v>78114</v>
      </c>
      <c r="L118" s="31" t="n">
        <v>87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75.81999999999999</v>
      </c>
      <c r="P118" s="32" t="n">
        <v>39.44</v>
      </c>
      <c r="Q118" s="32" t="n">
        <v>5145.13</v>
      </c>
      <c r="R118" s="31" t="inlineStr">
        <is>
          <t>Near 52W High Breakout</t>
        </is>
      </c>
      <c r="S118" s="31" t="inlineStr">
        <is>
          <t>Nifty 50</t>
        </is>
      </c>
      <c r="T118" s="32" t="n">
        <v>-6.27</v>
      </c>
      <c r="U118" s="32" t="n">
        <v>66.38</v>
      </c>
      <c r="V118" s="32" t="n">
        <v>77.51000000000001</v>
      </c>
      <c r="W118" s="32" t="n">
        <v>31.38</v>
      </c>
      <c r="X118" s="31" t="inlineStr">
        <is>
          <t>Cyclical in an Upturn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Above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Between 50% to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IF(B119=0,"",RANK(B119,$B$2:$B$370,0))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WELCORP</t>
        </is>
      </c>
      <c r="D119" s="31" t="inlineStr">
        <is>
          <t>Welspun Corp Limited</t>
        </is>
      </c>
      <c r="E119" s="31" t="inlineStr">
        <is>
          <t>industrials</t>
        </is>
      </c>
      <c r="F119" s="31" t="inlineStr">
        <is>
          <t>steel - large</t>
        </is>
      </c>
      <c r="G119" s="31" t="inlineStr">
        <is>
          <t>largecap</t>
        </is>
      </c>
      <c r="H119" s="32" t="n">
        <v>39853.49</v>
      </c>
      <c r="I119" s="32" t="n">
        <v>1521.9</v>
      </c>
      <c r="J119" s="32" t="n">
        <v>0.73</v>
      </c>
      <c r="K119" s="32" t="n">
        <v>521584</v>
      </c>
      <c r="L119" s="31" t="n">
        <v>85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85.84</v>
      </c>
      <c r="P119" s="32" t="n">
        <v>60.07</v>
      </c>
      <c r="Q119" s="32" t="n">
        <v>1272.95</v>
      </c>
      <c r="R119" s="31" t="inlineStr">
        <is>
          <t>Near 52W High Breakout</t>
        </is>
      </c>
      <c r="S119" s="31" t="inlineStr">
        <is>
          <t>Nifty Metal</t>
        </is>
      </c>
      <c r="T119" s="32" t="n">
        <v>30.67</v>
      </c>
      <c r="U119" s="32" t="n">
        <v>64.84999999999999</v>
      </c>
      <c r="V119" s="32" t="n">
        <v>26.16</v>
      </c>
      <c r="W119" s="32" t="n">
        <v>30.45</v>
      </c>
      <c r="X119" s="31" t="inlineStr">
        <is>
          <t>Cyclical in an Upturn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Above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Less than 12%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IF(B120=0,"",RANK(B120,$B$2:$B$370,0))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SFL</t>
        </is>
      </c>
      <c r="D120" s="31" t="inlineStr">
        <is>
          <t>Sheela Foam Limited</t>
        </is>
      </c>
      <c r="E120" s="31" t="inlineStr">
        <is>
          <t>consumer discretionary</t>
        </is>
      </c>
      <c r="F120" s="31" t="inlineStr">
        <is>
          <t>miscellaneous</t>
        </is>
      </c>
      <c r="G120" s="31" t="inlineStr">
        <is>
          <t>midcap</t>
        </is>
      </c>
      <c r="H120" s="32" t="n">
        <v>8073.41</v>
      </c>
      <c r="I120" s="32" t="n">
        <v>748</v>
      </c>
      <c r="J120" s="32" t="n">
        <v>0.72</v>
      </c>
      <c r="K120" s="32" t="n">
        <v>124903</v>
      </c>
      <c r="L120" s="31" t="n">
        <v>50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69.86</v>
      </c>
      <c r="P120" s="32" t="n">
        <v>24.4</v>
      </c>
      <c r="Q120" s="32" t="n">
        <v>590.1</v>
      </c>
      <c r="R120" s="31" t="inlineStr">
        <is>
          <t>Near 52W High Breakout</t>
        </is>
      </c>
      <c r="S120" s="31" t="inlineStr">
        <is>
          <t>Nifty 50</t>
        </is>
      </c>
      <c r="T120" s="32" t="n">
        <v>-6.27</v>
      </c>
      <c r="U120" s="32" t="n">
        <v>6.93</v>
      </c>
      <c r="V120" s="32" t="n">
        <v>14.08</v>
      </c>
      <c r="W120" s="32" t="n">
        <v>13.62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IF(B121=0,"",RANK(B121,$B$2:$B$370,0))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CRAFTSMAN</t>
        </is>
      </c>
      <c r="D121" s="31" t="inlineStr">
        <is>
          <t>Craftsman Automation Ltd</t>
        </is>
      </c>
      <c r="E121" s="31" t="inlineStr">
        <is>
          <t>auto</t>
        </is>
      </c>
      <c r="F121" s="31" t="inlineStr">
        <is>
          <t>auto ancillaries</t>
        </is>
      </c>
      <c r="G121" s="31" t="inlineStr">
        <is>
          <t>largecap</t>
        </is>
      </c>
      <c r="H121" s="32" t="n">
        <v>24553.78</v>
      </c>
      <c r="I121" s="32" t="n">
        <v>9450</v>
      </c>
      <c r="J121" s="32" t="n">
        <v>0.66</v>
      </c>
      <c r="K121" s="32" t="n">
        <v>85170</v>
      </c>
      <c r="L121" s="31" t="n">
        <v>69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64.53</v>
      </c>
      <c r="P121" s="32" t="n">
        <v>45.8</v>
      </c>
      <c r="Q121" s="32" t="n">
        <v>7819.8</v>
      </c>
      <c r="R121" s="31" t="inlineStr">
        <is>
          <t>Near 52W High Breakout</t>
        </is>
      </c>
      <c r="S121" s="31" t="inlineStr">
        <is>
          <t>Nifty Auto</t>
        </is>
      </c>
      <c r="T121" s="32" t="n">
        <v>10.42</v>
      </c>
      <c r="U121" s="32" t="n">
        <v>60.39</v>
      </c>
      <c r="V121" s="32" t="n">
        <v>45.25</v>
      </c>
      <c r="W121" s="32" t="n">
        <v>19.31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Less than 50% and Borrowings are increasing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Between 0.7 to 1.2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IF(B122=0,"",RANK(B122,$B$2:$B$370,0))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HAPPYFORGE</t>
        </is>
      </c>
      <c r="D122" s="31" t="inlineStr">
        <is>
          <t>Happy Forgings Ltd</t>
        </is>
      </c>
      <c r="E122" s="31" t="inlineStr">
        <is>
          <t>industrials</t>
        </is>
      </c>
      <c r="F122" s="31" t="inlineStr">
        <is>
          <t>castings &amp; forgings</t>
        </is>
      </c>
      <c r="G122" s="31" t="inlineStr">
        <is>
          <t>midcap</t>
        </is>
      </c>
      <c r="H122" s="32" t="n">
        <v>14416.75</v>
      </c>
      <c r="I122" s="32" t="n">
        <v>1537.8</v>
      </c>
      <c r="J122" s="32" t="n">
        <v>0.64</v>
      </c>
      <c r="K122" s="32" t="n">
        <v>59818</v>
      </c>
      <c r="L122" s="31" t="n">
        <v>61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69.44</v>
      </c>
      <c r="P122" s="32" t="n">
        <v>38.18</v>
      </c>
      <c r="Q122" s="32" t="n">
        <v>1222.3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-6.27</v>
      </c>
      <c r="U122" s="32" t="n">
        <v>58.39</v>
      </c>
      <c r="V122" s="32" t="n">
        <v>68.98</v>
      </c>
      <c r="W122" s="32" t="n">
        <v>16.48</v>
      </c>
      <c r="X122" s="31" t="inlineStr">
        <is>
          <t>Cyclical in an Upturn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IF(B123=0,"",RANK(B123,$B$2:$B$370,0))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TALBROAUTO</t>
        </is>
      </c>
      <c r="D123" s="31" t="inlineStr">
        <is>
          <t>Talbros Automotive Components Limited</t>
        </is>
      </c>
      <c r="E123" s="31" t="inlineStr">
        <is>
          <t>auto</t>
        </is>
      </c>
      <c r="F123" s="31" t="inlineStr">
        <is>
          <t>auto ancillaries</t>
        </is>
      </c>
      <c r="G123" s="31" t="inlineStr">
        <is>
          <t>smallcap</t>
        </is>
      </c>
      <c r="H123" s="32" t="n">
        <v>2568.2</v>
      </c>
      <c r="I123" s="32" t="n">
        <v>417.55</v>
      </c>
      <c r="J123" s="32" t="n">
        <v>0.36</v>
      </c>
      <c r="K123" s="32" t="n">
        <v>405011</v>
      </c>
      <c r="L123" s="31" t="n">
        <v>79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77.38</v>
      </c>
      <c r="P123" s="32" t="n">
        <v>32.94</v>
      </c>
      <c r="Q123" s="32" t="n">
        <v>318</v>
      </c>
      <c r="R123" s="31" t="inlineStr">
        <is>
          <t>Near 52W High Breakout</t>
        </is>
      </c>
      <c r="S123" s="31" t="inlineStr">
        <is>
          <t>Nifty Auto</t>
        </is>
      </c>
      <c r="T123" s="32" t="n">
        <v>10.42</v>
      </c>
      <c r="U123" s="32" t="n">
        <v>38.34</v>
      </c>
      <c r="V123" s="32" t="n">
        <v>25.28</v>
      </c>
      <c r="W123" s="32" t="n">
        <v>23.86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Above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Between 12 to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Less than 1.5</t>
        </is>
      </c>
      <c r="BU123" s="31">
        <f>IF(BT123="Above 2",0,IF(BT123="Between 1.5 to 2",5,IF(BT123="Less than 1.5",10,0)))</f>
        <v/>
      </c>
      <c r="BV123" s="31" t="inlineStr">
        <is>
          <t>Between 50% to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IF(B124=0,"",RANK(B124,$B$2:$B$370,0))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NRL</t>
        </is>
      </c>
      <c r="D124" s="31" t="inlineStr">
        <is>
          <t>Nupur Recyclers Ltd</t>
        </is>
      </c>
      <c r="E124" s="31" t="inlineStr">
        <is>
          <t>services</t>
        </is>
      </c>
      <c r="F124" s="31" t="inlineStr">
        <is>
          <t>trading</t>
        </is>
      </c>
      <c r="G124" s="31" t="inlineStr">
        <is>
          <t>smallcap</t>
        </is>
      </c>
      <c r="H124" s="32" t="n">
        <v>579.5599999999999</v>
      </c>
      <c r="I124" s="32" t="n">
        <v>83.98999999999999</v>
      </c>
      <c r="J124" s="32" t="n">
        <v>0.1</v>
      </c>
      <c r="K124" s="32" t="n">
        <v>63814</v>
      </c>
      <c r="L124" s="31" t="n">
        <v>71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76.23</v>
      </c>
      <c r="P124" s="32" t="n">
        <v>32.32</v>
      </c>
      <c r="Q124" s="32" t="n">
        <v>65.39</v>
      </c>
      <c r="R124" s="31" t="inlineStr">
        <is>
          <t>Near 52W High Breakout</t>
        </is>
      </c>
      <c r="S124" s="31" t="inlineStr">
        <is>
          <t>Nifty 50</t>
        </is>
      </c>
      <c r="T124" s="32" t="n">
        <v>-6.27</v>
      </c>
      <c r="U124" s="32" t="n">
        <v>7.29</v>
      </c>
      <c r="V124" s="32" t="n">
        <v>14.47</v>
      </c>
      <c r="W124" s="32" t="n">
        <v>20.44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Above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IF(B125=0,"",RANK(B125,$B$2:$B$370,0))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PREMEXPLN</t>
        </is>
      </c>
      <c r="D125" s="31" t="inlineStr">
        <is>
          <t>Premier Explosives Limited</t>
        </is>
      </c>
      <c r="E125" s="31" t="inlineStr">
        <is>
          <t>aerospace &amp; defence</t>
        </is>
      </c>
      <c r="F125" s="31" t="inlineStr">
        <is>
          <t>chemicals</t>
        </is>
      </c>
      <c r="G125" s="31" t="inlineStr">
        <is>
          <t>smallcap</t>
        </is>
      </c>
      <c r="H125" s="32" t="n">
        <v>4346.59</v>
      </c>
      <c r="I125" s="32" t="n">
        <v>805.95</v>
      </c>
      <c r="J125" s="32" t="n">
        <v>-0.32</v>
      </c>
      <c r="K125" s="32" t="n">
        <v>1465570</v>
      </c>
      <c r="L125" s="31" t="n">
        <v>85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72.17</v>
      </c>
      <c r="P125" s="32" t="n">
        <v>27.42</v>
      </c>
      <c r="Q125" s="32" t="n">
        <v>582.35</v>
      </c>
      <c r="R125" s="31" t="inlineStr">
        <is>
          <t>Near 52W High Breakout</t>
        </is>
      </c>
      <c r="S125" s="31" t="inlineStr">
        <is>
          <t>Nifty 50</t>
        </is>
      </c>
      <c r="T125" s="32" t="n">
        <v>-6.27</v>
      </c>
      <c r="U125" s="32" t="n">
        <v>40.27</v>
      </c>
      <c r="V125" s="32" t="n">
        <v>49.65</v>
      </c>
      <c r="W125" s="32" t="n">
        <v>30.42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Less than 1.5</t>
        </is>
      </c>
      <c r="BU125" s="31">
        <f>IF(BT125="Above 2",0,IF(BT125="Between 1.5 to 2",5,IF(BT125="Less than 1.5",10,0)))</f>
        <v/>
      </c>
      <c r="BV125" s="31" t="inlineStr">
        <is>
          <t>Negative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IF(B126=0,"",RANK(B126,$B$2:$B$370,0))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FINEORG</t>
        </is>
      </c>
      <c r="D126" s="31" t="inlineStr">
        <is>
          <t>Fine Organic Industries Ltd</t>
        </is>
      </c>
      <c r="E126" s="31" t="inlineStr">
        <is>
          <t>chemicals</t>
        </is>
      </c>
      <c r="F126" s="31" t="inlineStr">
        <is>
          <t>chemicals</t>
        </is>
      </c>
      <c r="G126" s="31" t="inlineStr">
        <is>
          <t>midcap</t>
        </is>
      </c>
      <c r="H126" s="32" t="n">
        <v>16354.34</v>
      </c>
      <c r="I126" s="32" t="n">
        <v>5295.8</v>
      </c>
      <c r="J126" s="32" t="n">
        <v>-0.72</v>
      </c>
      <c r="K126" s="32" t="n">
        <v>19949</v>
      </c>
      <c r="L126" s="31" t="n">
        <v>15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66.65000000000001</v>
      </c>
      <c r="P126" s="32" t="n">
        <v>14.93</v>
      </c>
      <c r="Q126" s="32" t="n">
        <v>4301.32</v>
      </c>
      <c r="R126" s="31" t="inlineStr">
        <is>
          <t>Near 52W High Breakout</t>
        </is>
      </c>
      <c r="S126" s="31" t="inlineStr">
        <is>
          <t>Nifty 50</t>
        </is>
      </c>
      <c r="T126" s="32" t="n">
        <v>-6.27</v>
      </c>
      <c r="U126" s="32" t="n">
        <v>0.71</v>
      </c>
      <c r="V126" s="32" t="n">
        <v>7.44</v>
      </c>
      <c r="W126" s="32" t="n">
        <v>5.09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0 to 20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Between 1.5 to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IF(B127=0,"",RANK(B127,$B$2:$B$370,0))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THELEELA</t>
        </is>
      </c>
      <c r="D127" s="31" t="inlineStr">
        <is>
          <t>Leela Palaces Hotels &amp; Resorts Ltd</t>
        </is>
      </c>
      <c r="E127" s="31" t="inlineStr">
        <is>
          <t>services</t>
        </is>
      </c>
      <c r="F127" s="31" t="inlineStr">
        <is>
          <t>hotels</t>
        </is>
      </c>
      <c r="G127" s="31" t="inlineStr">
        <is>
          <t>midcap</t>
        </is>
      </c>
      <c r="H127" s="32" t="n">
        <v>16011.61</v>
      </c>
      <c r="I127" s="32" t="n">
        <v>475.45</v>
      </c>
      <c r="J127" s="32" t="n">
        <v>-0.83</v>
      </c>
      <c r="K127" s="32" t="n">
        <v>615183</v>
      </c>
      <c r="L127" s="31" t="n">
        <v>20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59.89</v>
      </c>
      <c r="P127" s="32" t="n">
        <v>13.54</v>
      </c>
      <c r="Q127" s="32" t="n">
        <v>403.34</v>
      </c>
      <c r="R127" s="31" t="inlineStr">
        <is>
          <t>Near 52W High Breakout</t>
        </is>
      </c>
      <c r="S127" s="31" t="inlineStr">
        <is>
          <t>Nifty 50</t>
        </is>
      </c>
      <c r="T127" s="32" t="n">
        <v>-6.27</v>
      </c>
      <c r="U127" s="32" t="n">
        <v>18.39</v>
      </c>
      <c r="V127" s="32" t="n">
        <v>26.3</v>
      </c>
      <c r="W127" s="32" t="n">
        <v>6.53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0 to 20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Between 1.5 to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IF(B128=0,"",RANK(B128,$B$2:$B$370,0))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CEIGALL</t>
        </is>
      </c>
      <c r="D128" s="31" t="inlineStr">
        <is>
          <t>Ceigall India Ltd</t>
        </is>
      </c>
      <c r="E128" s="31" t="inlineStr">
        <is>
          <t>realty</t>
        </is>
      </c>
      <c r="F128" s="31" t="inlineStr">
        <is>
          <t>construction</t>
        </is>
      </c>
      <c r="G128" s="31" t="inlineStr">
        <is>
          <t>midcap</t>
        </is>
      </c>
      <c r="H128" s="32" t="n">
        <v>6897.64</v>
      </c>
      <c r="I128" s="32" t="n">
        <v>391.85</v>
      </c>
      <c r="J128" s="32" t="n">
        <v>-1.04</v>
      </c>
      <c r="K128" s="32" t="n">
        <v>976692</v>
      </c>
      <c r="L128" s="31" t="n">
        <v>63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75.04000000000001</v>
      </c>
      <c r="P128" s="32" t="n">
        <v>50.96</v>
      </c>
      <c r="Q128" s="32" t="n">
        <v>311.49</v>
      </c>
      <c r="R128" s="31" t="inlineStr">
        <is>
          <t>Near 52W High Breakout</t>
        </is>
      </c>
      <c r="S128" s="31" t="inlineStr">
        <is>
          <t>Nifty Realty</t>
        </is>
      </c>
      <c r="T128" s="32" t="n">
        <v>-14.65</v>
      </c>
      <c r="U128" s="32" t="n">
        <v>45.29</v>
      </c>
      <c r="V128" s="32" t="n">
        <v>70.23</v>
      </c>
      <c r="W128" s="32" t="n">
        <v>17.27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Above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Less than 1.5</t>
        </is>
      </c>
      <c r="BU128" s="31">
        <f>IF(BT128="Above 2",0,IF(BT128="Between 1.5 to 2",5,IF(BT128="Less than 1.5",10,0)))</f>
        <v/>
      </c>
      <c r="BV128" s="31" t="inlineStr">
        <is>
          <t>Negative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IF(B129=0,"",RANK(B129,$B$2:$B$370,0))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APARINDS</t>
        </is>
      </c>
      <c r="D129" s="31" t="inlineStr">
        <is>
          <t>Apar Industries Limited</t>
        </is>
      </c>
      <c r="E129" s="31" t="inlineStr">
        <is>
          <t>industrials</t>
        </is>
      </c>
      <c r="F129" s="31" t="inlineStr">
        <is>
          <t>electric equipment</t>
        </is>
      </c>
      <c r="G129" s="31" t="inlineStr">
        <is>
          <t>largecap</t>
        </is>
      </c>
      <c r="H129" s="32" t="n">
        <v>64213.07</v>
      </c>
      <c r="I129" s="32" t="n">
        <v>15695</v>
      </c>
      <c r="J129" s="32" t="n">
        <v>-1.82</v>
      </c>
      <c r="K129" s="32" t="n">
        <v>125252</v>
      </c>
      <c r="L129" s="31" t="n">
        <v>83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73.93000000000001</v>
      </c>
      <c r="P129" s="32" t="n">
        <v>47.86</v>
      </c>
      <c r="Q129" s="32" t="n">
        <v>12855.19</v>
      </c>
      <c r="R129" s="31" t="inlineStr">
        <is>
          <t>Near 52W High Breakout</t>
        </is>
      </c>
      <c r="S129" s="31" t="inlineStr">
        <is>
          <t>Nifty 50</t>
        </is>
      </c>
      <c r="T129" s="32" t="n">
        <v>-6.27</v>
      </c>
      <c r="U129" s="32" t="n">
        <v>83.06</v>
      </c>
      <c r="V129" s="32" t="n">
        <v>95.3</v>
      </c>
      <c r="W129" s="32" t="n">
        <v>26.92</v>
      </c>
      <c r="X129" s="31" t="inlineStr">
        <is>
          <t>Cyclical in an Upturn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Less than 12%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Between 50% to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IF(B130=0,"",RANK(B130,$B$2:$B$370,0))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RRKABEL</t>
        </is>
      </c>
      <c r="D130" s="31" t="inlineStr">
        <is>
          <t>R R Kabel Ltd</t>
        </is>
      </c>
      <c r="E130" s="31" t="inlineStr">
        <is>
          <t>industrials</t>
        </is>
      </c>
      <c r="F130" s="31" t="inlineStr">
        <is>
          <t>cables - power</t>
        </is>
      </c>
      <c r="G130" s="31" t="inlineStr">
        <is>
          <t>largecap</t>
        </is>
      </c>
      <c r="H130" s="32" t="n">
        <v>28302.39</v>
      </c>
      <c r="I130" s="32" t="n">
        <v>2395.2</v>
      </c>
      <c r="J130" s="32" t="n">
        <v>-4.28</v>
      </c>
      <c r="K130" s="32" t="n">
        <v>2286964</v>
      </c>
      <c r="L130" s="31" t="n">
        <v>87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75.08</v>
      </c>
      <c r="P130" s="32" t="n">
        <v>51.33</v>
      </c>
      <c r="Q130" s="32" t="n">
        <v>1990.31</v>
      </c>
      <c r="R130" s="31" t="inlineStr">
        <is>
          <t>Near 52W High Breakout</t>
        </is>
      </c>
      <c r="S130" s="31" t="inlineStr">
        <is>
          <t>Nifty Energy</t>
        </is>
      </c>
      <c r="T130" s="32" t="n">
        <v>8.85</v>
      </c>
      <c r="U130" s="32" t="n">
        <v>75.98</v>
      </c>
      <c r="V130" s="32" t="n">
        <v>61.67</v>
      </c>
      <c r="W130" s="32" t="n">
        <v>32.17</v>
      </c>
      <c r="X130" s="31" t="inlineStr">
        <is>
          <t>Cyclical in an Upturn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Above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Between 1.5 to 2</t>
        </is>
      </c>
      <c r="BU130" s="31">
        <f>IF(BT130="Above 2",0,IF(BT130="Between 1.5 to 2",5,IF(BT130="Less than 1.5",10,0)))</f>
        <v/>
      </c>
      <c r="BV130" s="31" t="inlineStr">
        <is>
          <t>Less than 50%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IF(B131=0,"",RANK(B131,$B$2:$B$370,0))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APOLLO</t>
        </is>
      </c>
      <c r="D131" s="31" t="inlineStr">
        <is>
          <t>Apollo Micro Systems Ltd</t>
        </is>
      </c>
      <c r="E131" s="31" t="inlineStr">
        <is>
          <t>aerospace &amp; defence</t>
        </is>
      </c>
      <c r="F131" s="31" t="inlineStr">
        <is>
          <t>electronics - components</t>
        </is>
      </c>
      <c r="G131" s="31" t="inlineStr">
        <is>
          <t>midcap</t>
        </is>
      </c>
      <c r="H131" s="32" t="n">
        <v>15042.42</v>
      </c>
      <c r="I131" s="32" t="n">
        <v>424.75</v>
      </c>
      <c r="J131" s="32" t="n">
        <v>4.32</v>
      </c>
      <c r="K131" s="32" t="n">
        <v>23073789</v>
      </c>
      <c r="L131" s="31" t="n">
        <v>96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67.31</v>
      </c>
      <c r="P131" s="32" t="n">
        <v>41.09</v>
      </c>
      <c r="Q131" s="32" t="n">
        <v>306.15</v>
      </c>
      <c r="R131" s="31" t="inlineStr">
        <is>
          <t>Near 52W High Breakout</t>
        </is>
      </c>
      <c r="S131" s="31" t="inlineStr">
        <is>
          <t>Nifty 50</t>
        </is>
      </c>
      <c r="T131" s="32" t="n">
        <v>-6.27</v>
      </c>
      <c r="U131" s="32" t="n">
        <v>121.54</v>
      </c>
      <c r="V131" s="32" t="n">
        <v>136.35</v>
      </c>
      <c r="W131" s="32" t="n">
        <v>52.31</v>
      </c>
      <c r="X131" s="31" t="inlineStr">
        <is>
          <t>Cyclical in an Upturn</t>
        </is>
      </c>
      <c r="Y131" s="31">
        <f>IF(X131="Growing Industry",10,IF(X131="Cyclical in an Upturn",5,0))</f>
        <v/>
      </c>
      <c r="Z131" s="31" t="inlineStr">
        <is>
          <t>Oligopoly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Cyclical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B2C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Fully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Above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Yes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Between 1.5 to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IF(B132=0,"",RANK(B132,$B$2:$B$370,0))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3" t="inlineStr">
        <is>
          <t>ALIVUS</t>
        </is>
      </c>
      <c r="D132" s="33" t="inlineStr">
        <is>
          <t>Alivus Life Sciences Ltd</t>
        </is>
      </c>
      <c r="E132" s="31" t="inlineStr">
        <is>
          <t>healthcare</t>
        </is>
      </c>
      <c r="F132" s="31" t="inlineStr">
        <is>
          <t>pharmaceuticals - indian - bulk drugs &amp; formln</t>
        </is>
      </c>
      <c r="G132" s="31" t="inlineStr">
        <is>
          <t>midcap</t>
        </is>
      </c>
      <c r="H132" s="32" t="n">
        <v>13740.33</v>
      </c>
      <c r="I132" s="32" t="n">
        <v>1156.5</v>
      </c>
      <c r="J132" s="32" t="n">
        <v>3.31</v>
      </c>
      <c r="K132" s="32" t="n">
        <v>254944</v>
      </c>
      <c r="L132" s="31" t="n">
        <v>18</v>
      </c>
      <c r="M132" s="31" t="inlineStr">
        <is>
          <t>Underperforming</t>
        </is>
      </c>
      <c r="N132" s="32">
        <f>IF(M132="Underperforming",-5,IF(L132&gt;=95,15,IF(L132&gt;=90,10,IF(L132&gt;=80,5,0))))</f>
        <v/>
      </c>
      <c r="O132" s="32" t="n">
        <v>69.33</v>
      </c>
      <c r="P132" s="32" t="n">
        <v>31.76</v>
      </c>
      <c r="Q132" s="32" t="n">
        <v>940.8</v>
      </c>
      <c r="R132" s="31" t="inlineStr">
        <is>
          <t>Near 52W High Breakout</t>
        </is>
      </c>
      <c r="S132" s="31" t="inlineStr">
        <is>
          <t>Nifty Pharma</t>
        </is>
      </c>
      <c r="T132" s="32" t="n">
        <v>13.14</v>
      </c>
      <c r="U132" s="32" t="n">
        <v>11.75</v>
      </c>
      <c r="V132" s="32" t="n">
        <v>-1.23</v>
      </c>
      <c r="W132" s="32" t="n">
        <v>6.03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Yes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Annuity, Lower One Time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Between 12 to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Between 1.5 to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IF(B133=0,"",RANK(B133,$B$2:$B$370,0))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3" t="inlineStr">
        <is>
          <t>MANKIND</t>
        </is>
      </c>
      <c r="D133" s="33" t="inlineStr">
        <is>
          <t>Mankind Pharma Ltd</t>
        </is>
      </c>
      <c r="E133" s="31" t="inlineStr">
        <is>
          <t>healthcare</t>
        </is>
      </c>
      <c r="F133" s="31" t="inlineStr">
        <is>
          <t>pharmaceuticals - indian - bulk drugs &amp; formln</t>
        </is>
      </c>
      <c r="G133" s="31" t="inlineStr">
        <is>
          <t>largecap</t>
        </is>
      </c>
      <c r="H133" s="32" t="n">
        <v>102629.12</v>
      </c>
      <c r="I133" s="32" t="n">
        <v>2545.6</v>
      </c>
      <c r="J133" s="32" t="n">
        <v>2.4</v>
      </c>
      <c r="K133" s="32" t="n">
        <v>754286</v>
      </c>
      <c r="L133" s="31" t="n">
        <v>24</v>
      </c>
      <c r="M133" s="31" t="inlineStr">
        <is>
          <t>Underperforming</t>
        </is>
      </c>
      <c r="N133" s="32">
        <f>IF(M133="Underperforming",-5,IF(L133&gt;=95,15,IF(L133&gt;=90,10,IF(L133&gt;=80,5,0))))</f>
        <v/>
      </c>
      <c r="O133" s="32" t="n">
        <v>64.22</v>
      </c>
      <c r="P133" s="32" t="n">
        <v>23.16</v>
      </c>
      <c r="Q133" s="32" t="n">
        <v>2130.57</v>
      </c>
      <c r="R133" s="31" t="inlineStr">
        <is>
          <t>Near 52W High Breakout</t>
        </is>
      </c>
      <c r="S133" s="31" t="inlineStr">
        <is>
          <t>Nifty Pharma</t>
        </is>
      </c>
      <c r="T133" s="32" t="n">
        <v>13.14</v>
      </c>
      <c r="U133" s="32" t="n">
        <v>4.39</v>
      </c>
      <c r="V133" s="32" t="n">
        <v>-7.74</v>
      </c>
      <c r="W133" s="32" t="n">
        <v>7.17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Yes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Annuity, Lower One Time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Between 1.5 to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IF(B134=0,"",RANK(B134,$B$2:$B$370,0))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SBCL</t>
        </is>
      </c>
      <c r="D134" s="31" t="inlineStr">
        <is>
          <t>Shivalik Bimetal Controls Ltd</t>
        </is>
      </c>
      <c r="E134" s="31" t="inlineStr">
        <is>
          <t>metals &amp; mining</t>
        </is>
      </c>
      <c r="F134" s="31" t="inlineStr">
        <is>
          <t>mining / minerals / metals</t>
        </is>
      </c>
      <c r="G134" s="31" t="inlineStr">
        <is>
          <t>smallcap</t>
        </is>
      </c>
      <c r="H134" s="32" t="n">
        <v>4302.75</v>
      </c>
      <c r="I134" s="32" t="n">
        <v>760.45</v>
      </c>
      <c r="J134" s="32" t="n">
        <v>1.81</v>
      </c>
      <c r="K134" s="32" t="n">
        <v>451992</v>
      </c>
      <c r="L134" s="31" t="n">
        <v>84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71.76000000000001</v>
      </c>
      <c r="P134" s="32" t="n">
        <v>41.49</v>
      </c>
      <c r="Q134" s="32" t="n">
        <v>571.96</v>
      </c>
      <c r="R134" s="31" t="inlineStr">
        <is>
          <t>Near 52W High Breakout</t>
        </is>
      </c>
      <c r="S134" s="31" t="inlineStr">
        <is>
          <t>Nifty Metal</t>
        </is>
      </c>
      <c r="T134" s="32" t="n">
        <v>30.67</v>
      </c>
      <c r="U134" s="32" t="n">
        <v>43.1</v>
      </c>
      <c r="V134" s="32" t="n">
        <v>9.51</v>
      </c>
      <c r="W134" s="32" t="n">
        <v>29.33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Monopoly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Shallow Cyclical (2 to 3 Years Growth)</t>
        </is>
      </c>
      <c r="AG134" s="31">
        <f>IF(AF134="Structural (10 Years Consistency)",10,IF(AF134="Shallow Cyclical (2 to 3 years growth)",5,0))</f>
        <v/>
      </c>
      <c r="AH134" s="31" t="inlineStr">
        <is>
          <t>Yes due to Product Mix change or Operating Leverage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Fully One Time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Yes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Between 1.5 to 2</t>
        </is>
      </c>
      <c r="BU134" s="31">
        <f>IF(BT134="Above 2",0,IF(BT134="Between 1.5 to 2",5,IF(BT134="Less than 1.5",10,0)))</f>
        <v/>
      </c>
      <c r="BV134" s="31" t="inlineStr">
        <is>
          <t>Less than 50%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IF(B135=0,"",RANK(B135,$B$2:$B$370,0))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HNDFDS</t>
        </is>
      </c>
      <c r="D135" s="31" t="inlineStr">
        <is>
          <t>Hindustan Foods Ltd</t>
        </is>
      </c>
      <c r="E135" s="31" t="inlineStr">
        <is>
          <t>fmcg</t>
        </is>
      </c>
      <c r="F135" s="31" t="inlineStr">
        <is>
          <t>diversified - large</t>
        </is>
      </c>
      <c r="G135" s="31" t="inlineStr">
        <is>
          <t>midcap</t>
        </is>
      </c>
      <c r="H135" s="32" t="n">
        <v>6582.85</v>
      </c>
      <c r="I135" s="32" t="n">
        <v>560</v>
      </c>
      <c r="J135" s="32" t="n">
        <v>1.64</v>
      </c>
      <c r="K135" s="32" t="n">
        <v>59081</v>
      </c>
      <c r="L135" s="31" t="n">
        <v>10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60.53</v>
      </c>
      <c r="P135" s="32" t="n">
        <v>27.09</v>
      </c>
      <c r="Q135" s="32" t="n">
        <v>467.15</v>
      </c>
      <c r="R135" s="31" t="inlineStr">
        <is>
          <t>Near 52W High Breakout</t>
        </is>
      </c>
      <c r="S135" s="31" t="inlineStr">
        <is>
          <t>Nifty FMCG</t>
        </is>
      </c>
      <c r="T135" s="32" t="n">
        <v>-10.85</v>
      </c>
      <c r="U135" s="32" t="n">
        <v>3.26</v>
      </c>
      <c r="V135" s="32" t="n">
        <v>15.83</v>
      </c>
      <c r="W135" s="32" t="n">
        <v>3.52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B2C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Annuity, Lower One Time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Less than 1.5</t>
        </is>
      </c>
      <c r="BU135" s="31">
        <f>IF(BT135="Above 2",0,IF(BT135="Between 1.5 to 2",5,IF(BT135="Less than 1.5",10,0)))</f>
        <v/>
      </c>
      <c r="BV135" s="31" t="inlineStr">
        <is>
          <t>Less than 50%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Between 0.7 to 1.2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IF(B136=0,"",RANK(B136,$B$2:$B$370,0))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AURUM</t>
        </is>
      </c>
      <c r="D136" s="31" t="inlineStr">
        <is>
          <t>Aurum Proptech Ltd</t>
        </is>
      </c>
      <c r="E136" s="31" t="inlineStr">
        <is>
          <t>i.t</t>
        </is>
      </c>
      <c r="F136" s="31" t="inlineStr">
        <is>
          <t>computers - software - medium / small</t>
        </is>
      </c>
      <c r="G136" s="31" t="inlineStr">
        <is>
          <t>smallcap</t>
        </is>
      </c>
      <c r="H136" s="32" t="n">
        <v>1717.61</v>
      </c>
      <c r="I136" s="32" t="n">
        <v>225.67</v>
      </c>
      <c r="J136" s="32" t="n">
        <v>0.72</v>
      </c>
      <c r="K136" s="32" t="n">
        <v>430585</v>
      </c>
      <c r="L136" s="31" t="n">
        <v>37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71.64</v>
      </c>
      <c r="P136" s="32" t="n">
        <v>28.16</v>
      </c>
      <c r="Q136" s="32" t="n">
        <v>178.6</v>
      </c>
      <c r="R136" s="31" t="inlineStr">
        <is>
          <t>Near 52W High Breakout</t>
        </is>
      </c>
      <c r="S136" s="31" t="inlineStr">
        <is>
          <t>Nifty IT</t>
        </is>
      </c>
      <c r="T136" s="32" t="n">
        <v>-32.85</v>
      </c>
      <c r="U136" s="32" t="n">
        <v>16.19</v>
      </c>
      <c r="V136" s="32" t="n">
        <v>73.04000000000001</v>
      </c>
      <c r="W136" s="32" t="n">
        <v>10.3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Annuity, Lower One Time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Between 50% to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IF(B137=0,"",RANK(B137,$B$2:$B$370,0))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3" t="inlineStr">
        <is>
          <t>AKUMS</t>
        </is>
      </c>
      <c r="D137" s="33" t="inlineStr">
        <is>
          <t>Akums Drugs &amp; Pharmaceuticals Ltd</t>
        </is>
      </c>
      <c r="E137" s="31" t="inlineStr">
        <is>
          <t>healthcare</t>
        </is>
      </c>
      <c r="F137" s="31" t="inlineStr">
        <is>
          <t>pharmaceuticals - indian - bulk drugs &amp; formln</t>
        </is>
      </c>
      <c r="G137" s="31" t="inlineStr">
        <is>
          <t>midcap</t>
        </is>
      </c>
      <c r="H137" s="32" t="n">
        <v>9831.620000000001</v>
      </c>
      <c r="I137" s="32" t="n">
        <v>623</v>
      </c>
      <c r="J137" s="32" t="n">
        <v>-0.26</v>
      </c>
      <c r="K137" s="32" t="n">
        <v>337198</v>
      </c>
      <c r="L137" s="31" t="n">
        <v>25</v>
      </c>
      <c r="M137" s="31" t="inlineStr">
        <is>
          <t>Underperforming</t>
        </is>
      </c>
      <c r="N137" s="32">
        <f>IF(M137="Underperforming",-5,IF(L137&gt;=95,15,IF(L137&gt;=90,10,IF(L137&gt;=80,5,0))))</f>
        <v/>
      </c>
      <c r="O137" s="32" t="n">
        <v>69.45</v>
      </c>
      <c r="P137" s="32" t="n">
        <v>42.84</v>
      </c>
      <c r="Q137" s="32" t="n">
        <v>499.47</v>
      </c>
      <c r="R137" s="31" t="inlineStr">
        <is>
          <t>Near 52W High Breakout</t>
        </is>
      </c>
      <c r="S137" s="31" t="inlineStr">
        <is>
          <t>Nifty Pharma</t>
        </is>
      </c>
      <c r="T137" s="32" t="n">
        <v>13.14</v>
      </c>
      <c r="U137" s="32" t="n">
        <v>7.72</v>
      </c>
      <c r="V137" s="32" t="n">
        <v>-4.79</v>
      </c>
      <c r="W137" s="32" t="n">
        <v>7.72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Yes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Annuity, Lower One Time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Less than 12%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IF(B138=0,"",RANK(B138,$B$2:$B$370,0))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SAILIFE</t>
        </is>
      </c>
      <c r="D138" s="31" t="inlineStr">
        <is>
          <t>Sai Life Sciences Ltd</t>
        </is>
      </c>
      <c r="E138" s="31" t="inlineStr">
        <is>
          <t>healthcare</t>
        </is>
      </c>
      <c r="F138" s="31" t="inlineStr">
        <is>
          <t>pharmaceuticals - indian - bulk drugs &amp; formln</t>
        </is>
      </c>
      <c r="G138" s="31" t="inlineStr">
        <is>
          <t>largecap</t>
        </is>
      </c>
      <c r="H138" s="32" t="n">
        <v>26427.93</v>
      </c>
      <c r="I138" s="32" t="n">
        <v>1234.3</v>
      </c>
      <c r="J138" s="32" t="n">
        <v>-1.09</v>
      </c>
      <c r="K138" s="32" t="n">
        <v>533131</v>
      </c>
      <c r="L138" s="31" t="n">
        <v>58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72.94</v>
      </c>
      <c r="P138" s="32" t="n">
        <v>28.3</v>
      </c>
      <c r="Q138" s="32" t="n">
        <v>1001.85</v>
      </c>
      <c r="R138" s="31" t="inlineStr">
        <is>
          <t>Near 52W High Breakout</t>
        </is>
      </c>
      <c r="S138" s="31" t="inlineStr">
        <is>
          <t>Nifty Pharma</t>
        </is>
      </c>
      <c r="T138" s="32" t="n">
        <v>13.14</v>
      </c>
      <c r="U138" s="32" t="n">
        <v>55.7</v>
      </c>
      <c r="V138" s="32" t="n">
        <v>37.61</v>
      </c>
      <c r="W138" s="32" t="n">
        <v>15.41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Yes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Annuity, Lower One Time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Between 12 to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IF(B139=0,"",RANK(B139,$B$2:$B$370,0))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SAREGAMA</t>
        </is>
      </c>
      <c r="D139" s="31" t="inlineStr">
        <is>
          <t>Saregama India Limited</t>
        </is>
      </c>
      <c r="E139" s="31" t="inlineStr">
        <is>
          <t>media</t>
        </is>
      </c>
      <c r="F139" s="31" t="inlineStr">
        <is>
          <t>entertainment / electronic media software</t>
        </is>
      </c>
      <c r="G139" s="31" t="inlineStr">
        <is>
          <t>midcap</t>
        </is>
      </c>
      <c r="H139" s="32" t="n">
        <v>9619.27</v>
      </c>
      <c r="I139" s="32" t="n">
        <v>492.8</v>
      </c>
      <c r="J139" s="32" t="n">
        <v>-1.22</v>
      </c>
      <c r="K139" s="32" t="n">
        <v>327493</v>
      </c>
      <c r="L139" s="31" t="n">
        <v>52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70.51000000000001</v>
      </c>
      <c r="P139" s="32" t="n">
        <v>33.05</v>
      </c>
      <c r="Q139" s="32" t="n">
        <v>386.87</v>
      </c>
      <c r="R139" s="31" t="inlineStr">
        <is>
          <t>Near 52W High Breakout</t>
        </is>
      </c>
      <c r="S139" s="31" t="inlineStr">
        <is>
          <t>Nifty IT</t>
        </is>
      </c>
      <c r="T139" s="32" t="n">
        <v>-32.85</v>
      </c>
      <c r="U139" s="32" t="n">
        <v>0.77</v>
      </c>
      <c r="V139" s="32" t="n">
        <v>50.07</v>
      </c>
      <c r="W139" s="32" t="n">
        <v>13.85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Annuity, Lower One Time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Between 1.5 to 2</t>
        </is>
      </c>
      <c r="BU139" s="31">
        <f>IF(BT139="Above 2",0,IF(BT139="Between 1.5 to 2",5,IF(BT139="Less than 1.5",10,0)))</f>
        <v/>
      </c>
      <c r="BV139" s="31" t="inlineStr">
        <is>
          <t>Less than 50%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IF(B140=0,"",RANK(B140,$B$2:$B$370,0))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SPECTRUM</t>
        </is>
      </c>
      <c r="D140" s="31" t="inlineStr">
        <is>
          <t>Spectrum Electrical Industries Ltd</t>
        </is>
      </c>
      <c r="E140" s="31" t="inlineStr">
        <is>
          <t>industrials</t>
        </is>
      </c>
      <c r="F140" s="31" t="inlineStr">
        <is>
          <t>electric equipment</t>
        </is>
      </c>
      <c r="G140" s="31" t="inlineStr">
        <is>
          <t>smallcap</t>
        </is>
      </c>
      <c r="H140" s="32" t="n">
        <v>2755.42</v>
      </c>
      <c r="I140" s="32" t="n">
        <v>1860.7</v>
      </c>
      <c r="J140" s="32" t="n">
        <v>6.11</v>
      </c>
      <c r="K140" s="32" t="n">
        <v>37676</v>
      </c>
      <c r="L140" s="31" t="n">
        <v>46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65.2</v>
      </c>
      <c r="P140" s="32" t="n">
        <v>31.92</v>
      </c>
      <c r="Q140" s="32" t="n">
        <v>1289.53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-6.27</v>
      </c>
      <c r="U140" s="32" t="n">
        <v>24.94</v>
      </c>
      <c r="V140" s="32" t="n">
        <v>33.29</v>
      </c>
      <c r="W140" s="32" t="n">
        <v>12.26</v>
      </c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Between 0.7 to 1.2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IF(B141=0,"",RANK(B141,$B$2:$B$370,0))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SKYGOLD</t>
        </is>
      </c>
      <c r="D141" s="31" t="inlineStr">
        <is>
          <t>Sky Gold Ltd</t>
        </is>
      </c>
      <c r="E141" s="31" t="inlineStr">
        <is>
          <t>consumer discretionary</t>
        </is>
      </c>
      <c r="F141" s="31" t="inlineStr">
        <is>
          <t>diamond cutting / jewellery</t>
        </is>
      </c>
      <c r="G141" s="31" t="inlineStr">
        <is>
          <t>midcap</t>
        </is>
      </c>
      <c r="H141" s="32" t="n">
        <v>7931.09</v>
      </c>
      <c r="I141" s="32" t="n">
        <v>532.55</v>
      </c>
      <c r="J141" s="32" t="n">
        <v>3.99</v>
      </c>
      <c r="K141" s="32" t="n">
        <v>895544</v>
      </c>
      <c r="L141" s="31" t="n">
        <v>80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65.45999999999999</v>
      </c>
      <c r="P141" s="32" t="n">
        <v>45.6</v>
      </c>
      <c r="Q141" s="32" t="n">
        <v>392.87</v>
      </c>
      <c r="R141" s="31" t="inlineStr">
        <is>
          <t>Near 52W High Breakout</t>
        </is>
      </c>
      <c r="S141" s="31" t="inlineStr">
        <is>
          <t>Nifty 50</t>
        </is>
      </c>
      <c r="T141" s="32" t="n">
        <v>-6.27</v>
      </c>
      <c r="U141" s="32" t="n">
        <v>67.84</v>
      </c>
      <c r="V141" s="32" t="n">
        <v>79.06</v>
      </c>
      <c r="W141" s="32" t="n">
        <v>24.41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Negative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Between 0.7 to 1.2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IF(B142=0,"",RANK(B142,$B$2:$B$370,0))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RPEL</t>
        </is>
      </c>
      <c r="D142" s="31" t="inlineStr">
        <is>
          <t>Raghav Productivity Enhancers Ltd</t>
        </is>
      </c>
      <c r="E142" s="31" t="inlineStr">
        <is>
          <t>building materials</t>
        </is>
      </c>
      <c r="F142" s="31" t="inlineStr">
        <is>
          <t>refractories / intermediates</t>
        </is>
      </c>
      <c r="G142" s="31" t="inlineStr">
        <is>
          <t>midcap</t>
        </is>
      </c>
      <c r="H142" s="32" t="n">
        <v>5321.66</v>
      </c>
      <c r="I142" s="32" t="n">
        <v>1204</v>
      </c>
      <c r="J142" s="32" t="n">
        <v>3.87</v>
      </c>
      <c r="K142" s="32" t="n">
        <v>91680</v>
      </c>
      <c r="L142" s="31" t="n">
        <v>91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75.67</v>
      </c>
      <c r="P142" s="32" t="n">
        <v>34.82</v>
      </c>
      <c r="Q142" s="32" t="n">
        <v>934.02</v>
      </c>
      <c r="R142" s="31" t="inlineStr">
        <is>
          <t>Near 52W High Breakout</t>
        </is>
      </c>
      <c r="S142" s="31" t="inlineStr">
        <is>
          <t>Nifty Infra</t>
        </is>
      </c>
      <c r="T142" s="32" t="n">
        <v>-0.44</v>
      </c>
      <c r="U142" s="32" t="n">
        <v>69.44</v>
      </c>
      <c r="V142" s="32" t="n">
        <v>70.2</v>
      </c>
      <c r="W142" s="32" t="n">
        <v>37.02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Less than 50%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IF(B143=0,"",RANK(B143,$B$2:$B$370,0))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INDNIPPON</t>
        </is>
      </c>
      <c r="D143" s="31" t="inlineStr">
        <is>
          <t>India Nippon Electricals Limited</t>
        </is>
      </c>
      <c r="E143" s="31" t="inlineStr">
        <is>
          <t>auto</t>
        </is>
      </c>
      <c r="F143" s="31" t="inlineStr">
        <is>
          <t>auto ancillaries</t>
        </is>
      </c>
      <c r="G143" s="31" t="inlineStr">
        <is>
          <t>smallcap</t>
        </is>
      </c>
      <c r="H143" s="32" t="n">
        <v>2182.63</v>
      </c>
      <c r="I143" s="32" t="n">
        <v>1001.4</v>
      </c>
      <c r="J143" s="32" t="n">
        <v>3.79</v>
      </c>
      <c r="K143" s="32" t="n">
        <v>89370</v>
      </c>
      <c r="L143" s="31" t="n">
        <v>63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67.73999999999999</v>
      </c>
      <c r="P143" s="32" t="n">
        <v>18.79</v>
      </c>
      <c r="Q143" s="32" t="n">
        <v>801.35</v>
      </c>
      <c r="R143" s="31" t="inlineStr">
        <is>
          <t>Near 52W High Breakout</t>
        </is>
      </c>
      <c r="S143" s="31" t="inlineStr">
        <is>
          <t>Nifty Auto</t>
        </is>
      </c>
      <c r="T143" s="32" t="n">
        <v>10.42</v>
      </c>
      <c r="U143" s="32" t="n">
        <v>32.83</v>
      </c>
      <c r="V143" s="32" t="n">
        <v>20.3</v>
      </c>
      <c r="W143" s="32" t="n">
        <v>17.1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0 to 20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Less than 50%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IF(B144=0,"",RANK(B144,$B$2:$B$370,0))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NYKAA</t>
        </is>
      </c>
      <c r="D144" s="31" t="inlineStr">
        <is>
          <t>FSN E-Commerce Ventures Ltd</t>
        </is>
      </c>
      <c r="E144" s="31" t="inlineStr">
        <is>
          <t>i.t</t>
        </is>
      </c>
      <c r="F144" s="31" t="inlineStr">
        <is>
          <t>trading</t>
        </is>
      </c>
      <c r="G144" s="31" t="inlineStr">
        <is>
          <t>largecap</t>
        </is>
      </c>
      <c r="H144" s="32" t="n">
        <v>86483.78</v>
      </c>
      <c r="I144" s="32" t="n">
        <v>310.85</v>
      </c>
      <c r="J144" s="32" t="n">
        <v>2.91</v>
      </c>
      <c r="K144" s="32" t="n">
        <v>10077069</v>
      </c>
      <c r="L144" s="31" t="n">
        <v>58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69.51000000000001</v>
      </c>
      <c r="P144" s="32" t="n">
        <v>25.92</v>
      </c>
      <c r="Q144" s="32" t="n">
        <v>260.57</v>
      </c>
      <c r="R144" s="31" t="inlineStr">
        <is>
          <t>Near 52W High Breakout</t>
        </is>
      </c>
      <c r="S144" s="31" t="inlineStr">
        <is>
          <t>Nifty IT</t>
        </is>
      </c>
      <c r="T144" s="32" t="n">
        <v>-32.85</v>
      </c>
      <c r="U144" s="32" t="n">
        <v>56.81</v>
      </c>
      <c r="V144" s="32" t="n">
        <v>133.54</v>
      </c>
      <c r="W144" s="32" t="n">
        <v>15.41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Between 0.7 to 1.2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IF(B145=0,"",RANK(B145,$B$2:$B$370,0))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CENTUM</t>
        </is>
      </c>
      <c r="D145" s="31" t="inlineStr">
        <is>
          <t>Centum Electronics Limited</t>
        </is>
      </c>
      <c r="E145" s="31" t="inlineStr">
        <is>
          <t>consumer discretionary</t>
        </is>
      </c>
      <c r="F145" s="31" t="inlineStr">
        <is>
          <t>electronics - components</t>
        </is>
      </c>
      <c r="G145" s="31" t="inlineStr">
        <is>
          <t>midcap</t>
        </is>
      </c>
      <c r="H145" s="32" t="n">
        <v>5424.98</v>
      </c>
      <c r="I145" s="32" t="n">
        <v>3784</v>
      </c>
      <c r="J145" s="32" t="n">
        <v>2.82</v>
      </c>
      <c r="K145" s="32" t="n">
        <v>94520</v>
      </c>
      <c r="L145" s="31" t="n">
        <v>64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71.02</v>
      </c>
      <c r="P145" s="32" t="n">
        <v>59.37</v>
      </c>
      <c r="Q145" s="32" t="n">
        <v>2789.09</v>
      </c>
      <c r="R145" s="31" t="inlineStr">
        <is>
          <t>Near 52W High Breakout</t>
        </is>
      </c>
      <c r="S145" s="31" t="inlineStr">
        <is>
          <t>Nifty 50</t>
        </is>
      </c>
      <c r="T145" s="32" t="n">
        <v>-6.27</v>
      </c>
      <c r="U145" s="32" t="n">
        <v>60.71</v>
      </c>
      <c r="V145" s="32" t="n">
        <v>71.45999999999999</v>
      </c>
      <c r="W145" s="32" t="n">
        <v>17.71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Less than 12%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Less than 50%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IF(B146=0,"",RANK(B146,$B$2:$B$370,0))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KDDL</t>
        </is>
      </c>
      <c r="D146" s="31" t="inlineStr">
        <is>
          <t>Kddl Limited</t>
        </is>
      </c>
      <c r="E146" s="31" t="inlineStr">
        <is>
          <t>consumer discretionary</t>
        </is>
      </c>
      <c r="F146" s="31" t="inlineStr">
        <is>
          <t>miscellaneous</t>
        </is>
      </c>
      <c r="G146" s="31" t="inlineStr">
        <is>
          <t>smallcap</t>
        </is>
      </c>
      <c r="H146" s="32" t="n">
        <v>3854.35</v>
      </c>
      <c r="I146" s="32" t="n">
        <v>3222</v>
      </c>
      <c r="J146" s="32" t="n">
        <v>2.81</v>
      </c>
      <c r="K146" s="32" t="n">
        <v>56239</v>
      </c>
      <c r="L146" s="31" t="n">
        <v>50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68.5</v>
      </c>
      <c r="P146" s="32" t="n">
        <v>22.63</v>
      </c>
      <c r="Q146" s="32" t="n">
        <v>2419.47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-6.27</v>
      </c>
      <c r="U146" s="32" t="n">
        <v>15.19</v>
      </c>
      <c r="V146" s="32" t="n">
        <v>22.89</v>
      </c>
      <c r="W146" s="32" t="n">
        <v>13.64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Between 1.5 to 2</t>
        </is>
      </c>
      <c r="BU146" s="31">
        <f>IF(BT146="Above 2",0,IF(BT146="Between 1.5 to 2",5,IF(BT146="Less than 1.5",10,0)))</f>
        <v/>
      </c>
      <c r="BV146" s="31" t="inlineStr">
        <is>
          <t>Less than 50%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IF(B147=0,"",RANK(B147,$B$2:$B$370,0))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HONASA</t>
        </is>
      </c>
      <c r="D147" s="31" t="inlineStr">
        <is>
          <t>Honasa Consumer Ltd</t>
        </is>
      </c>
      <c r="E147" s="31" t="inlineStr">
        <is>
          <t>services</t>
        </is>
      </c>
      <c r="F147" s="31" t="inlineStr">
        <is>
          <t>trading</t>
        </is>
      </c>
      <c r="G147" s="31" t="inlineStr">
        <is>
          <t>midcap</t>
        </is>
      </c>
      <c r="H147" s="32" t="n">
        <v>14526.13</v>
      </c>
      <c r="I147" s="32" t="n">
        <v>457.9</v>
      </c>
      <c r="J147" s="32" t="n">
        <v>2.56</v>
      </c>
      <c r="K147" s="32" t="n">
        <v>3799306</v>
      </c>
      <c r="L147" s="31" t="n">
        <v>73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81.31999999999999</v>
      </c>
      <c r="P147" s="32" t="n">
        <v>41.95</v>
      </c>
      <c r="Q147" s="32" t="n">
        <v>370.47</v>
      </c>
      <c r="R147" s="31" t="inlineStr">
        <is>
          <t>Near 52W High Breakout</t>
        </is>
      </c>
      <c r="S147" s="31" t="inlineStr">
        <is>
          <t>Nifty 50</t>
        </is>
      </c>
      <c r="T147" s="32" t="n">
        <v>-6.27</v>
      </c>
      <c r="U147" s="32" t="n">
        <v>54.7</v>
      </c>
      <c r="V147" s="32" t="n">
        <v>65.04000000000001</v>
      </c>
      <c r="W147" s="32" t="n">
        <v>20.8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Above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Between 50% to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IF(B148=0,"",RANK(B148,$B$2:$B$370,0))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RAMCOIND</t>
        </is>
      </c>
      <c r="D148" s="31" t="inlineStr">
        <is>
          <t>Ramco Industries Limited</t>
        </is>
      </c>
      <c r="E148" s="31" t="inlineStr">
        <is>
          <t>building materials</t>
        </is>
      </c>
      <c r="F148" s="31" t="inlineStr">
        <is>
          <t>cement products</t>
        </is>
      </c>
      <c r="G148" s="31" t="inlineStr">
        <is>
          <t>smallcap</t>
        </is>
      </c>
      <c r="H148" s="32" t="n">
        <v>2876.63</v>
      </c>
      <c r="I148" s="32" t="n">
        <v>338.85</v>
      </c>
      <c r="J148" s="32" t="n">
        <v>2.29</v>
      </c>
      <c r="K148" s="32" t="n">
        <v>1366886</v>
      </c>
      <c r="L148" s="31" t="n">
        <v>44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62.67</v>
      </c>
      <c r="P148" s="32" t="n">
        <v>22.99</v>
      </c>
      <c r="Q148" s="32" t="n">
        <v>257.91</v>
      </c>
      <c r="R148" s="31" t="inlineStr">
        <is>
          <t>Earnings / Momentum Support</t>
        </is>
      </c>
      <c r="S148" s="31" t="inlineStr">
        <is>
          <t>Nifty Infra</t>
        </is>
      </c>
      <c r="T148" s="32" t="n">
        <v>-0.44</v>
      </c>
      <c r="U148" s="32" t="n">
        <v>17.14</v>
      </c>
      <c r="V148" s="32" t="n">
        <v>17.66</v>
      </c>
      <c r="W148" s="32" t="n">
        <v>11.77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IF(B149=0,"",RANK(B149,$B$2:$B$370,0))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MENONBE</t>
        </is>
      </c>
      <c r="D149" s="31" t="inlineStr">
        <is>
          <t>Menon Bearings Limited</t>
        </is>
      </c>
      <c r="E149" s="31" t="inlineStr">
        <is>
          <t>auto</t>
        </is>
      </c>
      <c r="F149" s="31" t="inlineStr">
        <is>
          <t>auto ancillaries</t>
        </is>
      </c>
      <c r="G149" s="31" t="inlineStr">
        <is>
          <t>smallcap</t>
        </is>
      </c>
      <c r="H149" s="32" t="n">
        <v>907.46</v>
      </c>
      <c r="I149" s="32" t="n">
        <v>165.58</v>
      </c>
      <c r="J149" s="32" t="n">
        <v>2.25</v>
      </c>
      <c r="K149" s="32" t="n">
        <v>114940</v>
      </c>
      <c r="L149" s="31" t="n">
        <v>68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65.15000000000001</v>
      </c>
      <c r="P149" s="32" t="n">
        <v>37.13</v>
      </c>
      <c r="Q149" s="32" t="n">
        <v>129.23</v>
      </c>
      <c r="R149" s="31" t="inlineStr">
        <is>
          <t>Earnings / Momentum Support</t>
        </is>
      </c>
      <c r="S149" s="31" t="inlineStr">
        <is>
          <t>Nifty Auto</t>
        </is>
      </c>
      <c r="T149" s="32" t="n">
        <v>10.42</v>
      </c>
      <c r="U149" s="32" t="n">
        <v>36.68</v>
      </c>
      <c r="V149" s="32" t="n">
        <v>23.78</v>
      </c>
      <c r="W149" s="32" t="n">
        <v>19.06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Less than 50%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IF(B150=0,"",RANK(B150,$B$2:$B$370,0))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PARACABLES</t>
        </is>
      </c>
      <c r="D150" s="31" t="inlineStr">
        <is>
          <t>Paramount Communications Limited</t>
        </is>
      </c>
      <c r="E150" s="31" t="inlineStr">
        <is>
          <t>industrials</t>
        </is>
      </c>
      <c r="F150" s="31" t="inlineStr">
        <is>
          <t>cables - power</t>
        </is>
      </c>
      <c r="G150" s="31" t="inlineStr">
        <is>
          <t>smallcap</t>
        </is>
      </c>
      <c r="H150" s="32" t="n">
        <v>2069.63</v>
      </c>
      <c r="I150" s="32" t="n">
        <v>69.02</v>
      </c>
      <c r="J150" s="32" t="n">
        <v>1.78</v>
      </c>
      <c r="K150" s="32" t="n">
        <v>1310304</v>
      </c>
      <c r="L150" s="31" t="n">
        <v>89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69.19</v>
      </c>
      <c r="P150" s="32" t="n">
        <v>42.58</v>
      </c>
      <c r="Q150" s="32" t="n">
        <v>51.96</v>
      </c>
      <c r="R150" s="31" t="inlineStr">
        <is>
          <t>Earnings / Momentum Support</t>
        </is>
      </c>
      <c r="S150" s="31" t="inlineStr">
        <is>
          <t>Nifty Energy</t>
        </is>
      </c>
      <c r="T150" s="32" t="n">
        <v>8.85</v>
      </c>
      <c r="U150" s="32" t="n">
        <v>16.88</v>
      </c>
      <c r="V150" s="32" t="n">
        <v>7.38</v>
      </c>
      <c r="W150" s="32" t="n">
        <v>34.09</v>
      </c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Less than 12%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IF(B151=0,"",RANK(B151,$B$2:$B$370,0))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AETHER</t>
        </is>
      </c>
      <c r="D151" s="31" t="inlineStr">
        <is>
          <t>Aether Industries Ltd</t>
        </is>
      </c>
      <c r="E151" s="31" t="inlineStr">
        <is>
          <t>chemicals</t>
        </is>
      </c>
      <c r="F151" s="31" t="inlineStr">
        <is>
          <t>chemicals</t>
        </is>
      </c>
      <c r="G151" s="31" t="inlineStr">
        <is>
          <t>midcap</t>
        </is>
      </c>
      <c r="H151" s="32" t="n">
        <v>17808.29</v>
      </c>
      <c r="I151" s="32" t="n">
        <v>1359.1</v>
      </c>
      <c r="J151" s="32" t="n">
        <v>1.26</v>
      </c>
      <c r="K151" s="32" t="n">
        <v>278871</v>
      </c>
      <c r="L151" s="31" t="n">
        <v>62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70.64</v>
      </c>
      <c r="P151" s="32" t="n">
        <v>47.05</v>
      </c>
      <c r="Q151" s="32" t="n">
        <v>1060.56</v>
      </c>
      <c r="R151" s="31" t="inlineStr">
        <is>
          <t>Near 52W High Breakout</t>
        </is>
      </c>
      <c r="S151" s="31" t="inlineStr">
        <is>
          <t>Nifty 50</t>
        </is>
      </c>
      <c r="T151" s="32" t="n">
        <v>-6.27</v>
      </c>
      <c r="U151" s="32" t="n">
        <v>74.51000000000001</v>
      </c>
      <c r="V151" s="32" t="n">
        <v>86.18000000000001</v>
      </c>
      <c r="W151" s="32" t="n">
        <v>17.03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Less than 50%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IF(B152=0,"",RANK(B152,$B$2:$B$370,0))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STEELCAS</t>
        </is>
      </c>
      <c r="D152" s="31" t="inlineStr">
        <is>
          <t>Steelcast Ltd</t>
        </is>
      </c>
      <c r="E152" s="31" t="inlineStr">
        <is>
          <t>industrials</t>
        </is>
      </c>
      <c r="F152" s="31" t="inlineStr">
        <is>
          <t>castings &amp; forgings</t>
        </is>
      </c>
      <c r="G152" s="31" t="inlineStr">
        <is>
          <t>smallcap</t>
        </is>
      </c>
      <c r="H152" s="32" t="n">
        <v>3039.54</v>
      </c>
      <c r="I152" s="32" t="n">
        <v>303.55</v>
      </c>
      <c r="J152" s="32" t="n">
        <v>1.07</v>
      </c>
      <c r="K152" s="32" t="n">
        <v>81535</v>
      </c>
      <c r="L152" s="31" t="n">
        <v>43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72.15000000000001</v>
      </c>
      <c r="P152" s="32" t="n">
        <v>36.23</v>
      </c>
      <c r="Q152" s="32" t="n">
        <v>221.77</v>
      </c>
      <c r="R152" s="31" t="inlineStr">
        <is>
          <t>Near 52W High Breakout</t>
        </is>
      </c>
      <c r="S152" s="31" t="inlineStr">
        <is>
          <t>Nifty 50</t>
        </is>
      </c>
      <c r="T152" s="32" t="n">
        <v>-6.27</v>
      </c>
      <c r="U152" s="32" t="n">
        <v>26.23</v>
      </c>
      <c r="V152" s="32" t="n">
        <v>34.67</v>
      </c>
      <c r="W152" s="32" t="n">
        <v>11.61</v>
      </c>
      <c r="X152" s="31" t="inlineStr">
        <is>
          <t>Cyclical in an Upturn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Less than 12%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IF(B153=0,"",RANK(B153,$B$2:$B$370,0))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HFCL</t>
        </is>
      </c>
      <c r="D153" s="31" t="inlineStr">
        <is>
          <t>HFCL Ltd</t>
        </is>
      </c>
      <c r="E153" s="31" t="inlineStr">
        <is>
          <t>telecom</t>
        </is>
      </c>
      <c r="F153" s="31" t="inlineStr">
        <is>
          <t>cables - telephone</t>
        </is>
      </c>
      <c r="G153" s="31" t="inlineStr">
        <is>
          <t>largecap</t>
        </is>
      </c>
      <c r="H153" s="32" t="n">
        <v>32285</v>
      </c>
      <c r="I153" s="32" t="n">
        <v>212.85</v>
      </c>
      <c r="J153" s="32" t="n">
        <v>0.91</v>
      </c>
      <c r="K153" s="32" t="n">
        <v>26603532</v>
      </c>
      <c r="L153" s="31" t="n">
        <v>98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83.93000000000001</v>
      </c>
      <c r="P153" s="32" t="n">
        <v>61.32</v>
      </c>
      <c r="Q153" s="32" t="n">
        <v>162.54</v>
      </c>
      <c r="R153" s="31" t="inlineStr">
        <is>
          <t>Near 52W High Breakout</t>
        </is>
      </c>
      <c r="S153" s="31" t="inlineStr">
        <is>
          <t>Nifty Infra</t>
        </is>
      </c>
      <c r="T153" s="32" t="n">
        <v>-0.44</v>
      </c>
      <c r="U153" s="32" t="n">
        <v>151.96</v>
      </c>
      <c r="V153" s="32" t="n">
        <v>153.08</v>
      </c>
      <c r="W153" s="32" t="n">
        <v>75.70999999999999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Oligopoly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Yes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Above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Negative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IF(B154=0,"",RANK(B154,$B$2:$B$370,0))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GRINDWELL</t>
        </is>
      </c>
      <c r="D154" s="31" t="inlineStr">
        <is>
          <t>Grindwell Norton Limited</t>
        </is>
      </c>
      <c r="E154" s="31" t="inlineStr">
        <is>
          <t>industrials</t>
        </is>
      </c>
      <c r="F154" s="31" t="inlineStr">
        <is>
          <t>abrasives and grinding wheels</t>
        </is>
      </c>
      <c r="G154" s="31" t="inlineStr">
        <is>
          <t>largecap</t>
        </is>
      </c>
      <c r="H154" s="32" t="n">
        <v>23769.37</v>
      </c>
      <c r="I154" s="32" t="n">
        <v>2166.1</v>
      </c>
      <c r="J154" s="32" t="n">
        <v>0.9</v>
      </c>
      <c r="K154" s="32" t="n">
        <v>51111</v>
      </c>
      <c r="L154" s="31" t="n">
        <v>67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69.2</v>
      </c>
      <c r="P154" s="32" t="n">
        <v>35.18</v>
      </c>
      <c r="Q154" s="32" t="n">
        <v>1829.5</v>
      </c>
      <c r="R154" s="31" t="inlineStr">
        <is>
          <t>Near 52W High Breakout</t>
        </is>
      </c>
      <c r="S154" s="31" t="inlineStr">
        <is>
          <t>Nifty 50</t>
        </is>
      </c>
      <c r="T154" s="32" t="n">
        <v>-6.27</v>
      </c>
      <c r="U154" s="32" t="n">
        <v>25.44</v>
      </c>
      <c r="V154" s="32" t="n">
        <v>33.82</v>
      </c>
      <c r="W154" s="32" t="n">
        <v>18.24</v>
      </c>
      <c r="X154" s="31" t="inlineStr">
        <is>
          <t>Cyclical in an Upturn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IF(B155=0,"",RANK(B155,$B$2:$B$370,0))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3" t="inlineStr">
        <is>
          <t>SUNDRMFAST</t>
        </is>
      </c>
      <c r="D155" s="33" t="inlineStr">
        <is>
          <t>Sundram Fasteners Limited</t>
        </is>
      </c>
      <c r="E155" s="31" t="inlineStr">
        <is>
          <t>auto</t>
        </is>
      </c>
      <c r="F155" s="31" t="inlineStr">
        <is>
          <t>auto ancillaries</t>
        </is>
      </c>
      <c r="G155" s="31" t="inlineStr">
        <is>
          <t>midcap</t>
        </is>
      </c>
      <c r="H155" s="32" t="n">
        <v>19516.72</v>
      </c>
      <c r="I155" s="32" t="n">
        <v>933</v>
      </c>
      <c r="J155" s="32" t="n">
        <v>0.45</v>
      </c>
      <c r="K155" s="32" t="n">
        <v>271056</v>
      </c>
      <c r="L155" s="31" t="n">
        <v>10</v>
      </c>
      <c r="M155" s="31" t="inlineStr">
        <is>
          <t>Underperforming</t>
        </is>
      </c>
      <c r="N155" s="32">
        <f>IF(M155="Underperforming",-5,IF(L155&gt;=95,15,IF(L155&gt;=90,10,IF(L155&gt;=80,5,0))))</f>
        <v/>
      </c>
      <c r="O155" s="32" t="n">
        <v>61.31</v>
      </c>
      <c r="P155" s="32" t="n">
        <v>13.35</v>
      </c>
      <c r="Q155" s="32" t="n">
        <v>776.11</v>
      </c>
      <c r="R155" s="31" t="inlineStr">
        <is>
          <t>Volume Spike / Accumulation</t>
        </is>
      </c>
      <c r="S155" s="31" t="inlineStr">
        <is>
          <t>Nifty Auto</t>
        </is>
      </c>
      <c r="T155" s="32" t="n">
        <v>10.42</v>
      </c>
      <c r="U155" s="32" t="n">
        <v>-11.95</v>
      </c>
      <c r="V155" s="32" t="n">
        <v>-20.26</v>
      </c>
      <c r="W155" s="32" t="n">
        <v>3.6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0 to 20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Less than 1.5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IF(B156=0,"",RANK(B156,$B$2:$B$370,0))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BOSCHLTD</t>
        </is>
      </c>
      <c r="D156" s="31" t="inlineStr">
        <is>
          <t>Bosch Limited</t>
        </is>
      </c>
      <c r="E156" s="31" t="inlineStr">
        <is>
          <t>auto</t>
        </is>
      </c>
      <c r="F156" s="31" t="inlineStr">
        <is>
          <t>auto ancillaries</t>
        </is>
      </c>
      <c r="G156" s="31" t="inlineStr">
        <is>
          <t>largecap</t>
        </is>
      </c>
      <c r="H156" s="32" t="n">
        <v>117635.38</v>
      </c>
      <c r="I156" s="32" t="n">
        <v>39900</v>
      </c>
      <c r="J156" s="32" t="n">
        <v>0.04</v>
      </c>
      <c r="K156" s="32" t="n">
        <v>32837</v>
      </c>
      <c r="L156" s="31" t="n">
        <v>27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60.16</v>
      </c>
      <c r="P156" s="32" t="n">
        <v>21.79</v>
      </c>
      <c r="Q156" s="32" t="n">
        <v>33761.19</v>
      </c>
      <c r="R156" s="31" t="inlineStr">
        <is>
          <t>Near 52W High Breakout</t>
        </is>
      </c>
      <c r="S156" s="31" t="inlineStr">
        <is>
          <t>Nifty Auto</t>
        </is>
      </c>
      <c r="T156" s="32" t="n">
        <v>10.42</v>
      </c>
      <c r="U156" s="32" t="n">
        <v>12.56</v>
      </c>
      <c r="V156" s="32" t="n">
        <v>1.93</v>
      </c>
      <c r="W156" s="32" t="n">
        <v>8.17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IF(B157=0,"",RANK(B157,$B$2:$B$370,0))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JAYBARMARU</t>
        </is>
      </c>
      <c r="D157" s="31" t="inlineStr">
        <is>
          <t>Jay Bharat Maruti Limited</t>
        </is>
      </c>
      <c r="E157" s="31" t="inlineStr">
        <is>
          <t>auto</t>
        </is>
      </c>
      <c r="F157" s="31" t="inlineStr">
        <is>
          <t>auto ancillaries</t>
        </is>
      </c>
      <c r="G157" s="31" t="inlineStr">
        <is>
          <t>smallcap</t>
        </is>
      </c>
      <c r="H157" s="32" t="n">
        <v>1855.19</v>
      </c>
      <c r="I157" s="32" t="n">
        <v>171.1</v>
      </c>
      <c r="J157" s="32" t="n">
        <v>-0.16</v>
      </c>
      <c r="K157" s="32" t="n">
        <v>669311</v>
      </c>
      <c r="L157" s="31" t="n">
        <v>94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75.08</v>
      </c>
      <c r="P157" s="32" t="n">
        <v>29.36</v>
      </c>
      <c r="Q157" s="32" t="n">
        <v>127.07</v>
      </c>
      <c r="R157" s="31" t="inlineStr">
        <is>
          <t>Near 52W High Breakout</t>
        </is>
      </c>
      <c r="S157" s="31" t="inlineStr">
        <is>
          <t>Nifty Auto</t>
        </is>
      </c>
      <c r="T157" s="32" t="n">
        <v>10.42</v>
      </c>
      <c r="U157" s="32" t="n">
        <v>121.62</v>
      </c>
      <c r="V157" s="32" t="n">
        <v>100.7</v>
      </c>
      <c r="W157" s="32" t="n">
        <v>44.45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Between 50% to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Between 0.7 to 1.2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IF(B158=0,"",RANK(B158,$B$2:$B$370,0))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FINCABLES</t>
        </is>
      </c>
      <c r="D158" s="31" t="inlineStr">
        <is>
          <t>Finolex Cables Limited</t>
        </is>
      </c>
      <c r="E158" s="31" t="inlineStr">
        <is>
          <t>industrials</t>
        </is>
      </c>
      <c r="F158" s="31" t="inlineStr">
        <is>
          <t>cables - power</t>
        </is>
      </c>
      <c r="G158" s="31" t="inlineStr">
        <is>
          <t>midcap</t>
        </is>
      </c>
      <c r="H158" s="32" t="n">
        <v>18034.61</v>
      </c>
      <c r="I158" s="32" t="n">
        <v>1169.4</v>
      </c>
      <c r="J158" s="32" t="n">
        <v>-0.83</v>
      </c>
      <c r="K158" s="32" t="n">
        <v>364667</v>
      </c>
      <c r="L158" s="31" t="n">
        <v>55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63.18</v>
      </c>
      <c r="P158" s="32" t="n">
        <v>37.17</v>
      </c>
      <c r="Q158" s="32" t="n">
        <v>874.63</v>
      </c>
      <c r="R158" s="31" t="inlineStr">
        <is>
          <t>Near 52W High Breakout</t>
        </is>
      </c>
      <c r="S158" s="31" t="inlineStr">
        <is>
          <t>Nifty Energy</t>
        </is>
      </c>
      <c r="T158" s="32" t="n">
        <v>8.85</v>
      </c>
      <c r="U158" s="32" t="n">
        <v>20.58</v>
      </c>
      <c r="V158" s="32" t="n">
        <v>10.78</v>
      </c>
      <c r="W158" s="32" t="n">
        <v>15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Between 12 to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Less than 50%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IF(B159=0,"",RANK(B159,$B$2:$B$370,0))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3" t="inlineStr">
        <is>
          <t>GREENPLY</t>
        </is>
      </c>
      <c r="D159" s="33" t="inlineStr">
        <is>
          <t>Greenply Industries Limited</t>
        </is>
      </c>
      <c r="E159" s="31" t="inlineStr">
        <is>
          <t>building materials</t>
        </is>
      </c>
      <c r="F159" s="31" t="inlineStr">
        <is>
          <t>miscellaneous</t>
        </is>
      </c>
      <c r="G159" s="31" t="inlineStr">
        <is>
          <t>smallcap</t>
        </is>
      </c>
      <c r="H159" s="32" t="n">
        <v>3755.8</v>
      </c>
      <c r="I159" s="32" t="n">
        <v>296.64</v>
      </c>
      <c r="J159" s="32" t="n">
        <v>-1.35</v>
      </c>
      <c r="K159" s="32" t="n">
        <v>135240</v>
      </c>
      <c r="L159" s="31" t="n">
        <v>47</v>
      </c>
      <c r="M159" s="31" t="inlineStr">
        <is>
          <t>Underperforming</t>
        </is>
      </c>
      <c r="N159" s="32">
        <f>IF(M159="Underperforming",-5,IF(L159&gt;=95,15,IF(L159&gt;=90,10,IF(L159&gt;=80,5,0))))</f>
        <v/>
      </c>
      <c r="O159" s="32" t="n">
        <v>62.26</v>
      </c>
      <c r="P159" s="32" t="n">
        <v>26.62</v>
      </c>
      <c r="Q159" s="32" t="n">
        <v>231.48</v>
      </c>
      <c r="R159" s="31" t="inlineStr">
        <is>
          <t>Earnings / Momentum Support</t>
        </is>
      </c>
      <c r="S159" s="31" t="inlineStr">
        <is>
          <t>Nifty Infra</t>
        </is>
      </c>
      <c r="T159" s="32" t="n">
        <v>-0.44</v>
      </c>
      <c r="U159" s="32" t="n">
        <v>-5.69</v>
      </c>
      <c r="V159" s="32" t="n">
        <v>-5.28</v>
      </c>
      <c r="W159" s="32" t="n">
        <v>12.46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Less than 1.5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IF(B160=0,"",RANK(B160,$B$2:$B$370,0))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AVL</t>
        </is>
      </c>
      <c r="D160" s="31" t="inlineStr">
        <is>
          <t>Aditya Vision Ltd</t>
        </is>
      </c>
      <c r="E160" s="31" t="inlineStr">
        <is>
          <t>consumer discretionary</t>
        </is>
      </c>
      <c r="F160" s="31" t="inlineStr">
        <is>
          <t>trading</t>
        </is>
      </c>
      <c r="G160" s="31" t="inlineStr">
        <is>
          <t>midcap</t>
        </is>
      </c>
      <c r="H160" s="32" t="n">
        <v>8633.52</v>
      </c>
      <c r="I160" s="32" t="n">
        <v>658.6</v>
      </c>
      <c r="J160" s="32" t="n">
        <v>-1.49</v>
      </c>
      <c r="K160" s="32" t="n">
        <v>150775</v>
      </c>
      <c r="L160" s="31" t="n">
        <v>80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71.03</v>
      </c>
      <c r="P160" s="32" t="n">
        <v>30.56</v>
      </c>
      <c r="Q160" s="32" t="n">
        <v>520.09</v>
      </c>
      <c r="R160" s="31" t="inlineStr">
        <is>
          <t>Near 52W High Breakout</t>
        </is>
      </c>
      <c r="S160" s="31" t="inlineStr">
        <is>
          <t>Nifty 50</t>
        </is>
      </c>
      <c r="T160" s="32" t="n">
        <v>-6.27</v>
      </c>
      <c r="U160" s="32" t="n">
        <v>82.77</v>
      </c>
      <c r="V160" s="32" t="n">
        <v>94.98999999999999</v>
      </c>
      <c r="W160" s="32" t="n">
        <v>24.64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Between 1.5 to 2</t>
        </is>
      </c>
      <c r="BU160" s="31">
        <f>IF(BT160="Above 2",0,IF(BT160="Between 1.5 to 2",5,IF(BT160="Less than 1.5",10,0)))</f>
        <v/>
      </c>
      <c r="BV160" s="31" t="inlineStr">
        <is>
          <t>Less than 50%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Between 0.7 to 1.2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IF(B161=0,"",RANK(B161,$B$2:$B$370,0))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GABRIEL</t>
        </is>
      </c>
      <c r="D161" s="31" t="inlineStr">
        <is>
          <t>Gabriel India Limited</t>
        </is>
      </c>
      <c r="E161" s="31" t="inlineStr">
        <is>
          <t>auto</t>
        </is>
      </c>
      <c r="F161" s="31" t="inlineStr">
        <is>
          <t>auto ancillaries</t>
        </is>
      </c>
      <c r="G161" s="31" t="inlineStr">
        <is>
          <t>largecap</t>
        </is>
      </c>
      <c r="H161" s="32" t="n">
        <v>22600.37</v>
      </c>
      <c r="I161" s="32" t="n">
        <v>1239.3</v>
      </c>
      <c r="J161" s="32" t="n">
        <v>-2.82</v>
      </c>
      <c r="K161" s="32" t="n">
        <v>277145</v>
      </c>
      <c r="L161" s="31" t="n">
        <v>62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63.69</v>
      </c>
      <c r="P161" s="32" t="n">
        <v>20.73</v>
      </c>
      <c r="Q161" s="32" t="n">
        <v>952.91</v>
      </c>
      <c r="R161" s="31" t="inlineStr">
        <is>
          <t>Near 52W High Breakout</t>
        </is>
      </c>
      <c r="S161" s="31" t="inlineStr">
        <is>
          <t>Nifty Auto</t>
        </is>
      </c>
      <c r="T161" s="32" t="n">
        <v>10.42</v>
      </c>
      <c r="U161" s="32" t="n">
        <v>30.78</v>
      </c>
      <c r="V161" s="32" t="n">
        <v>18.43</v>
      </c>
      <c r="W161" s="32" t="n">
        <v>16.73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IF(B162=0,"",RANK(B162,$B$2:$B$370,0))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CAPLIPOINT</t>
        </is>
      </c>
      <c r="D162" s="31" t="inlineStr">
        <is>
          <t>Caplin Point Laboratories Limited</t>
        </is>
      </c>
      <c r="E162" s="31" t="inlineStr">
        <is>
          <t>healthcare</t>
        </is>
      </c>
      <c r="F162" s="31" t="inlineStr">
        <is>
          <t>pharmaceuticals - indian - formulations</t>
        </is>
      </c>
      <c r="G162" s="31" t="inlineStr">
        <is>
          <t>midcap</t>
        </is>
      </c>
      <c r="H162" s="32" t="n">
        <v>19443.03</v>
      </c>
      <c r="I162" s="32" t="n">
        <v>2626</v>
      </c>
      <c r="J162" s="32" t="n">
        <v>2.66</v>
      </c>
      <c r="K162" s="32" t="n">
        <v>390703</v>
      </c>
      <c r="L162" s="31" t="n">
        <v>76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81.06999999999999</v>
      </c>
      <c r="P162" s="32" t="n">
        <v>29.12</v>
      </c>
      <c r="Q162" s="32" t="n">
        <v>2170.19</v>
      </c>
      <c r="R162" s="31" t="inlineStr">
        <is>
          <t>Near 52W High Breakout</t>
        </is>
      </c>
      <c r="S162" s="31" t="inlineStr">
        <is>
          <t>Nifty Pharma</t>
        </is>
      </c>
      <c r="T162" s="32" t="n">
        <v>13.14</v>
      </c>
      <c r="U162" s="32" t="n">
        <v>30.57</v>
      </c>
      <c r="V162" s="32" t="n">
        <v>15.41</v>
      </c>
      <c r="W162" s="32" t="n">
        <v>22.51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Yes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Above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Between 12 to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Between 1.5 to 2</t>
        </is>
      </c>
      <c r="BU162" s="31">
        <f>IF(BT162="Above 2",0,IF(BT162="Between 1.5 to 2",5,IF(BT162="Less than 1.5",10,0)))</f>
        <v/>
      </c>
      <c r="BV162" s="31" t="inlineStr">
        <is>
          <t>Between 50% to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IF(B163=0,"",RANK(B163,$B$2:$B$370,0))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VIYASH</t>
        </is>
      </c>
      <c r="D163" s="31" t="inlineStr">
        <is>
          <t>Viyash Scientific Ltd</t>
        </is>
      </c>
      <c r="E163" s="31" t="inlineStr">
        <is>
          <t>healthcare</t>
        </is>
      </c>
      <c r="F163" s="31" t="inlineStr">
        <is>
          <t>pharmaceuticals - indian - bulk drugs &amp; formln</t>
        </is>
      </c>
      <c r="G163" s="31" t="inlineStr">
        <is>
          <t>midcap</t>
        </is>
      </c>
      <c r="H163" s="32" t="n">
        <v>11786.23</v>
      </c>
      <c r="I163" s="32" t="n">
        <v>276.75</v>
      </c>
      <c r="J163" s="32" t="n">
        <v>2.58</v>
      </c>
      <c r="K163" s="32" t="n">
        <v>3017717</v>
      </c>
      <c r="L163" s="31" t="n">
        <v>67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72.59</v>
      </c>
      <c r="P163" s="32" t="n">
        <v>37.85</v>
      </c>
      <c r="Q163" s="32" t="n">
        <v>214.59</v>
      </c>
      <c r="R163" s="31" t="inlineStr">
        <is>
          <t>Near 52W High Breakout</t>
        </is>
      </c>
      <c r="S163" s="31" t="inlineStr">
        <is>
          <t>Nifty Pharma</t>
        </is>
      </c>
      <c r="T163" s="32" t="n">
        <v>13.14</v>
      </c>
      <c r="U163" s="32" t="n">
        <v>46.91</v>
      </c>
      <c r="V163" s="32" t="n">
        <v>29.85</v>
      </c>
      <c r="W163" s="32" t="n">
        <v>18.23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Yes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Annuity, Lower One Time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Less than 50%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IF(B164=0,"",RANK(B164,$B$2:$B$370,0))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YATHARTH</t>
        </is>
      </c>
      <c r="D164" s="31" t="inlineStr">
        <is>
          <t>Yatharth Hospital &amp; Trauma Care Services Ltd</t>
        </is>
      </c>
      <c r="E164" s="31" t="inlineStr">
        <is>
          <t>healthcare</t>
        </is>
      </c>
      <c r="F164" s="31" t="inlineStr">
        <is>
          <t>healthcare</t>
        </is>
      </c>
      <c r="G164" s="31" t="inlineStr">
        <is>
          <t>midcap</t>
        </is>
      </c>
      <c r="H164" s="32" t="n">
        <v>8179.52</v>
      </c>
      <c r="I164" s="32" t="n">
        <v>858.6</v>
      </c>
      <c r="J164" s="32" t="n">
        <v>1.14</v>
      </c>
      <c r="K164" s="32" t="n">
        <v>404710</v>
      </c>
      <c r="L164" s="31" t="n">
        <v>55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61.73</v>
      </c>
      <c r="P164" s="32" t="n">
        <v>29.41</v>
      </c>
      <c r="Q164" s="32" t="n">
        <v>679.61</v>
      </c>
      <c r="R164" s="31" t="inlineStr">
        <is>
          <t>Near 52W High Breakout</t>
        </is>
      </c>
      <c r="S164" s="31" t="inlineStr">
        <is>
          <t>Nifty Pharma</t>
        </is>
      </c>
      <c r="T164" s="32" t="n">
        <v>13.14</v>
      </c>
      <c r="U164" s="32" t="n">
        <v>49.23</v>
      </c>
      <c r="V164" s="32" t="n">
        <v>31.9</v>
      </c>
      <c r="W164" s="32" t="n">
        <v>15.02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Yes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Annuity, Lower One Time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Between 12 to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Between 50% to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IF(B165=0,"",RANK(B165,$B$2:$B$370,0))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3" t="inlineStr">
        <is>
          <t>RAINBOW</t>
        </is>
      </c>
      <c r="D165" s="33" t="inlineStr">
        <is>
          <t>Rainbow Childrens Medicare Ltd</t>
        </is>
      </c>
      <c r="E165" s="31" t="inlineStr">
        <is>
          <t>healthcare</t>
        </is>
      </c>
      <c r="F165" s="31" t="inlineStr">
        <is>
          <t>healthcare</t>
        </is>
      </c>
      <c r="G165" s="31" t="inlineStr">
        <is>
          <t>midcap</t>
        </is>
      </c>
      <c r="H165" s="32" t="n">
        <v>14274.14</v>
      </c>
      <c r="I165" s="32" t="n">
        <v>1414.2</v>
      </c>
      <c r="J165" s="32" t="n">
        <v>0.62</v>
      </c>
      <c r="K165" s="32" t="n">
        <v>139393</v>
      </c>
      <c r="L165" s="31" t="n">
        <v>7</v>
      </c>
      <c r="M165" s="31" t="inlineStr">
        <is>
          <t>Underperforming</t>
        </is>
      </c>
      <c r="N165" s="32">
        <f>IF(M165="Underperforming",-5,IF(L165&gt;=95,15,IF(L165&gt;=90,10,IF(L165&gt;=80,5,0))))</f>
        <v/>
      </c>
      <c r="O165" s="32" t="n">
        <v>60.72</v>
      </c>
      <c r="P165" s="32" t="n">
        <v>27.1</v>
      </c>
      <c r="Q165" s="32" t="n">
        <v>1236.68</v>
      </c>
      <c r="R165" s="31" t="inlineStr">
        <is>
          <t>Earnings / Momentum Support</t>
        </is>
      </c>
      <c r="S165" s="31" t="inlineStr">
        <is>
          <t>Nifty Pharma</t>
        </is>
      </c>
      <c r="T165" s="32" t="n">
        <v>13.14</v>
      </c>
      <c r="U165" s="32" t="n">
        <v>-11.58</v>
      </c>
      <c r="V165" s="32" t="n">
        <v>-21.85</v>
      </c>
      <c r="W165" s="32" t="n">
        <v>3.05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Yes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Annuity, Lower One Time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IF(B166=0,"",RANK(B166,$B$2:$B$370,0))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BLSE</t>
        </is>
      </c>
      <c r="D166" s="31" t="inlineStr">
        <is>
          <t>BLS E-Services Ltd</t>
        </is>
      </c>
      <c r="E166" s="31" t="inlineStr">
        <is>
          <t>i.t</t>
        </is>
      </c>
      <c r="F166" s="31" t="inlineStr">
        <is>
          <t>computers - software - medium / small</t>
        </is>
      </c>
      <c r="G166" s="31" t="inlineStr">
        <is>
          <t>smallcap</t>
        </is>
      </c>
      <c r="H166" s="32" t="n">
        <v>2115.87</v>
      </c>
      <c r="I166" s="32" t="n">
        <v>233</v>
      </c>
      <c r="J166" s="32" t="n">
        <v>0.05</v>
      </c>
      <c r="K166" s="32" t="n">
        <v>193562</v>
      </c>
      <c r="L166" s="31" t="n">
        <v>54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69.01000000000001</v>
      </c>
      <c r="P166" s="32" t="n">
        <v>22.56</v>
      </c>
      <c r="Q166" s="32" t="n">
        <v>182.96</v>
      </c>
      <c r="R166" s="31" t="inlineStr">
        <is>
          <t>Near 52W High Breakout</t>
        </is>
      </c>
      <c r="S166" s="31" t="inlineStr">
        <is>
          <t>Nifty IT</t>
        </is>
      </c>
      <c r="T166" s="32" t="n">
        <v>-32.85</v>
      </c>
      <c r="U166" s="32" t="n">
        <v>20.99</v>
      </c>
      <c r="V166" s="32" t="n">
        <v>80.19</v>
      </c>
      <c r="W166" s="32" t="n">
        <v>14.94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Annuity, Lower One Time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Less than 12%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Between 50% to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IF(B167=0,"",RANK(B167,$B$2:$B$370,0))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LALPATHLAB</t>
        </is>
      </c>
      <c r="D167" s="31" t="inlineStr">
        <is>
          <t>Dr. Lal Path Labs Ltd.</t>
        </is>
      </c>
      <c r="E167" s="31" t="inlineStr">
        <is>
          <t>healthcare</t>
        </is>
      </c>
      <c r="F167" s="31" t="inlineStr">
        <is>
          <t>healthcare</t>
        </is>
      </c>
      <c r="G167" s="31" t="inlineStr">
        <is>
          <t>largecap</t>
        </is>
      </c>
      <c r="H167" s="32" t="n">
        <v>27596.31</v>
      </c>
      <c r="I167" s="32" t="n">
        <v>1646.2</v>
      </c>
      <c r="J167" s="32" t="n">
        <v>-0.05</v>
      </c>
      <c r="K167" s="32" t="n">
        <v>426429</v>
      </c>
      <c r="L167" s="31" t="n">
        <v>29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60.99</v>
      </c>
      <c r="P167" s="32" t="n">
        <v>27.79</v>
      </c>
      <c r="Q167" s="32" t="n">
        <v>1366.86</v>
      </c>
      <c r="R167" s="31" t="inlineStr">
        <is>
          <t>Near 52W High Breakout</t>
        </is>
      </c>
      <c r="S167" s="31" t="inlineStr">
        <is>
          <t>Nifty Pharma</t>
        </is>
      </c>
      <c r="T167" s="32" t="n">
        <v>13.14</v>
      </c>
      <c r="U167" s="32" t="n">
        <v>16.61</v>
      </c>
      <c r="V167" s="32" t="n">
        <v>3.07</v>
      </c>
      <c r="W167" s="32" t="n">
        <v>8.640000000000001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Yes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Annuity, Lower One Time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Less than 12%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IF(B168=0,"",RANK(B168,$B$2:$B$370,0))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VSTIND</t>
        </is>
      </c>
      <c r="D168" s="31" t="inlineStr">
        <is>
          <t>Vst Industries Limited</t>
        </is>
      </c>
      <c r="E168" s="31" t="inlineStr">
        <is>
          <t>fmcg</t>
        </is>
      </c>
      <c r="F168" s="31" t="inlineStr">
        <is>
          <t>cigarettes</t>
        </is>
      </c>
      <c r="G168" s="31" t="inlineStr">
        <is>
          <t>smallcap</t>
        </is>
      </c>
      <c r="H168" s="32" t="n">
        <v>4424.88</v>
      </c>
      <c r="I168" s="32" t="n">
        <v>260.3</v>
      </c>
      <c r="J168" s="32" t="n">
        <v>-0.08</v>
      </c>
      <c r="K168" s="32" t="n">
        <v>292237</v>
      </c>
      <c r="L168" s="31" t="n">
        <v>9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56.93</v>
      </c>
      <c r="P168" s="32" t="n">
        <v>23.38</v>
      </c>
      <c r="Q168" s="32" t="n">
        <v>225.33</v>
      </c>
      <c r="R168" s="31" t="inlineStr">
        <is>
          <t>Earnings / Momentum Support</t>
        </is>
      </c>
      <c r="S168" s="31" t="inlineStr">
        <is>
          <t>Nifty FMCG</t>
        </is>
      </c>
      <c r="T168" s="32" t="n">
        <v>-10.85</v>
      </c>
      <c r="U168" s="32" t="n">
        <v>-7.11</v>
      </c>
      <c r="V168" s="32" t="n">
        <v>4.2</v>
      </c>
      <c r="W168" s="32" t="n">
        <v>3.28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B2C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Annuity, Lower One Time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Less than 50%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IF(B169=0,"",RANK(B169,$B$2:$B$370,0))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3" t="inlineStr">
        <is>
          <t>WOCKPHARMA</t>
        </is>
      </c>
      <c r="D169" s="33" t="inlineStr">
        <is>
          <t>Wockhardt Limited</t>
        </is>
      </c>
      <c r="E169" s="31" t="inlineStr">
        <is>
          <t>healthcare</t>
        </is>
      </c>
      <c r="F169" s="31" t="inlineStr">
        <is>
          <t>pharmaceuticals - indian - bulk drugs &amp; formln</t>
        </is>
      </c>
      <c r="G169" s="31" t="inlineStr">
        <is>
          <t>largecap</t>
        </is>
      </c>
      <c r="H169" s="32" t="n">
        <v>31681.1</v>
      </c>
      <c r="I169" s="32" t="n">
        <v>1941.4</v>
      </c>
      <c r="J169" s="32" t="n">
        <v>-0.43</v>
      </c>
      <c r="K169" s="32" t="n">
        <v>623032</v>
      </c>
      <c r="L169" s="31" t="n">
        <v>57</v>
      </c>
      <c r="M169" s="31" t="inlineStr">
        <is>
          <t>Underperforming</t>
        </is>
      </c>
      <c r="N169" s="32">
        <f>IF(M169="Underperforming",-5,IF(L169&gt;=95,15,IF(L169&gt;=90,10,IF(L169&gt;=80,5,0))))</f>
        <v/>
      </c>
      <c r="O169" s="32" t="n">
        <v>67.8</v>
      </c>
      <c r="P169" s="32" t="n">
        <v>39.65</v>
      </c>
      <c r="Q169" s="32" t="n">
        <v>1497.23</v>
      </c>
      <c r="R169" s="31" t="inlineStr">
        <is>
          <t>Near 52W High Breakout</t>
        </is>
      </c>
      <c r="S169" s="31" t="inlineStr">
        <is>
          <t>Nifty Pharma</t>
        </is>
      </c>
      <c r="T169" s="32" t="n">
        <v>13.14</v>
      </c>
      <c r="U169" s="32" t="n">
        <v>12.56</v>
      </c>
      <c r="V169" s="32" t="n">
        <v>-0.52</v>
      </c>
      <c r="W169" s="32" t="n">
        <v>15.35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Yes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Annuity, Lower One Time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Between 50% to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IF(B170=0,"",RANK(B170,$B$2:$B$370,0))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3" t="inlineStr">
        <is>
          <t>SUNPHARMA</t>
        </is>
      </c>
      <c r="D170" s="33" t="inlineStr">
        <is>
          <t>Sun Pharmaceuticals Industries Limited</t>
        </is>
      </c>
      <c r="E170" s="31" t="inlineStr">
        <is>
          <t>healthcare</t>
        </is>
      </c>
      <c r="F170" s="31" t="inlineStr">
        <is>
          <t>pharmaceuticals - indian - bulk drugs &amp; formln</t>
        </is>
      </c>
      <c r="G170" s="31" t="inlineStr">
        <is>
          <t>largecap</t>
        </is>
      </c>
      <c r="H170" s="32" t="n">
        <v>449827.32</v>
      </c>
      <c r="I170" s="32" t="n">
        <v>1862.5</v>
      </c>
      <c r="J170" s="32" t="n">
        <v>-0.66</v>
      </c>
      <c r="K170" s="32" t="n">
        <v>2352774</v>
      </c>
      <c r="L170" s="31" t="n">
        <v>12</v>
      </c>
      <c r="M170" s="31" t="inlineStr">
        <is>
          <t>Underperforming</t>
        </is>
      </c>
      <c r="N170" s="32">
        <f>IF(M170="Underperforming",-5,IF(L170&gt;=95,15,IF(L170&gt;=90,10,IF(L170&gt;=80,5,0))))</f>
        <v/>
      </c>
      <c r="O170" s="32" t="n">
        <v>59.67</v>
      </c>
      <c r="P170" s="32" t="n">
        <v>14.7</v>
      </c>
      <c r="Q170" s="32" t="n">
        <v>1650.2</v>
      </c>
      <c r="R170" s="31" t="inlineStr">
        <is>
          <t>Near 52W High Breakout</t>
        </is>
      </c>
      <c r="S170" s="31" t="inlineStr">
        <is>
          <t>Nifty Pharma</t>
        </is>
      </c>
      <c r="T170" s="32" t="n">
        <v>13.14</v>
      </c>
      <c r="U170" s="32" t="n">
        <v>12.2</v>
      </c>
      <c r="V170" s="32" t="n">
        <v>-0.83</v>
      </c>
      <c r="W170" s="32" t="n">
        <v>4.43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Yes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Annuity, Lower One Time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0 to 20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Between 1.5 to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IF(B171=0,"",RANK(B171,$B$2:$B$370,0))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HMVL</t>
        </is>
      </c>
      <c r="D171" s="31" t="inlineStr">
        <is>
          <t>Hindustan Media Ventures Limited</t>
        </is>
      </c>
      <c r="E171" s="31" t="inlineStr">
        <is>
          <t>media</t>
        </is>
      </c>
      <c r="F171" s="31" t="inlineStr">
        <is>
          <t>entertainment / electronic media software</t>
        </is>
      </c>
      <c r="G171" s="31" t="inlineStr">
        <is>
          <t>smallcap</t>
        </is>
      </c>
      <c r="H171" s="32" t="n">
        <v>640.0599999999999</v>
      </c>
      <c r="I171" s="32" t="n">
        <v>86</v>
      </c>
      <c r="J171" s="32" t="n">
        <v>-1.01</v>
      </c>
      <c r="K171" s="32" t="n">
        <v>21904</v>
      </c>
      <c r="L171" s="31" t="n">
        <v>31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67.06999999999999</v>
      </c>
      <c r="P171" s="32" t="n">
        <v>27.57</v>
      </c>
      <c r="Q171" s="32" t="n">
        <v>66.15000000000001</v>
      </c>
      <c r="R171" s="31" t="inlineStr">
        <is>
          <t>Near 52W High Breakout</t>
        </is>
      </c>
      <c r="S171" s="31" t="inlineStr">
        <is>
          <t>Nifty IT</t>
        </is>
      </c>
      <c r="T171" s="32" t="n">
        <v>-32.85</v>
      </c>
      <c r="U171" s="32" t="n">
        <v>-3.13</v>
      </c>
      <c r="V171" s="32" t="n">
        <v>44.27</v>
      </c>
      <c r="W171" s="32" t="n">
        <v>9.210000000000001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Annuity, Lower One Time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Less than 12%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Between 50% to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IF(B172=0,"",RANK(B172,$B$2:$B$370,0))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SPAL</t>
        </is>
      </c>
      <c r="D172" s="31" t="inlineStr">
        <is>
          <t>S. P. Apparels Limited</t>
        </is>
      </c>
      <c r="E172" s="31" t="inlineStr">
        <is>
          <t>consumer discretionary</t>
        </is>
      </c>
      <c r="F172" s="31" t="inlineStr">
        <is>
          <t>textiles - products</t>
        </is>
      </c>
      <c r="G172" s="31" t="inlineStr">
        <is>
          <t>smallcap</t>
        </is>
      </c>
      <c r="H172" s="32" t="n">
        <v>2643.1</v>
      </c>
      <c r="I172" s="32" t="n">
        <v>1138.15</v>
      </c>
      <c r="J172" s="32" t="n">
        <v>8.25</v>
      </c>
      <c r="K172" s="32" t="n">
        <v>1266661</v>
      </c>
      <c r="L172" s="31" t="n">
        <v>71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81.01000000000001</v>
      </c>
      <c r="P172" s="32" t="n">
        <v>32.21</v>
      </c>
      <c r="Q172" s="32" t="n">
        <v>854.9</v>
      </c>
      <c r="R172" s="31" t="inlineStr">
        <is>
          <t>Near 52W High Breakout</t>
        </is>
      </c>
      <c r="S172" s="31" t="inlineStr">
        <is>
          <t>Nifty 50</t>
        </is>
      </c>
      <c r="T172" s="32" t="n">
        <v>-6.27</v>
      </c>
      <c r="U172" s="32" t="n">
        <v>33.59</v>
      </c>
      <c r="V172" s="32" t="n">
        <v>42.52</v>
      </c>
      <c r="W172" s="32" t="n">
        <v>20.27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Above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IF(B173=0,"",RANK(B173,$B$2:$B$370,0))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KERNEX</t>
        </is>
      </c>
      <c r="D173" s="31" t="inlineStr">
        <is>
          <t>Kernex Microsystems (india) Limited</t>
        </is>
      </c>
      <c r="E173" s="31" t="inlineStr">
        <is>
          <t>consumer discretionary</t>
        </is>
      </c>
      <c r="F173" s="31" t="inlineStr">
        <is>
          <t>electronics - components</t>
        </is>
      </c>
      <c r="G173" s="31" t="inlineStr">
        <is>
          <t>smallcap</t>
        </is>
      </c>
      <c r="H173" s="32" t="n">
        <v>3454.91</v>
      </c>
      <c r="I173" s="32" t="n">
        <v>2159.9</v>
      </c>
      <c r="J173" s="32" t="n">
        <v>5.04</v>
      </c>
      <c r="K173" s="32" t="n">
        <v>241810</v>
      </c>
      <c r="L173" s="31" t="n">
        <v>95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76.42</v>
      </c>
      <c r="P173" s="32" t="n">
        <v>39.94</v>
      </c>
      <c r="Q173" s="32" t="n">
        <v>1625.55</v>
      </c>
      <c r="R173" s="31" t="inlineStr">
        <is>
          <t>Near 52W High Breakout</t>
        </is>
      </c>
      <c r="S173" s="31" t="inlineStr">
        <is>
          <t>Nifty 50</t>
        </is>
      </c>
      <c r="T173" s="32" t="n">
        <v>-6.27</v>
      </c>
      <c r="U173" s="32" t="n">
        <v>84.48</v>
      </c>
      <c r="V173" s="32" t="n">
        <v>96.81</v>
      </c>
      <c r="W173" s="32" t="n">
        <v>46.92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Above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Negative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IF(B174=0,"",RANK(B174,$B$2:$B$370,0))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GHCLTEXTIL</t>
        </is>
      </c>
      <c r="D174" s="31" t="inlineStr">
        <is>
          <t>GHCL Textiles Ltd</t>
        </is>
      </c>
      <c r="E174" s="31" t="inlineStr">
        <is>
          <t>textiles</t>
        </is>
      </c>
      <c r="F174" s="31" t="inlineStr">
        <is>
          <t>textiles - spinning - synthetic / blended</t>
        </is>
      </c>
      <c r="G174" s="31" t="inlineStr">
        <is>
          <t>smallcap</t>
        </is>
      </c>
      <c r="H174" s="32" t="n">
        <v>907.2</v>
      </c>
      <c r="I174" s="32" t="n">
        <v>99.63</v>
      </c>
      <c r="J174" s="32" t="n">
        <v>4.97</v>
      </c>
      <c r="K174" s="32" t="n">
        <v>1214997</v>
      </c>
      <c r="L174" s="31" t="n">
        <v>37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63.39</v>
      </c>
      <c r="P174" s="32" t="n">
        <v>19.4</v>
      </c>
      <c r="Q174" s="32" t="n">
        <v>74.78</v>
      </c>
      <c r="R174" s="31" t="inlineStr">
        <is>
          <t>Near 52W High Breakout</t>
        </is>
      </c>
      <c r="S174" s="31" t="inlineStr">
        <is>
          <t>Nifty 50</t>
        </is>
      </c>
      <c r="T174" s="32" t="n">
        <v>-6.27</v>
      </c>
      <c r="U174" s="32" t="n">
        <v>7.94</v>
      </c>
      <c r="V174" s="32" t="n">
        <v>15.16</v>
      </c>
      <c r="W174" s="32" t="n">
        <v>10.46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0 to 20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Less than 50%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IF(B175=0,"",RANK(B175,$B$2:$B$370,0))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WELENT</t>
        </is>
      </c>
      <c r="D175" s="31" t="inlineStr">
        <is>
          <t>Welspun Enterprises Limited</t>
        </is>
      </c>
      <c r="E175" s="31" t="inlineStr">
        <is>
          <t>realty</t>
        </is>
      </c>
      <c r="F175" s="31" t="inlineStr">
        <is>
          <t>construction</t>
        </is>
      </c>
      <c r="G175" s="31" t="inlineStr">
        <is>
          <t>midcap</t>
        </is>
      </c>
      <c r="H175" s="32" t="n">
        <v>7947.03</v>
      </c>
      <c r="I175" s="32" t="n">
        <v>601.45</v>
      </c>
      <c r="J175" s="32" t="n">
        <v>4.75</v>
      </c>
      <c r="K175" s="32" t="n">
        <v>1015862</v>
      </c>
      <c r="L175" s="31" t="n">
        <v>42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70.59999999999999</v>
      </c>
      <c r="P175" s="32" t="n">
        <v>15.35</v>
      </c>
      <c r="Q175" s="32" t="n">
        <v>482.55</v>
      </c>
      <c r="R175" s="31" t="inlineStr">
        <is>
          <t>Near 52W High Breakout</t>
        </is>
      </c>
      <c r="S175" s="31" t="inlineStr">
        <is>
          <t>Nifty Realty</t>
        </is>
      </c>
      <c r="T175" s="32" t="n">
        <v>-14.65</v>
      </c>
      <c r="U175" s="32" t="n">
        <v>13.85</v>
      </c>
      <c r="V175" s="32" t="n">
        <v>33.4</v>
      </c>
      <c r="W175" s="32" t="n">
        <v>11.36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0 to 20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Less than 1.5</t>
        </is>
      </c>
      <c r="BU175" s="31">
        <f>IF(BT175="Above 2",0,IF(BT175="Between 1.5 to 2",5,IF(BT175="Less than 1.5",10,0)))</f>
        <v/>
      </c>
      <c r="BV175" s="31" t="inlineStr">
        <is>
          <t>Less than 50%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IF(B176=0,"",RANK(B176,$B$2:$B$370,0))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3" t="inlineStr">
        <is>
          <t>VISAKAIND</t>
        </is>
      </c>
      <c r="D176" s="33" t="inlineStr">
        <is>
          <t>Visaka Industries Limited</t>
        </is>
      </c>
      <c r="E176" s="31" t="inlineStr">
        <is>
          <t>building materials</t>
        </is>
      </c>
      <c r="F176" s="31" t="inlineStr">
        <is>
          <t>cement products</t>
        </is>
      </c>
      <c r="G176" s="31" t="inlineStr">
        <is>
          <t>smallcap</t>
        </is>
      </c>
      <c r="H176" s="32" t="n">
        <v>662.98</v>
      </c>
      <c r="I176" s="32" t="n">
        <v>79.95</v>
      </c>
      <c r="J176" s="32" t="n">
        <v>4.2</v>
      </c>
      <c r="K176" s="32" t="n">
        <v>324088</v>
      </c>
      <c r="L176" s="31" t="n">
        <v>24</v>
      </c>
      <c r="M176" s="31" t="inlineStr">
        <is>
          <t>Underperforming</t>
        </is>
      </c>
      <c r="N176" s="32">
        <f>IF(M176="Underperforming",-5,IF(L176&gt;=95,15,IF(L176&gt;=90,10,IF(L176&gt;=80,5,0))))</f>
        <v/>
      </c>
      <c r="O176" s="32" t="n">
        <v>64.94</v>
      </c>
      <c r="P176" s="32" t="n">
        <v>23.61</v>
      </c>
      <c r="Q176" s="32" t="n">
        <v>61.82</v>
      </c>
      <c r="R176" s="31" t="inlineStr">
        <is>
          <t>Earnings / Momentum Support</t>
        </is>
      </c>
      <c r="S176" s="31" t="inlineStr">
        <is>
          <t>Nifty Infra</t>
        </is>
      </c>
      <c r="T176" s="32" t="n">
        <v>-0.44</v>
      </c>
      <c r="U176" s="32" t="n">
        <v>-13</v>
      </c>
      <c r="V176" s="32" t="n">
        <v>-12.61</v>
      </c>
      <c r="W176" s="32" t="n">
        <v>7.01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IF(B177=0,"",RANK(B177,$B$2:$B$370,0))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KPRMILL</t>
        </is>
      </c>
      <c r="D177" s="31" t="inlineStr">
        <is>
          <t>K.p.r. Mill Limited</t>
        </is>
      </c>
      <c r="E177" s="31" t="inlineStr">
        <is>
          <t>consumer discretionary</t>
        </is>
      </c>
      <c r="F177" s="31" t="inlineStr">
        <is>
          <t>textiles - products</t>
        </is>
      </c>
      <c r="G177" s="31" t="inlineStr">
        <is>
          <t>largecap</t>
        </is>
      </c>
      <c r="H177" s="32" t="n">
        <v>38676.25</v>
      </c>
      <c r="I177" s="32" t="n">
        <v>1177.3</v>
      </c>
      <c r="J177" s="32" t="n">
        <v>4.05</v>
      </c>
      <c r="K177" s="32" t="n">
        <v>993804</v>
      </c>
      <c r="L177" s="31" t="n">
        <v>35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69.58</v>
      </c>
      <c r="P177" s="32" t="n">
        <v>34.41</v>
      </c>
      <c r="Q177" s="32" t="n">
        <v>913.24</v>
      </c>
      <c r="R177" s="31" t="inlineStr">
        <is>
          <t>Near 52W High Breakout</t>
        </is>
      </c>
      <c r="S177" s="31" t="inlineStr">
        <is>
          <t>Nifty 50</t>
        </is>
      </c>
      <c r="T177" s="32" t="n">
        <v>-6.27</v>
      </c>
      <c r="U177" s="32" t="n">
        <v>-0.55</v>
      </c>
      <c r="V177" s="32" t="n">
        <v>6.1</v>
      </c>
      <c r="W177" s="32" t="n">
        <v>10.07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IF(B178=0,"",RANK(B178,$B$2:$B$370,0))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3" t="inlineStr">
        <is>
          <t>KABRAEXTRU</t>
        </is>
      </c>
      <c r="D178" s="33" t="inlineStr">
        <is>
          <t>Kabra Extrusion Technik Limited</t>
        </is>
      </c>
      <c r="E178" s="31" t="inlineStr">
        <is>
          <t>industrials</t>
        </is>
      </c>
      <c r="F178" s="31" t="inlineStr">
        <is>
          <t>engineering</t>
        </is>
      </c>
      <c r="G178" s="31" t="inlineStr">
        <is>
          <t>smallcap</t>
        </is>
      </c>
      <c r="H178" s="32" t="n">
        <v>908.59</v>
      </c>
      <c r="I178" s="32" t="n">
        <v>269.61</v>
      </c>
      <c r="J178" s="32" t="n">
        <v>3.78</v>
      </c>
      <c r="K178" s="32" t="n">
        <v>151251</v>
      </c>
      <c r="L178" s="31" t="n">
        <v>17</v>
      </c>
      <c r="M178" s="31" t="inlineStr">
        <is>
          <t>Underperforming</t>
        </is>
      </c>
      <c r="N178" s="32">
        <f>IF(M178="Underperforming",-5,IF(L178&gt;=95,15,IF(L178&gt;=90,10,IF(L178&gt;=80,5,0))))</f>
        <v/>
      </c>
      <c r="O178" s="32" t="n">
        <v>60.33</v>
      </c>
      <c r="P178" s="32" t="n">
        <v>10.97</v>
      </c>
      <c r="Q178" s="32" t="n">
        <v>196.01</v>
      </c>
      <c r="R178" s="31" t="inlineStr">
        <is>
          <t>Volume Spike / Accumulation</t>
        </is>
      </c>
      <c r="S178" s="31" t="inlineStr">
        <is>
          <t>Nifty 50</t>
        </is>
      </c>
      <c r="T178" s="32" t="n">
        <v>-6.27</v>
      </c>
      <c r="U178" s="32" t="n">
        <v>-7.35</v>
      </c>
      <c r="V178" s="32" t="n">
        <v>-1.15</v>
      </c>
      <c r="W178" s="32" t="n">
        <v>5.63</v>
      </c>
      <c r="X178" s="31" t="inlineStr">
        <is>
          <t>Cyclical in an Upturn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0 to 20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IF(B179=0,"",RANK(B179,$B$2:$B$370,0))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BHAGCHEM</t>
        </is>
      </c>
      <c r="D179" s="31" t="inlineStr">
        <is>
          <t>Bhagiradha Chemicals &amp; Industries Ltd</t>
        </is>
      </c>
      <c r="E179" s="31" t="inlineStr">
        <is>
          <t>chemicals</t>
        </is>
      </c>
      <c r="F179" s="31" t="inlineStr">
        <is>
          <t>pesticides / agrochemicals - indian</t>
        </is>
      </c>
      <c r="G179" s="31" t="inlineStr">
        <is>
          <t>smallcap</t>
        </is>
      </c>
      <c r="H179" s="32" t="n">
        <v>3663.15</v>
      </c>
      <c r="I179" s="32" t="n">
        <v>292</v>
      </c>
      <c r="J179" s="32" t="n">
        <v>3.36</v>
      </c>
      <c r="K179" s="32" t="n">
        <v>214474</v>
      </c>
      <c r="L179" s="31" t="n">
        <v>40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67.87</v>
      </c>
      <c r="P179" s="32" t="n">
        <v>23.12</v>
      </c>
      <c r="Q179" s="32" t="n">
        <v>218.02</v>
      </c>
      <c r="R179" s="31" t="inlineStr">
        <is>
          <t>Near 52W High Breakout</t>
        </is>
      </c>
      <c r="S179" s="31" t="inlineStr">
        <is>
          <t>Nifty 50</t>
        </is>
      </c>
      <c r="T179" s="32" t="n">
        <v>-6.27</v>
      </c>
      <c r="U179" s="32" t="n">
        <v>-5.48</v>
      </c>
      <c r="V179" s="32" t="n">
        <v>0.83</v>
      </c>
      <c r="W179" s="32" t="n">
        <v>11.02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Less than 50%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IF(B180=0,"",RANK(B180,$B$2:$B$370,0))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JNKINDIA</t>
        </is>
      </c>
      <c r="D180" s="31" t="inlineStr">
        <is>
          <t>JNK India Ltd</t>
        </is>
      </c>
      <c r="E180" s="31" t="inlineStr">
        <is>
          <t>realty</t>
        </is>
      </c>
      <c r="F180" s="31" t="inlineStr">
        <is>
          <t>engineering - turnkey services</t>
        </is>
      </c>
      <c r="G180" s="31" t="inlineStr">
        <is>
          <t>smallcap</t>
        </is>
      </c>
      <c r="H180" s="32" t="n">
        <v>2736.15</v>
      </c>
      <c r="I180" s="32" t="n">
        <v>504.65</v>
      </c>
      <c r="J180" s="32" t="n">
        <v>3.2</v>
      </c>
      <c r="K180" s="32" t="n">
        <v>617979</v>
      </c>
      <c r="L180" s="31" t="n">
        <v>90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73.48</v>
      </c>
      <c r="P180" s="32" t="n">
        <v>39.42</v>
      </c>
      <c r="Q180" s="32" t="n">
        <v>358.58</v>
      </c>
      <c r="R180" s="31" t="inlineStr">
        <is>
          <t>Near 52W High Breakout</t>
        </is>
      </c>
      <c r="S180" s="31" t="inlineStr">
        <is>
          <t>Nifty Realty</t>
        </is>
      </c>
      <c r="T180" s="32" t="n">
        <v>-14.65</v>
      </c>
      <c r="U180" s="32" t="n">
        <v>51.04</v>
      </c>
      <c r="V180" s="32" t="n">
        <v>76.95999999999999</v>
      </c>
      <c r="W180" s="32" t="n">
        <v>36.11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Negative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IF(B181=0,"",RANK(B181,$B$2:$B$370,0))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KMEW</t>
        </is>
      </c>
      <c r="D181" s="31" t="inlineStr">
        <is>
          <t>Knowledge Marine &amp; Engineering Works Ltd</t>
        </is>
      </c>
      <c r="E181" s="31" t="inlineStr">
        <is>
          <t>transportation</t>
        </is>
      </c>
      <c r="F181" s="31" t="inlineStr">
        <is>
          <t>miscellaneous</t>
        </is>
      </c>
      <c r="G181" s="31" t="inlineStr">
        <is>
          <t>midcap</t>
        </is>
      </c>
      <c r="H181" s="32" t="n">
        <v>5441.26</v>
      </c>
      <c r="I181" s="32" t="n">
        <v>2296</v>
      </c>
      <c r="J181" s="32" t="n">
        <v>3.14</v>
      </c>
      <c r="K181" s="32" t="n">
        <v>71078</v>
      </c>
      <c r="L181" s="31" t="n">
        <v>89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68.04000000000001</v>
      </c>
      <c r="P181" s="32" t="n">
        <v>38.94</v>
      </c>
      <c r="Q181" s="32" t="n">
        <v>1618.79</v>
      </c>
      <c r="R181" s="31" t="inlineStr">
        <is>
          <t>Near 52W High Breakout</t>
        </is>
      </c>
      <c r="S181" s="31" t="inlineStr">
        <is>
          <t>Nifty 50</t>
        </is>
      </c>
      <c r="T181" s="32" t="n">
        <v>-6.27</v>
      </c>
      <c r="U181" s="32" t="n">
        <v>178.46</v>
      </c>
      <c r="V181" s="32" t="n">
        <v>197.08</v>
      </c>
      <c r="W181" s="32" t="n">
        <v>35.3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Blue sky scenario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Negative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IF(B182=0,"",RANK(B182,$B$2:$B$370,0))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HIRECT</t>
        </is>
      </c>
      <c r="D182" s="31" t="inlineStr">
        <is>
          <t>Hind Rectifiers Limited</t>
        </is>
      </c>
      <c r="E182" s="31" t="inlineStr">
        <is>
          <t>consumer discretionary</t>
        </is>
      </c>
      <c r="F182" s="31" t="inlineStr">
        <is>
          <t>electronics - components</t>
        </is>
      </c>
      <c r="G182" s="31" t="inlineStr">
        <is>
          <t>smallcap</t>
        </is>
      </c>
      <c r="H182" s="32" t="n">
        <v>3883.54</v>
      </c>
      <c r="I182" s="32" t="n">
        <v>1159.2</v>
      </c>
      <c r="J182" s="32" t="n">
        <v>2.58</v>
      </c>
      <c r="K182" s="32" t="n">
        <v>55973</v>
      </c>
      <c r="L182" s="31" t="n">
        <v>84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74.97</v>
      </c>
      <c r="P182" s="32" t="n">
        <v>29.32</v>
      </c>
      <c r="Q182" s="32" t="n">
        <v>837.16</v>
      </c>
      <c r="R182" s="31" t="inlineStr">
        <is>
          <t>Near 52W High Breakout</t>
        </is>
      </c>
      <c r="S182" s="31" t="inlineStr">
        <is>
          <t>Nifty Infra</t>
        </is>
      </c>
      <c r="T182" s="32" t="n">
        <v>-0.44</v>
      </c>
      <c r="U182" s="32" t="n">
        <v>78.52</v>
      </c>
      <c r="V182" s="32" t="n">
        <v>79.31999999999999</v>
      </c>
      <c r="W182" s="32" t="n">
        <v>29.16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Less than 12%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Between 0.7 to 1.2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IF(B183=0,"",RANK(B183,$B$2:$B$370,0))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GMRAIRPORT</t>
        </is>
      </c>
      <c r="D183" s="31" t="inlineStr">
        <is>
          <t>GMR Airports Ltd</t>
        </is>
      </c>
      <c r="E183" s="31" t="inlineStr">
        <is>
          <t>miscellaneous</t>
        </is>
      </c>
      <c r="F183" s="31" t="inlineStr">
        <is>
          <t>miscellaneous</t>
        </is>
      </c>
      <c r="G183" s="31" t="inlineStr">
        <is>
          <t>largecap</t>
        </is>
      </c>
      <c r="H183" s="32" t="n">
        <v>115536.31</v>
      </c>
      <c r="I183" s="32" t="n">
        <v>112.09</v>
      </c>
      <c r="J183" s="32" t="n">
        <v>2.44</v>
      </c>
      <c r="K183" s="32" t="n">
        <v>37519820</v>
      </c>
      <c r="L183" s="31" t="n">
        <v>39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66.42</v>
      </c>
      <c r="P183" s="32" t="n">
        <v>16.45</v>
      </c>
      <c r="Q183" s="32" t="n">
        <v>93.16</v>
      </c>
      <c r="R183" s="31" t="inlineStr">
        <is>
          <t>Near 52W High Breakout</t>
        </is>
      </c>
      <c r="S183" s="31" t="inlineStr">
        <is>
          <t>Nifty 500</t>
        </is>
      </c>
      <c r="T183" s="32" t="n">
        <v>-2.41</v>
      </c>
      <c r="U183" s="32" t="n">
        <v>24.67</v>
      </c>
      <c r="V183" s="32" t="n">
        <v>27.74</v>
      </c>
      <c r="W183" s="32" t="n">
        <v>10.81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0 to 20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Blue sky scenario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IF(B184=0,"",RANK(B184,$B$2:$B$370,0))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XPROINDIA</t>
        </is>
      </c>
      <c r="D184" s="31" t="inlineStr">
        <is>
          <t>Xpro India Limited</t>
        </is>
      </c>
      <c r="E184" s="31" t="inlineStr">
        <is>
          <t>industrials</t>
        </is>
      </c>
      <c r="F184" s="31" t="inlineStr">
        <is>
          <t>packaging</t>
        </is>
      </c>
      <c r="G184" s="31" t="inlineStr">
        <is>
          <t>smallcap</t>
        </is>
      </c>
      <c r="H184" s="32" t="n">
        <v>3201.83</v>
      </c>
      <c r="I184" s="32" t="n">
        <v>1395.3</v>
      </c>
      <c r="J184" s="32" t="n">
        <v>2.28</v>
      </c>
      <c r="K184" s="32" t="n">
        <v>102982</v>
      </c>
      <c r="L184" s="31" t="n">
        <v>38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68.56</v>
      </c>
      <c r="P184" s="32" t="n">
        <v>29.86</v>
      </c>
      <c r="Q184" s="32" t="n">
        <v>1045.96</v>
      </c>
      <c r="R184" s="31" t="inlineStr">
        <is>
          <t>Near 52W High Breakout</t>
        </is>
      </c>
      <c r="S184" s="31" t="inlineStr">
        <is>
          <t>Nifty 50</t>
        </is>
      </c>
      <c r="T184" s="32" t="n">
        <v>-6.27</v>
      </c>
      <c r="U184" s="32" t="n">
        <v>12.68</v>
      </c>
      <c r="V184" s="32" t="n">
        <v>20.21</v>
      </c>
      <c r="W184" s="32" t="n">
        <v>10.64</v>
      </c>
      <c r="X184" s="31" t="inlineStr">
        <is>
          <t>Cyclical in an Upturn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Between 1.5 to 2</t>
        </is>
      </c>
      <c r="BU184" s="31">
        <f>IF(BT184="Above 2",0,IF(BT184="Between 1.5 to 2",5,IF(BT184="Less than 1.5",10,0)))</f>
        <v/>
      </c>
      <c r="BV184" s="31" t="inlineStr">
        <is>
          <t>Less than 50%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IF(B185=0,"",RANK(B185,$B$2:$B$370,0))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IGPL</t>
        </is>
      </c>
      <c r="D185" s="31" t="inlineStr">
        <is>
          <t>Ig Petrochemicals Limited</t>
        </is>
      </c>
      <c r="E185" s="31" t="inlineStr">
        <is>
          <t>chemicals</t>
        </is>
      </c>
      <c r="F185" s="31" t="inlineStr">
        <is>
          <t>chemicals</t>
        </is>
      </c>
      <c r="G185" s="31" t="inlineStr">
        <is>
          <t>smallcap</t>
        </is>
      </c>
      <c r="H185" s="32" t="n">
        <v>1378.07</v>
      </c>
      <c r="I185" s="32" t="n">
        <v>456.95</v>
      </c>
      <c r="J185" s="32" t="n">
        <v>2.11</v>
      </c>
      <c r="K185" s="32" t="n">
        <v>85160</v>
      </c>
      <c r="L185" s="31" t="n">
        <v>20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59.91</v>
      </c>
      <c r="P185" s="32" t="n">
        <v>21.48</v>
      </c>
      <c r="Q185" s="32" t="n">
        <v>361.75</v>
      </c>
      <c r="R185" s="31" t="inlineStr">
        <is>
          <t>Earnings / Momentum Support</t>
        </is>
      </c>
      <c r="S185" s="31" t="inlineStr">
        <is>
          <t>Nifty 50</t>
        </is>
      </c>
      <c r="T185" s="32" t="n">
        <v>-6.27</v>
      </c>
      <c r="U185" s="32" t="n">
        <v>-3.41</v>
      </c>
      <c r="V185" s="32" t="n">
        <v>3.05</v>
      </c>
      <c r="W185" s="32" t="n">
        <v>6.37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IF(B186=0,"",RANK(B186,$B$2:$B$370,0))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POLYCAB</t>
        </is>
      </c>
      <c r="D186" s="31" t="inlineStr">
        <is>
          <t>Polycab India Ltd</t>
        </is>
      </c>
      <c r="E186" s="31" t="inlineStr">
        <is>
          <t>industrials</t>
        </is>
      </c>
      <c r="F186" s="31" t="inlineStr">
        <is>
          <t>cables - power</t>
        </is>
      </c>
      <c r="G186" s="31" t="inlineStr">
        <is>
          <t>largecap</t>
        </is>
      </c>
      <c r="H186" s="32" t="n">
        <v>147223.34</v>
      </c>
      <c r="I186" s="32" t="n">
        <v>9961</v>
      </c>
      <c r="J186" s="32" t="n">
        <v>1.86</v>
      </c>
      <c r="K186" s="32" t="n">
        <v>452560</v>
      </c>
      <c r="L186" s="31" t="n">
        <v>68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67.2</v>
      </c>
      <c r="P186" s="32" t="n">
        <v>32.72</v>
      </c>
      <c r="Q186" s="32" t="n">
        <v>8400.860000000001</v>
      </c>
      <c r="R186" s="31" t="inlineStr">
        <is>
          <t>Near 52W High Breakout</t>
        </is>
      </c>
      <c r="S186" s="31" t="inlineStr">
        <is>
          <t>Nifty Energy</t>
        </is>
      </c>
      <c r="T186" s="32" t="n">
        <v>8.85</v>
      </c>
      <c r="U186" s="32" t="n">
        <v>48.99</v>
      </c>
      <c r="V186" s="32" t="n">
        <v>36.88</v>
      </c>
      <c r="W186" s="32" t="n">
        <v>18.95</v>
      </c>
      <c r="X186" s="31" t="inlineStr">
        <is>
          <t>Cyclical in an Upturn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Blue sky scenario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IF(B187=0,"",RANK(B187,$B$2:$B$370,0))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3" t="inlineStr">
        <is>
          <t>HONAUT</t>
        </is>
      </c>
      <c r="D187" s="33" t="inlineStr">
        <is>
          <t>Honeywell Automation India Limited</t>
        </is>
      </c>
      <c r="E187" s="31" t="inlineStr">
        <is>
          <t>consumer discretionary</t>
        </is>
      </c>
      <c r="F187" s="31" t="inlineStr">
        <is>
          <t>electronics - components</t>
        </is>
      </c>
      <c r="G187" s="31" t="inlineStr">
        <is>
          <t>largecap</t>
        </is>
      </c>
      <c r="H187" s="32" t="n">
        <v>34499.62</v>
      </c>
      <c r="I187" s="32" t="n">
        <v>39735</v>
      </c>
      <c r="J187" s="32" t="n">
        <v>1.83</v>
      </c>
      <c r="K187" s="32" t="n">
        <v>4433</v>
      </c>
      <c r="L187" s="31" t="n">
        <v>42</v>
      </c>
      <c r="M187" s="31" t="inlineStr">
        <is>
          <t>Underperforming</t>
        </is>
      </c>
      <c r="N187" s="32">
        <f>IF(M187="Underperforming",-5,IF(L187&gt;=95,15,IF(L187&gt;=90,10,IF(L187&gt;=80,5,0))))</f>
        <v/>
      </c>
      <c r="O187" s="32" t="n">
        <v>67.2</v>
      </c>
      <c r="P187" s="32" t="n">
        <v>21.74</v>
      </c>
      <c r="Q187" s="32" t="n">
        <v>32997.73</v>
      </c>
      <c r="R187" s="31" t="inlineStr">
        <is>
          <t>Near 52W High Breakout</t>
        </is>
      </c>
      <c r="S187" s="31" t="inlineStr">
        <is>
          <t>Nifty 500</t>
        </is>
      </c>
      <c r="T187" s="32" t="n">
        <v>-2.41</v>
      </c>
      <c r="U187" s="32" t="n">
        <v>-3.04</v>
      </c>
      <c r="V187" s="32" t="n">
        <v>-0.65</v>
      </c>
      <c r="W187" s="32" t="n">
        <v>11.37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Between 12 to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IF(B188=0,"",RANK(B188,$B$2:$B$370,0))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OLECTRA</t>
        </is>
      </c>
      <c r="D188" s="31" t="inlineStr">
        <is>
          <t>Olectra Greentech Ltd</t>
        </is>
      </c>
      <c r="E188" s="31" t="inlineStr">
        <is>
          <t>auto</t>
        </is>
      </c>
      <c r="F188" s="31" t="inlineStr">
        <is>
          <t>automobiles - lcvs / hcvs</t>
        </is>
      </c>
      <c r="G188" s="31" t="inlineStr">
        <is>
          <t>midcap</t>
        </is>
      </c>
      <c r="H188" s="32" t="n">
        <v>12099.52</v>
      </c>
      <c r="I188" s="32" t="n">
        <v>1499.6</v>
      </c>
      <c r="J188" s="32" t="n">
        <v>1.73</v>
      </c>
      <c r="K188" s="32" t="n">
        <v>823892</v>
      </c>
      <c r="L188" s="31" t="n">
        <v>63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64.43000000000001</v>
      </c>
      <c r="P188" s="32" t="n">
        <v>27.91</v>
      </c>
      <c r="Q188" s="32" t="n">
        <v>1149.89</v>
      </c>
      <c r="R188" s="31" t="inlineStr">
        <is>
          <t>Earnings / Momentum Support</t>
        </is>
      </c>
      <c r="S188" s="31" t="inlineStr">
        <is>
          <t>Nifty Auto</t>
        </is>
      </c>
      <c r="T188" s="32" t="n">
        <v>10.42</v>
      </c>
      <c r="U188" s="32" t="n">
        <v>25.06</v>
      </c>
      <c r="V188" s="32" t="n">
        <v>13.26</v>
      </c>
      <c r="W188" s="32" t="n">
        <v>17.07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IF(B189=0,"",RANK(B189,$B$2:$B$370,0))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KSB</t>
        </is>
      </c>
      <c r="D189" s="31" t="inlineStr">
        <is>
          <t>KSB Ltd</t>
        </is>
      </c>
      <c r="E189" s="31" t="inlineStr">
        <is>
          <t>industrials</t>
        </is>
      </c>
      <c r="F189" s="31" t="inlineStr">
        <is>
          <t>pumps</t>
        </is>
      </c>
      <c r="G189" s="31" t="inlineStr">
        <is>
          <t>midcap</t>
        </is>
      </c>
      <c r="H189" s="32" t="n">
        <v>16458.89</v>
      </c>
      <c r="I189" s="32" t="n">
        <v>958</v>
      </c>
      <c r="J189" s="32" t="n">
        <v>1.3</v>
      </c>
      <c r="K189" s="32" t="n">
        <v>113731</v>
      </c>
      <c r="L189" s="31" t="n">
        <v>19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64.84</v>
      </c>
      <c r="P189" s="32" t="n">
        <v>28.16</v>
      </c>
      <c r="Q189" s="32" t="n">
        <v>789.5700000000001</v>
      </c>
      <c r="R189" s="31" t="inlineStr">
        <is>
          <t>Near 52W High Breakout</t>
        </is>
      </c>
      <c r="S189" s="31" t="inlineStr">
        <is>
          <t>Nifty 50</t>
        </is>
      </c>
      <c r="T189" s="32" t="n">
        <v>-6.27</v>
      </c>
      <c r="U189" s="32" t="n">
        <v>16.12</v>
      </c>
      <c r="V189" s="32" t="n">
        <v>23.88</v>
      </c>
      <c r="W189" s="32" t="n">
        <v>6.36</v>
      </c>
      <c r="X189" s="31" t="inlineStr">
        <is>
          <t>Cyclical in an Upturn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Less than 12%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IF(B190=0,"",RANK(B190,$B$2:$B$370,0))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SWANDEF</t>
        </is>
      </c>
      <c r="D190" s="31" t="inlineStr">
        <is>
          <t>Swan Defence and Heavy Industries Ltd</t>
        </is>
      </c>
      <c r="E190" s="31" t="inlineStr">
        <is>
          <t>transportation</t>
        </is>
      </c>
      <c r="F190" s="31" t="inlineStr">
        <is>
          <t>miscellaneous</t>
        </is>
      </c>
      <c r="G190" s="31" t="inlineStr">
        <is>
          <t>midcap</t>
        </is>
      </c>
      <c r="H190" s="32" t="n">
        <v>11610.09</v>
      </c>
      <c r="I190" s="32" t="n">
        <v>2229</v>
      </c>
      <c r="J190" s="32" t="n">
        <v>1.14</v>
      </c>
      <c r="K190" s="32" t="n">
        <v>7273</v>
      </c>
      <c r="L190" s="31" t="n">
        <v>98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66.18000000000001</v>
      </c>
      <c r="P190" s="32" t="n">
        <v>41.75</v>
      </c>
      <c r="Q190" s="32" t="n">
        <v>1705.94</v>
      </c>
      <c r="R190" s="31" t="inlineStr">
        <is>
          <t>Earnings / Momentum Support</t>
        </is>
      </c>
      <c r="S190" s="31" t="inlineStr">
        <is>
          <t>Nifty 50</t>
        </is>
      </c>
      <c r="T190" s="32" t="n">
        <v>-6.27</v>
      </c>
      <c r="U190" s="32" t="n">
        <v>771.9299999999999</v>
      </c>
      <c r="V190" s="32" t="n">
        <v>830.22</v>
      </c>
      <c r="W190" s="32" t="n">
        <v>73.91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Above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Negative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More than 1.2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IF(B191=0,"",RANK(B191,$B$2:$B$370,0))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SWARAJENG</t>
        </is>
      </c>
      <c r="D191" s="31" t="inlineStr">
        <is>
          <t>Swaraj Engines Limited</t>
        </is>
      </c>
      <c r="E191" s="31" t="inlineStr">
        <is>
          <t>industrials</t>
        </is>
      </c>
      <c r="F191" s="31" t="inlineStr">
        <is>
          <t>engines</t>
        </is>
      </c>
      <c r="G191" s="31" t="inlineStr">
        <is>
          <t>smallcap</t>
        </is>
      </c>
      <c r="H191" s="32" t="n">
        <v>4812.56</v>
      </c>
      <c r="I191" s="32" t="n">
        <v>4000</v>
      </c>
      <c r="J191" s="32" t="n">
        <v>0.98</v>
      </c>
      <c r="K191" s="32" t="n">
        <v>24517</v>
      </c>
      <c r="L191" s="31" t="n">
        <v>7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57.58</v>
      </c>
      <c r="P191" s="32" t="n">
        <v>24.07</v>
      </c>
      <c r="Q191" s="32" t="n">
        <v>3410.67</v>
      </c>
      <c r="R191" s="31" t="inlineStr">
        <is>
          <t>Earnings / Momentum Support</t>
        </is>
      </c>
      <c r="S191" s="31" t="inlineStr">
        <is>
          <t>Nifty 50</t>
        </is>
      </c>
      <c r="T191" s="32" t="n">
        <v>-6.27</v>
      </c>
      <c r="U191" s="32" t="n">
        <v>0.91</v>
      </c>
      <c r="V191" s="32" t="n">
        <v>7.65</v>
      </c>
      <c r="W191" s="32" t="n">
        <v>3.09</v>
      </c>
      <c r="X191" s="31" t="inlineStr">
        <is>
          <t>Cyclical in an Upturn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Less than 50%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IF(B192=0,"",RANK(B192,$B$2:$B$370,0))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OBEROIRLTY</t>
        </is>
      </c>
      <c r="D192" s="31" t="inlineStr">
        <is>
          <t>Oberoi Realty Limited</t>
        </is>
      </c>
      <c r="E192" s="31" t="inlineStr">
        <is>
          <t>realty</t>
        </is>
      </c>
      <c r="F192" s="31" t="inlineStr">
        <is>
          <t>construction</t>
        </is>
      </c>
      <c r="G192" s="31" t="inlineStr">
        <is>
          <t>largecap</t>
        </is>
      </c>
      <c r="H192" s="32" t="n">
        <v>63779.47</v>
      </c>
      <c r="I192" s="32" t="n">
        <v>1769.2</v>
      </c>
      <c r="J192" s="32" t="n">
        <v>0.86</v>
      </c>
      <c r="K192" s="32" t="n">
        <v>964898</v>
      </c>
      <c r="L192" s="31" t="n">
        <v>8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60.64</v>
      </c>
      <c r="P192" s="32" t="n">
        <v>12.25</v>
      </c>
      <c r="Q192" s="32" t="n">
        <v>1488.62</v>
      </c>
      <c r="R192" s="31" t="inlineStr">
        <is>
          <t>Near 52W High Breakout</t>
        </is>
      </c>
      <c r="S192" s="31" t="inlineStr">
        <is>
          <t>Nifty Realty</t>
        </is>
      </c>
      <c r="T192" s="32" t="n">
        <v>-14.65</v>
      </c>
      <c r="U192" s="32" t="n">
        <v>-4.9</v>
      </c>
      <c r="V192" s="32" t="n">
        <v>11.43</v>
      </c>
      <c r="W192" s="32" t="n">
        <v>3.24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0 to 20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Less than 1.5</t>
        </is>
      </c>
      <c r="BU192" s="31">
        <f>IF(BT192="Above 2",0,IF(BT192="Between 1.5 to 2",5,IF(BT192="Less than 1.5",10,0)))</f>
        <v/>
      </c>
      <c r="BV192" s="31" t="inlineStr">
        <is>
          <t>Less than 50%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IF(B193=0,"",RANK(B193,$B$2:$B$370,0))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JSWINFRA</t>
        </is>
      </c>
      <c r="D193" s="31" t="inlineStr">
        <is>
          <t>JSW Infrastructure Ltd</t>
        </is>
      </c>
      <c r="E193" s="31" t="inlineStr">
        <is>
          <t>transportation</t>
        </is>
      </c>
      <c r="F193" s="31" t="inlineStr">
        <is>
          <t>miscellaneous</t>
        </is>
      </c>
      <c r="G193" s="31" t="inlineStr">
        <is>
          <t>largecap</t>
        </is>
      </c>
      <c r="H193" s="32" t="n">
        <v>67431.05</v>
      </c>
      <c r="I193" s="32" t="n">
        <v>322.15</v>
      </c>
      <c r="J193" s="32" t="n">
        <v>0.33</v>
      </c>
      <c r="K193" s="32" t="n">
        <v>4095428</v>
      </c>
      <c r="L193" s="31" t="n">
        <v>32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66.54000000000001</v>
      </c>
      <c r="P193" s="32" t="n">
        <v>26.97</v>
      </c>
      <c r="Q193" s="32" t="n">
        <v>268.88</v>
      </c>
      <c r="R193" s="31" t="inlineStr">
        <is>
          <t>Near 52W High Breakout</t>
        </is>
      </c>
      <c r="S193" s="31" t="inlineStr">
        <is>
          <t>Nifty 50</t>
        </is>
      </c>
      <c r="T193" s="32" t="n">
        <v>-6.27</v>
      </c>
      <c r="U193" s="32" t="n">
        <v>5.97</v>
      </c>
      <c r="V193" s="32" t="n">
        <v>13.05</v>
      </c>
      <c r="W193" s="32" t="n">
        <v>9.27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Less than 12%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IF(B194=0,"",RANK(B194,$B$2:$B$370,0))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LINDEINDIA</t>
        </is>
      </c>
      <c r="D194" s="31" t="inlineStr">
        <is>
          <t>Linde India Limited</t>
        </is>
      </c>
      <c r="E194" s="31" t="inlineStr">
        <is>
          <t>chemicals</t>
        </is>
      </c>
      <c r="F194" s="31" t="inlineStr">
        <is>
          <t>chemicals</t>
        </is>
      </c>
      <c r="G194" s="31" t="inlineStr">
        <is>
          <t>largecap</t>
        </is>
      </c>
      <c r="H194" s="32" t="n">
        <v>62231.9</v>
      </c>
      <c r="I194" s="32" t="n">
        <v>7311</v>
      </c>
      <c r="J194" s="32" t="n">
        <v>0.19</v>
      </c>
      <c r="K194" s="32" t="n">
        <v>27903</v>
      </c>
      <c r="L194" s="31" t="n">
        <v>6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56.49</v>
      </c>
      <c r="P194" s="32" t="n">
        <v>25.74</v>
      </c>
      <c r="Q194" s="32" t="n">
        <v>6395.71</v>
      </c>
      <c r="R194" s="31" t="inlineStr">
        <is>
          <t>Earnings / Momentum Support</t>
        </is>
      </c>
      <c r="S194" s="31" t="inlineStr">
        <is>
          <t>Nifty 500</t>
        </is>
      </c>
      <c r="T194" s="32" t="n">
        <v>-2.41</v>
      </c>
      <c r="U194" s="32" t="n">
        <v>10.65</v>
      </c>
      <c r="V194" s="32" t="n">
        <v>13.38</v>
      </c>
      <c r="W194" s="32" t="n">
        <v>2.56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IF(B195=0,"",RANK(B195,$B$2:$B$370,0))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SONACOMS</t>
        </is>
      </c>
      <c r="D195" s="31" t="inlineStr">
        <is>
          <t>Sona BLW Precision Forgings Ltd</t>
        </is>
      </c>
      <c r="E195" s="31" t="inlineStr">
        <is>
          <t>auto</t>
        </is>
      </c>
      <c r="F195" s="31" t="inlineStr">
        <is>
          <t>auto ancillaries</t>
        </is>
      </c>
      <c r="G195" s="31" t="inlineStr">
        <is>
          <t>largecap</t>
        </is>
      </c>
      <c r="H195" s="32" t="n">
        <v>38601.15</v>
      </c>
      <c r="I195" s="32" t="n">
        <v>619.9</v>
      </c>
      <c r="J195" s="32" t="n">
        <v>-0.14</v>
      </c>
      <c r="K195" s="32" t="n">
        <v>1987997</v>
      </c>
      <c r="L195" s="31" t="n">
        <v>42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64.88</v>
      </c>
      <c r="P195" s="32" t="n">
        <v>31.86</v>
      </c>
      <c r="Q195" s="32" t="n">
        <v>517.26</v>
      </c>
      <c r="R195" s="31" t="inlineStr">
        <is>
          <t>Near 52W High Breakout</t>
        </is>
      </c>
      <c r="S195" s="31" t="inlineStr">
        <is>
          <t>Nifty Auto</t>
        </is>
      </c>
      <c r="T195" s="32" t="n">
        <v>10.42</v>
      </c>
      <c r="U195" s="32" t="n">
        <v>30.81</v>
      </c>
      <c r="V195" s="32" t="n">
        <v>18.47</v>
      </c>
      <c r="W195" s="32" t="n">
        <v>11.35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Between 12 to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Between 50% to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IF(B196=0,"",RANK(B196,$B$2:$B$370,0))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CGPOWER</t>
        </is>
      </c>
      <c r="D196" s="31" t="inlineStr">
        <is>
          <t>CG Power and Industrial Solutions Ltd</t>
        </is>
      </c>
      <c r="E196" s="31" t="inlineStr">
        <is>
          <t>industrials</t>
        </is>
      </c>
      <c r="F196" s="31" t="inlineStr">
        <is>
          <t>electric equipment</t>
        </is>
      </c>
      <c r="G196" s="31" t="inlineStr">
        <is>
          <t>largecap</t>
        </is>
      </c>
      <c r="H196" s="32" t="n">
        <v>150601.84</v>
      </c>
      <c r="I196" s="32" t="n">
        <v>952.15</v>
      </c>
      <c r="J196" s="32" t="n">
        <v>-0.43</v>
      </c>
      <c r="K196" s="32" t="n">
        <v>3299735</v>
      </c>
      <c r="L196" s="31" t="n">
        <v>61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69.52</v>
      </c>
      <c r="P196" s="32" t="n">
        <v>33.16</v>
      </c>
      <c r="Q196" s="32" t="n">
        <v>801.1900000000001</v>
      </c>
      <c r="R196" s="31" t="inlineStr">
        <is>
          <t>Near 52W High Breakout</t>
        </is>
      </c>
      <c r="S196" s="31" t="inlineStr">
        <is>
          <t>Nifty 50</t>
        </is>
      </c>
      <c r="T196" s="32" t="n">
        <v>-6.27</v>
      </c>
      <c r="U196" s="32" t="n">
        <v>41.04</v>
      </c>
      <c r="V196" s="32" t="n">
        <v>50.46</v>
      </c>
      <c r="W196" s="32" t="n">
        <v>16.47</v>
      </c>
      <c r="X196" s="31" t="inlineStr">
        <is>
          <t>Cyclical in an Upturn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Blue sky scenario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Less than 50%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IF(B197=0,"",RANK(B197,$B$2:$B$370,0))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STOVEKRAFT</t>
        </is>
      </c>
      <c r="D197" s="31" t="inlineStr">
        <is>
          <t>Stove Kraft Ltd</t>
        </is>
      </c>
      <c r="E197" s="31" t="inlineStr">
        <is>
          <t>consumer discretionary</t>
        </is>
      </c>
      <c r="F197" s="31" t="inlineStr">
        <is>
          <t>domestic appliances</t>
        </is>
      </c>
      <c r="G197" s="31" t="inlineStr">
        <is>
          <t>smallcap</t>
        </is>
      </c>
      <c r="H197" s="32" t="n">
        <v>2578.23</v>
      </c>
      <c r="I197" s="32" t="n">
        <v>775</v>
      </c>
      <c r="J197" s="32" t="n">
        <v>-0.48</v>
      </c>
      <c r="K197" s="32" t="n">
        <v>125574</v>
      </c>
      <c r="L197" s="31" t="n">
        <v>73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75.27</v>
      </c>
      <c r="P197" s="32" t="n">
        <v>33.66</v>
      </c>
      <c r="Q197" s="32" t="n">
        <v>609.28</v>
      </c>
      <c r="R197" s="31" t="inlineStr">
        <is>
          <t>Near 52W High Breakout</t>
        </is>
      </c>
      <c r="S197" s="31" t="inlineStr">
        <is>
          <t>Nifty 50</t>
        </is>
      </c>
      <c r="T197" s="32" t="n">
        <v>-6.27</v>
      </c>
      <c r="U197" s="32" t="n">
        <v>28.59</v>
      </c>
      <c r="V197" s="32" t="n">
        <v>37.19</v>
      </c>
      <c r="W197" s="32" t="n">
        <v>21.15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Above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IF(B198=0,"",RANK(B198,$B$2:$B$370,0))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BORORENEW</t>
        </is>
      </c>
      <c r="D198" s="31" t="inlineStr">
        <is>
          <t>Borosil Renewables Ltd</t>
        </is>
      </c>
      <c r="E198" s="31" t="inlineStr">
        <is>
          <t>building materials</t>
        </is>
      </c>
      <c r="F198" s="31" t="inlineStr">
        <is>
          <t>glass &amp; glass products</t>
        </is>
      </c>
      <c r="G198" s="31" t="inlineStr">
        <is>
          <t>midcap</t>
        </is>
      </c>
      <c r="H198" s="32" t="n">
        <v>8483.530000000001</v>
      </c>
      <c r="I198" s="32" t="n">
        <v>602.25</v>
      </c>
      <c r="J198" s="32" t="n">
        <v>-0.48</v>
      </c>
      <c r="K198" s="32" t="n">
        <v>298694</v>
      </c>
      <c r="L198" s="31" t="n">
        <v>59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61.48</v>
      </c>
      <c r="P198" s="32" t="n">
        <v>23.21</v>
      </c>
      <c r="Q198" s="32" t="n">
        <v>477.76</v>
      </c>
      <c r="R198" s="31" t="inlineStr">
        <is>
          <t>Earnings / Momentum Support</t>
        </is>
      </c>
      <c r="S198" s="31" t="inlineStr">
        <is>
          <t>Nifty Infra</t>
        </is>
      </c>
      <c r="T198" s="32" t="n">
        <v>-0.44</v>
      </c>
      <c r="U198" s="32" t="n">
        <v>21.15</v>
      </c>
      <c r="V198" s="32" t="n">
        <v>21.69</v>
      </c>
      <c r="W198" s="32" t="n">
        <v>15.91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IF(B199=0,"",RANK(B199,$B$2:$B$370,0))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AEROENTER</t>
        </is>
      </c>
      <c r="D199" s="31" t="inlineStr">
        <is>
          <t>Aeroflex Enterprises Ltd</t>
        </is>
      </c>
      <c r="E199" s="31" t="inlineStr">
        <is>
          <t>metals &amp; mining</t>
        </is>
      </c>
      <c r="F199" s="31" t="inlineStr">
        <is>
          <t>steel - medium / small</t>
        </is>
      </c>
      <c r="G199" s="31" t="inlineStr">
        <is>
          <t>smallcap</t>
        </is>
      </c>
      <c r="H199" s="32" t="n">
        <v>1609.2</v>
      </c>
      <c r="I199" s="32" t="n">
        <v>141.25</v>
      </c>
      <c r="J199" s="32" t="n">
        <v>-0.74</v>
      </c>
      <c r="K199" s="32" t="n">
        <v>1364160</v>
      </c>
      <c r="L199" s="31" t="n">
        <v>88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76.67</v>
      </c>
      <c r="P199" s="32" t="n">
        <v>45.15</v>
      </c>
      <c r="Q199" s="32" t="n">
        <v>105.65</v>
      </c>
      <c r="R199" s="31" t="inlineStr">
        <is>
          <t>Near 52W High Breakout</t>
        </is>
      </c>
      <c r="S199" s="31" t="inlineStr">
        <is>
          <t>Nifty Metal</t>
        </is>
      </c>
      <c r="T199" s="32" t="n">
        <v>30.67</v>
      </c>
      <c r="U199" s="32" t="n">
        <v>42.32</v>
      </c>
      <c r="V199" s="32" t="n">
        <v>8.91</v>
      </c>
      <c r="W199" s="32" t="n">
        <v>33</v>
      </c>
      <c r="X199" s="31" t="inlineStr">
        <is>
          <t>Cyclical in an Upturn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Cyclical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Volatile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Above 40</t>
        </is>
      </c>
      <c r="AY199" s="31">
        <f>IF(AX199="Above 40",20,IF(AX199="20 to 40",10,IF(AX199="0 to 20",-5,0)))</f>
        <v/>
      </c>
      <c r="AZ199" s="31" t="inlineStr">
        <is>
          <t>Above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Blue sky scenario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Less than 50%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IF(B200=0,"",RANK(B200,$B$2:$B$370,0))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JAMNAAUTO</t>
        </is>
      </c>
      <c r="D200" s="31" t="inlineStr">
        <is>
          <t>Jamna Auto Industries Limited</t>
        </is>
      </c>
      <c r="E200" s="31" t="inlineStr">
        <is>
          <t>auto</t>
        </is>
      </c>
      <c r="F200" s="31" t="inlineStr">
        <is>
          <t>auto ancillaries</t>
        </is>
      </c>
      <c r="G200" s="31" t="inlineStr">
        <is>
          <t>midcap</t>
        </is>
      </c>
      <c r="H200" s="32" t="n">
        <v>5310.56</v>
      </c>
      <c r="I200" s="32" t="n">
        <v>131.37</v>
      </c>
      <c r="J200" s="32" t="n">
        <v>-1.12</v>
      </c>
      <c r="K200" s="32" t="n">
        <v>1540669</v>
      </c>
      <c r="L200" s="31" t="n">
        <v>39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55.81</v>
      </c>
      <c r="P200" s="32" t="n">
        <v>17.63</v>
      </c>
      <c r="Q200" s="32" t="n">
        <v>99.53</v>
      </c>
      <c r="R200" s="31" t="inlineStr">
        <is>
          <t>Earnings / Momentum Support</t>
        </is>
      </c>
      <c r="S200" s="31" t="inlineStr">
        <is>
          <t>Nifty Auto</t>
        </is>
      </c>
      <c r="T200" s="32" t="n">
        <v>10.42</v>
      </c>
      <c r="U200" s="32" t="n">
        <v>41.44</v>
      </c>
      <c r="V200" s="32" t="n">
        <v>28.09</v>
      </c>
      <c r="W200" s="32" t="n">
        <v>10.81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0 to 20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Less than 1.5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IF(B201=0,"",RANK(B201,$B$2:$B$370,0))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UFBL</t>
        </is>
      </c>
      <c r="D201" s="31" t="inlineStr">
        <is>
          <t>United Foodbrands Ltd</t>
        </is>
      </c>
      <c r="E201" s="31" t="inlineStr">
        <is>
          <t>consumer discretionary</t>
        </is>
      </c>
      <c r="F201" s="31" t="inlineStr">
        <is>
          <t>hotels</t>
        </is>
      </c>
      <c r="G201" s="31" t="inlineStr">
        <is>
          <t>smallcap</t>
        </is>
      </c>
      <c r="H201" s="32" t="n">
        <v>2565.44</v>
      </c>
      <c r="I201" s="32" t="n">
        <v>637.45</v>
      </c>
      <c r="J201" s="32" t="n">
        <v>-2.88</v>
      </c>
      <c r="K201" s="32" t="n">
        <v>206758</v>
      </c>
      <c r="L201" s="31" t="n">
        <v>97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76.05</v>
      </c>
      <c r="P201" s="32" t="n">
        <v>48.05</v>
      </c>
      <c r="Q201" s="32" t="n">
        <v>514.62</v>
      </c>
      <c r="R201" s="31" t="inlineStr">
        <is>
          <t>Earnings / Momentum Support</t>
        </is>
      </c>
      <c r="S201" s="31" t="inlineStr">
        <is>
          <t>Nifty 50</t>
        </is>
      </c>
      <c r="T201" s="32" t="n">
        <v>-6.27</v>
      </c>
      <c r="U201" s="32" t="n">
        <v>101.44</v>
      </c>
      <c r="V201" s="32" t="n">
        <v>114.9</v>
      </c>
      <c r="W201" s="32" t="n">
        <v>72.84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Above 40</t>
        </is>
      </c>
      <c r="AY201" s="31">
        <f>IF(AX201="Above 40",20,IF(AX201="20 to 40",10,IF(AX201="0 to 20",-5,0)))</f>
        <v/>
      </c>
      <c r="AZ201" s="31" t="inlineStr">
        <is>
          <t>Above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More than 1.2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IF(B202=0,"",RANK(B202,$B$2:$B$370,0))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SIGMAADV</t>
        </is>
      </c>
      <c r="D202" s="31" t="inlineStr">
        <is>
          <t>Sigma Advanced System Ltd</t>
        </is>
      </c>
      <c r="E202" s="31" t="inlineStr">
        <is>
          <t>aerospace &amp; defence</t>
        </is>
      </c>
      <c r="F202" s="31" t="inlineStr">
        <is>
          <t>electronics - components</t>
        </is>
      </c>
      <c r="G202" s="31" t="inlineStr">
        <is>
          <t>midcap</t>
        </is>
      </c>
      <c r="H202" s="32" t="n">
        <v>10297.69</v>
      </c>
      <c r="I202" s="32" t="n">
        <v>555.1</v>
      </c>
      <c r="J202" s="32" t="n">
        <v>-5</v>
      </c>
      <c r="K202" s="32" t="n">
        <v>87898</v>
      </c>
      <c r="L202" s="31" t="n">
        <v>99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78.36</v>
      </c>
      <c r="P202" s="32" t="n">
        <v>54.98</v>
      </c>
      <c r="Q202" s="32" t="n">
        <v>469.3</v>
      </c>
      <c r="R202" s="31" t="inlineStr">
        <is>
          <t>Earnings / Momentum Support</t>
        </is>
      </c>
      <c r="S202" s="31" t="inlineStr">
        <is>
          <t>Nifty 50</t>
        </is>
      </c>
      <c r="T202" s="32" t="n">
        <v>-6.27</v>
      </c>
      <c r="U202" s="32" t="n">
        <v>438.15</v>
      </c>
      <c r="V202" s="32" t="n">
        <v>474.12</v>
      </c>
      <c r="W202" s="32" t="n">
        <v>112.86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Above 40</t>
        </is>
      </c>
      <c r="AY202" s="31">
        <f>IF(AX202="Above 40",20,IF(AX202="20 to 40",10,IF(AX202="0 to 20",-5,0)))</f>
        <v/>
      </c>
      <c r="AZ202" s="31" t="inlineStr">
        <is>
          <t>Above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Less than 1.5</t>
        </is>
      </c>
      <c r="BU202" s="31">
        <f>IF(BT202="Above 2",0,IF(BT202="Between 1.5 to 2",5,IF(BT202="Less than 1.5",10,0)))</f>
        <v/>
      </c>
      <c r="BV202" s="31" t="inlineStr">
        <is>
          <t>Negative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Between 0.7 to 1.2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IF(B203=0,"",RANK(B203,$B$2:$B$370,0))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GUFICBIO</t>
        </is>
      </c>
      <c r="D203" s="31" t="inlineStr">
        <is>
          <t>Gufic Biosciences Limited</t>
        </is>
      </c>
      <c r="E203" s="31" t="inlineStr">
        <is>
          <t>healthcare</t>
        </is>
      </c>
      <c r="F203" s="31" t="inlineStr">
        <is>
          <t>pharmaceuticals - indian - bulk drugs &amp; formln</t>
        </is>
      </c>
      <c r="G203" s="31" t="inlineStr">
        <is>
          <t>smallcap</t>
        </is>
      </c>
      <c r="H203" s="32" t="n">
        <v>3873.91</v>
      </c>
      <c r="I203" s="32" t="n">
        <v>407.05</v>
      </c>
      <c r="J203" s="32" t="n">
        <v>5.37</v>
      </c>
      <c r="K203" s="32" t="n">
        <v>8345734</v>
      </c>
      <c r="L203" s="31" t="n">
        <v>49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69.53</v>
      </c>
      <c r="P203" s="32" t="n">
        <v>28.1</v>
      </c>
      <c r="Q203" s="32" t="n">
        <v>310.47</v>
      </c>
      <c r="R203" s="31" t="inlineStr">
        <is>
          <t>Volume Spike &amp; Near 52W High Breakout</t>
        </is>
      </c>
      <c r="S203" s="31" t="inlineStr">
        <is>
          <t>Nifty Pharma</t>
        </is>
      </c>
      <c r="T203" s="32" t="n">
        <v>13.14</v>
      </c>
      <c r="U203" s="32" t="n">
        <v>17.83</v>
      </c>
      <c r="V203" s="32" t="n">
        <v>4.14</v>
      </c>
      <c r="W203" s="32" t="n">
        <v>13.1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Yes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Annuity, Lower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Less than 50%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IF(B204=0,"",RANK(B204,$B$2:$B$370,0))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AJANTPHARM</t>
        </is>
      </c>
      <c r="D204" s="31" t="inlineStr">
        <is>
          <t>Ajanta Pharma Limited</t>
        </is>
      </c>
      <c r="E204" s="31" t="inlineStr">
        <is>
          <t>healthcare</t>
        </is>
      </c>
      <c r="F204" s="31" t="inlineStr">
        <is>
          <t>pharmaceuticals - indian - formulations</t>
        </is>
      </c>
      <c r="G204" s="31" t="inlineStr">
        <is>
          <t>largecap</t>
        </is>
      </c>
      <c r="H204" s="32" t="n">
        <v>42280.71</v>
      </c>
      <c r="I204" s="32" t="n">
        <v>3422.7</v>
      </c>
      <c r="J204" s="32" t="n">
        <v>1.14</v>
      </c>
      <c r="K204" s="32" t="n">
        <v>166871</v>
      </c>
      <c r="L204" s="31" t="n">
        <v>38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69.17</v>
      </c>
      <c r="P204" s="32" t="n">
        <v>35.67</v>
      </c>
      <c r="Q204" s="32" t="n">
        <v>2831.02</v>
      </c>
      <c r="R204" s="31" t="inlineStr">
        <is>
          <t>Volume Spike &amp; Near 52W High Breakout</t>
        </is>
      </c>
      <c r="S204" s="31" t="inlineStr">
        <is>
          <t>Nifty Pharma</t>
        </is>
      </c>
      <c r="T204" s="32" t="n">
        <v>13.14</v>
      </c>
      <c r="U204" s="32" t="n">
        <v>28.4</v>
      </c>
      <c r="V204" s="32" t="n">
        <v>13.49</v>
      </c>
      <c r="W204" s="32" t="n">
        <v>10.63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Yes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Blue sky scenario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Between 12 to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Less than 50%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IF(B205=0,"",RANK(B205,$B$2:$B$370,0))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JBCHEPHARM</t>
        </is>
      </c>
      <c r="D205" s="31" t="inlineStr">
        <is>
          <t>Jb Chemicals &amp; Pharmaceuticals Limited</t>
        </is>
      </c>
      <c r="E205" s="31" t="inlineStr">
        <is>
          <t>healthcare</t>
        </is>
      </c>
      <c r="F205" s="31" t="inlineStr">
        <is>
          <t>pharmaceuticals - indian - bulk drugs &amp; formln</t>
        </is>
      </c>
      <c r="G205" s="31" t="inlineStr">
        <is>
          <t>largecap</t>
        </is>
      </c>
      <c r="H205" s="32" t="n">
        <v>36979.88</v>
      </c>
      <c r="I205" s="32" t="n">
        <v>2295.9</v>
      </c>
      <c r="J205" s="32" t="n">
        <v>-0.32</v>
      </c>
      <c r="K205" s="32" t="n">
        <v>533954</v>
      </c>
      <c r="L205" s="31" t="n">
        <v>40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70.15000000000001</v>
      </c>
      <c r="P205" s="32" t="n">
        <v>38.34</v>
      </c>
      <c r="Q205" s="32" t="n">
        <v>1974.71</v>
      </c>
      <c r="R205" s="31" t="inlineStr">
        <is>
          <t>Near 52W High Breakout</t>
        </is>
      </c>
      <c r="S205" s="31" t="inlineStr">
        <is>
          <t>Nifty Pharma</t>
        </is>
      </c>
      <c r="T205" s="32" t="n">
        <v>13.14</v>
      </c>
      <c r="U205" s="32" t="n">
        <v>42.24</v>
      </c>
      <c r="V205" s="32" t="n">
        <v>25.72</v>
      </c>
      <c r="W205" s="32" t="n">
        <v>11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Yes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Annuity, Lower One Time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Less than 12%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Between 50% to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IF(B206=0,"",RANK(B206,$B$2:$B$370,0))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INOXINDIA</t>
        </is>
      </c>
      <c r="D206" s="31" t="inlineStr">
        <is>
          <t>Inox India Ltd</t>
        </is>
      </c>
      <c r="E206" s="31" t="inlineStr">
        <is>
          <t>industrials</t>
        </is>
      </c>
      <c r="F206" s="31" t="inlineStr">
        <is>
          <t>packaging</t>
        </is>
      </c>
      <c r="G206" s="31" t="inlineStr">
        <is>
          <t>midcap</t>
        </is>
      </c>
      <c r="H206" s="32" t="n">
        <v>16961.88</v>
      </c>
      <c r="I206" s="32" t="n">
        <v>1958.4</v>
      </c>
      <c r="J206" s="32" t="n">
        <v>4.79</v>
      </c>
      <c r="K206" s="32" t="n">
        <v>493633</v>
      </c>
      <c r="L206" s="31" t="n">
        <v>78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81.41</v>
      </c>
      <c r="P206" s="32" t="n">
        <v>62.9</v>
      </c>
      <c r="Q206" s="32" t="n">
        <v>1519.26</v>
      </c>
      <c r="R206" s="31" t="inlineStr">
        <is>
          <t>Near 52W High Breakout</t>
        </is>
      </c>
      <c r="S206" s="31" t="inlineStr">
        <is>
          <t>Nifty 50</t>
        </is>
      </c>
      <c r="T206" s="32" t="n">
        <v>-6.27</v>
      </c>
      <c r="U206" s="32" t="n">
        <v>55.9</v>
      </c>
      <c r="V206" s="32" t="n">
        <v>66.31999999999999</v>
      </c>
      <c r="W206" s="32" t="n">
        <v>23.04</v>
      </c>
      <c r="X206" s="31" t="inlineStr">
        <is>
          <t>Cyclical in an Upturn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Above 40</t>
        </is>
      </c>
      <c r="AY206" s="31">
        <f>IF(AX206="Above 40",20,IF(AX206="20 to 40",10,IF(AX206="0 to 20",-5,0)))</f>
        <v/>
      </c>
      <c r="AZ206" s="31" t="inlineStr">
        <is>
          <t>Above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Blue sky scenario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Between 12 to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Less than 50%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IF(B207=0,"",RANK(B207,$B$2:$B$370,0))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3" t="inlineStr">
        <is>
          <t>NELCO</t>
        </is>
      </c>
      <c r="D207" s="33" t="inlineStr">
        <is>
          <t>Nelco Limited</t>
        </is>
      </c>
      <c r="E207" s="31" t="inlineStr">
        <is>
          <t>telecom</t>
        </is>
      </c>
      <c r="F207" s="31" t="inlineStr">
        <is>
          <t>telecommunications - service provider</t>
        </is>
      </c>
      <c r="G207" s="31" t="inlineStr">
        <is>
          <t>smallcap</t>
        </is>
      </c>
      <c r="H207" s="32" t="n">
        <v>2029.13</v>
      </c>
      <c r="I207" s="32" t="n">
        <v>929.8</v>
      </c>
      <c r="J207" s="32" t="n">
        <v>4.56</v>
      </c>
      <c r="K207" s="32" t="n">
        <v>502649</v>
      </c>
      <c r="L207" s="31" t="n">
        <v>59</v>
      </c>
      <c r="M207" s="31" t="inlineStr">
        <is>
          <t>Underperforming</t>
        </is>
      </c>
      <c r="N207" s="32">
        <f>IF(M207="Underperforming",-5,IF(L207&gt;=95,15,IF(L207&gt;=90,10,IF(L207&gt;=80,5,0))))</f>
        <v/>
      </c>
      <c r="O207" s="32" t="n">
        <v>66.5</v>
      </c>
      <c r="P207" s="32" t="n">
        <v>20.37</v>
      </c>
      <c r="Q207" s="32" t="n">
        <v>694.28</v>
      </c>
      <c r="R207" s="31" t="inlineStr">
        <is>
          <t>Near 52W High Breakout</t>
        </is>
      </c>
      <c r="S207" s="31" t="inlineStr">
        <is>
          <t>Nifty 50</t>
        </is>
      </c>
      <c r="T207" s="32" t="n">
        <v>-6.27</v>
      </c>
      <c r="U207" s="32" t="n">
        <v>-7.04</v>
      </c>
      <c r="V207" s="32" t="n">
        <v>-0.83</v>
      </c>
      <c r="W207" s="32" t="n">
        <v>16.01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Oligopoly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Yes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Between 50% to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IF(B208=0,"",RANK(B208,$B$2:$B$370,0))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3" t="inlineStr">
        <is>
          <t>NH</t>
        </is>
      </c>
      <c r="D208" s="33" t="inlineStr">
        <is>
          <t>Narayana Hrudayalaya Ltd.</t>
        </is>
      </c>
      <c r="E208" s="31" t="inlineStr">
        <is>
          <t>healthcare</t>
        </is>
      </c>
      <c r="F208" s="31" t="inlineStr">
        <is>
          <t>healthcare</t>
        </is>
      </c>
      <c r="G208" s="31" t="inlineStr">
        <is>
          <t>largecap</t>
        </is>
      </c>
      <c r="H208" s="32" t="n">
        <v>38887.82</v>
      </c>
      <c r="I208" s="32" t="n">
        <v>1971.7</v>
      </c>
      <c r="J208" s="32" t="n">
        <v>3.62</v>
      </c>
      <c r="K208" s="32" t="n">
        <v>310100</v>
      </c>
      <c r="L208" s="31" t="n">
        <v>14</v>
      </c>
      <c r="M208" s="31" t="inlineStr">
        <is>
          <t>Underperforming</t>
        </is>
      </c>
      <c r="N208" s="32">
        <f>IF(M208="Underperforming",-5,IF(L208&gt;=95,15,IF(L208&gt;=90,10,IF(L208&gt;=80,5,0))))</f>
        <v/>
      </c>
      <c r="O208" s="32" t="n">
        <v>60.42</v>
      </c>
      <c r="P208" s="32" t="n">
        <v>20.45</v>
      </c>
      <c r="Q208" s="32" t="n">
        <v>1634.53</v>
      </c>
      <c r="R208" s="31" t="inlineStr">
        <is>
          <t>Near 52W High Breakout</t>
        </is>
      </c>
      <c r="S208" s="31" t="inlineStr">
        <is>
          <t>Nifty Pharma</t>
        </is>
      </c>
      <c r="T208" s="32" t="n">
        <v>13.14</v>
      </c>
      <c r="U208" s="32" t="n">
        <v>-1.74</v>
      </c>
      <c r="V208" s="32" t="n">
        <v>-13.16</v>
      </c>
      <c r="W208" s="32" t="n">
        <v>4.84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Yes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Shallow Cyclical (2 to 3 Years Growth)</t>
        </is>
      </c>
      <c r="AG208" s="31">
        <f>IF(AF208="Structural (10 Years Consistency)",10,IF(AF208="Shallow Cyclical (2 to 3 years growth)",5,0))</f>
        <v/>
      </c>
      <c r="AH208" s="31" t="inlineStr">
        <is>
          <t>Yes due to Product Mix change or Operating Leverage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B2C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Between 12 to 20%</t>
        </is>
      </c>
      <c r="BO208" s="31">
        <f>IF(BN208="More than 20%",10,IF(BN208="Between 12 to 20%",5,IF(BN208="Less than 12%",0,0)))</f>
        <v/>
      </c>
      <c r="BP208" s="31" t="inlineStr">
        <is>
          <t>Yes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Less than 1.5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IF(B209=0,"",RANK(B209,$B$2:$B$370,0))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CONFIPET</t>
        </is>
      </c>
      <c r="D209" s="31" t="inlineStr">
        <is>
          <t>Confidence Petroleum India Ltd</t>
        </is>
      </c>
      <c r="E209" s="31" t="inlineStr">
        <is>
          <t>miscellaneous</t>
        </is>
      </c>
      <c r="F209" s="31" t="inlineStr">
        <is>
          <t>miscellaneous</t>
        </is>
      </c>
      <c r="G209" s="31" t="inlineStr">
        <is>
          <t>smallcap</t>
        </is>
      </c>
      <c r="H209" s="32" t="n">
        <v>2374.53</v>
      </c>
      <c r="I209" s="32" t="n">
        <v>73.14</v>
      </c>
      <c r="J209" s="32" t="n">
        <v>2.34</v>
      </c>
      <c r="K209" s="32" t="n">
        <v>6762908</v>
      </c>
      <c r="L209" s="31" t="n">
        <v>61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70.42</v>
      </c>
      <c r="P209" s="32" t="n">
        <v>61.37</v>
      </c>
      <c r="Q209" s="32" t="n">
        <v>53.29</v>
      </c>
      <c r="R209" s="31" t="inlineStr">
        <is>
          <t>Earnings / Momentum Support</t>
        </is>
      </c>
      <c r="S209" s="31" t="inlineStr">
        <is>
          <t>Nifty Energy</t>
        </is>
      </c>
      <c r="T209" s="32" t="n">
        <v>8.85</v>
      </c>
      <c r="U209" s="32" t="n">
        <v>31.03</v>
      </c>
      <c r="V209" s="32" t="n">
        <v>20.37</v>
      </c>
      <c r="W209" s="32" t="n">
        <v>16.65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Above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Negative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Less than 1.5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IF(B210=0,"",RANK(B210,$B$2:$B$370,0))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MACPOWER</t>
        </is>
      </c>
      <c r="D210" s="31" t="inlineStr">
        <is>
          <t>Macpower CNC Machines Ltd</t>
        </is>
      </c>
      <c r="E210" s="31" t="inlineStr">
        <is>
          <t>industrials</t>
        </is>
      </c>
      <c r="F210" s="31" t="inlineStr">
        <is>
          <t>engineering</t>
        </is>
      </c>
      <c r="G210" s="31" t="inlineStr">
        <is>
          <t>midcap</t>
        </is>
      </c>
      <c r="H210" s="32" t="n">
        <v>11024.17</v>
      </c>
      <c r="I210" s="32" t="n">
        <v>1346.9</v>
      </c>
      <c r="J210" s="32" t="n">
        <v>2.2</v>
      </c>
      <c r="K210" s="32" t="n">
        <v>132071</v>
      </c>
      <c r="L210" s="31" t="n">
        <v>74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66.34</v>
      </c>
      <c r="P210" s="32" t="n">
        <v>24.27</v>
      </c>
      <c r="Q210" s="32" t="n">
        <v>932.75</v>
      </c>
      <c r="R210" s="31" t="inlineStr">
        <is>
          <t>Volume Spike &amp; Near 52W High Breakout</t>
        </is>
      </c>
      <c r="S210" s="31" t="inlineStr">
        <is>
          <t>Nifty 50</t>
        </is>
      </c>
      <c r="T210" s="32" t="n">
        <v>-6.27</v>
      </c>
      <c r="U210" s="32" t="n">
        <v>38.73</v>
      </c>
      <c r="V210" s="32" t="n">
        <v>48.01</v>
      </c>
      <c r="W210" s="32" t="n">
        <v>21.27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Between 12 to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Less than 50%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IF(B211=0,"",RANK(B211,$B$2:$B$370,0))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POWERMECH</t>
        </is>
      </c>
      <c r="D211" s="31" t="inlineStr">
        <is>
          <t>Power Mech Projects Limited</t>
        </is>
      </c>
      <c r="E211" s="31" t="inlineStr">
        <is>
          <t>realty</t>
        </is>
      </c>
      <c r="F211" s="31" t="inlineStr">
        <is>
          <t>engineering - turnkey services</t>
        </is>
      </c>
      <c r="G211" s="31" t="inlineStr">
        <is>
          <t>midcap</t>
        </is>
      </c>
      <c r="H211" s="32" t="n">
        <v>8599.629999999999</v>
      </c>
      <c r="I211" s="32" t="n">
        <v>2763</v>
      </c>
      <c r="J211" s="32" t="n">
        <v>1.58</v>
      </c>
      <c r="K211" s="32" t="n">
        <v>48516</v>
      </c>
      <c r="L211" s="31" t="n">
        <v>29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62.25</v>
      </c>
      <c r="P211" s="32" t="n">
        <v>19.75</v>
      </c>
      <c r="Q211" s="32" t="n">
        <v>2208.2</v>
      </c>
      <c r="R211" s="31" t="inlineStr">
        <is>
          <t>Earnings / Momentum Support</t>
        </is>
      </c>
      <c r="S211" s="31" t="inlineStr">
        <is>
          <t>Nifty Realty</t>
        </is>
      </c>
      <c r="T211" s="32" t="n">
        <v>-14.65</v>
      </c>
      <c r="U211" s="32" t="n">
        <v>-14.16</v>
      </c>
      <c r="V211" s="32" t="n">
        <v>0.57</v>
      </c>
      <c r="W211" s="32" t="n">
        <v>8.66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Less than 1.5</t>
        </is>
      </c>
      <c r="BU211" s="31">
        <f>IF(BT211="Above 2",0,IF(BT211="Between 1.5 to 2",5,IF(BT211="Less than 1.5",10,0)))</f>
        <v/>
      </c>
      <c r="BV211" s="31" t="inlineStr">
        <is>
          <t>Between 50% to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IF(B212=0,"",RANK(B212,$B$2:$B$370,0))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3" t="inlineStr">
        <is>
          <t>KKCL</t>
        </is>
      </c>
      <c r="D212" s="33" t="inlineStr">
        <is>
          <t>Kewal Kiran Clothing Limited</t>
        </is>
      </c>
      <c r="E212" s="31" t="inlineStr">
        <is>
          <t>consumer discretionary</t>
        </is>
      </c>
      <c r="F212" s="31" t="inlineStr">
        <is>
          <t>textiles - products</t>
        </is>
      </c>
      <c r="G212" s="31" t="inlineStr">
        <is>
          <t>smallcap</t>
        </is>
      </c>
      <c r="H212" s="32" t="n">
        <v>3048.29</v>
      </c>
      <c r="I212" s="32" t="n">
        <v>500</v>
      </c>
      <c r="J212" s="32" t="n">
        <v>1.08</v>
      </c>
      <c r="K212" s="32" t="n">
        <v>16356</v>
      </c>
      <c r="L212" s="31" t="n">
        <v>1</v>
      </c>
      <c r="M212" s="31" t="inlineStr">
        <is>
          <t>Underperforming</t>
        </is>
      </c>
      <c r="N212" s="32">
        <f>IF(M212="Underperforming",-5,IF(L212&gt;=95,15,IF(L212&gt;=90,10,IF(L212&gt;=80,5,0))))</f>
        <v/>
      </c>
      <c r="O212" s="32" t="n">
        <v>55.36</v>
      </c>
      <c r="P212" s="32" t="n">
        <v>11.32</v>
      </c>
      <c r="Q212" s="32" t="n">
        <v>405.87</v>
      </c>
      <c r="R212" s="31" t="inlineStr">
        <is>
          <t>Earnings / Momentum Support</t>
        </is>
      </c>
      <c r="S212" s="31" t="inlineStr">
        <is>
          <t>Nifty 50</t>
        </is>
      </c>
      <c r="T212" s="32" t="n">
        <v>-6.27</v>
      </c>
      <c r="U212" s="32" t="n">
        <v>-13.45</v>
      </c>
      <c r="V212" s="32" t="n">
        <v>-7.66</v>
      </c>
      <c r="W212" s="32" t="n">
        <v>0.11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0 to 20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Less than 1.5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IF(B213=0,"",RANK(B213,$B$2:$B$370,0))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THERMAX</t>
        </is>
      </c>
      <c r="D213" s="31" t="inlineStr">
        <is>
          <t>Thermax Limited</t>
        </is>
      </c>
      <c r="E213" s="31" t="inlineStr">
        <is>
          <t>industrials</t>
        </is>
      </c>
      <c r="F213" s="31" t="inlineStr">
        <is>
          <t>electric equipment</t>
        </is>
      </c>
      <c r="G213" s="31" t="inlineStr">
        <is>
          <t>largecap</t>
        </is>
      </c>
      <c r="H213" s="32" t="n">
        <v>61068.8</v>
      </c>
      <c r="I213" s="32" t="n">
        <v>5159.5</v>
      </c>
      <c r="J213" s="32" t="n">
        <v>0.67</v>
      </c>
      <c r="K213" s="32" t="n">
        <v>301008</v>
      </c>
      <c r="L213" s="31" t="n">
        <v>75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75.64</v>
      </c>
      <c r="P213" s="32" t="n">
        <v>48.03</v>
      </c>
      <c r="Q213" s="32" t="n">
        <v>4155</v>
      </c>
      <c r="R213" s="31" t="inlineStr">
        <is>
          <t>Near 52W High Breakout</t>
        </is>
      </c>
      <c r="S213" s="31" t="inlineStr">
        <is>
          <t>Nifty 50</t>
        </is>
      </c>
      <c r="T213" s="32" t="n">
        <v>-6.27</v>
      </c>
      <c r="U213" s="32" t="n">
        <v>49.79</v>
      </c>
      <c r="V213" s="32" t="n">
        <v>59.8</v>
      </c>
      <c r="W213" s="32" t="n">
        <v>21.9</v>
      </c>
      <c r="X213" s="31" t="inlineStr">
        <is>
          <t>Cyclical in an Upturn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Above 40</t>
        </is>
      </c>
      <c r="AY213" s="31">
        <f>IF(AX213="Above 40",20,IF(AX213="20 to 40",10,IF(AX213="0 to 20",-5,0)))</f>
        <v/>
      </c>
      <c r="AZ213" s="31" t="inlineStr">
        <is>
          <t>Above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Between 12 to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Between 50% to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IF(B214=0,"",RANK(B214,$B$2:$B$370,0))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3" t="inlineStr">
        <is>
          <t>JINDALSAW</t>
        </is>
      </c>
      <c r="D214" s="33" t="inlineStr">
        <is>
          <t>Jindal Saw Limited</t>
        </is>
      </c>
      <c r="E214" s="31" t="inlineStr">
        <is>
          <t>industrials</t>
        </is>
      </c>
      <c r="F214" s="31" t="inlineStr">
        <is>
          <t>steel - large</t>
        </is>
      </c>
      <c r="G214" s="31" t="inlineStr">
        <is>
          <t>midcap</t>
        </is>
      </c>
      <c r="H214" s="32" t="n">
        <v>16631.05</v>
      </c>
      <c r="I214" s="32" t="n">
        <v>261.49</v>
      </c>
      <c r="J214" s="32" t="n">
        <v>0.55</v>
      </c>
      <c r="K214" s="32" t="n">
        <v>1524389</v>
      </c>
      <c r="L214" s="31" t="n">
        <v>45</v>
      </c>
      <c r="M214" s="31" t="inlineStr">
        <is>
          <t>Underperforming</t>
        </is>
      </c>
      <c r="N214" s="32">
        <f>IF(M214="Underperforming",-5,IF(L214&gt;=95,15,IF(L214&gt;=90,10,IF(L214&gt;=80,5,0))))</f>
        <v/>
      </c>
      <c r="O214" s="32" t="n">
        <v>64.63</v>
      </c>
      <c r="P214" s="32" t="n">
        <v>34.27</v>
      </c>
      <c r="Q214" s="32" t="n">
        <v>198.37</v>
      </c>
      <c r="R214" s="31" t="inlineStr">
        <is>
          <t>Near 52W High Breakout</t>
        </is>
      </c>
      <c r="S214" s="31" t="inlineStr">
        <is>
          <t>Nifty Metal</t>
        </is>
      </c>
      <c r="T214" s="32" t="n">
        <v>30.67</v>
      </c>
      <c r="U214" s="32" t="n">
        <v>13.31</v>
      </c>
      <c r="V214" s="32" t="n">
        <v>-13.28</v>
      </c>
      <c r="W214" s="32" t="n">
        <v>11.78</v>
      </c>
      <c r="X214" s="31" t="inlineStr">
        <is>
          <t>Cyclical in an Upturn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IF(B215=0,"",RANK(B215,$B$2:$B$370,0))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AEROFLEX</t>
        </is>
      </c>
      <c r="D215" s="31" t="inlineStr">
        <is>
          <t>Aeroflex Industries Ltd</t>
        </is>
      </c>
      <c r="E215" s="31" t="inlineStr">
        <is>
          <t>metals &amp; mining</t>
        </is>
      </c>
      <c r="F215" s="31" t="inlineStr">
        <is>
          <t>steel - medium / small</t>
        </is>
      </c>
      <c r="G215" s="31" t="inlineStr">
        <is>
          <t>midcap</t>
        </is>
      </c>
      <c r="H215" s="32" t="n">
        <v>6206.31</v>
      </c>
      <c r="I215" s="32" t="n">
        <v>471.6</v>
      </c>
      <c r="J215" s="32" t="n">
        <v>0.55</v>
      </c>
      <c r="K215" s="32" t="n">
        <v>672206</v>
      </c>
      <c r="L215" s="31" t="n">
        <v>92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69.93000000000001</v>
      </c>
      <c r="P215" s="32" t="n">
        <v>67.76000000000001</v>
      </c>
      <c r="Q215" s="32" t="n">
        <v>365.63</v>
      </c>
      <c r="R215" s="31" t="inlineStr">
        <is>
          <t>Earnings / Momentum Support</t>
        </is>
      </c>
      <c r="S215" s="31" t="inlineStr">
        <is>
          <t>Nifty Metal</t>
        </is>
      </c>
      <c r="T215" s="32" t="n">
        <v>30.67</v>
      </c>
      <c r="U215" s="32" t="n">
        <v>134.51</v>
      </c>
      <c r="V215" s="32" t="n">
        <v>79.45999999999999</v>
      </c>
      <c r="W215" s="32" t="n">
        <v>40.08</v>
      </c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Cyclical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Volatile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Above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Between 1.5 to 2</t>
        </is>
      </c>
      <c r="BU215" s="31">
        <f>IF(BT215="Above 2",0,IF(BT215="Between 1.5 to 2",5,IF(BT215="Less than 1.5",10,0)))</f>
        <v/>
      </c>
      <c r="BV215" s="31" t="inlineStr">
        <is>
          <t>Between 50% to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IF(B216=0,"",RANK(B216,$B$2:$B$370,0))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DIACABS</t>
        </is>
      </c>
      <c r="D216" s="31" t="inlineStr">
        <is>
          <t>Diamond Power Infrastructure Ltd</t>
        </is>
      </c>
      <c r="E216" s="31" t="inlineStr">
        <is>
          <t>industrials</t>
        </is>
      </c>
      <c r="F216" s="31" t="inlineStr">
        <is>
          <t>cables - power</t>
        </is>
      </c>
      <c r="G216" s="31" t="inlineStr">
        <is>
          <t>midcap</t>
        </is>
      </c>
      <c r="H216" s="32" t="n">
        <v>10989.45</v>
      </c>
      <c r="I216" s="32" t="n">
        <v>209.34</v>
      </c>
      <c r="J216" s="32" t="n">
        <v>0.38</v>
      </c>
      <c r="K216" s="32" t="n">
        <v>5771488</v>
      </c>
      <c r="L216" s="31" t="n">
        <v>81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75.44</v>
      </c>
      <c r="P216" s="32" t="n">
        <v>42.35</v>
      </c>
      <c r="Q216" s="32" t="n">
        <v>158.25</v>
      </c>
      <c r="R216" s="31" t="inlineStr">
        <is>
          <t>Near 52W High Breakout</t>
        </is>
      </c>
      <c r="S216" s="31" t="inlineStr">
        <is>
          <t>Nifty Energy</t>
        </is>
      </c>
      <c r="T216" s="32" t="n">
        <v>8.85</v>
      </c>
      <c r="U216" s="32" t="n">
        <v>50.09</v>
      </c>
      <c r="V216" s="32" t="n">
        <v>37.88</v>
      </c>
      <c r="W216" s="32" t="n">
        <v>24.9</v>
      </c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Above 40</t>
        </is>
      </c>
      <c r="AY216" s="31">
        <f>IF(AX216="Above 40",20,IF(AX216="20 to 40",10,IF(AX216="0 to 20",-5,0)))</f>
        <v/>
      </c>
      <c r="AZ216" s="31" t="inlineStr">
        <is>
          <t>Above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Blue sky scenario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Negative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IF(B217=0,"",RANK(B217,$B$2:$B$370,0))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IDEA</t>
        </is>
      </c>
      <c r="D217" s="31" t="inlineStr">
        <is>
          <t>Vodafone Idea Ltd</t>
        </is>
      </c>
      <c r="E217" s="31" t="inlineStr">
        <is>
          <t>telecom-service</t>
        </is>
      </c>
      <c r="F217" s="31" t="inlineStr">
        <is>
          <t>telecommunications - service provider</t>
        </is>
      </c>
      <c r="G217" s="31" t="inlineStr">
        <is>
          <t>largecap</t>
        </is>
      </c>
      <c r="H217" s="32" t="n">
        <v>156339</v>
      </c>
      <c r="I217" s="32" t="n">
        <v>14.46</v>
      </c>
      <c r="J217" s="32" t="n">
        <v>0.21</v>
      </c>
      <c r="K217" s="32" t="n">
        <v>489723933</v>
      </c>
      <c r="L217" s="31" t="n">
        <v>88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68.25</v>
      </c>
      <c r="P217" s="32" t="n">
        <v>31.86</v>
      </c>
      <c r="Q217" s="32" t="n">
        <v>11.78</v>
      </c>
      <c r="R217" s="31" t="inlineStr">
        <is>
          <t>Near 52W High Breakout</t>
        </is>
      </c>
      <c r="S217" s="31" t="inlineStr">
        <is>
          <t>Nifty 500</t>
        </is>
      </c>
      <c r="T217" s="32" t="n">
        <v>-2.41</v>
      </c>
      <c r="U217" s="32" t="n">
        <v>96.47</v>
      </c>
      <c r="V217" s="32" t="n">
        <v>101.31</v>
      </c>
      <c r="W217" s="32" t="n">
        <v>32.66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Oligopoly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Yes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Less than 1.5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IF(B218=0,"",RANK(B218,$B$2:$B$370,0))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KRN</t>
        </is>
      </c>
      <c r="D218" s="31" t="inlineStr">
        <is>
          <t>KRN Heat Exchanger and Refrigeration Ltd</t>
        </is>
      </c>
      <c r="E218" s="31" t="inlineStr">
        <is>
          <t>industrials</t>
        </is>
      </c>
      <c r="F218" s="31" t="inlineStr">
        <is>
          <t>engineering</t>
        </is>
      </c>
      <c r="G218" s="31" t="inlineStr">
        <is>
          <t>midcap</t>
        </is>
      </c>
      <c r="H218" s="32" t="n">
        <v>8185.58</v>
      </c>
      <c r="I218" s="32" t="n">
        <v>1252.6</v>
      </c>
      <c r="J218" s="32" t="n">
        <v>0.17</v>
      </c>
      <c r="K218" s="32" t="n">
        <v>183844</v>
      </c>
      <c r="L218" s="31" t="n">
        <v>69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62.86</v>
      </c>
      <c r="P218" s="32" t="n">
        <v>38.93</v>
      </c>
      <c r="Q218" s="32" t="n">
        <v>891.47</v>
      </c>
      <c r="R218" s="31" t="inlineStr">
        <is>
          <t>Near 52W High Breakout</t>
        </is>
      </c>
      <c r="S218" s="31" t="inlineStr">
        <is>
          <t>Nifty 50</t>
        </is>
      </c>
      <c r="T218" s="32" t="n">
        <v>-6.27</v>
      </c>
      <c r="U218" s="32" t="n">
        <v>53.37</v>
      </c>
      <c r="V218" s="32" t="n">
        <v>63.63</v>
      </c>
      <c r="W218" s="32" t="n">
        <v>19.15</v>
      </c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Blue sky scenario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Between 1.5 to 2</t>
        </is>
      </c>
      <c r="BU218" s="31">
        <f>IF(BT218="Above 2",0,IF(BT218="Between 1.5 to 2",5,IF(BT218="Less than 1.5",10,0)))</f>
        <v/>
      </c>
      <c r="BV218" s="31" t="inlineStr">
        <is>
          <t>Negative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IF(B219=0,"",RANK(B219,$B$2:$B$370,0))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BOROSCI</t>
        </is>
      </c>
      <c r="D219" s="31" t="inlineStr">
        <is>
          <t>Borosil Scientific Ltd</t>
        </is>
      </c>
      <c r="E219" s="31" t="inlineStr">
        <is>
          <t>building materials</t>
        </is>
      </c>
      <c r="F219" s="31" t="inlineStr">
        <is>
          <t>glass &amp; glass products</t>
        </is>
      </c>
      <c r="G219" s="31" t="inlineStr">
        <is>
          <t>smallcap</t>
        </is>
      </c>
      <c r="H219" s="32" t="n">
        <v>1541.36</v>
      </c>
      <c r="I219" s="32" t="n">
        <v>173.52</v>
      </c>
      <c r="J219" s="32" t="n">
        <v>0.13</v>
      </c>
      <c r="K219" s="32" t="n">
        <v>697510</v>
      </c>
      <c r="L219" s="31" t="n">
        <v>56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77.29000000000001</v>
      </c>
      <c r="P219" s="32" t="n">
        <v>31.05</v>
      </c>
      <c r="Q219" s="32" t="n">
        <v>134.56</v>
      </c>
      <c r="R219" s="31" t="inlineStr">
        <is>
          <t>Volume Spike &amp; Near 52W High Breakout</t>
        </is>
      </c>
      <c r="S219" s="31" t="inlineStr">
        <is>
          <t>Nifty Infra</t>
        </is>
      </c>
      <c r="T219" s="32" t="n">
        <v>-0.44</v>
      </c>
      <c r="U219" s="32" t="n">
        <v>5.06</v>
      </c>
      <c r="V219" s="32" t="n">
        <v>5.53</v>
      </c>
      <c r="W219" s="32" t="n">
        <v>15.07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Above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Between 50% to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IF(B220=0,"",RANK(B220,$B$2:$B$370,0))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SHREEPUSHK</t>
        </is>
      </c>
      <c r="D220" s="31" t="inlineStr">
        <is>
          <t>Shree Pushkar Chemicals &amp; Fertilisers Limited</t>
        </is>
      </c>
      <c r="E220" s="31" t="inlineStr">
        <is>
          <t>chemicals</t>
        </is>
      </c>
      <c r="F220" s="31" t="inlineStr">
        <is>
          <t>dyes and pigments</t>
        </is>
      </c>
      <c r="G220" s="31" t="inlineStr">
        <is>
          <t>smallcap</t>
        </is>
      </c>
      <c r="H220" s="32" t="n">
        <v>1319.05</v>
      </c>
      <c r="I220" s="32" t="n">
        <v>407.5</v>
      </c>
      <c r="J220" s="32" t="n">
        <v>-0.1</v>
      </c>
      <c r="K220" s="32" t="n">
        <v>20957</v>
      </c>
      <c r="L220" s="31" t="n">
        <v>45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60.04</v>
      </c>
      <c r="P220" s="32" t="n">
        <v>30.08</v>
      </c>
      <c r="Q220" s="32" t="n">
        <v>297.37</v>
      </c>
      <c r="R220" s="31" t="inlineStr">
        <is>
          <t>Earnings / Momentum Support</t>
        </is>
      </c>
      <c r="S220" s="31" t="inlineStr">
        <is>
          <t>Nifty IT</t>
        </is>
      </c>
      <c r="T220" s="32" t="n">
        <v>-32.85</v>
      </c>
      <c r="U220" s="32" t="n">
        <v>19.91</v>
      </c>
      <c r="V220" s="32" t="n">
        <v>78.58</v>
      </c>
      <c r="W220" s="32" t="n">
        <v>11.86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IF(B221=0,"",RANK(B221,$B$2:$B$370,0))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HCC</t>
        </is>
      </c>
      <c r="D221" s="31" t="inlineStr">
        <is>
          <t>Hindustan Construction Company Limited</t>
        </is>
      </c>
      <c r="E221" s="31" t="inlineStr">
        <is>
          <t>realty</t>
        </is>
      </c>
      <c r="F221" s="31" t="inlineStr">
        <is>
          <t>construction</t>
        </is>
      </c>
      <c r="G221" s="31" t="inlineStr">
        <is>
          <t>midcap</t>
        </is>
      </c>
      <c r="H221" s="32" t="n">
        <v>6729.41</v>
      </c>
      <c r="I221" s="32" t="n">
        <v>25.65</v>
      </c>
      <c r="J221" s="32" t="n">
        <v>-0.16</v>
      </c>
      <c r="K221" s="32" t="n">
        <v>24365373</v>
      </c>
      <c r="L221" s="31" t="n">
        <v>56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60.47</v>
      </c>
      <c r="P221" s="32" t="n">
        <v>24.1</v>
      </c>
      <c r="Q221" s="32" t="n">
        <v>19.74</v>
      </c>
      <c r="R221" s="31" t="inlineStr">
        <is>
          <t>Earnings / Momentum Support</t>
        </is>
      </c>
      <c r="S221" s="31" t="inlineStr">
        <is>
          <t>Nifty Realty</t>
        </is>
      </c>
      <c r="T221" s="32" t="n">
        <v>-14.65</v>
      </c>
      <c r="U221" s="32" t="n">
        <v>-14.33</v>
      </c>
      <c r="V221" s="32" t="n">
        <v>0.38</v>
      </c>
      <c r="W221" s="32" t="n">
        <v>15.17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IF(B222=0,"",RANK(B222,$B$2:$B$370,0))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MGEL</t>
        </is>
      </c>
      <c r="D222" s="31" t="inlineStr">
        <is>
          <t>Mangalam Global Enterprise Ltd</t>
        </is>
      </c>
      <c r="E222" s="31" t="inlineStr">
        <is>
          <t>services</t>
        </is>
      </c>
      <c r="F222" s="31" t="inlineStr">
        <is>
          <t>trading</t>
        </is>
      </c>
      <c r="G222" s="31" t="inlineStr">
        <is>
          <t>smallcap</t>
        </is>
      </c>
      <c r="H222" s="32" t="n">
        <v>527.29</v>
      </c>
      <c r="I222" s="32" t="n">
        <v>15.95</v>
      </c>
      <c r="J222" s="32" t="n">
        <v>-0.31</v>
      </c>
      <c r="K222" s="32" t="n">
        <v>116840</v>
      </c>
      <c r="L222" s="31" t="n">
        <v>47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61.79</v>
      </c>
      <c r="P222" s="32" t="n">
        <v>32.59</v>
      </c>
      <c r="Q222" s="32" t="n">
        <v>11.89</v>
      </c>
      <c r="R222" s="31" t="inlineStr">
        <is>
          <t>Earnings / Momentum Support</t>
        </is>
      </c>
      <c r="S222" s="31" t="inlineStr">
        <is>
          <t>Nifty 50</t>
        </is>
      </c>
      <c r="T222" s="32" t="n">
        <v>-6.27</v>
      </c>
      <c r="U222" s="32" t="n">
        <v>5.22</v>
      </c>
      <c r="V222" s="32" t="n">
        <v>12.25</v>
      </c>
      <c r="W222" s="32" t="n">
        <v>12.29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Between 0.7 to 1.2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IF(B223=0,"",RANK(B223,$B$2:$B$370,0))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LLOYDSENGG</t>
        </is>
      </c>
      <c r="D223" s="31" t="inlineStr">
        <is>
          <t>Lloyds Engineering Works Ltd</t>
        </is>
      </c>
      <c r="E223" s="31" t="inlineStr">
        <is>
          <t>industrials</t>
        </is>
      </c>
      <c r="F223" s="31" t="inlineStr">
        <is>
          <t>engineering</t>
        </is>
      </c>
      <c r="G223" s="31" t="inlineStr">
        <is>
          <t>midcap</t>
        </is>
      </c>
      <c r="H223" s="32" t="n">
        <v>12893</v>
      </c>
      <c r="I223" s="32" t="n">
        <v>86.53</v>
      </c>
      <c r="J223" s="32" t="n">
        <v>-0.67</v>
      </c>
      <c r="K223" s="32" t="n">
        <v>11458577</v>
      </c>
      <c r="L223" s="31" t="n">
        <v>86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73.84</v>
      </c>
      <c r="P223" s="32" t="n">
        <v>33.07</v>
      </c>
      <c r="Q223" s="32" t="n">
        <v>65</v>
      </c>
      <c r="R223" s="31" t="inlineStr">
        <is>
          <t>Near 52W High Breakout</t>
        </is>
      </c>
      <c r="S223" s="31" t="inlineStr">
        <is>
          <t>Nifty 50</t>
        </is>
      </c>
      <c r="T223" s="32" t="n">
        <v>-6.27</v>
      </c>
      <c r="U223" s="32" t="n">
        <v>7.95</v>
      </c>
      <c r="V223" s="32" t="n">
        <v>15.17</v>
      </c>
      <c r="W223" s="32" t="n">
        <v>30.81</v>
      </c>
      <c r="X223" s="31" t="inlineStr">
        <is>
          <t>Cyclical in an Upturn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Blue sky scenario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Negative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IF(B224=0,"",RANK(B224,$B$2:$B$370,0))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DLINKINDIA</t>
        </is>
      </c>
      <c r="D224" s="31" t="inlineStr">
        <is>
          <t>D-link (india) Limited</t>
        </is>
      </c>
      <c r="E224" s="31" t="inlineStr">
        <is>
          <t>services</t>
        </is>
      </c>
      <c r="F224" s="31" t="inlineStr">
        <is>
          <t>trading</t>
        </is>
      </c>
      <c r="G224" s="31" t="inlineStr">
        <is>
          <t>smallcap</t>
        </is>
      </c>
      <c r="H224" s="32" t="n">
        <v>1840.93</v>
      </c>
      <c r="I224" s="32" t="n">
        <v>514.65</v>
      </c>
      <c r="J224" s="32" t="n">
        <v>-0.74</v>
      </c>
      <c r="K224" s="32" t="n">
        <v>135904</v>
      </c>
      <c r="L224" s="31" t="n">
        <v>17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65.94</v>
      </c>
      <c r="P224" s="32" t="n">
        <v>35.28</v>
      </c>
      <c r="Q224" s="32" t="n">
        <v>434.04</v>
      </c>
      <c r="R224" s="31" t="inlineStr">
        <is>
          <t>Near 52W High Breakout</t>
        </is>
      </c>
      <c r="S224" s="31" t="inlineStr">
        <is>
          <t>Nifty 50</t>
        </is>
      </c>
      <c r="T224" s="32" t="n">
        <v>-6.27</v>
      </c>
      <c r="U224" s="32" t="n">
        <v>-6.05</v>
      </c>
      <c r="V224" s="32" t="n">
        <v>0.23</v>
      </c>
      <c r="W224" s="32" t="n">
        <v>5.51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Less than 12%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Less than 50%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IF(B225=0,"",RANK(B225,$B$2:$B$370,0))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RBA</t>
        </is>
      </c>
      <c r="D225" s="31" t="inlineStr">
        <is>
          <t>Restaurant Brands Asia Ltd</t>
        </is>
      </c>
      <c r="E225" s="31" t="inlineStr">
        <is>
          <t>consumer discretionary</t>
        </is>
      </c>
      <c r="F225" s="31" t="inlineStr">
        <is>
          <t>hotels</t>
        </is>
      </c>
      <c r="G225" s="31" t="inlineStr">
        <is>
          <t>midcap</t>
        </is>
      </c>
      <c r="H225" s="32" t="n">
        <v>5676.64</v>
      </c>
      <c r="I225" s="32" t="n">
        <v>79.18000000000001</v>
      </c>
      <c r="J225" s="32" t="n">
        <v>-0.76</v>
      </c>
      <c r="K225" s="32" t="n">
        <v>14539586</v>
      </c>
      <c r="L225" s="31" t="n">
        <v>20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73.62</v>
      </c>
      <c r="P225" s="32" t="n">
        <v>23.79</v>
      </c>
      <c r="Q225" s="32" t="n">
        <v>67.90000000000001</v>
      </c>
      <c r="R225" s="31" t="inlineStr">
        <is>
          <t>Earnings / Momentum Support</t>
        </is>
      </c>
      <c r="S225" s="31" t="inlineStr">
        <is>
          <t>Nifty 50</t>
        </is>
      </c>
      <c r="T225" s="32" t="n">
        <v>-6.27</v>
      </c>
      <c r="U225" s="32" t="n">
        <v>-3.25</v>
      </c>
      <c r="V225" s="32" t="n">
        <v>3.22</v>
      </c>
      <c r="W225" s="32" t="n">
        <v>6.42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Less than 1.5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More than 1.2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IF(B226=0,"",RANK(B226,$B$2:$B$370,0))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3" t="inlineStr">
        <is>
          <t>JSWDULUX</t>
        </is>
      </c>
      <c r="D226" s="33" t="inlineStr">
        <is>
          <t>JSW Dulux Ltd</t>
        </is>
      </c>
      <c r="E226" s="31" t="inlineStr">
        <is>
          <t>building materials</t>
        </is>
      </c>
      <c r="F226" s="31" t="inlineStr">
        <is>
          <t>paints / varnishes</t>
        </is>
      </c>
      <c r="G226" s="31" t="inlineStr">
        <is>
          <t>midcap</t>
        </is>
      </c>
      <c r="H226" s="32" t="n">
        <v>14859.35</v>
      </c>
      <c r="I226" s="32" t="n">
        <v>3230</v>
      </c>
      <c r="J226" s="32" t="n">
        <v>-1.01</v>
      </c>
      <c r="K226" s="32" t="n">
        <v>19648</v>
      </c>
      <c r="L226" s="31" t="n">
        <v>3</v>
      </c>
      <c r="M226" s="31" t="inlineStr">
        <is>
          <t>Underperforming</t>
        </is>
      </c>
      <c r="N226" s="32">
        <f>IF(M226="Underperforming",-5,IF(L226&gt;=95,15,IF(L226&gt;=90,10,IF(L226&gt;=80,5,0))))</f>
        <v/>
      </c>
      <c r="O226" s="32" t="n">
        <v>57.2</v>
      </c>
      <c r="P226" s="32" t="n">
        <v>16.64</v>
      </c>
      <c r="Q226" s="32" t="n">
        <v>2757.54</v>
      </c>
      <c r="R226" s="31" t="inlineStr">
        <is>
          <t>Earnings / Momentum Support</t>
        </is>
      </c>
      <c r="S226" s="31" t="inlineStr">
        <is>
          <t>Nifty Infra</t>
        </is>
      </c>
      <c r="T226" s="32" t="n">
        <v>-0.44</v>
      </c>
      <c r="U226" s="32" t="n">
        <v>-1.24</v>
      </c>
      <c r="V226" s="32" t="n">
        <v>-0.8</v>
      </c>
      <c r="W226" s="32" t="n">
        <v>1.46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0 to 20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Less than 1.5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IF(B227=0,"",RANK(B227,$B$2:$B$370,0))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ORBTEXP</t>
        </is>
      </c>
      <c r="D227" s="31" t="inlineStr">
        <is>
          <t>Orbit Exports Limited</t>
        </is>
      </c>
      <c r="E227" s="31" t="inlineStr">
        <is>
          <t>textiles</t>
        </is>
      </c>
      <c r="F227" s="31" t="inlineStr">
        <is>
          <t>textiles - processing</t>
        </is>
      </c>
      <c r="G227" s="31" t="inlineStr">
        <is>
          <t>smallcap</t>
        </is>
      </c>
      <c r="H227" s="32" t="n">
        <v>594.35</v>
      </c>
      <c r="I227" s="32" t="n">
        <v>221</v>
      </c>
      <c r="J227" s="32" t="n">
        <v>-1.42</v>
      </c>
      <c r="K227" s="32" t="n">
        <v>14869</v>
      </c>
      <c r="L227" s="31" t="n">
        <v>44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64.17</v>
      </c>
      <c r="P227" s="32" t="n">
        <v>24.15</v>
      </c>
      <c r="Q227" s="32" t="n">
        <v>166.22</v>
      </c>
      <c r="R227" s="31" t="inlineStr">
        <is>
          <t>Earnings / Momentum Support</t>
        </is>
      </c>
      <c r="S227" s="31" t="inlineStr">
        <is>
          <t>Nifty 50</t>
        </is>
      </c>
      <c r="T227" s="32" t="n">
        <v>-6.27</v>
      </c>
      <c r="U227" s="32" t="n">
        <v>1.61</v>
      </c>
      <c r="V227" s="32" t="n">
        <v>8.4</v>
      </c>
      <c r="W227" s="32" t="n">
        <v>11.73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Less than 12%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IF(B228=0,"",RANK(B228,$B$2:$B$370,0))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YASHO</t>
        </is>
      </c>
      <c r="D228" s="31" t="inlineStr">
        <is>
          <t>Yasho Industries Ltd</t>
        </is>
      </c>
      <c r="E228" s="31" t="inlineStr">
        <is>
          <t>chemicals</t>
        </is>
      </c>
      <c r="F228" s="31" t="inlineStr">
        <is>
          <t>chemicals</t>
        </is>
      </c>
      <c r="G228" s="31" t="inlineStr">
        <is>
          <t>smallcap</t>
        </is>
      </c>
      <c r="H228" s="32" t="n">
        <v>3566.37</v>
      </c>
      <c r="I228" s="32" t="n">
        <v>2905</v>
      </c>
      <c r="J228" s="32" t="n">
        <v>-1.79</v>
      </c>
      <c r="K228" s="32" t="n">
        <v>48553</v>
      </c>
      <c r="L228" s="31" t="n">
        <v>91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83.72</v>
      </c>
      <c r="P228" s="32" t="n">
        <v>36.42</v>
      </c>
      <c r="Q228" s="32" t="n">
        <v>2177.51</v>
      </c>
      <c r="R228" s="31" t="inlineStr">
        <is>
          <t>Near 52W High Breakout</t>
        </is>
      </c>
      <c r="S228" s="31" t="inlineStr">
        <is>
          <t>Nifty 50</t>
        </is>
      </c>
      <c r="T228" s="32" t="n">
        <v>-6.27</v>
      </c>
      <c r="U228" s="32" t="n">
        <v>38.76</v>
      </c>
      <c r="V228" s="32" t="n">
        <v>48.04</v>
      </c>
      <c r="W228" s="32" t="n">
        <v>36.16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Above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Blue sky scenario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Yes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More than 1.2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IF(B229=0,"",RANK(B229,$B$2:$B$370,0))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3" t="inlineStr">
        <is>
          <t>QUADFUTURE</t>
        </is>
      </c>
      <c r="D229" s="33" t="inlineStr">
        <is>
          <t>Quadrant Future Tek Ltd</t>
        </is>
      </c>
      <c r="E229" s="31" t="inlineStr">
        <is>
          <t>industrials</t>
        </is>
      </c>
      <c r="F229" s="31" t="inlineStr">
        <is>
          <t>cables - power</t>
        </is>
      </c>
      <c r="G229" s="31" t="inlineStr">
        <is>
          <t>smallcap</t>
        </is>
      </c>
      <c r="H229" s="32" t="n">
        <v>1782.6</v>
      </c>
      <c r="I229" s="32" t="n">
        <v>432.55</v>
      </c>
      <c r="J229" s="32" t="n">
        <v>-2.94</v>
      </c>
      <c r="K229" s="32" t="n">
        <v>583352</v>
      </c>
      <c r="L229" s="31" t="n">
        <v>41</v>
      </c>
      <c r="M229" s="31" t="inlineStr">
        <is>
          <t>Underperforming</t>
        </is>
      </c>
      <c r="N229" s="32">
        <f>IF(M229="Underperforming",-5,IF(L229&gt;=95,15,IF(L229&gt;=90,10,IF(L229&gt;=80,5,0))))</f>
        <v/>
      </c>
      <c r="O229" s="32" t="n">
        <v>66.64</v>
      </c>
      <c r="P229" s="32" t="n">
        <v>23.38</v>
      </c>
      <c r="Q229" s="32" t="n">
        <v>322.33</v>
      </c>
      <c r="R229" s="31" t="inlineStr">
        <is>
          <t>Earnings / Momentum Support</t>
        </is>
      </c>
      <c r="S229" s="31" t="inlineStr">
        <is>
          <t>Nifty Energy</t>
        </is>
      </c>
      <c r="T229" s="32" t="n">
        <v>8.85</v>
      </c>
      <c r="U229" s="32" t="n">
        <v>-8.25</v>
      </c>
      <c r="V229" s="32" t="n">
        <v>-15.71</v>
      </c>
      <c r="W229" s="32" t="n">
        <v>11.22</v>
      </c>
      <c r="X229" s="31" t="inlineStr">
        <is>
          <t>Cyclical in an Upturn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Less than 12%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Less than 1.5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IF(B230=0,"",RANK(B230,$B$2:$B$370,0))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KIRLOSENG</t>
        </is>
      </c>
      <c r="D230" s="31" t="inlineStr">
        <is>
          <t>Kirloskar Oil Engines Limited</t>
        </is>
      </c>
      <c r="E230" s="31" t="inlineStr">
        <is>
          <t>industrials</t>
        </is>
      </c>
      <c r="F230" s="31" t="inlineStr">
        <is>
          <t>engines</t>
        </is>
      </c>
      <c r="G230" s="31" t="inlineStr">
        <is>
          <t>largecap</t>
        </is>
      </c>
      <c r="H230" s="32" t="n">
        <v>35483.64</v>
      </c>
      <c r="I230" s="32" t="n">
        <v>2364</v>
      </c>
      <c r="J230" s="32" t="n">
        <v>-3.16</v>
      </c>
      <c r="K230" s="32" t="n">
        <v>777393</v>
      </c>
      <c r="L230" s="31" t="n">
        <v>92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77.23</v>
      </c>
      <c r="P230" s="32" t="n">
        <v>44.39</v>
      </c>
      <c r="Q230" s="32" t="n">
        <v>1932.29</v>
      </c>
      <c r="R230" s="31" t="inlineStr">
        <is>
          <t>Near 52W High Breakout</t>
        </is>
      </c>
      <c r="S230" s="31" t="inlineStr">
        <is>
          <t>Nifty 50</t>
        </is>
      </c>
      <c r="T230" s="32" t="n">
        <v>-6.27</v>
      </c>
      <c r="U230" s="32" t="n">
        <v>178.04</v>
      </c>
      <c r="V230" s="32" t="n">
        <v>196.63</v>
      </c>
      <c r="W230" s="32" t="n">
        <v>39.46</v>
      </c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Above 40</t>
        </is>
      </c>
      <c r="AY230" s="31">
        <f>IF(AX230="Above 40",20,IF(AX230="20 to 40",10,IF(AX230="0 to 20",-5,0)))</f>
        <v/>
      </c>
      <c r="AZ230" s="31" t="inlineStr">
        <is>
          <t>Above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Blue sky scenario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Between 50% to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More than 1.2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IF(B231=0,"",RANK(B231,$B$2:$B$370,0))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SCHNEIDER</t>
        </is>
      </c>
      <c r="D231" s="31" t="inlineStr">
        <is>
          <t>Schneider Electric Infrastructure Limited</t>
        </is>
      </c>
      <c r="E231" s="31" t="inlineStr">
        <is>
          <t>industrials</t>
        </is>
      </c>
      <c r="F231" s="31" t="inlineStr">
        <is>
          <t>electric equipment</t>
        </is>
      </c>
      <c r="G231" s="31" t="inlineStr">
        <is>
          <t>largecap</t>
        </is>
      </c>
      <c r="H231" s="32" t="n">
        <v>34756.16</v>
      </c>
      <c r="I231" s="32" t="n">
        <v>1360.2</v>
      </c>
      <c r="J231" s="32" t="n">
        <v>-6.43</v>
      </c>
      <c r="K231" s="32" t="n">
        <v>634602</v>
      </c>
      <c r="L231" s="31" t="n">
        <v>77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67.79000000000001</v>
      </c>
      <c r="P231" s="32" t="n">
        <v>41.83</v>
      </c>
      <c r="Q231" s="32" t="n">
        <v>988.09</v>
      </c>
      <c r="R231" s="31" t="inlineStr">
        <is>
          <t>Near 52W High Breakout</t>
        </is>
      </c>
      <c r="S231" s="31" t="inlineStr">
        <is>
          <t>Nifty 50</t>
        </is>
      </c>
      <c r="T231" s="32" t="n">
        <v>-6.27</v>
      </c>
      <c r="U231" s="32" t="n">
        <v>66.08</v>
      </c>
      <c r="V231" s="32" t="n">
        <v>77.18000000000001</v>
      </c>
      <c r="W231" s="32" t="n">
        <v>22.97</v>
      </c>
      <c r="X231" s="31" t="inlineStr">
        <is>
          <t>Cyclical in an Upturn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Above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Blue sky scenario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Between 50% to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Between 0.7 to 1.2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IF(B232=0,"",RANK(B232,$B$2:$B$370,0))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BALRAMCHIN</t>
        </is>
      </c>
      <c r="D232" s="31" t="inlineStr">
        <is>
          <t>Balrampur Chini Mills Limited</t>
        </is>
      </c>
      <c r="E232" s="31" t="inlineStr">
        <is>
          <t>fmcg</t>
        </is>
      </c>
      <c r="F232" s="31" t="inlineStr">
        <is>
          <t>sugar</t>
        </is>
      </c>
      <c r="G232" s="31" t="inlineStr">
        <is>
          <t>midcap</t>
        </is>
      </c>
      <c r="H232" s="32" t="n">
        <v>11135.89</v>
      </c>
      <c r="I232" s="32" t="n">
        <v>559.7</v>
      </c>
      <c r="J232" s="32" t="n">
        <v>6.18</v>
      </c>
      <c r="K232" s="32" t="n">
        <v>906935</v>
      </c>
      <c r="L232" s="31" t="n">
        <v>6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65.72</v>
      </c>
      <c r="P232" s="32" t="n">
        <v>24.68</v>
      </c>
      <c r="Q232" s="32" t="n">
        <v>449.02</v>
      </c>
      <c r="R232" s="31" t="inlineStr">
        <is>
          <t>Earnings / Momentum Support</t>
        </is>
      </c>
      <c r="S232" s="31" t="inlineStr">
        <is>
          <t>Nifty FMCG</t>
        </is>
      </c>
      <c r="T232" s="32" t="n">
        <v>-10.85</v>
      </c>
      <c r="U232" s="32" t="n">
        <v>-5.23</v>
      </c>
      <c r="V232" s="32" t="n">
        <v>6.31</v>
      </c>
      <c r="W232" s="32" t="n">
        <v>2.45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B2C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Annuity, Lower One Time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Less than 12%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Between 0.7 to 1.2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IF(B233=0,"",RANK(B233,$B$2:$B$370,0))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VIJAYA</t>
        </is>
      </c>
      <c r="D233" s="31" t="inlineStr">
        <is>
          <t>Vijaya Diagnostic Centre Ltd</t>
        </is>
      </c>
      <c r="E233" s="31" t="inlineStr">
        <is>
          <t>healthcare</t>
        </is>
      </c>
      <c r="F233" s="31" t="inlineStr">
        <is>
          <t>healthcare</t>
        </is>
      </c>
      <c r="G233" s="31" t="inlineStr">
        <is>
          <t>midcap</t>
        </is>
      </c>
      <c r="H233" s="32" t="n">
        <v>13492.85</v>
      </c>
      <c r="I233" s="32" t="n">
        <v>1352.6</v>
      </c>
      <c r="J233" s="32" t="n">
        <v>3.15</v>
      </c>
      <c r="K233" s="32" t="n">
        <v>2126997</v>
      </c>
      <c r="L233" s="31" t="n">
        <v>66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65.48</v>
      </c>
      <c r="P233" s="32" t="n">
        <v>40.29</v>
      </c>
      <c r="Q233" s="32" t="n">
        <v>1070.05</v>
      </c>
      <c r="R233" s="31" t="inlineStr">
        <is>
          <t>Volume Spike &amp; Near 52W High Breakout</t>
        </is>
      </c>
      <c r="S233" s="31" t="inlineStr">
        <is>
          <t>Nifty Pharma</t>
        </is>
      </c>
      <c r="T233" s="32" t="n">
        <v>13.14</v>
      </c>
      <c r="U233" s="32" t="n">
        <v>32.81</v>
      </c>
      <c r="V233" s="32" t="n">
        <v>17.38</v>
      </c>
      <c r="W233" s="32" t="n">
        <v>18.06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Yes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Annuity, Lower One Time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Above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Blue sky scenario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IF(B234=0,"",RANK(B234,$B$2:$B$370,0))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3" t="inlineStr">
        <is>
          <t>FDC</t>
        </is>
      </c>
      <c r="D234" s="33" t="inlineStr">
        <is>
          <t>Fdc Limited</t>
        </is>
      </c>
      <c r="E234" s="31" t="inlineStr">
        <is>
          <t>healthcare</t>
        </is>
      </c>
      <c r="F234" s="31" t="inlineStr">
        <is>
          <t>pharmaceuticals - indian - bulk drugs &amp; formln</t>
        </is>
      </c>
      <c r="G234" s="31" t="inlineStr">
        <is>
          <t>midcap</t>
        </is>
      </c>
      <c r="H234" s="32" t="n">
        <v>6849.42</v>
      </c>
      <c r="I234" s="32" t="n">
        <v>423.85</v>
      </c>
      <c r="J234" s="32" t="n">
        <v>0.75</v>
      </c>
      <c r="K234" s="32" t="n">
        <v>488814</v>
      </c>
      <c r="L234" s="31" t="n">
        <v>11</v>
      </c>
      <c r="M234" s="31" t="inlineStr">
        <is>
          <t>Underperforming</t>
        </is>
      </c>
      <c r="N234" s="32">
        <f>IF(M234="Underperforming",-5,IF(L234&gt;=95,15,IF(L234&gt;=90,10,IF(L234&gt;=80,5,0))))</f>
        <v/>
      </c>
      <c r="O234" s="32" t="n">
        <v>61.57</v>
      </c>
      <c r="P234" s="32" t="n">
        <v>22.74</v>
      </c>
      <c r="Q234" s="32" t="n">
        <v>337.77</v>
      </c>
      <c r="R234" s="31" t="inlineStr">
        <is>
          <t>Earnings / Momentum Support</t>
        </is>
      </c>
      <c r="S234" s="31" t="inlineStr">
        <is>
          <t>Nifty Pharma</t>
        </is>
      </c>
      <c r="T234" s="32" t="n">
        <v>13.14</v>
      </c>
      <c r="U234" s="32" t="n">
        <v>-12.29</v>
      </c>
      <c r="V234" s="32" t="n">
        <v>-22.48</v>
      </c>
      <c r="W234" s="32" t="n">
        <v>4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Yes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Annuity, Lower One Time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Between 50% to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IF(B235=0,"",RANK(B235,$B$2:$B$370,0))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APOLLOHOSP</t>
        </is>
      </c>
      <c r="D235" s="31" t="inlineStr">
        <is>
          <t>Apollo Hospitals Enterprise Limited</t>
        </is>
      </c>
      <c r="E235" s="31" t="inlineStr">
        <is>
          <t>healthcare</t>
        </is>
      </c>
      <c r="F235" s="31" t="inlineStr">
        <is>
          <t>healthcare</t>
        </is>
      </c>
      <c r="G235" s="31" t="inlineStr">
        <is>
          <t>largecap</t>
        </is>
      </c>
      <c r="H235" s="32" t="n">
        <v>124445.62</v>
      </c>
      <c r="I235" s="32" t="n">
        <v>8682</v>
      </c>
      <c r="J235" s="32" t="n">
        <v>0.31</v>
      </c>
      <c r="K235" s="32" t="n">
        <v>491231</v>
      </c>
      <c r="L235" s="31" t="n">
        <v>22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69.25</v>
      </c>
      <c r="P235" s="32" t="n">
        <v>18.08</v>
      </c>
      <c r="Q235" s="32" t="n">
        <v>7670.61</v>
      </c>
      <c r="R235" s="31" t="inlineStr">
        <is>
          <t>Near 52W High Breakout</t>
        </is>
      </c>
      <c r="S235" s="31" t="inlineStr">
        <is>
          <t>Nifty Pharma</t>
        </is>
      </c>
      <c r="T235" s="32" t="n">
        <v>13.14</v>
      </c>
      <c r="U235" s="32" t="n">
        <v>15.24</v>
      </c>
      <c r="V235" s="32" t="n">
        <v>1.85</v>
      </c>
      <c r="W235" s="32" t="n">
        <v>6.9</v>
      </c>
      <c r="X235" s="31" t="inlineStr">
        <is>
          <t>Cyclical in an Upturn</t>
        </is>
      </c>
      <c r="Y235" s="31">
        <f>IF(X235="Growing Industry",10,IF(X235="Cyclical in an Upturn",5,0))</f>
        <v/>
      </c>
      <c r="Z235" s="31" t="inlineStr">
        <is>
          <t>Oligopoly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Cyclical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B2C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Fully One Time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Above 40</t>
        </is>
      </c>
      <c r="AY235" s="31">
        <f>IF(AX235="Above 40",20,IF(AX235="20 to 40",10,IF(AX235="0 to 20",-5,0)))</f>
        <v/>
      </c>
      <c r="AZ235" s="31" t="inlineStr">
        <is>
          <t>Above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Yes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Between 1.5 to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IF(B236=0,"",RANK(B236,$B$2:$B$370,0))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NOVARTIND</t>
        </is>
      </c>
      <c r="D236" s="31" t="inlineStr">
        <is>
          <t>Novartis India Ltd</t>
        </is>
      </c>
      <c r="E236" s="31" t="inlineStr">
        <is>
          <t>healthcare</t>
        </is>
      </c>
      <c r="F236" s="31" t="inlineStr">
        <is>
          <t>pharmaceuticals - multinational</t>
        </is>
      </c>
      <c r="G236" s="31" t="inlineStr">
        <is>
          <t>smallcap</t>
        </is>
      </c>
      <c r="H236" s="32" t="n">
        <v>3555.47</v>
      </c>
      <c r="I236" s="32" t="n">
        <v>1439.2</v>
      </c>
      <c r="J236" s="32" t="n">
        <v>-0.06</v>
      </c>
      <c r="K236" s="32" t="n">
        <v>4657</v>
      </c>
      <c r="L236" s="31" t="n">
        <v>63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67.88</v>
      </c>
      <c r="P236" s="32" t="n">
        <v>66.15000000000001</v>
      </c>
      <c r="Q236" s="32" t="n">
        <v>1203.19</v>
      </c>
      <c r="R236" s="31" t="inlineStr">
        <is>
          <t>Earnings / Momentum Support</t>
        </is>
      </c>
      <c r="S236" s="31" t="inlineStr">
        <is>
          <t>Nifty Pharma</t>
        </is>
      </c>
      <c r="T236" s="32" t="n">
        <v>13.14</v>
      </c>
      <c r="U236" s="32" t="n">
        <v>41.02</v>
      </c>
      <c r="V236" s="32" t="n">
        <v>24.64</v>
      </c>
      <c r="W236" s="32" t="n">
        <v>17.23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Yes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Annuity, Lower One Time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Above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Less than 12%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Less than 50%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IF(B237=0,"",RANK(B237,$B$2:$B$370,0))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3" t="inlineStr">
        <is>
          <t>DRREDDY</t>
        </is>
      </c>
      <c r="D237" s="33" t="inlineStr">
        <is>
          <t>Dr. Reddy's Laboratories Limited</t>
        </is>
      </c>
      <c r="E237" s="31" t="inlineStr">
        <is>
          <t>healthcare</t>
        </is>
      </c>
      <c r="F237" s="31" t="inlineStr">
        <is>
          <t>pharmaceuticals - indian - bulk drugs &amp; formln</t>
        </is>
      </c>
      <c r="G237" s="31" t="inlineStr">
        <is>
          <t>largecap</t>
        </is>
      </c>
      <c r="H237" s="32" t="n">
        <v>114823.76</v>
      </c>
      <c r="I237" s="32" t="n">
        <v>1357.1</v>
      </c>
      <c r="J237" s="32" t="n">
        <v>-1.35</v>
      </c>
      <c r="K237" s="32" t="n">
        <v>2446441</v>
      </c>
      <c r="L237" s="31" t="n">
        <v>9</v>
      </c>
      <c r="M237" s="31" t="inlineStr">
        <is>
          <t>Underperforming</t>
        </is>
      </c>
      <c r="N237" s="32">
        <f>IF(M237="Underperforming",-5,IF(L237&gt;=95,15,IF(L237&gt;=90,10,IF(L237&gt;=80,5,0))))</f>
        <v/>
      </c>
      <c r="O237" s="32" t="n">
        <v>60.63</v>
      </c>
      <c r="P237" s="32" t="n">
        <v>14.48</v>
      </c>
      <c r="Q237" s="32" t="n">
        <v>1161.71</v>
      </c>
      <c r="R237" s="31" t="inlineStr">
        <is>
          <t>Near 52W High Breakout</t>
        </is>
      </c>
      <c r="S237" s="31" t="inlineStr">
        <is>
          <t>Nifty Pharma</t>
        </is>
      </c>
      <c r="T237" s="32" t="n">
        <v>13.14</v>
      </c>
      <c r="U237" s="32" t="n">
        <v>4.46</v>
      </c>
      <c r="V237" s="32" t="n">
        <v>-7.67</v>
      </c>
      <c r="W237" s="32" t="n">
        <v>3.32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Yes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Annuity, Lower One Time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0 to 20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Blue sky scenario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Between 1.5 to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IF(B238=0,"",RANK(B238,$B$2:$B$370,0))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GREAVESCOT</t>
        </is>
      </c>
      <c r="D238" s="31" t="inlineStr">
        <is>
          <t>Greaves Cotton Limited</t>
        </is>
      </c>
      <c r="E238" s="31" t="inlineStr">
        <is>
          <t>industrials</t>
        </is>
      </c>
      <c r="F238" s="31" t="inlineStr">
        <is>
          <t>engines</t>
        </is>
      </c>
      <c r="G238" s="31" t="inlineStr">
        <is>
          <t>smallcap</t>
        </is>
      </c>
      <c r="H238" s="32" t="n">
        <v>4880.78</v>
      </c>
      <c r="I238" s="32" t="n">
        <v>219.98</v>
      </c>
      <c r="J238" s="32" t="n">
        <v>4.97</v>
      </c>
      <c r="K238" s="32" t="n">
        <v>5080820</v>
      </c>
      <c r="L238" s="31" t="n">
        <v>70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67.97</v>
      </c>
      <c r="P238" s="32" t="n">
        <v>19.91</v>
      </c>
      <c r="Q238" s="32" t="n">
        <v>171.79</v>
      </c>
      <c r="R238" s="31" t="inlineStr">
        <is>
          <t>Near 52W High Breakout</t>
        </is>
      </c>
      <c r="S238" s="31" t="inlineStr">
        <is>
          <t>Nifty 50</t>
        </is>
      </c>
      <c r="T238" s="32" t="n">
        <v>-6.27</v>
      </c>
      <c r="U238" s="32" t="n">
        <v>8.550000000000001</v>
      </c>
      <c r="V238" s="32" t="n">
        <v>15.81</v>
      </c>
      <c r="W238" s="32" t="n">
        <v>19.53</v>
      </c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IF(B239=0,"",RANK(B239,$B$2:$B$370,0))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MARINE</t>
        </is>
      </c>
      <c r="D239" s="31" t="inlineStr">
        <is>
          <t>Marine Electricals (India) Ltd</t>
        </is>
      </c>
      <c r="E239" s="31" t="inlineStr">
        <is>
          <t>industrials</t>
        </is>
      </c>
      <c r="F239" s="31" t="inlineStr">
        <is>
          <t>electric equipment</t>
        </is>
      </c>
      <c r="G239" s="31" t="inlineStr">
        <is>
          <t>smallcap</t>
        </is>
      </c>
      <c r="H239" s="32" t="n">
        <v>669.75</v>
      </c>
      <c r="I239" s="32" t="n">
        <v>283.55</v>
      </c>
      <c r="J239" s="32" t="n">
        <v>3.86</v>
      </c>
      <c r="K239" s="32" t="n">
        <v>983123</v>
      </c>
      <c r="L239" s="31" t="n">
        <v>77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66.52</v>
      </c>
      <c r="P239" s="32" t="n">
        <v>27.04</v>
      </c>
      <c r="Q239" s="32" t="n">
        <v>206.23</v>
      </c>
      <c r="R239" s="31" t="inlineStr">
        <is>
          <t>Near 52W High Breakout</t>
        </is>
      </c>
      <c r="S239" s="31" t="inlineStr">
        <is>
          <t>Nifty 50</t>
        </is>
      </c>
      <c r="T239" s="32" t="n">
        <v>-6.27</v>
      </c>
      <c r="U239" s="32" t="n">
        <v>38.87</v>
      </c>
      <c r="V239" s="32" t="n">
        <v>48.15</v>
      </c>
      <c r="W239" s="32" t="n">
        <v>22.98</v>
      </c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Yes</t>
        </is>
      </c>
      <c r="BS239" s="31">
        <f>IF(BR239="NO",5,0)</f>
        <v/>
      </c>
      <c r="BT239" s="31" t="inlineStr">
        <is>
          <t>Between 1.5 to 2</t>
        </is>
      </c>
      <c r="BU239" s="31">
        <f>IF(BT239="Above 2",0,IF(BT239="Between 1.5 to 2",5,IF(BT239="Less than 1.5",10,0)))</f>
        <v/>
      </c>
      <c r="BV239" s="31" t="inlineStr">
        <is>
          <t>Negative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IF(B240=0,"",RANK(B240,$B$2:$B$370,0))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MSTCLTD</t>
        </is>
      </c>
      <c r="D240" s="31" t="inlineStr">
        <is>
          <t>MSTC Ltd</t>
        </is>
      </c>
      <c r="E240" s="31" t="inlineStr">
        <is>
          <t>i.t</t>
        </is>
      </c>
      <c r="F240" s="31" t="inlineStr">
        <is>
          <t>trading</t>
        </is>
      </c>
      <c r="G240" s="31" t="inlineStr">
        <is>
          <t>smallcap</t>
        </is>
      </c>
      <c r="H240" s="32" t="n">
        <v>4863.58</v>
      </c>
      <c r="I240" s="32" t="n">
        <v>709.4</v>
      </c>
      <c r="J240" s="32" t="n">
        <v>2.69</v>
      </c>
      <c r="K240" s="32" t="n">
        <v>1950618</v>
      </c>
      <c r="L240" s="31" t="n">
        <v>80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72.08</v>
      </c>
      <c r="P240" s="32" t="n">
        <v>23.98</v>
      </c>
      <c r="Q240" s="32" t="n">
        <v>540.91</v>
      </c>
      <c r="R240" s="31" t="inlineStr">
        <is>
          <t>Near 52W High Breakout</t>
        </is>
      </c>
      <c r="S240" s="31" t="inlineStr">
        <is>
          <t>Nifty IT</t>
        </is>
      </c>
      <c r="T240" s="32" t="n">
        <v>-32.85</v>
      </c>
      <c r="U240" s="32" t="n">
        <v>30.95</v>
      </c>
      <c r="V240" s="32" t="n">
        <v>95.03</v>
      </c>
      <c r="W240" s="32" t="n">
        <v>24.54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Negative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IF(B241=0,"",RANK(B241,$B$2:$B$370,0))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RML</t>
        </is>
      </c>
      <c r="D241" s="31" t="inlineStr">
        <is>
          <t>Rane (madras) Limited</t>
        </is>
      </c>
      <c r="E241" s="31" t="inlineStr">
        <is>
          <t>auto</t>
        </is>
      </c>
      <c r="F241" s="31" t="inlineStr">
        <is>
          <t>auto ancillaries</t>
        </is>
      </c>
      <c r="G241" s="31" t="inlineStr">
        <is>
          <t>smallcap</t>
        </is>
      </c>
      <c r="H241" s="32" t="n">
        <v>3111.39</v>
      </c>
      <c r="I241" s="32" t="n">
        <v>1155.85</v>
      </c>
      <c r="J241" s="32" t="n">
        <v>2.67</v>
      </c>
      <c r="K241" s="32" t="n">
        <v>141423</v>
      </c>
      <c r="L241" s="31" t="n">
        <v>78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70.27</v>
      </c>
      <c r="P241" s="32" t="n">
        <v>28.93</v>
      </c>
      <c r="Q241" s="32" t="n">
        <v>899.7</v>
      </c>
      <c r="R241" s="31" t="inlineStr">
        <is>
          <t>Near 52W High Breakout</t>
        </is>
      </c>
      <c r="S241" s="31" t="inlineStr">
        <is>
          <t>Nifty Auto</t>
        </is>
      </c>
      <c r="T241" s="32" t="n">
        <v>10.42</v>
      </c>
      <c r="U241" s="32" t="n">
        <v>28.31</v>
      </c>
      <c r="V241" s="32" t="n">
        <v>16.2</v>
      </c>
      <c r="W241" s="32" t="n">
        <v>23.68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Less than 12%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Between 50% to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Between 0.7 to 1.2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IF(B242=0,"",RANK(B242,$B$2:$B$370,0))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3" t="inlineStr">
        <is>
          <t>FILATEX</t>
        </is>
      </c>
      <c r="D242" s="33" t="inlineStr">
        <is>
          <t>Filatex India Limited</t>
        </is>
      </c>
      <c r="E242" s="31" t="inlineStr">
        <is>
          <t>textiles</t>
        </is>
      </c>
      <c r="F242" s="31" t="inlineStr">
        <is>
          <t>textiles - manmade</t>
        </is>
      </c>
      <c r="G242" s="31" t="inlineStr">
        <is>
          <t>smallcap</t>
        </is>
      </c>
      <c r="H242" s="32" t="n">
        <v>2297.11</v>
      </c>
      <c r="I242" s="32" t="n">
        <v>52.99</v>
      </c>
      <c r="J242" s="32" t="n">
        <v>2.44</v>
      </c>
      <c r="K242" s="32" t="n">
        <v>327107</v>
      </c>
      <c r="L242" s="31" t="n">
        <v>12</v>
      </c>
      <c r="M242" s="31" t="inlineStr">
        <is>
          <t>Underperforming</t>
        </is>
      </c>
      <c r="N242" s="32">
        <f>IF(M242="Underperforming",-5,IF(L242&gt;=95,15,IF(L242&gt;=90,10,IF(L242&gt;=80,5,0))))</f>
        <v/>
      </c>
      <c r="O242" s="32" t="n">
        <v>57.18</v>
      </c>
      <c r="P242" s="32" t="n">
        <v>17.56</v>
      </c>
      <c r="Q242" s="32" t="n">
        <v>41.7</v>
      </c>
      <c r="R242" s="31" t="inlineStr">
        <is>
          <t>Earnings / Momentum Support</t>
        </is>
      </c>
      <c r="S242" s="31" t="inlineStr">
        <is>
          <t>Nifty 50</t>
        </is>
      </c>
      <c r="T242" s="32" t="n">
        <v>-6.27</v>
      </c>
      <c r="U242" s="32" t="n">
        <v>-11.12</v>
      </c>
      <c r="V242" s="32" t="n">
        <v>-5.18</v>
      </c>
      <c r="W242" s="32" t="n">
        <v>4.41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Between 12 to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IF(B243=0,"",RANK(B243,$B$2:$B$370,0))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VARROC</t>
        </is>
      </c>
      <c r="D243" s="31" t="inlineStr">
        <is>
          <t>Varroc Engineering Ltd</t>
        </is>
      </c>
      <c r="E243" s="31" t="inlineStr">
        <is>
          <t>auto</t>
        </is>
      </c>
      <c r="F243" s="31" t="inlineStr">
        <is>
          <t>auto ancillaries</t>
        </is>
      </c>
      <c r="G243" s="31" t="inlineStr">
        <is>
          <t>midcap</t>
        </is>
      </c>
      <c r="H243" s="32" t="n">
        <v>9451.370000000001</v>
      </c>
      <c r="I243" s="32" t="n">
        <v>633</v>
      </c>
      <c r="J243" s="32" t="n">
        <v>2.33</v>
      </c>
      <c r="K243" s="32" t="n">
        <v>467048</v>
      </c>
      <c r="L243" s="31" t="n">
        <v>32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64.73</v>
      </c>
      <c r="P243" s="32" t="n">
        <v>19.07</v>
      </c>
      <c r="Q243" s="32" t="n">
        <v>507.69</v>
      </c>
      <c r="R243" s="31" t="inlineStr">
        <is>
          <t>Near 52W High Breakout</t>
        </is>
      </c>
      <c r="S243" s="31" t="inlineStr">
        <is>
          <t>Nifty Auto</t>
        </is>
      </c>
      <c r="T243" s="32" t="n">
        <v>10.42</v>
      </c>
      <c r="U243" s="32" t="n">
        <v>11.53</v>
      </c>
      <c r="V243" s="32" t="n">
        <v>1</v>
      </c>
      <c r="W243" s="32" t="n">
        <v>9.27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Between 50% to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IF(B244=0,"",RANK(B244,$B$2:$B$370,0))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DELHIVERY</t>
        </is>
      </c>
      <c r="D244" s="31" t="inlineStr">
        <is>
          <t>Delhivery Ltd</t>
        </is>
      </c>
      <c r="E244" s="31" t="inlineStr">
        <is>
          <t>transportation</t>
        </is>
      </c>
      <c r="F244" s="31" t="inlineStr">
        <is>
          <t>miscellaneous</t>
        </is>
      </c>
      <c r="G244" s="31" t="inlineStr">
        <is>
          <t>largecap</t>
        </is>
      </c>
      <c r="H244" s="32" t="n">
        <v>34701.73</v>
      </c>
      <c r="I244" s="32" t="n">
        <v>472.05</v>
      </c>
      <c r="J244" s="32" t="n">
        <v>1.83</v>
      </c>
      <c r="K244" s="32" t="n">
        <v>3203181</v>
      </c>
      <c r="L244" s="31" t="n">
        <v>19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58.85</v>
      </c>
      <c r="P244" s="32" t="n">
        <v>11.59</v>
      </c>
      <c r="Q244" s="32" t="n">
        <v>398.07</v>
      </c>
      <c r="R244" s="31" t="inlineStr">
        <is>
          <t>Near 52W High Breakout</t>
        </is>
      </c>
      <c r="S244" s="31" t="inlineStr">
        <is>
          <t>Nifty 50</t>
        </is>
      </c>
      <c r="T244" s="32" t="n">
        <v>-6.27</v>
      </c>
      <c r="U244" s="32" t="n">
        <v>21.01</v>
      </c>
      <c r="V244" s="32" t="n">
        <v>29.1</v>
      </c>
      <c r="W244" s="32" t="n">
        <v>6.29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Blue sky scenario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IF(B245=0,"",RANK(B245,$B$2:$B$370,0))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3" t="inlineStr">
        <is>
          <t>ATULAUTO</t>
        </is>
      </c>
      <c r="D245" s="33" t="inlineStr">
        <is>
          <t>Atul Auto Limited</t>
        </is>
      </c>
      <c r="E245" s="31" t="inlineStr">
        <is>
          <t>auto</t>
        </is>
      </c>
      <c r="F245" s="31" t="inlineStr">
        <is>
          <t>automobiles - scooters and 3 - wheelers</t>
        </is>
      </c>
      <c r="G245" s="31" t="inlineStr">
        <is>
          <t>smallcap</t>
        </is>
      </c>
      <c r="H245" s="32" t="n">
        <v>1317.77</v>
      </c>
      <c r="I245" s="32" t="n">
        <v>481.8</v>
      </c>
      <c r="J245" s="32" t="n">
        <v>1.46</v>
      </c>
      <c r="K245" s="32" t="n">
        <v>294620</v>
      </c>
      <c r="L245" s="31" t="n">
        <v>15</v>
      </c>
      <c r="M245" s="31" t="inlineStr">
        <is>
          <t>Underperforming</t>
        </is>
      </c>
      <c r="N245" s="32">
        <f>IF(M245="Underperforming",-5,IF(L245&gt;=95,15,IF(L245&gt;=90,10,IF(L245&gt;=80,5,0))))</f>
        <v/>
      </c>
      <c r="O245" s="32" t="n">
        <v>53.16</v>
      </c>
      <c r="P245" s="32" t="n">
        <v>23</v>
      </c>
      <c r="Q245" s="32" t="n">
        <v>395.58</v>
      </c>
      <c r="R245" s="31" t="inlineStr">
        <is>
          <t>Earnings / Momentum Support</t>
        </is>
      </c>
      <c r="S245" s="31" t="inlineStr">
        <is>
          <t>Nifty Auto</t>
        </is>
      </c>
      <c r="T245" s="32" t="n">
        <v>10.42</v>
      </c>
      <c r="U245" s="32" t="n">
        <v>5.96</v>
      </c>
      <c r="V245" s="32" t="n">
        <v>-4.04</v>
      </c>
      <c r="W245" s="32" t="n">
        <v>5.25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1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Less than 1.5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IF(B246=0,"",RANK(B246,$B$2:$B$370,0))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GLOSTERLTD</t>
        </is>
      </c>
      <c r="D246" s="31" t="inlineStr">
        <is>
          <t>Gloster Ltd</t>
        </is>
      </c>
      <c r="E246" s="31" t="inlineStr">
        <is>
          <t>textiles</t>
        </is>
      </c>
      <c r="F246" s="31" t="inlineStr">
        <is>
          <t>textiles - jute - yarn / products</t>
        </is>
      </c>
      <c r="G246" s="31" t="inlineStr">
        <is>
          <t>smallcap</t>
        </is>
      </c>
      <c r="H246" s="32" t="n">
        <v>791.8</v>
      </c>
      <c r="I246" s="32" t="n">
        <v>733</v>
      </c>
      <c r="J246" s="32" t="n">
        <v>1.31</v>
      </c>
      <c r="K246" s="32" t="n">
        <v>6303</v>
      </c>
      <c r="L246" s="31" t="n">
        <v>28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68.87</v>
      </c>
      <c r="P246" s="32" t="n">
        <v>30.74</v>
      </c>
      <c r="Q246" s="32" t="n">
        <v>596.16</v>
      </c>
      <c r="R246" s="31" t="inlineStr">
        <is>
          <t>Near 52W High Breakout</t>
        </is>
      </c>
      <c r="S246" s="31" t="inlineStr">
        <is>
          <t>Nifty IT</t>
        </is>
      </c>
      <c r="T246" s="32" t="n">
        <v>-32.85</v>
      </c>
      <c r="U246" s="32" t="n">
        <v>-4.55</v>
      </c>
      <c r="V246" s="32" t="n">
        <v>42.16</v>
      </c>
      <c r="W246" s="32" t="n">
        <v>8.6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Less than 1.5</t>
        </is>
      </c>
      <c r="BU246" s="31">
        <f>IF(BT246="Above 2",0,IF(BT246="Between 1.5 to 2",5,IF(BT246="Less than 1.5",10,0)))</f>
        <v/>
      </c>
      <c r="BV246" s="31" t="inlineStr">
        <is>
          <t>Negative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Between 0.7 to 1.2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IF(B247=0,"",RANK(B247,$B$2:$B$370,0))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RUBYMILLS</t>
        </is>
      </c>
      <c r="D247" s="31" t="inlineStr">
        <is>
          <t>The Ruby Mills Limited</t>
        </is>
      </c>
      <c r="E247" s="31" t="inlineStr">
        <is>
          <t>textiles</t>
        </is>
      </c>
      <c r="F247" s="31" t="inlineStr">
        <is>
          <t>textiles - composite</t>
        </is>
      </c>
      <c r="G247" s="31" t="inlineStr">
        <is>
          <t>smallcap</t>
        </is>
      </c>
      <c r="H247" s="32" t="n">
        <v>1088.3</v>
      </c>
      <c r="I247" s="32" t="n">
        <v>328</v>
      </c>
      <c r="J247" s="32" t="n">
        <v>0.78</v>
      </c>
      <c r="K247" s="32" t="n">
        <v>3697</v>
      </c>
      <c r="L247" s="31" t="n">
        <v>70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69.81</v>
      </c>
      <c r="P247" s="32" t="n">
        <v>46.5</v>
      </c>
      <c r="Q247" s="32" t="n">
        <v>256.1</v>
      </c>
      <c r="R247" s="31" t="inlineStr">
        <is>
          <t>Near 52W High Breakout</t>
        </is>
      </c>
      <c r="S247" s="31" t="inlineStr">
        <is>
          <t>Nifty 50</t>
        </is>
      </c>
      <c r="T247" s="32" t="n">
        <v>-6.27</v>
      </c>
      <c r="U247" s="32" t="n">
        <v>32.32</v>
      </c>
      <c r="V247" s="32" t="n">
        <v>41.16</v>
      </c>
      <c r="W247" s="32" t="n">
        <v>19.46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Above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Negative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Blue sky scenario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Less than 12%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IF(B248=0,"",RANK(B248,$B$2:$B$370,0))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KAJARIACER</t>
        </is>
      </c>
      <c r="D248" s="31" t="inlineStr">
        <is>
          <t>Kajaria Ceramics Limited</t>
        </is>
      </c>
      <c r="E248" s="31" t="inlineStr">
        <is>
          <t>building materials</t>
        </is>
      </c>
      <c r="F248" s="31" t="inlineStr">
        <is>
          <t>ceramics - tiles / sanitaryware</t>
        </is>
      </c>
      <c r="G248" s="31" t="inlineStr">
        <is>
          <t>midcap</t>
        </is>
      </c>
      <c r="H248" s="32" t="n">
        <v>19206.65</v>
      </c>
      <c r="I248" s="32" t="n">
        <v>1211.2</v>
      </c>
      <c r="J248" s="32" t="n">
        <v>0.44</v>
      </c>
      <c r="K248" s="32" t="n">
        <v>318484</v>
      </c>
      <c r="L248" s="31" t="n">
        <v>23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64.01000000000001</v>
      </c>
      <c r="P248" s="32" t="n">
        <v>19.84</v>
      </c>
      <c r="Q248" s="32" t="n">
        <v>989.62</v>
      </c>
      <c r="R248" s="31" t="inlineStr">
        <is>
          <t>Earnings / Momentum Support</t>
        </is>
      </c>
      <c r="S248" s="31" t="inlineStr">
        <is>
          <t>Nifty Infra</t>
        </is>
      </c>
      <c r="T248" s="32" t="n">
        <v>-0.44</v>
      </c>
      <c r="U248" s="32" t="n">
        <v>6.26</v>
      </c>
      <c r="V248" s="32" t="n">
        <v>6.73</v>
      </c>
      <c r="W248" s="32" t="n">
        <v>6.98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IF(B249=0,"",RANK(B249,$B$2:$B$370,0))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CYIENTDLM</t>
        </is>
      </c>
      <c r="D249" s="31" t="inlineStr">
        <is>
          <t>Cyient DLM Ltd</t>
        </is>
      </c>
      <c r="E249" s="31" t="inlineStr">
        <is>
          <t>consumer discretionary</t>
        </is>
      </c>
      <c r="F249" s="31" t="inlineStr">
        <is>
          <t>electronics - components</t>
        </is>
      </c>
      <c r="G249" s="31" t="inlineStr">
        <is>
          <t>smallcap</t>
        </is>
      </c>
      <c r="H249" s="32" t="n">
        <v>3660.68</v>
      </c>
      <c r="I249" s="32" t="n">
        <v>460.3</v>
      </c>
      <c r="J249" s="32" t="n">
        <v>-0.21</v>
      </c>
      <c r="K249" s="32" t="n">
        <v>155061</v>
      </c>
      <c r="L249" s="31" t="n">
        <v>60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63.14</v>
      </c>
      <c r="P249" s="32" t="n">
        <v>35.25</v>
      </c>
      <c r="Q249" s="32" t="n">
        <v>365.47</v>
      </c>
      <c r="R249" s="31" t="inlineStr">
        <is>
          <t>Near 52W High Breakout</t>
        </is>
      </c>
      <c r="S249" s="31" t="inlineStr">
        <is>
          <t>Nifty 50</t>
        </is>
      </c>
      <c r="T249" s="32" t="n">
        <v>-6.27</v>
      </c>
      <c r="U249" s="32" t="n">
        <v>-5.03</v>
      </c>
      <c r="V249" s="32" t="n">
        <v>1.31</v>
      </c>
      <c r="W249" s="32" t="n">
        <v>16.27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Less than 50%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IF(B250=0,"",RANK(B250,$B$2:$B$370,0))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NAZARA</t>
        </is>
      </c>
      <c r="D250" s="31" t="inlineStr">
        <is>
          <t>Nazara Technologies Ltd</t>
        </is>
      </c>
      <c r="E250" s="31" t="inlineStr">
        <is>
          <t>i.t</t>
        </is>
      </c>
      <c r="F250" s="31" t="inlineStr">
        <is>
          <t>telecommunications - service provider</t>
        </is>
      </c>
      <c r="G250" s="31" t="inlineStr">
        <is>
          <t>midcap</t>
        </is>
      </c>
      <c r="H250" s="32" t="n">
        <v>11252.88</v>
      </c>
      <c r="I250" s="32" t="n">
        <v>303.1</v>
      </c>
      <c r="J250" s="32" t="n">
        <v>-0.21</v>
      </c>
      <c r="K250" s="32" t="n">
        <v>3953683</v>
      </c>
      <c r="L250" s="31" t="n">
        <v>13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60.43</v>
      </c>
      <c r="P250" s="32" t="n">
        <v>14.66</v>
      </c>
      <c r="Q250" s="32" t="n">
        <v>235.27</v>
      </c>
      <c r="R250" s="31" t="inlineStr">
        <is>
          <t>Earnings / Momentum Support</t>
        </is>
      </c>
      <c r="S250" s="31" t="inlineStr">
        <is>
          <t>Nifty IT</t>
        </is>
      </c>
      <c r="T250" s="32" t="n">
        <v>-32.85</v>
      </c>
      <c r="U250" s="32" t="n">
        <v>-12.47</v>
      </c>
      <c r="V250" s="32" t="n">
        <v>30.36</v>
      </c>
      <c r="W250" s="32" t="n">
        <v>4.62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Oligopoly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Yes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0 to 20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Between 50% to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IF(B251=0,"",RANK(B251,$B$2:$B$370,0))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CARBORUNIV</t>
        </is>
      </c>
      <c r="D251" s="31" t="inlineStr">
        <is>
          <t>Carborundum Universal Limited</t>
        </is>
      </c>
      <c r="E251" s="31" t="inlineStr">
        <is>
          <t>industrials</t>
        </is>
      </c>
      <c r="F251" s="31" t="inlineStr">
        <is>
          <t>abrasives and grinding wheels</t>
        </is>
      </c>
      <c r="G251" s="31" t="inlineStr">
        <is>
          <t>largecap</t>
        </is>
      </c>
      <c r="H251" s="32" t="n">
        <v>22704.8</v>
      </c>
      <c r="I251" s="32" t="n">
        <v>1176.8</v>
      </c>
      <c r="J251" s="32" t="n">
        <v>-1.27</v>
      </c>
      <c r="K251" s="32" t="n">
        <v>145243</v>
      </c>
      <c r="L251" s="31" t="n">
        <v>46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66.23</v>
      </c>
      <c r="P251" s="32" t="n">
        <v>39.91</v>
      </c>
      <c r="Q251" s="32" t="n">
        <v>977.17</v>
      </c>
      <c r="R251" s="31" t="inlineStr">
        <is>
          <t>Earnings / Momentum Support</t>
        </is>
      </c>
      <c r="S251" s="31" t="inlineStr">
        <is>
          <t>Nifty 50</t>
        </is>
      </c>
      <c r="T251" s="32" t="n">
        <v>-6.27</v>
      </c>
      <c r="U251" s="32" t="n">
        <v>18.54</v>
      </c>
      <c r="V251" s="32" t="n">
        <v>26.46</v>
      </c>
      <c r="W251" s="32" t="n">
        <v>12.26</v>
      </c>
      <c r="X251" s="31" t="inlineStr">
        <is>
          <t>Cyclical in an Upturn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Between 50% to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IF(B252=0,"",RANK(B252,$B$2:$B$370,0))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WELSPUNLIV</t>
        </is>
      </c>
      <c r="D252" s="31" t="inlineStr">
        <is>
          <t>Welspun Living Ltd</t>
        </is>
      </c>
      <c r="E252" s="31" t="inlineStr">
        <is>
          <t>textiles</t>
        </is>
      </c>
      <c r="F252" s="31" t="inlineStr">
        <is>
          <t>textiles - products</t>
        </is>
      </c>
      <c r="G252" s="31" t="inlineStr">
        <is>
          <t>midcap</t>
        </is>
      </c>
      <c r="H252" s="32" t="n">
        <v>15542.11</v>
      </c>
      <c r="I252" s="32" t="n">
        <v>158.84</v>
      </c>
      <c r="J252" s="32" t="n">
        <v>-1.97</v>
      </c>
      <c r="K252" s="32" t="n">
        <v>3314370</v>
      </c>
      <c r="L252" s="31" t="n">
        <v>41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64</v>
      </c>
      <c r="P252" s="32" t="n">
        <v>22.63</v>
      </c>
      <c r="Q252" s="32" t="n">
        <v>131.96</v>
      </c>
      <c r="R252" s="31" t="inlineStr">
        <is>
          <t>Earnings / Momentum Support</t>
        </is>
      </c>
      <c r="S252" s="31" t="inlineStr">
        <is>
          <t>Nifty 50</t>
        </is>
      </c>
      <c r="T252" s="32" t="n">
        <v>-6.27</v>
      </c>
      <c r="U252" s="32" t="n">
        <v>9.949999999999999</v>
      </c>
      <c r="V252" s="32" t="n">
        <v>17.3</v>
      </c>
      <c r="W252" s="32" t="n">
        <v>11.12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IF(B253=0,"",RANK(B253,$B$2:$B$370,0))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POKARNA</t>
        </is>
      </c>
      <c r="D253" s="31" t="inlineStr">
        <is>
          <t>Pokarna Limited</t>
        </is>
      </c>
      <c r="E253" s="31" t="inlineStr">
        <is>
          <t>consumer discretionary</t>
        </is>
      </c>
      <c r="F253" s="31" t="inlineStr">
        <is>
          <t>miscellaneous</t>
        </is>
      </c>
      <c r="G253" s="31" t="inlineStr">
        <is>
          <t>smallcap</t>
        </is>
      </c>
      <c r="H253" s="32" t="n">
        <v>3294.95</v>
      </c>
      <c r="I253" s="32" t="n">
        <v>1030.8</v>
      </c>
      <c r="J253" s="32" t="n">
        <v>-3.01</v>
      </c>
      <c r="K253" s="32" t="n">
        <v>90623</v>
      </c>
      <c r="L253" s="31" t="n">
        <v>13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60.22</v>
      </c>
      <c r="P253" s="32" t="n">
        <v>14.66</v>
      </c>
      <c r="Q253" s="32" t="n">
        <v>793.15</v>
      </c>
      <c r="R253" s="31" t="inlineStr">
        <is>
          <t>Near 52W High Breakout</t>
        </is>
      </c>
      <c r="S253" s="31" t="inlineStr">
        <is>
          <t>Nifty 50</t>
        </is>
      </c>
      <c r="T253" s="32" t="n">
        <v>-6.27</v>
      </c>
      <c r="U253" s="32" t="n">
        <v>-2.58</v>
      </c>
      <c r="V253" s="32" t="n">
        <v>3.93</v>
      </c>
      <c r="W253" s="32" t="n">
        <v>4.58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Less than 12%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IF(B254=0,"",RANK(B254,$B$2:$B$370,0))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TRIVENI</t>
        </is>
      </c>
      <c r="D254" s="31" t="inlineStr">
        <is>
          <t>Triveni Engineering &amp; Industries Limited</t>
        </is>
      </c>
      <c r="E254" s="31" t="inlineStr">
        <is>
          <t>fmcg</t>
        </is>
      </c>
      <c r="F254" s="31" t="inlineStr">
        <is>
          <t>sugar</t>
        </is>
      </c>
      <c r="G254" s="31" t="inlineStr">
        <is>
          <t>midcap</t>
        </is>
      </c>
      <c r="H254" s="32" t="n">
        <v>9025.16</v>
      </c>
      <c r="I254" s="32" t="n">
        <v>422.55</v>
      </c>
      <c r="J254" s="32" t="n">
        <v>2.49</v>
      </c>
      <c r="K254" s="32" t="n">
        <v>459724</v>
      </c>
      <c r="L254" s="31" t="n">
        <v>13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61.56</v>
      </c>
      <c r="P254" s="32" t="n">
        <v>19.15</v>
      </c>
      <c r="Q254" s="32" t="n">
        <v>337.8</v>
      </c>
      <c r="R254" s="31" t="inlineStr">
        <is>
          <t>Near 52W High Breakout</t>
        </is>
      </c>
      <c r="S254" s="31" t="inlineStr">
        <is>
          <t>Nifty FMCG</t>
        </is>
      </c>
      <c r="T254" s="32" t="n">
        <v>-10.85</v>
      </c>
      <c r="U254" s="32" t="n">
        <v>13.91</v>
      </c>
      <c r="V254" s="32" t="n">
        <v>27.78</v>
      </c>
      <c r="W254" s="32" t="n">
        <v>4.58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B2C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Annuity, Lower One Time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Less than 12%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Less than 50%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IF(B255=0,"",RANK(B255,$B$2:$B$370,0))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3" t="inlineStr">
        <is>
          <t>ZYDUSLIFE</t>
        </is>
      </c>
      <c r="D255" s="33" t="inlineStr">
        <is>
          <t>Zydus Lifesciences Ltd</t>
        </is>
      </c>
      <c r="E255" s="31" t="inlineStr">
        <is>
          <t>healthcare</t>
        </is>
      </c>
      <c r="F255" s="31" t="inlineStr">
        <is>
          <t>pharmaceuticals - indian - bulk drugs &amp; formln</t>
        </is>
      </c>
      <c r="G255" s="31" t="inlineStr">
        <is>
          <t>largecap</t>
        </is>
      </c>
      <c r="H255" s="32" t="n">
        <v>111850.1</v>
      </c>
      <c r="I255" s="32" t="n">
        <v>1112.6</v>
      </c>
      <c r="J255" s="32" t="n">
        <v>-0.78</v>
      </c>
      <c r="K255" s="32" t="n">
        <v>1698541</v>
      </c>
      <c r="L255" s="31" t="n">
        <v>30</v>
      </c>
      <c r="M255" s="31" t="inlineStr">
        <is>
          <t>Underperforming</t>
        </is>
      </c>
      <c r="N255" s="32">
        <f>IF(M255="Underperforming",-5,IF(L255&gt;=95,15,IF(L255&gt;=90,10,IF(L255&gt;=80,5,0))))</f>
        <v/>
      </c>
      <c r="O255" s="32" t="n">
        <v>69.17</v>
      </c>
      <c r="P255" s="32" t="n">
        <v>27.03</v>
      </c>
      <c r="Q255" s="32" t="n">
        <v>951.03</v>
      </c>
      <c r="R255" s="31" t="inlineStr">
        <is>
          <t>Near 52W High Breakout</t>
        </is>
      </c>
      <c r="S255" s="31" t="inlineStr">
        <is>
          <t>Nifty Pharma</t>
        </is>
      </c>
      <c r="T255" s="32" t="n">
        <v>13.14</v>
      </c>
      <c r="U255" s="32" t="n">
        <v>12.42</v>
      </c>
      <c r="V255" s="32" t="n">
        <v>-0.64</v>
      </c>
      <c r="W255" s="32" t="n">
        <v>8.869999999999999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Yes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Annuity, Lower One Time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Less than 12%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Less than 50%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IF(B256=0,"",RANK(B256,$B$2:$B$370,0))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TORNTPHARM</t>
        </is>
      </c>
      <c r="D256" s="31" t="inlineStr">
        <is>
          <t>Torrent Pharmaceuticals Limited</t>
        </is>
      </c>
      <c r="E256" s="31" t="inlineStr">
        <is>
          <t>healthcare</t>
        </is>
      </c>
      <c r="F256" s="31" t="inlineStr">
        <is>
          <t>pharmaceuticals - indian - formulations</t>
        </is>
      </c>
      <c r="G256" s="31" t="inlineStr">
        <is>
          <t>largecap</t>
        </is>
      </c>
      <c r="H256" s="32" t="n">
        <v>157634.35</v>
      </c>
      <c r="I256" s="32" t="n">
        <v>4620.1</v>
      </c>
      <c r="J256" s="32" t="n">
        <v>-0.8100000000000001</v>
      </c>
      <c r="K256" s="32" t="n">
        <v>466125</v>
      </c>
      <c r="L256" s="31" t="n">
        <v>36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66.72</v>
      </c>
      <c r="P256" s="32" t="n">
        <v>28.68</v>
      </c>
      <c r="Q256" s="32" t="n">
        <v>3957.3</v>
      </c>
      <c r="R256" s="31" t="inlineStr">
        <is>
          <t>Near 52W High Breakout</t>
        </is>
      </c>
      <c r="S256" s="31" t="inlineStr">
        <is>
          <t>Nifty Pharma</t>
        </is>
      </c>
      <c r="T256" s="32" t="n">
        <v>13.14</v>
      </c>
      <c r="U256" s="32" t="n">
        <v>38.39</v>
      </c>
      <c r="V256" s="32" t="n">
        <v>22.32</v>
      </c>
      <c r="W256" s="32" t="n">
        <v>10.09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Yes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Annuity, Lower One Time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Blue sky scenario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Less than 12%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Between 50% to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Between 0.7 to 1.2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IF(B257=0,"",RANK(B257,$B$2:$B$370,0))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INDSWFTLAB</t>
        </is>
      </c>
      <c r="D257" s="31" t="inlineStr">
        <is>
          <t>Ind-swift Laboratories Limited</t>
        </is>
      </c>
      <c r="E257" s="31" t="inlineStr">
        <is>
          <t>healthcare</t>
        </is>
      </c>
      <c r="F257" s="31" t="inlineStr">
        <is>
          <t>pharmaceuticals - indian - bulk drugs &amp; formln</t>
        </is>
      </c>
      <c r="G257" s="31" t="inlineStr">
        <is>
          <t>smallcap</t>
        </is>
      </c>
      <c r="H257" s="32" t="n">
        <v>1782.49</v>
      </c>
      <c r="I257" s="32" t="n">
        <v>203.53</v>
      </c>
      <c r="J257" s="32" t="n">
        <v>-0.85</v>
      </c>
      <c r="K257" s="32" t="n">
        <v>684200</v>
      </c>
      <c r="L257" s="31" t="n">
        <v>81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83.39</v>
      </c>
      <c r="P257" s="32" t="n">
        <v>40.75</v>
      </c>
      <c r="Q257" s="32" t="n">
        <v>155.1</v>
      </c>
      <c r="R257" s="31" t="inlineStr">
        <is>
          <t>Near 52W High Breakout</t>
        </is>
      </c>
      <c r="S257" s="31" t="inlineStr">
        <is>
          <t>Nifty Pharma</t>
        </is>
      </c>
      <c r="T257" s="32" t="n">
        <v>13.14</v>
      </c>
      <c r="U257" s="32" t="n">
        <v>78.47</v>
      </c>
      <c r="V257" s="32" t="n">
        <v>57.74</v>
      </c>
      <c r="W257" s="32" t="n">
        <v>24.85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Yes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Annuity, Lower One Time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Above 40</t>
        </is>
      </c>
      <c r="AY257" s="31">
        <f>IF(AX257="Above 40",20,IF(AX257="20 to 40",10,IF(AX257="0 to 20",-5,0)))</f>
        <v/>
      </c>
      <c r="AZ257" s="31" t="inlineStr">
        <is>
          <t>Above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Blue sky scenario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Negative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IF(B258=0,"",RANK(B258,$B$2:$B$370,0))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TIRUPATIFL</t>
        </is>
      </c>
      <c r="D258" s="31" t="inlineStr">
        <is>
          <t>Tirupati Forge Ltd</t>
        </is>
      </c>
      <c r="E258" s="31" t="inlineStr">
        <is>
          <t>industrials</t>
        </is>
      </c>
      <c r="F258" s="31" t="inlineStr">
        <is>
          <t>castings &amp; forgings</t>
        </is>
      </c>
      <c r="G258" s="31" t="inlineStr">
        <is>
          <t>smallcap</t>
        </is>
      </c>
      <c r="H258" s="32" t="n">
        <v>749.04</v>
      </c>
      <c r="I258" s="32" t="n">
        <v>64.06999999999999</v>
      </c>
      <c r="J258" s="32" t="n">
        <v>10.5</v>
      </c>
      <c r="K258" s="32" t="n">
        <v>7185438</v>
      </c>
      <c r="L258" s="31" t="n">
        <v>67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75.98999999999999</v>
      </c>
      <c r="P258" s="32" t="n">
        <v>31.14</v>
      </c>
      <c r="Q258" s="32" t="n">
        <v>46.28</v>
      </c>
      <c r="R258" s="31" t="inlineStr">
        <is>
          <t>Volume Spike &amp; Near 52W High Breakout</t>
        </is>
      </c>
      <c r="S258" s="31" t="inlineStr">
        <is>
          <t>Nifty 50</t>
        </is>
      </c>
      <c r="T258" s="32" t="n">
        <v>-6.27</v>
      </c>
      <c r="U258" s="32" t="n">
        <v>38.26</v>
      </c>
      <c r="V258" s="32" t="n">
        <v>47.5</v>
      </c>
      <c r="W258" s="32" t="n">
        <v>18.35</v>
      </c>
      <c r="X258" s="31" t="inlineStr">
        <is>
          <t>Cyclical in an Upturn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Above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IF(B259=0,"",RANK(B259,$B$2:$B$370,0))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SETL</t>
        </is>
      </c>
      <c r="D259" s="31" t="inlineStr">
        <is>
          <t>Standard Enginnering Technology Ltd</t>
        </is>
      </c>
      <c r="E259" s="31" t="inlineStr">
        <is>
          <t>industrials</t>
        </is>
      </c>
      <c r="F259" s="31" t="inlineStr">
        <is>
          <t>engineering</t>
        </is>
      </c>
      <c r="G259" s="31" t="inlineStr">
        <is>
          <t>smallcap</t>
        </is>
      </c>
      <c r="H259" s="32" t="n">
        <v>4656.73</v>
      </c>
      <c r="I259" s="32" t="n">
        <v>256.77</v>
      </c>
      <c r="J259" s="32" t="n">
        <v>10</v>
      </c>
      <c r="K259" s="32" t="n">
        <v>1644928</v>
      </c>
      <c r="L259" s="31" t="n">
        <v>90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83.78</v>
      </c>
      <c r="P259" s="32" t="n">
        <v>19.59</v>
      </c>
      <c r="Q259" s="32" t="n">
        <v>198.48</v>
      </c>
      <c r="R259" s="31" t="inlineStr">
        <is>
          <t>Near 52W High Breakout</t>
        </is>
      </c>
      <c r="S259" s="31" t="inlineStr">
        <is>
          <t>Nifty Infra</t>
        </is>
      </c>
      <c r="T259" s="32" t="n">
        <v>-0.44</v>
      </c>
      <c r="U259" s="32" t="n">
        <v>51.34</v>
      </c>
      <c r="V259" s="32" t="n">
        <v>52.02</v>
      </c>
      <c r="W259" s="32" t="n">
        <v>35.94</v>
      </c>
      <c r="X259" s="31" t="inlineStr">
        <is>
          <t>Cyclical in an Upturn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0 to 20</t>
        </is>
      </c>
      <c r="AY259" s="31">
        <f>IF(AX259="Above 40",20,IF(AX259="20 to 40",10,IF(AX259="0 to 20",-5,0)))</f>
        <v/>
      </c>
      <c r="AZ259" s="31" t="inlineStr">
        <is>
          <t>Above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Blue sky scenario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Less than 50%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IF(B260=0,"",RANK(B260,$B$2:$B$370,0))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3" t="inlineStr">
        <is>
          <t>UNIMECH</t>
        </is>
      </c>
      <c r="D260" s="33" t="inlineStr">
        <is>
          <t>Unimech Aerospace and Manufacturing Ltd</t>
        </is>
      </c>
      <c r="E260" s="31" t="inlineStr">
        <is>
          <t>aerospace &amp; defence</t>
        </is>
      </c>
      <c r="F260" s="31" t="inlineStr">
        <is>
          <t>engineering</t>
        </is>
      </c>
      <c r="G260" s="31" t="inlineStr">
        <is>
          <t>midcap</t>
        </is>
      </c>
      <c r="H260" s="32" t="n">
        <v>5550.52</v>
      </c>
      <c r="I260" s="32" t="n">
        <v>1171.65</v>
      </c>
      <c r="J260" s="32" t="n">
        <v>7.35</v>
      </c>
      <c r="K260" s="32" t="n">
        <v>305454</v>
      </c>
      <c r="L260" s="31" t="n">
        <v>51</v>
      </c>
      <c r="M260" s="31" t="inlineStr">
        <is>
          <t>Underperforming</t>
        </is>
      </c>
      <c r="N260" s="32">
        <f>IF(M260="Underperforming",-5,IF(L260&gt;=95,15,IF(L260&gt;=90,10,IF(L260&gt;=80,5,0))))</f>
        <v/>
      </c>
      <c r="O260" s="32" t="n">
        <v>62.78</v>
      </c>
      <c r="P260" s="32" t="n">
        <v>24.97</v>
      </c>
      <c r="Q260" s="32" t="n">
        <v>874.14</v>
      </c>
      <c r="R260" s="31" t="inlineStr">
        <is>
          <t>Earnings / Momentum Support</t>
        </is>
      </c>
      <c r="S260" s="31" t="inlineStr">
        <is>
          <t>Nifty 50</t>
        </is>
      </c>
      <c r="T260" s="32" t="n">
        <v>-6.27</v>
      </c>
      <c r="U260" s="32" t="n">
        <v>-9.300000000000001</v>
      </c>
      <c r="V260" s="32" t="n">
        <v>-3.24</v>
      </c>
      <c r="W260" s="32" t="n">
        <v>13.82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Less than 12%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IF(B261=0,"",RANK(B261,$B$2:$B$370,0))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PRECOT</t>
        </is>
      </c>
      <c r="D261" s="31" t="inlineStr">
        <is>
          <t>Precot Meridian Limited</t>
        </is>
      </c>
      <c r="E261" s="31" t="inlineStr">
        <is>
          <t>textiles</t>
        </is>
      </c>
      <c r="F261" s="31" t="inlineStr">
        <is>
          <t>textiles - cotton/blended</t>
        </is>
      </c>
      <c r="G261" s="31" t="inlineStr">
        <is>
          <t>smallcap</t>
        </is>
      </c>
      <c r="H261" s="32" t="n">
        <v>852.36</v>
      </c>
      <c r="I261" s="32" t="n">
        <v>745.8</v>
      </c>
      <c r="J261" s="32" t="n">
        <v>5</v>
      </c>
      <c r="K261" s="32" t="n">
        <v>8456</v>
      </c>
      <c r="L261" s="31" t="n">
        <v>62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65.12</v>
      </c>
      <c r="P261" s="32" t="n">
        <v>42.43</v>
      </c>
      <c r="Q261" s="32" t="n">
        <v>576.3</v>
      </c>
      <c r="R261" s="31" t="inlineStr">
        <is>
          <t>Earnings / Momentum Support</t>
        </is>
      </c>
      <c r="S261" s="31" t="inlineStr">
        <is>
          <t>Nifty 50</t>
        </is>
      </c>
      <c r="T261" s="32" t="n">
        <v>-6.27</v>
      </c>
      <c r="U261" s="32" t="n">
        <v>36.32</v>
      </c>
      <c r="V261" s="32" t="n">
        <v>45.43</v>
      </c>
      <c r="W261" s="32" t="n">
        <v>16.98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Above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Negative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Less than 1.5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Between 0.7 to 1.2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IF(B262=0,"",RANK(B262,$B$2:$B$370,0))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TBZ</t>
        </is>
      </c>
      <c r="D262" s="31" t="inlineStr">
        <is>
          <t>Tribhovandas Bhimji Zaveri Limited</t>
        </is>
      </c>
      <c r="E262" s="31" t="inlineStr">
        <is>
          <t>consumer discretionary</t>
        </is>
      </c>
      <c r="F262" s="31" t="inlineStr">
        <is>
          <t>diamond cutting / jewellery</t>
        </is>
      </c>
      <c r="G262" s="31" t="inlineStr">
        <is>
          <t>smallcap</t>
        </is>
      </c>
      <c r="H262" s="32" t="n">
        <v>1262.48</v>
      </c>
      <c r="I262" s="32" t="n">
        <v>195.12</v>
      </c>
      <c r="J262" s="32" t="n">
        <v>3.13</v>
      </c>
      <c r="K262" s="32" t="n">
        <v>1135338</v>
      </c>
      <c r="L262" s="31" t="n">
        <v>50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65.03</v>
      </c>
      <c r="P262" s="32" t="n">
        <v>18.17</v>
      </c>
      <c r="Q262" s="32" t="n">
        <v>145.58</v>
      </c>
      <c r="R262" s="31" t="inlineStr">
        <is>
          <t>Near 52W High Breakout</t>
        </is>
      </c>
      <c r="S262" s="31" t="inlineStr">
        <is>
          <t>Nifty 50</t>
        </is>
      </c>
      <c r="T262" s="32" t="n">
        <v>-6.27</v>
      </c>
      <c r="U262" s="32" t="n">
        <v>1.49</v>
      </c>
      <c r="V262" s="32" t="n">
        <v>8.27</v>
      </c>
      <c r="W262" s="32" t="n">
        <v>13.49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0 to 20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Less than 1.5</t>
        </is>
      </c>
      <c r="BU262" s="31">
        <f>IF(BT262="Above 2",0,IF(BT262="Between 1.5 to 2",5,IF(BT262="Less than 1.5",10,0)))</f>
        <v/>
      </c>
      <c r="BV262" s="31" t="inlineStr">
        <is>
          <t>Less than 50% and Borrowings are increasing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Between 0.7 to 1.2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IF(B263=0,"",RANK(B263,$B$2:$B$370,0))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SUYOG</t>
        </is>
      </c>
      <c r="D263" s="31" t="inlineStr">
        <is>
          <t>Suyog Telematics Ltd</t>
        </is>
      </c>
      <c r="E263" s="31" t="inlineStr">
        <is>
          <t>telecom</t>
        </is>
      </c>
      <c r="F263" s="31" t="inlineStr">
        <is>
          <t>transmisson line towers / equipment</t>
        </is>
      </c>
      <c r="G263" s="31" t="inlineStr">
        <is>
          <t>smallcap</t>
        </is>
      </c>
      <c r="H263" s="32" t="n">
        <v>943.7</v>
      </c>
      <c r="I263" s="32" t="n">
        <v>829</v>
      </c>
      <c r="J263" s="32" t="n">
        <v>2.93</v>
      </c>
      <c r="K263" s="32" t="n">
        <v>82354</v>
      </c>
      <c r="L263" s="31" t="n">
        <v>15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57.95</v>
      </c>
      <c r="P263" s="32" t="n">
        <v>15.84</v>
      </c>
      <c r="Q263" s="32" t="n">
        <v>600.71</v>
      </c>
      <c r="R263" s="31" t="inlineStr">
        <is>
          <t>Near 52W High Breakout</t>
        </is>
      </c>
      <c r="S263" s="31" t="inlineStr">
        <is>
          <t>Nifty 50</t>
        </is>
      </c>
      <c r="T263" s="32" t="n">
        <v>-6.27</v>
      </c>
      <c r="U263" s="32" t="n">
        <v>-5.9</v>
      </c>
      <c r="V263" s="32" t="n">
        <v>0.39</v>
      </c>
      <c r="W263" s="32" t="n">
        <v>5.3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Oligopoly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Yes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Less than 1.5</t>
        </is>
      </c>
      <c r="BU263" s="31">
        <f>IF(BT263="Above 2",0,IF(BT263="Between 1.5 to 2",5,IF(BT263="Less than 1.5",10,0)))</f>
        <v/>
      </c>
      <c r="BV263" s="31" t="inlineStr">
        <is>
          <t>Less than 50%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Between 0.7 to 1.2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IF(B264=0,"",RANK(B264,$B$2:$B$370,0))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NAVINFLUOR</t>
        </is>
      </c>
      <c r="D264" s="31" t="inlineStr">
        <is>
          <t>Navin Fluorine International Limited</t>
        </is>
      </c>
      <c r="E264" s="31" t="inlineStr">
        <is>
          <t>chemicals</t>
        </is>
      </c>
      <c r="F264" s="31" t="inlineStr">
        <is>
          <t>chemicals</t>
        </is>
      </c>
      <c r="G264" s="31" t="inlineStr">
        <is>
          <t>largecap</t>
        </is>
      </c>
      <c r="H264" s="32" t="n">
        <v>38367.24</v>
      </c>
      <c r="I264" s="32" t="n">
        <v>7687</v>
      </c>
      <c r="J264" s="32" t="n">
        <v>2.68</v>
      </c>
      <c r="K264" s="32" t="n">
        <v>111883</v>
      </c>
      <c r="L264" s="31" t="n">
        <v>61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74.02</v>
      </c>
      <c r="P264" s="32" t="n">
        <v>40.48</v>
      </c>
      <c r="Q264" s="32" t="n">
        <v>6364.68</v>
      </c>
      <c r="R264" s="31" t="inlineStr">
        <is>
          <t>Near 52W High Breakout</t>
        </is>
      </c>
      <c r="S264" s="31" t="inlineStr">
        <is>
          <t>Nifty 50</t>
        </is>
      </c>
      <c r="T264" s="32" t="n">
        <v>-6.27</v>
      </c>
      <c r="U264" s="32" t="n">
        <v>56.4</v>
      </c>
      <c r="V264" s="32" t="n">
        <v>66.84999999999999</v>
      </c>
      <c r="W264" s="32" t="n">
        <v>16.59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Oligopoly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Shallow Cyclical (2 to 3 Years Growth)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3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Yes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Between 50% to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IF(B265=0,"",RANK(B265,$B$2:$B$370,0))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3" t="inlineStr">
        <is>
          <t>TPLPLASTEH</t>
        </is>
      </c>
      <c r="D265" s="33" t="inlineStr">
        <is>
          <t>Tpl Plastech Limited</t>
        </is>
      </c>
      <c r="E265" s="31" t="inlineStr">
        <is>
          <t>industrials</t>
        </is>
      </c>
      <c r="F265" s="31" t="inlineStr">
        <is>
          <t>packaging</t>
        </is>
      </c>
      <c r="G265" s="31" t="inlineStr">
        <is>
          <t>smallcap</t>
        </is>
      </c>
      <c r="H265" s="32" t="n">
        <v>551.48</v>
      </c>
      <c r="I265" s="32" t="n">
        <v>72.55</v>
      </c>
      <c r="J265" s="32" t="n">
        <v>2.62</v>
      </c>
      <c r="K265" s="32" t="n">
        <v>51159</v>
      </c>
      <c r="L265" s="31" t="n">
        <v>8</v>
      </c>
      <c r="M265" s="31" t="inlineStr">
        <is>
          <t>Underperforming</t>
        </is>
      </c>
      <c r="N265" s="32">
        <f>IF(M265="Underperforming",-5,IF(L265&gt;=95,15,IF(L265&gt;=90,10,IF(L265&gt;=80,5,0))))</f>
        <v/>
      </c>
      <c r="O265" s="32" t="n">
        <v>56.77</v>
      </c>
      <c r="P265" s="32" t="n">
        <v>13.75</v>
      </c>
      <c r="Q265" s="32" t="n">
        <v>53.81</v>
      </c>
      <c r="R265" s="31" t="inlineStr">
        <is>
          <t>Earnings / Momentum Support</t>
        </is>
      </c>
      <c r="S265" s="31" t="inlineStr">
        <is>
          <t>Nifty 50</t>
        </is>
      </c>
      <c r="T265" s="32" t="n">
        <v>-6.27</v>
      </c>
      <c r="U265" s="32" t="n">
        <v>-10.32</v>
      </c>
      <c r="V265" s="32" t="n">
        <v>-4.32</v>
      </c>
      <c r="W265" s="32" t="n">
        <v>3.1</v>
      </c>
      <c r="X265" s="31" t="inlineStr">
        <is>
          <t>Cyclical in an Upturn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Between 12 to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Less than 1.5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IF(B266=0,"",RANK(B266,$B$2:$B$370,0))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MANINDS</t>
        </is>
      </c>
      <c r="D266" s="31" t="inlineStr">
        <is>
          <t>Man Industries (india) Limited</t>
        </is>
      </c>
      <c r="E266" s="31" t="inlineStr">
        <is>
          <t>metals &amp; mining</t>
        </is>
      </c>
      <c r="F266" s="31" t="inlineStr">
        <is>
          <t>steel - medium / small</t>
        </is>
      </c>
      <c r="G266" s="31" t="inlineStr">
        <is>
          <t>smallcap</t>
        </is>
      </c>
      <c r="H266" s="32" t="n">
        <v>4308.55</v>
      </c>
      <c r="I266" s="32" t="n">
        <v>581.65</v>
      </c>
      <c r="J266" s="32" t="n">
        <v>1.26</v>
      </c>
      <c r="K266" s="32" t="n">
        <v>162693</v>
      </c>
      <c r="L266" s="31" t="n">
        <v>77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62.43</v>
      </c>
      <c r="P266" s="32" t="n">
        <v>30.85</v>
      </c>
      <c r="Q266" s="32" t="n">
        <v>418.29</v>
      </c>
      <c r="R266" s="31" t="inlineStr">
        <is>
          <t>Near 52W High Breakout</t>
        </is>
      </c>
      <c r="S266" s="31" t="inlineStr">
        <is>
          <t>Nifty Metal</t>
        </is>
      </c>
      <c r="T266" s="32" t="n">
        <v>30.67</v>
      </c>
      <c r="U266" s="32" t="n">
        <v>34.52</v>
      </c>
      <c r="V266" s="32" t="n">
        <v>2.94</v>
      </c>
      <c r="W266" s="32" t="n">
        <v>22.55</v>
      </c>
      <c r="X266" s="31" t="inlineStr">
        <is>
          <t>Cyclical in an Upturn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Cyclical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Volatile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Blue sky scenario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Less than 12%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IF(B267=0,"",RANK(B267,$B$2:$B$370,0))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GOODLUCK</t>
        </is>
      </c>
      <c r="D267" s="31" t="inlineStr">
        <is>
          <t>Goodluck India Limited</t>
        </is>
      </c>
      <c r="E267" s="31" t="inlineStr">
        <is>
          <t>metals &amp; mining</t>
        </is>
      </c>
      <c r="F267" s="31" t="inlineStr">
        <is>
          <t>steel - medium / small</t>
        </is>
      </c>
      <c r="G267" s="31" t="inlineStr">
        <is>
          <t>smallcap</t>
        </is>
      </c>
      <c r="H267" s="32" t="n">
        <v>4901.35</v>
      </c>
      <c r="I267" s="32" t="n">
        <v>1479</v>
      </c>
      <c r="J267" s="32" t="n">
        <v>0.3</v>
      </c>
      <c r="K267" s="32" t="n">
        <v>290313</v>
      </c>
      <c r="L267" s="31" t="n">
        <v>59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63.28</v>
      </c>
      <c r="P267" s="32" t="n">
        <v>28.98</v>
      </c>
      <c r="Q267" s="32" t="n">
        <v>1112.56</v>
      </c>
      <c r="R267" s="31" t="inlineStr">
        <is>
          <t>Volume Spike &amp; Near 52W High Breakout</t>
        </is>
      </c>
      <c r="S267" s="31" t="inlineStr">
        <is>
          <t>Nifty Metal</t>
        </is>
      </c>
      <c r="T267" s="32" t="n">
        <v>30.67</v>
      </c>
      <c r="U267" s="32" t="n">
        <v>32.56</v>
      </c>
      <c r="V267" s="32" t="n">
        <v>1.44</v>
      </c>
      <c r="W267" s="32" t="n">
        <v>16.02</v>
      </c>
      <c r="X267" s="31" t="inlineStr">
        <is>
          <t>Cyclical in an Upturn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Cyclical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Volatile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Blue sky scenario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Less than 1.5</t>
        </is>
      </c>
      <c r="BU267" s="31">
        <f>IF(BT267="Above 2",0,IF(BT267="Between 1.5 to 2",5,IF(BT267="Less than 1.5",10,0)))</f>
        <v/>
      </c>
      <c r="BV267" s="31" t="inlineStr">
        <is>
          <t>Less than 50%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Between 0.7 to 1.2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IF(B268=0,"",RANK(B268,$B$2:$B$370,0))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3" t="inlineStr">
        <is>
          <t>RATNAVEER</t>
        </is>
      </c>
      <c r="D268" s="33" t="inlineStr">
        <is>
          <t>Ratnaveer Precision Engineering Ltd</t>
        </is>
      </c>
      <c r="E268" s="31" t="inlineStr">
        <is>
          <t>metals &amp; mining</t>
        </is>
      </c>
      <c r="F268" s="31" t="inlineStr">
        <is>
          <t>steel - medium / small</t>
        </is>
      </c>
      <c r="G268" s="31" t="inlineStr">
        <is>
          <t>smallcap</t>
        </is>
      </c>
      <c r="H268" s="32" t="n">
        <v>1291.39</v>
      </c>
      <c r="I268" s="32" t="n">
        <v>181.2</v>
      </c>
      <c r="J268" s="32" t="n">
        <v>0.22</v>
      </c>
      <c r="K268" s="32" t="n">
        <v>2089058</v>
      </c>
      <c r="L268" s="31" t="n">
        <v>34</v>
      </c>
      <c r="M268" s="31" t="inlineStr">
        <is>
          <t>Underperforming</t>
        </is>
      </c>
      <c r="N268" s="32">
        <f>IF(M268="Underperforming",-5,IF(L268&gt;=95,15,IF(L268&gt;=90,10,IF(L268&gt;=80,5,0))))</f>
        <v/>
      </c>
      <c r="O268" s="32" t="n">
        <v>58.67</v>
      </c>
      <c r="P268" s="32" t="n">
        <v>48.14</v>
      </c>
      <c r="Q268" s="32" t="n">
        <v>133.85</v>
      </c>
      <c r="R268" s="31" t="inlineStr">
        <is>
          <t>Near 52W High Breakout</t>
        </is>
      </c>
      <c r="S268" s="31" t="inlineStr">
        <is>
          <t>Nifty Metal</t>
        </is>
      </c>
      <c r="T268" s="32" t="n">
        <v>30.67</v>
      </c>
      <c r="U268" s="32" t="n">
        <v>16.93</v>
      </c>
      <c r="V268" s="32" t="n">
        <v>-10.52</v>
      </c>
      <c r="W268" s="32" t="n">
        <v>9.93</v>
      </c>
      <c r="X268" s="31" t="inlineStr">
        <is>
          <t>Cyclical in an Upturn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Cyclical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Volatile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Above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Negative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IF(B269=0,"",RANK(B269,$B$2:$B$370,0))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3" t="inlineStr">
        <is>
          <t>CERA</t>
        </is>
      </c>
      <c r="D269" s="33" t="inlineStr">
        <is>
          <t>Cera Sanitaryware Limited</t>
        </is>
      </c>
      <c r="E269" s="31" t="inlineStr">
        <is>
          <t>building materials</t>
        </is>
      </c>
      <c r="F269" s="31" t="inlineStr">
        <is>
          <t>ceramics - tiles / sanitaryware</t>
        </is>
      </c>
      <c r="G269" s="31" t="inlineStr">
        <is>
          <t>midcap</t>
        </is>
      </c>
      <c r="H269" s="32" t="n">
        <v>8336.33</v>
      </c>
      <c r="I269" s="32" t="n">
        <v>6450.5</v>
      </c>
      <c r="J269" s="32" t="n">
        <v>-0.2</v>
      </c>
      <c r="K269" s="32" t="n">
        <v>7256</v>
      </c>
      <c r="L269" s="31" t="n">
        <v>28</v>
      </c>
      <c r="M269" s="31" t="inlineStr">
        <is>
          <t>Underperforming</t>
        </is>
      </c>
      <c r="N269" s="32">
        <f>IF(M269="Underperforming",-5,IF(L269&gt;=95,15,IF(L269&gt;=90,10,IF(L269&gt;=80,5,0))))</f>
        <v/>
      </c>
      <c r="O269" s="32" t="n">
        <v>67.19</v>
      </c>
      <c r="P269" s="32" t="n">
        <v>32.76</v>
      </c>
      <c r="Q269" s="32" t="n">
        <v>5318.81</v>
      </c>
      <c r="R269" s="31" t="inlineStr">
        <is>
          <t>Earnings / Momentum Support</t>
        </is>
      </c>
      <c r="S269" s="31" t="inlineStr">
        <is>
          <t>Nifty Infra</t>
        </is>
      </c>
      <c r="T269" s="32" t="n">
        <v>-0.44</v>
      </c>
      <c r="U269" s="32" t="n">
        <v>-3.51</v>
      </c>
      <c r="V269" s="32" t="n">
        <v>-3.08</v>
      </c>
      <c r="W269" s="32" t="n">
        <v>8.460000000000001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20 to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IF(B270=0,"",RANK(B270,$B$2:$B$370,0))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GREENLAM</t>
        </is>
      </c>
      <c r="D270" s="31" t="inlineStr">
        <is>
          <t>Greenlam Industries Limited</t>
        </is>
      </c>
      <c r="E270" s="31" t="inlineStr">
        <is>
          <t>building materials</t>
        </is>
      </c>
      <c r="F270" s="31" t="inlineStr">
        <is>
          <t>miscellaneous</t>
        </is>
      </c>
      <c r="G270" s="31" t="inlineStr">
        <is>
          <t>midcap</t>
        </is>
      </c>
      <c r="H270" s="32" t="n">
        <v>6626.44</v>
      </c>
      <c r="I270" s="32" t="n">
        <v>258</v>
      </c>
      <c r="J270" s="32" t="n">
        <v>-0.66</v>
      </c>
      <c r="K270" s="32" t="n">
        <v>39852</v>
      </c>
      <c r="L270" s="31" t="n">
        <v>14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60.94</v>
      </c>
      <c r="P270" s="32" t="n">
        <v>19.69</v>
      </c>
      <c r="Q270" s="32" t="n">
        <v>197.73</v>
      </c>
      <c r="R270" s="31" t="inlineStr">
        <is>
          <t>Near 52W High Breakout</t>
        </is>
      </c>
      <c r="S270" s="31" t="inlineStr">
        <is>
          <t>Nifty Infra</t>
        </is>
      </c>
      <c r="T270" s="32" t="n">
        <v>-0.44</v>
      </c>
      <c r="U270" s="32" t="n">
        <v>4.39</v>
      </c>
      <c r="V270" s="32" t="n">
        <v>4.86</v>
      </c>
      <c r="W270" s="32" t="n">
        <v>4.75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Between 0.7 to 1.2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IF(B271=0,"",RANK(B271,$B$2:$B$370,0))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BHARATFORG</t>
        </is>
      </c>
      <c r="D271" s="31" t="inlineStr">
        <is>
          <t>Bharat Forge Limited</t>
        </is>
      </c>
      <c r="E271" s="31" t="inlineStr">
        <is>
          <t>industrials</t>
        </is>
      </c>
      <c r="F271" s="31" t="inlineStr">
        <is>
          <t>castings &amp; forgings</t>
        </is>
      </c>
      <c r="G271" s="31" t="inlineStr">
        <is>
          <t>largecap</t>
        </is>
      </c>
      <c r="H271" s="32" t="n">
        <v>103788.26</v>
      </c>
      <c r="I271" s="32" t="n">
        <v>2144.1</v>
      </c>
      <c r="J271" s="32" t="n">
        <v>-1.23</v>
      </c>
      <c r="K271" s="32" t="n">
        <v>2138525</v>
      </c>
      <c r="L271" s="31" t="n">
        <v>64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72.16</v>
      </c>
      <c r="P271" s="32" t="n">
        <v>38.4</v>
      </c>
      <c r="Q271" s="32" t="n">
        <v>1775.78</v>
      </c>
      <c r="R271" s="31" t="inlineStr">
        <is>
          <t>Near 52W High Breakout</t>
        </is>
      </c>
      <c r="S271" s="31" t="inlineStr">
        <is>
          <t>Nifty 500</t>
        </is>
      </c>
      <c r="T271" s="32" t="n">
        <v>-2.41</v>
      </c>
      <c r="U271" s="32" t="n">
        <v>64.06</v>
      </c>
      <c r="V271" s="32" t="n">
        <v>68.09999999999999</v>
      </c>
      <c r="W271" s="32" t="n">
        <v>17.34</v>
      </c>
      <c r="X271" s="31" t="inlineStr">
        <is>
          <t>Cyclical in an Upturn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Blue sky scenario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Less than 12%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Between 50% to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Between 0.7 to 1.2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IF(B272=0,"",RANK(B272,$B$2:$B$370,0))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PANACHE</t>
        </is>
      </c>
      <c r="D272" s="31" t="inlineStr">
        <is>
          <t>Panache Digilife Ltd</t>
        </is>
      </c>
      <c r="E272" s="31" t="inlineStr">
        <is>
          <t>i.t</t>
        </is>
      </c>
      <c r="F272" s="31" t="inlineStr">
        <is>
          <t>computers - hardware</t>
        </is>
      </c>
      <c r="G272" s="31" t="inlineStr">
        <is>
          <t>smallcap</t>
        </is>
      </c>
      <c r="H272" s="32" t="n">
        <v>697.8099999999999</v>
      </c>
      <c r="I272" s="32" t="n">
        <v>429</v>
      </c>
      <c r="J272" s="32" t="n">
        <v>-1.55</v>
      </c>
      <c r="K272" s="32" t="n">
        <v>8200</v>
      </c>
      <c r="L272" s="31" t="n">
        <v>86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66.05</v>
      </c>
      <c r="P272" s="32" t="n">
        <v>18.34</v>
      </c>
      <c r="Q272" s="32" t="n">
        <v>314.03</v>
      </c>
      <c r="R272" s="31" t="inlineStr">
        <is>
          <t>Near 52W High Breakout</t>
        </is>
      </c>
      <c r="S272" s="31" t="inlineStr">
        <is>
          <t>Nifty IT</t>
        </is>
      </c>
      <c r="T272" s="32" t="n">
        <v>-32.85</v>
      </c>
      <c r="U272" s="32" t="n">
        <v>96.48</v>
      </c>
      <c r="V272" s="32" t="n">
        <v>192.61</v>
      </c>
      <c r="W272" s="32" t="n">
        <v>30.57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0 to 20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Blue sky scenario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Negative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IF(B273=0,"",RANK(B273,$B$2:$B$370,0))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3" t="inlineStr">
        <is>
          <t>KOVAI</t>
        </is>
      </c>
      <c r="D273" s="33" t="inlineStr">
        <is>
          <t>Kovai Medical Center &amp; Hospital Ltd</t>
        </is>
      </c>
      <c r="E273" s="31" t="inlineStr">
        <is>
          <t>healthcare</t>
        </is>
      </c>
      <c r="F273" s="31" t="inlineStr">
        <is>
          <t>healthcare</t>
        </is>
      </c>
      <c r="G273" s="31" t="inlineStr">
        <is>
          <t>midcap</t>
        </is>
      </c>
      <c r="H273" s="32" t="n">
        <v>6512.29</v>
      </c>
      <c r="I273" s="32" t="n">
        <v>6000</v>
      </c>
      <c r="J273" s="32" t="n">
        <v>0.8100000000000001</v>
      </c>
      <c r="K273" s="32" t="n">
        <v>9786</v>
      </c>
      <c r="L273" s="31" t="n">
        <v>11</v>
      </c>
      <c r="M273" s="31" t="inlineStr">
        <is>
          <t>Underperforming</t>
        </is>
      </c>
      <c r="N273" s="32">
        <f>IF(M273="Underperforming",-5,IF(L273&gt;=95,15,IF(L273&gt;=90,10,IF(L273&gt;=80,5,0))))</f>
        <v/>
      </c>
      <c r="O273" s="32" t="n">
        <v>63.22</v>
      </c>
      <c r="P273" s="32" t="n">
        <v>18.56</v>
      </c>
      <c r="Q273" s="32" t="n">
        <v>5036.44</v>
      </c>
      <c r="R273" s="31" t="inlineStr">
        <is>
          <t>Earnings / Momentum Support</t>
        </is>
      </c>
      <c r="S273" s="31" t="inlineStr">
        <is>
          <t>Nifty Pharma</t>
        </is>
      </c>
      <c r="T273" s="32" t="n">
        <v>13.14</v>
      </c>
      <c r="U273" s="32" t="n">
        <v>-2</v>
      </c>
      <c r="V273" s="32" t="n">
        <v>-13.39</v>
      </c>
      <c r="W273" s="32" t="n">
        <v>3.65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Yes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Annuity, Lower One Time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Between 12 to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Between 1.5 to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IF(B274=0,"",RANK(B274,$B$2:$B$370,0))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3" t="inlineStr">
        <is>
          <t>CIPLA</t>
        </is>
      </c>
      <c r="D274" s="33" t="inlineStr">
        <is>
          <t>Cipla Limited</t>
        </is>
      </c>
      <c r="E274" s="31" t="inlineStr">
        <is>
          <t>healthcare</t>
        </is>
      </c>
      <c r="F274" s="31" t="inlineStr">
        <is>
          <t>pharmaceuticals - indian - bulk drugs &amp; formln</t>
        </is>
      </c>
      <c r="G274" s="31" t="inlineStr">
        <is>
          <t>largecap</t>
        </is>
      </c>
      <c r="H274" s="32" t="n">
        <v>117459.67</v>
      </c>
      <c r="I274" s="32" t="n">
        <v>1465.4</v>
      </c>
      <c r="J274" s="32" t="n">
        <v>0.78</v>
      </c>
      <c r="K274" s="32" t="n">
        <v>2818077</v>
      </c>
      <c r="L274" s="31" t="n">
        <v>15</v>
      </c>
      <c r="M274" s="31" t="inlineStr">
        <is>
          <t>Underperforming</t>
        </is>
      </c>
      <c r="N274" s="32">
        <f>IF(M274="Underperforming",-5,IF(L274&gt;=95,15,IF(L274&gt;=90,10,IF(L274&gt;=80,5,0))))</f>
        <v/>
      </c>
      <c r="O274" s="32" t="n">
        <v>61.86</v>
      </c>
      <c r="P274" s="32" t="n">
        <v>20.56</v>
      </c>
      <c r="Q274" s="32" t="n">
        <v>1272.28</v>
      </c>
      <c r="R274" s="31" t="inlineStr">
        <is>
          <t>Earnings / Momentum Support</t>
        </is>
      </c>
      <c r="S274" s="31" t="inlineStr">
        <is>
          <t>Nifty Pharma</t>
        </is>
      </c>
      <c r="T274" s="32" t="n">
        <v>13.14</v>
      </c>
      <c r="U274" s="32" t="n">
        <v>-2.26</v>
      </c>
      <c r="V274" s="32" t="n">
        <v>-13.61</v>
      </c>
      <c r="W274" s="32" t="n">
        <v>5.37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Yes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Annuity, Lower One Time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Less than 12%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Between 50% to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IF(B275=0,"",RANK(B275,$B$2:$B$370,0))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MEDANTA</t>
        </is>
      </c>
      <c r="D275" s="33" t="inlineStr">
        <is>
          <t>Global Health Ltd</t>
        </is>
      </c>
      <c r="E275" s="31" t="inlineStr">
        <is>
          <t>healthcare</t>
        </is>
      </c>
      <c r="F275" s="31" t="inlineStr">
        <is>
          <t>healthcare</t>
        </is>
      </c>
      <c r="G275" s="31" t="inlineStr">
        <is>
          <t>largecap</t>
        </is>
      </c>
      <c r="H275" s="32" t="n">
        <v>35069.08</v>
      </c>
      <c r="I275" s="32" t="n">
        <v>1313.8</v>
      </c>
      <c r="J275" s="32" t="n">
        <v>0.7</v>
      </c>
      <c r="K275" s="32" t="n">
        <v>158743</v>
      </c>
      <c r="L275" s="31" t="n">
        <v>33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64.18000000000001</v>
      </c>
      <c r="P275" s="32" t="n">
        <v>14.97</v>
      </c>
      <c r="Q275" s="32" t="n">
        <v>1090.78</v>
      </c>
      <c r="R275" s="31" t="inlineStr">
        <is>
          <t>Earnings / Momentum Support</t>
        </is>
      </c>
      <c r="S275" s="31" t="inlineStr">
        <is>
          <t>Nifty Pharma</t>
        </is>
      </c>
      <c r="T275" s="32" t="n">
        <v>13.14</v>
      </c>
      <c r="U275" s="32" t="n">
        <v>11.02</v>
      </c>
      <c r="V275" s="32" t="n">
        <v>-1.87</v>
      </c>
      <c r="W275" s="32" t="n">
        <v>9.75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Yes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Annuity, Lower One Time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Between 1.5 to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IF(B276=0,"",RANK(B276,$B$2:$B$370,0))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3" t="inlineStr">
        <is>
          <t>WANBURY</t>
        </is>
      </c>
      <c r="D276" s="33" t="inlineStr">
        <is>
          <t>Wanbury Limited</t>
        </is>
      </c>
      <c r="E276" s="31" t="inlineStr">
        <is>
          <t>healthcare</t>
        </is>
      </c>
      <c r="F276" s="31" t="inlineStr">
        <is>
          <t>pharmaceuticals - indian - bulk drugs &amp; formln</t>
        </is>
      </c>
      <c r="G276" s="31" t="inlineStr">
        <is>
          <t>smallcap</t>
        </is>
      </c>
      <c r="H276" s="32" t="n">
        <v>984.24</v>
      </c>
      <c r="I276" s="32" t="n">
        <v>280.85</v>
      </c>
      <c r="J276" s="32" t="n">
        <v>-0.3</v>
      </c>
      <c r="K276" s="32" t="n">
        <v>228997</v>
      </c>
      <c r="L276" s="31" t="n">
        <v>15</v>
      </c>
      <c r="M276" s="31" t="inlineStr">
        <is>
          <t>Underperforming</t>
        </is>
      </c>
      <c r="N276" s="32">
        <f>IF(M276="Underperforming",-5,IF(L276&gt;=95,15,IF(L276&gt;=90,10,IF(L276&gt;=80,5,0))))</f>
        <v/>
      </c>
      <c r="O276" s="32" t="n">
        <v>56.21</v>
      </c>
      <c r="P276" s="32" t="n">
        <v>13.89</v>
      </c>
      <c r="Q276" s="32" t="n">
        <v>218.88</v>
      </c>
      <c r="R276" s="31" t="inlineStr">
        <is>
          <t>Earnings / Momentum Support</t>
        </is>
      </c>
      <c r="S276" s="31" t="inlineStr">
        <is>
          <t>Nifty Pharma</t>
        </is>
      </c>
      <c r="T276" s="32" t="n">
        <v>13.14</v>
      </c>
      <c r="U276" s="32" t="n">
        <v>1.46</v>
      </c>
      <c r="V276" s="32" t="n">
        <v>-10.32</v>
      </c>
      <c r="W276" s="32" t="n">
        <v>5.22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Yes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Annuity, Lower One Time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IF(B277=0,"",RANK(B277,$B$2:$B$370,0))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3" t="inlineStr">
        <is>
          <t>MAXHEALTH</t>
        </is>
      </c>
      <c r="D277" s="33" t="inlineStr">
        <is>
          <t>Max Healthcare Institute Ltd</t>
        </is>
      </c>
      <c r="E277" s="31" t="inlineStr">
        <is>
          <t>healthcare</t>
        </is>
      </c>
      <c r="F277" s="31" t="inlineStr">
        <is>
          <t>healthcare</t>
        </is>
      </c>
      <c r="G277" s="31" t="inlineStr">
        <is>
          <t>largecap</t>
        </is>
      </c>
      <c r="H277" s="32" t="n">
        <v>111900.8</v>
      </c>
      <c r="I277" s="32" t="n">
        <v>1129.25</v>
      </c>
      <c r="J277" s="32" t="n">
        <v>-1.8</v>
      </c>
      <c r="K277" s="32" t="n">
        <v>2457312</v>
      </c>
      <c r="L277" s="31" t="n">
        <v>3</v>
      </c>
      <c r="M277" s="31" t="inlineStr">
        <is>
          <t>Underperforming</t>
        </is>
      </c>
      <c r="N277" s="32">
        <f>IF(M277="Underperforming",-5,IF(L277&gt;=95,15,IF(L277&gt;=90,10,IF(L277&gt;=80,5,0))))</f>
        <v/>
      </c>
      <c r="O277" s="32" t="n">
        <v>60.42</v>
      </c>
      <c r="P277" s="32" t="n">
        <v>22.56</v>
      </c>
      <c r="Q277" s="32" t="n">
        <v>937.02</v>
      </c>
      <c r="R277" s="31" t="inlineStr">
        <is>
          <t>Earnings / Momentum Support</t>
        </is>
      </c>
      <c r="S277" s="31" t="inlineStr">
        <is>
          <t>Nifty Pharma</t>
        </is>
      </c>
      <c r="T277" s="32" t="n">
        <v>13.14</v>
      </c>
      <c r="U277" s="32" t="n">
        <v>-12.91</v>
      </c>
      <c r="V277" s="32" t="n">
        <v>-23.03</v>
      </c>
      <c r="W277" s="32" t="n">
        <v>1.97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Yes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Annuity, Lower One Time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Less than 12%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IF(B278=0,"",RANK(B278,$B$2:$B$370,0))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PDSL</t>
        </is>
      </c>
      <c r="D278" s="33" t="inlineStr">
        <is>
          <t>PDS Ltd</t>
        </is>
      </c>
      <c r="E278" s="31" t="inlineStr">
        <is>
          <t>textiles</t>
        </is>
      </c>
      <c r="F278" s="31" t="inlineStr">
        <is>
          <t>trading</t>
        </is>
      </c>
      <c r="G278" s="31" t="inlineStr">
        <is>
          <t>smallcap</t>
        </is>
      </c>
      <c r="H278" s="32" t="n">
        <v>4951.89</v>
      </c>
      <c r="I278" s="32" t="n">
        <v>365.4</v>
      </c>
      <c r="J278" s="32" t="n">
        <v>4.37</v>
      </c>
      <c r="K278" s="32" t="n">
        <v>445228</v>
      </c>
      <c r="L278" s="31" t="n">
        <v>18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61.42</v>
      </c>
      <c r="P278" s="32" t="n">
        <v>14.14</v>
      </c>
      <c r="Q278" s="32" t="n">
        <v>268.34</v>
      </c>
      <c r="R278" s="31" t="inlineStr">
        <is>
          <t>Earnings / Momentum Support</t>
        </is>
      </c>
      <c r="S278" s="31" t="inlineStr">
        <is>
          <t>Nifty 50</t>
        </is>
      </c>
      <c r="T278" s="32" t="n">
        <v>-6.27</v>
      </c>
      <c r="U278" s="32" t="n">
        <v>-8.43</v>
      </c>
      <c r="V278" s="32" t="n">
        <v>-2.31</v>
      </c>
      <c r="W278" s="32" t="n">
        <v>5.91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IF(B279=0,"",RANK(B279,$B$2:$B$370,0))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VOLTAMP</t>
        </is>
      </c>
      <c r="D279" s="31" t="inlineStr">
        <is>
          <t>Voltamp Transformers Limited</t>
        </is>
      </c>
      <c r="E279" s="31" t="inlineStr">
        <is>
          <t>industrials</t>
        </is>
      </c>
      <c r="F279" s="31" t="inlineStr">
        <is>
          <t>electric equipment</t>
        </is>
      </c>
      <c r="G279" s="31" t="inlineStr">
        <is>
          <t>midcap</t>
        </is>
      </c>
      <c r="H279" s="32" t="n">
        <v>10198.06</v>
      </c>
      <c r="I279" s="32" t="n">
        <v>10379.5</v>
      </c>
      <c r="J279" s="32" t="n">
        <v>2.97</v>
      </c>
      <c r="K279" s="32" t="n">
        <v>22761</v>
      </c>
      <c r="L279" s="31" t="n">
        <v>18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60.09</v>
      </c>
      <c r="P279" s="32" t="n">
        <v>33.27</v>
      </c>
      <c r="Q279" s="32" t="n">
        <v>9231.25</v>
      </c>
      <c r="R279" s="31" t="inlineStr">
        <is>
          <t>Earnings / Momentum Support</t>
        </is>
      </c>
      <c r="S279" s="31" t="inlineStr">
        <is>
          <t>Nifty 50</t>
        </is>
      </c>
      <c r="T279" s="32" t="n">
        <v>-6.27</v>
      </c>
      <c r="U279" s="32" t="n">
        <v>12.2</v>
      </c>
      <c r="V279" s="32" t="n">
        <v>19.7</v>
      </c>
      <c r="W279" s="32" t="n">
        <v>6.03</v>
      </c>
      <c r="X279" s="31" t="inlineStr">
        <is>
          <t>Cyclical in an Upturn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20 to 40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Less than 50%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IF(B280=0,"",RANK(B280,$B$2:$B$370,0))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BHAGERIA</t>
        </is>
      </c>
      <c r="D280" s="31" t="inlineStr">
        <is>
          <t>Bhageria Industries Limited</t>
        </is>
      </c>
      <c r="E280" s="31" t="inlineStr">
        <is>
          <t>chemicals</t>
        </is>
      </c>
      <c r="F280" s="31" t="inlineStr">
        <is>
          <t>dyes and pigments</t>
        </is>
      </c>
      <c r="G280" s="31" t="inlineStr">
        <is>
          <t>smallcap</t>
        </is>
      </c>
      <c r="H280" s="32" t="n">
        <v>908.58</v>
      </c>
      <c r="I280" s="32" t="n">
        <v>211.01</v>
      </c>
      <c r="J280" s="32" t="n">
        <v>1.36</v>
      </c>
      <c r="K280" s="32" t="n">
        <v>87392</v>
      </c>
      <c r="L280" s="31" t="n">
        <v>40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61.79</v>
      </c>
      <c r="P280" s="32" t="n">
        <v>19</v>
      </c>
      <c r="Q280" s="32" t="n">
        <v>167.84</v>
      </c>
      <c r="R280" s="31" t="inlineStr">
        <is>
          <t>Earnings / Momentum Support</t>
        </is>
      </c>
      <c r="S280" s="31" t="inlineStr">
        <is>
          <t>Nifty IT</t>
        </is>
      </c>
      <c r="T280" s="32" t="n">
        <v>-32.85</v>
      </c>
      <c r="U280" s="32" t="n">
        <v>1.11</v>
      </c>
      <c r="V280" s="32" t="n">
        <v>50.58</v>
      </c>
      <c r="W280" s="32" t="n">
        <v>10.91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Less than 12%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IF(B281=0,"",RANK(B281,$B$2:$B$370,0))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NIBE</t>
        </is>
      </c>
      <c r="D281" s="31" t="inlineStr">
        <is>
          <t>NIBE Ltd</t>
        </is>
      </c>
      <c r="E281" s="31" t="inlineStr">
        <is>
          <t>aerospace &amp; defence</t>
        </is>
      </c>
      <c r="F281" s="31" t="inlineStr">
        <is>
          <t>engineering</t>
        </is>
      </c>
      <c r="G281" s="31" t="inlineStr">
        <is>
          <t>smallcap</t>
        </is>
      </c>
      <c r="H281" s="32" t="n">
        <v>2506.05</v>
      </c>
      <c r="I281" s="32" t="n">
        <v>1663.9</v>
      </c>
      <c r="J281" s="32" t="n">
        <v>1.33</v>
      </c>
      <c r="K281" s="32" t="n">
        <v>87464</v>
      </c>
      <c r="L281" s="31" t="n">
        <v>75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65.63</v>
      </c>
      <c r="P281" s="32" t="n">
        <v>27.29</v>
      </c>
      <c r="Q281" s="32" t="n">
        <v>1327.49</v>
      </c>
      <c r="R281" s="31" t="inlineStr">
        <is>
          <t>Earnings / Momentum Support</t>
        </is>
      </c>
      <c r="S281" s="31" t="inlineStr">
        <is>
          <t>Nifty 50</t>
        </is>
      </c>
      <c r="T281" s="32" t="n">
        <v>-6.27</v>
      </c>
      <c r="U281" s="32" t="n">
        <v>-0.57</v>
      </c>
      <c r="V281" s="32" t="n">
        <v>6.08</v>
      </c>
      <c r="W281" s="32" t="n">
        <v>21.76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20 to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Negative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IF(B282=0,"",RANK(B282,$B$2:$B$370,0))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PATELENG</t>
        </is>
      </c>
      <c r="D282" s="31" t="inlineStr">
        <is>
          <t>Patel Engineering Limited</t>
        </is>
      </c>
      <c r="E282" s="31" t="inlineStr">
        <is>
          <t>realty</t>
        </is>
      </c>
      <c r="F282" s="31" t="inlineStr">
        <is>
          <t>construction</t>
        </is>
      </c>
      <c r="G282" s="31" t="inlineStr">
        <is>
          <t>smallcap</t>
        </is>
      </c>
      <c r="H282" s="32" t="n">
        <v>3424.87</v>
      </c>
      <c r="I282" s="32" t="n">
        <v>34.93</v>
      </c>
      <c r="J282" s="32" t="n">
        <v>1.19</v>
      </c>
      <c r="K282" s="32" t="n">
        <v>13081079</v>
      </c>
      <c r="L282" s="31" t="n">
        <v>26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64.55</v>
      </c>
      <c r="P282" s="32" t="n">
        <v>16.21</v>
      </c>
      <c r="Q282" s="32" t="n">
        <v>26.85</v>
      </c>
      <c r="R282" s="31" t="inlineStr">
        <is>
          <t>Earnings / Momentum Support</t>
        </is>
      </c>
      <c r="S282" s="31" t="inlineStr">
        <is>
          <t>Nifty Realty</t>
        </is>
      </c>
      <c r="T282" s="32" t="n">
        <v>-14.65</v>
      </c>
      <c r="U282" s="32" t="n">
        <v>-14.22</v>
      </c>
      <c r="V282" s="32" t="n">
        <v>0.51</v>
      </c>
      <c r="W282" s="32" t="n">
        <v>8.039999999999999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Less than 12%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IF(B283=0,"",RANK(B283,$B$2:$B$370,0))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3" t="inlineStr">
        <is>
          <t>DEEPAKFERT</t>
        </is>
      </c>
      <c r="D283" s="33" t="inlineStr">
        <is>
          <t>Deepak Fertilizers And Petrochemicals Corporation Limited</t>
        </is>
      </c>
      <c r="E283" s="31" t="inlineStr">
        <is>
          <t>chemicals</t>
        </is>
      </c>
      <c r="F283" s="31" t="inlineStr">
        <is>
          <t>chemicals</t>
        </is>
      </c>
      <c r="G283" s="31" t="inlineStr">
        <is>
          <t>midcap</t>
        </is>
      </c>
      <c r="H283" s="32" t="n">
        <v>19497.43</v>
      </c>
      <c r="I283" s="32" t="n">
        <v>1558.1</v>
      </c>
      <c r="J283" s="32" t="n">
        <v>0.88</v>
      </c>
      <c r="K283" s="32" t="n">
        <v>80394</v>
      </c>
      <c r="L283" s="31" t="n">
        <v>49</v>
      </c>
      <c r="M283" s="31" t="inlineStr">
        <is>
          <t>Underperforming</t>
        </is>
      </c>
      <c r="N283" s="32">
        <f>IF(M283="Underperforming",-5,IF(L283&gt;=95,15,IF(L283&gt;=90,10,IF(L283&gt;=80,5,0))))</f>
        <v/>
      </c>
      <c r="O283" s="32" t="n">
        <v>68.93000000000001</v>
      </c>
      <c r="P283" s="32" t="n">
        <v>35.34</v>
      </c>
      <c r="Q283" s="32" t="n">
        <v>1227.35</v>
      </c>
      <c r="R283" s="31" t="inlineStr">
        <is>
          <t>Near 52W High Breakout</t>
        </is>
      </c>
      <c r="S283" s="31" t="inlineStr">
        <is>
          <t>Nifty 50</t>
        </is>
      </c>
      <c r="T283" s="32" t="n">
        <v>-6.27</v>
      </c>
      <c r="U283" s="32" t="n">
        <v>-8.23</v>
      </c>
      <c r="V283" s="32" t="n">
        <v>-2.09</v>
      </c>
      <c r="W283" s="32" t="n">
        <v>13.09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20 to 40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Less than 12%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No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Less than 50%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Between 0.7 to 1.2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IF(B284=0,"",RANK(B284,$B$2:$B$370,0))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HSCL</t>
        </is>
      </c>
      <c r="D284" s="31" t="inlineStr">
        <is>
          <t>Himadri Speciality Chemical Limited</t>
        </is>
      </c>
      <c r="E284" s="31" t="inlineStr">
        <is>
          <t>chemicals</t>
        </is>
      </c>
      <c r="F284" s="31" t="inlineStr">
        <is>
          <t>chemicals</t>
        </is>
      </c>
      <c r="G284" s="31" t="inlineStr">
        <is>
          <t>largecap</t>
        </is>
      </c>
      <c r="H284" s="32" t="n">
        <v>34081.79</v>
      </c>
      <c r="I284" s="32" t="n">
        <v>679.2</v>
      </c>
      <c r="J284" s="32" t="n">
        <v>0.55</v>
      </c>
      <c r="K284" s="32" t="n">
        <v>13230116</v>
      </c>
      <c r="L284" s="31" t="n">
        <v>68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71.70999999999999</v>
      </c>
      <c r="P284" s="32" t="n">
        <v>35.28</v>
      </c>
      <c r="Q284" s="32" t="n">
        <v>526.52</v>
      </c>
      <c r="R284" s="31" t="inlineStr">
        <is>
          <t>Near 52W High Breakout</t>
        </is>
      </c>
      <c r="S284" s="31" t="inlineStr">
        <is>
          <t>Nifty 50</t>
        </is>
      </c>
      <c r="T284" s="32" t="n">
        <v>-6.27</v>
      </c>
      <c r="U284" s="32" t="n">
        <v>36.2</v>
      </c>
      <c r="V284" s="32" t="n">
        <v>45.31</v>
      </c>
      <c r="W284" s="32" t="n">
        <v>18.81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20 to 40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Negative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Blue sky scenario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Between 1.5 to 2</t>
        </is>
      </c>
      <c r="BU284" s="31">
        <f>IF(BT284="Above 2",0,IF(BT284="Between 1.5 to 2",5,IF(BT284="Less than 1.5",10,0)))</f>
        <v/>
      </c>
      <c r="BV284" s="31" t="inlineStr">
        <is>
          <t>Less than 50%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IF(B285=0,"",RANK(B285,$B$2:$B$370,0))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3" t="inlineStr">
        <is>
          <t>ENDURANCE</t>
        </is>
      </c>
      <c r="D285" s="33" t="inlineStr">
        <is>
          <t>Endurance Technologies Limited</t>
        </is>
      </c>
      <c r="E285" s="31" t="inlineStr">
        <is>
          <t>auto</t>
        </is>
      </c>
      <c r="F285" s="31" t="inlineStr">
        <is>
          <t>auto ancillaries</t>
        </is>
      </c>
      <c r="G285" s="31" t="inlineStr">
        <is>
          <t>largecap</t>
        </is>
      </c>
      <c r="H285" s="32" t="n">
        <v>37461.33</v>
      </c>
      <c r="I285" s="32" t="n">
        <v>2673.6</v>
      </c>
      <c r="J285" s="32" t="n">
        <v>0.39</v>
      </c>
      <c r="K285" s="32" t="n">
        <v>111913</v>
      </c>
      <c r="L285" s="31" t="n">
        <v>10</v>
      </c>
      <c r="M285" s="31" t="inlineStr">
        <is>
          <t>Underperforming</t>
        </is>
      </c>
      <c r="N285" s="32">
        <f>IF(M285="Underperforming",-5,IF(L285&gt;=95,15,IF(L285&gt;=90,10,IF(L285&gt;=80,5,0))))</f>
        <v/>
      </c>
      <c r="O285" s="32" t="n">
        <v>56.12</v>
      </c>
      <c r="P285" s="32" t="n">
        <v>13.82</v>
      </c>
      <c r="Q285" s="32" t="n">
        <v>2183.22</v>
      </c>
      <c r="R285" s="31" t="inlineStr">
        <is>
          <t>Earnings / Momentum Support</t>
        </is>
      </c>
      <c r="S285" s="31" t="inlineStr">
        <is>
          <t>Nifty Auto</t>
        </is>
      </c>
      <c r="T285" s="32" t="n">
        <v>10.42</v>
      </c>
      <c r="U285" s="32" t="n">
        <v>-4.02</v>
      </c>
      <c r="V285" s="32" t="n">
        <v>-13.08</v>
      </c>
      <c r="W285" s="32" t="n">
        <v>3.55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Between 12 to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IF(B286=0,"",RANK(B286,$B$2:$B$370,0))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3" t="inlineStr">
        <is>
          <t>SSWL</t>
        </is>
      </c>
      <c r="D286" s="33" t="inlineStr">
        <is>
          <t>Steel Strips Wheels Limited</t>
        </is>
      </c>
      <c r="E286" s="31" t="inlineStr">
        <is>
          <t>auto</t>
        </is>
      </c>
      <c r="F286" s="31" t="inlineStr">
        <is>
          <t>auto ancillaries</t>
        </is>
      </c>
      <c r="G286" s="31" t="inlineStr">
        <is>
          <t>smallcap</t>
        </is>
      </c>
      <c r="H286" s="32" t="n">
        <v>3607.45</v>
      </c>
      <c r="I286" s="32" t="n">
        <v>230.33</v>
      </c>
      <c r="J286" s="32" t="n">
        <v>0.36</v>
      </c>
      <c r="K286" s="32" t="n">
        <v>200432</v>
      </c>
      <c r="L286" s="31" t="n">
        <v>9</v>
      </c>
      <c r="M286" s="31" t="inlineStr">
        <is>
          <t>Underperforming</t>
        </is>
      </c>
      <c r="N286" s="32">
        <f>IF(M286="Underperforming",-5,IF(L286&gt;=95,15,IF(L286&gt;=90,10,IF(L286&gt;=80,5,0))))</f>
        <v/>
      </c>
      <c r="O286" s="32" t="n">
        <v>58.7</v>
      </c>
      <c r="P286" s="32" t="n">
        <v>8.960000000000001</v>
      </c>
      <c r="Q286" s="32" t="n">
        <v>178.73</v>
      </c>
      <c r="R286" s="31" t="inlineStr">
        <is>
          <t>Earnings / Momentum Support</t>
        </is>
      </c>
      <c r="S286" s="31" t="inlineStr">
        <is>
          <t>Nifty Auto</t>
        </is>
      </c>
      <c r="T286" s="32" t="n">
        <v>10.42</v>
      </c>
      <c r="U286" s="32" t="n">
        <v>-8.31</v>
      </c>
      <c r="V286" s="32" t="n">
        <v>-16.97</v>
      </c>
      <c r="W286" s="32" t="n">
        <v>3.33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Less than 1.5</t>
        </is>
      </c>
      <c r="BU286" s="31">
        <f>IF(BT286="Above 2",0,IF(BT286="Between 1.5 to 2",5,IF(BT286="Less than 1.5",10,0)))</f>
        <v/>
      </c>
      <c r="BV286" s="31" t="inlineStr">
        <is>
          <t>Between 50% to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IF(B287=0,"",RANK(B287,$B$2:$B$370,0))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ACMESOLAR</t>
        </is>
      </c>
      <c r="D287" s="31" t="inlineStr">
        <is>
          <t>ACME Solar Holdings Ltd</t>
        </is>
      </c>
      <c r="E287" s="31" t="inlineStr">
        <is>
          <t>realty</t>
        </is>
      </c>
      <c r="F287" s="31" t="inlineStr">
        <is>
          <t>engineering - turnkey services</t>
        </is>
      </c>
      <c r="G287" s="31" t="inlineStr">
        <is>
          <t>largecap</t>
        </is>
      </c>
      <c r="H287" s="32" t="n">
        <v>26780.77</v>
      </c>
      <c r="I287" s="32" t="n">
        <v>380.55</v>
      </c>
      <c r="J287" s="32" t="n">
        <v>0.34</v>
      </c>
      <c r="K287" s="32" t="n">
        <v>1925905</v>
      </c>
      <c r="L287" s="31" t="n">
        <v>65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72</v>
      </c>
      <c r="P287" s="32" t="n">
        <v>27.38</v>
      </c>
      <c r="Q287" s="32" t="n">
        <v>298.38</v>
      </c>
      <c r="R287" s="31" t="inlineStr">
        <is>
          <t>Near 52W High Breakout</t>
        </is>
      </c>
      <c r="S287" s="31" t="inlineStr">
        <is>
          <t>Nifty Realty</t>
        </is>
      </c>
      <c r="T287" s="32" t="n">
        <v>-14.65</v>
      </c>
      <c r="U287" s="32" t="n">
        <v>52.62</v>
      </c>
      <c r="V287" s="32" t="n">
        <v>78.81</v>
      </c>
      <c r="W287" s="32" t="n">
        <v>18.03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20 to 40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Blue sky scenario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Less than 12%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Between 50% to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More than 1.2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IF(B288=0,"",RANK(B288,$B$2:$B$370,0))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TEXINFRA</t>
        </is>
      </c>
      <c r="D288" s="31" t="inlineStr">
        <is>
          <t>Texmaco Infrastructure &amp; Holdings Limited</t>
        </is>
      </c>
      <c r="E288" s="31" t="inlineStr">
        <is>
          <t>realty</t>
        </is>
      </c>
      <c r="F288" s="31" t="inlineStr">
        <is>
          <t>construction</t>
        </is>
      </c>
      <c r="G288" s="31" t="inlineStr">
        <is>
          <t>smallcap</t>
        </is>
      </c>
      <c r="H288" s="32" t="n">
        <v>1383.85</v>
      </c>
      <c r="I288" s="32" t="n">
        <v>108.82</v>
      </c>
      <c r="J288" s="32" t="n">
        <v>0.2</v>
      </c>
      <c r="K288" s="32" t="n">
        <v>170103</v>
      </c>
      <c r="L288" s="31" t="n">
        <v>10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62.26</v>
      </c>
      <c r="P288" s="32" t="n">
        <v>20.93</v>
      </c>
      <c r="Q288" s="32" t="n">
        <v>88.95999999999999</v>
      </c>
      <c r="R288" s="31" t="inlineStr">
        <is>
          <t>Near 52W High Breakout</t>
        </is>
      </c>
      <c r="S288" s="31" t="inlineStr">
        <is>
          <t>Nifty Realty</t>
        </is>
      </c>
      <c r="T288" s="32" t="n">
        <v>-14.65</v>
      </c>
      <c r="U288" s="32" t="n">
        <v>5.01</v>
      </c>
      <c r="V288" s="32" t="n">
        <v>23.04</v>
      </c>
      <c r="W288" s="32" t="n">
        <v>3.42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Less than 12%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Negative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IF(B289=0,"",RANK(B289,$B$2:$B$370,0))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FAZE3Q</t>
        </is>
      </c>
      <c r="D289" s="31" t="inlineStr">
        <is>
          <t>Faze Three Ltd</t>
        </is>
      </c>
      <c r="E289" s="31" t="inlineStr">
        <is>
          <t>textiles</t>
        </is>
      </c>
      <c r="F289" s="31" t="inlineStr">
        <is>
          <t>textiles - processing</t>
        </is>
      </c>
      <c r="G289" s="31" t="inlineStr">
        <is>
          <t>smallcap</t>
        </is>
      </c>
      <c r="H289" s="32" t="n">
        <v>1469.48</v>
      </c>
      <c r="I289" s="32" t="n">
        <v>602.9</v>
      </c>
      <c r="J289" s="32" t="n">
        <v>-0.22</v>
      </c>
      <c r="K289" s="32" t="n">
        <v>14133</v>
      </c>
      <c r="L289" s="31" t="n">
        <v>40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62.46</v>
      </c>
      <c r="P289" s="32" t="n">
        <v>15.72</v>
      </c>
      <c r="Q289" s="32" t="n">
        <v>449.42</v>
      </c>
      <c r="R289" s="31" t="inlineStr">
        <is>
          <t>Earnings / Momentum Support</t>
        </is>
      </c>
      <c r="S289" s="31" t="inlineStr">
        <is>
          <t>Nifty 50</t>
        </is>
      </c>
      <c r="T289" s="32" t="n">
        <v>-6.27</v>
      </c>
      <c r="U289" s="32" t="n">
        <v>0.08</v>
      </c>
      <c r="V289" s="32" t="n">
        <v>6.77</v>
      </c>
      <c r="W289" s="32" t="n">
        <v>11.03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Between 12 to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Yes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IF(B290=0,"",RANK(B290,$B$2:$B$370,0))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MANGLMCEM</t>
        </is>
      </c>
      <c r="D290" s="31" t="inlineStr">
        <is>
          <t>Mangalam Cement Limited</t>
        </is>
      </c>
      <c r="E290" s="31" t="inlineStr">
        <is>
          <t>building materials</t>
        </is>
      </c>
      <c r="F290" s="31" t="inlineStr">
        <is>
          <t>cement - north india</t>
        </is>
      </c>
      <c r="G290" s="31" t="inlineStr">
        <is>
          <t>smallcap</t>
        </is>
      </c>
      <c r="H290" s="32" t="n">
        <v>2508.3</v>
      </c>
      <c r="I290" s="32" t="n">
        <v>909.95</v>
      </c>
      <c r="J290" s="32" t="n">
        <v>-0.25</v>
      </c>
      <c r="K290" s="32" t="n">
        <v>20075</v>
      </c>
      <c r="L290" s="31" t="n">
        <v>23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59.38</v>
      </c>
      <c r="P290" s="32" t="n">
        <v>18.26</v>
      </c>
      <c r="Q290" s="32" t="n">
        <v>760.13</v>
      </c>
      <c r="R290" s="31" t="inlineStr">
        <is>
          <t>Near 52W High Breakout</t>
        </is>
      </c>
      <c r="S290" s="31" t="inlineStr">
        <is>
          <t>Nifty Infra</t>
        </is>
      </c>
      <c r="T290" s="32" t="n">
        <v>-0.44</v>
      </c>
      <c r="U290" s="32" t="n">
        <v>22.29</v>
      </c>
      <c r="V290" s="32" t="n">
        <v>22.83</v>
      </c>
      <c r="W290" s="32" t="n">
        <v>6.93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Yes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Less than 50%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Between 0.7 to 1.2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IF(B291=0,"",RANK(B291,$B$2:$B$370,0))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3" t="inlineStr">
        <is>
          <t>NCLIND</t>
        </is>
      </c>
      <c r="D291" s="33" t="inlineStr">
        <is>
          <t>Ncl Industries Limited</t>
        </is>
      </c>
      <c r="E291" s="31" t="inlineStr">
        <is>
          <t>building materials</t>
        </is>
      </c>
      <c r="F291" s="31" t="inlineStr">
        <is>
          <t>cement - south india</t>
        </is>
      </c>
      <c r="G291" s="31" t="inlineStr">
        <is>
          <t>smallcap</t>
        </is>
      </c>
      <c r="H291" s="32" t="n">
        <v>878.42</v>
      </c>
      <c r="I291" s="32" t="n">
        <v>192.53</v>
      </c>
      <c r="J291" s="32" t="n">
        <v>-0.86</v>
      </c>
      <c r="K291" s="32" t="n">
        <v>25703</v>
      </c>
      <c r="L291" s="31" t="n">
        <v>2</v>
      </c>
      <c r="M291" s="31" t="inlineStr">
        <is>
          <t>Underperforming</t>
        </is>
      </c>
      <c r="N291" s="32">
        <f>IF(M291="Underperforming",-5,IF(L291&gt;=95,15,IF(L291&gt;=90,10,IF(L291&gt;=80,5,0))))</f>
        <v/>
      </c>
      <c r="O291" s="32" t="n">
        <v>55.89</v>
      </c>
      <c r="P291" s="32" t="n">
        <v>16.93</v>
      </c>
      <c r="Q291" s="32" t="n">
        <v>156.08</v>
      </c>
      <c r="R291" s="31" t="inlineStr">
        <is>
          <t>Earnings / Momentum Support</t>
        </is>
      </c>
      <c r="S291" s="31" t="inlineStr">
        <is>
          <t>Nifty Infra</t>
        </is>
      </c>
      <c r="T291" s="32" t="n">
        <v>-0.44</v>
      </c>
      <c r="U291" s="32" t="n">
        <v>-15.88</v>
      </c>
      <c r="V291" s="32" t="n">
        <v>-15.51</v>
      </c>
      <c r="W291" s="32" t="n">
        <v>0.79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Headwind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Less than 1.5</t>
        </is>
      </c>
      <c r="BU291" s="31">
        <f>IF(BT291="Above 2",0,IF(BT291="Between 1.5 to 2",5,IF(BT291="Less than 1.5",10,0)))</f>
        <v/>
      </c>
      <c r="BV291" s="31" t="inlineStr">
        <is>
          <t>Between 50% to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IF(B292=0,"",RANK(B292,$B$2:$B$370,0))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3" t="inlineStr">
        <is>
          <t>JASH</t>
        </is>
      </c>
      <c r="D292" s="33" t="inlineStr">
        <is>
          <t>Jash Engineering Ltd</t>
        </is>
      </c>
      <c r="E292" s="31" t="inlineStr">
        <is>
          <t>industrials</t>
        </is>
      </c>
      <c r="F292" s="31" t="inlineStr">
        <is>
          <t>engineering</t>
        </is>
      </c>
      <c r="G292" s="31" t="inlineStr">
        <is>
          <t>smallcap</t>
        </is>
      </c>
      <c r="H292" s="32" t="n">
        <v>3266.17</v>
      </c>
      <c r="I292" s="32" t="n">
        <v>507.3</v>
      </c>
      <c r="J292" s="32" t="n">
        <v>-1.85</v>
      </c>
      <c r="K292" s="32" t="n">
        <v>1157968</v>
      </c>
      <c r="L292" s="31" t="n">
        <v>22</v>
      </c>
      <c r="M292" s="31" t="inlineStr">
        <is>
          <t>Underperforming</t>
        </is>
      </c>
      <c r="N292" s="32">
        <f>IF(M292="Underperforming",-5,IF(L292&gt;=95,15,IF(L292&gt;=90,10,IF(L292&gt;=80,5,0))))</f>
        <v/>
      </c>
      <c r="O292" s="32" t="n">
        <v>61.55</v>
      </c>
      <c r="P292" s="32" t="n">
        <v>15.87</v>
      </c>
      <c r="Q292" s="32" t="n">
        <v>417.62</v>
      </c>
      <c r="R292" s="31" t="inlineStr">
        <is>
          <t>Earnings / Momentum Support</t>
        </is>
      </c>
      <c r="S292" s="31" t="inlineStr">
        <is>
          <t>Nifty 50</t>
        </is>
      </c>
      <c r="T292" s="32" t="n">
        <v>-6.27</v>
      </c>
      <c r="U292" s="32" t="n">
        <v>-12.24</v>
      </c>
      <c r="V292" s="32" t="n">
        <v>-6.38</v>
      </c>
      <c r="W292" s="32" t="n">
        <v>6.83</v>
      </c>
      <c r="X292" s="31" t="inlineStr">
        <is>
          <t>Cyclical in an Upturn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0 to 20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Less than 1.5</t>
        </is>
      </c>
      <c r="BU292" s="31">
        <f>IF(BT292="Above 2",0,IF(BT292="Between 1.5 to 2",5,IF(BT292="Less than 1.5",10,0)))</f>
        <v/>
      </c>
      <c r="BV292" s="31" t="inlineStr">
        <is>
          <t>Between 50% to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IF(B293=0,"",RANK(B293,$B$2:$B$370,0))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SPECIALITY</t>
        </is>
      </c>
      <c r="D293" s="31" t="inlineStr">
        <is>
          <t>Speciality Restaurants Limited</t>
        </is>
      </c>
      <c r="E293" s="31" t="inlineStr">
        <is>
          <t>services</t>
        </is>
      </c>
      <c r="F293" s="31" t="inlineStr">
        <is>
          <t>hotels</t>
        </is>
      </c>
      <c r="G293" s="31" t="inlineStr">
        <is>
          <t>smallcap</t>
        </is>
      </c>
      <c r="H293" s="32" t="n">
        <v>643.03</v>
      </c>
      <c r="I293" s="32" t="n">
        <v>126.81</v>
      </c>
      <c r="J293" s="32" t="n">
        <v>-4.88</v>
      </c>
      <c r="K293" s="32" t="n">
        <v>65202</v>
      </c>
      <c r="L293" s="31" t="n">
        <v>27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63.08</v>
      </c>
      <c r="P293" s="32" t="n">
        <v>17.78</v>
      </c>
      <c r="Q293" s="32" t="n">
        <v>92.34999999999999</v>
      </c>
      <c r="R293" s="31" t="inlineStr">
        <is>
          <t>Earnings / Momentum Support</t>
        </is>
      </c>
      <c r="S293" s="31" t="inlineStr">
        <is>
          <t>Nifty 50</t>
        </is>
      </c>
      <c r="T293" s="32" t="n">
        <v>-6.27</v>
      </c>
      <c r="U293" s="32" t="n">
        <v>1.56</v>
      </c>
      <c r="V293" s="32" t="n">
        <v>8.35</v>
      </c>
      <c r="W293" s="32" t="n">
        <v>8.289999999999999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0 to 20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Less than 12%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IF(B294=0,"",RANK(B294,$B$2:$B$370,0))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PRICOLLTD</t>
        </is>
      </c>
      <c r="D294" s="31" t="inlineStr">
        <is>
          <t>Pricol Ltd.</t>
        </is>
      </c>
      <c r="E294" s="31" t="inlineStr">
        <is>
          <t>auto</t>
        </is>
      </c>
      <c r="F294" s="31" t="inlineStr">
        <is>
          <t>auto ancillaries</t>
        </is>
      </c>
      <c r="G294" s="31" t="inlineStr">
        <is>
          <t>midcap</t>
        </is>
      </c>
      <c r="H294" s="32" t="n">
        <v>7108.74</v>
      </c>
      <c r="I294" s="32" t="n">
        <v>602.3</v>
      </c>
      <c r="J294" s="32" t="n">
        <v>3.27</v>
      </c>
      <c r="K294" s="32" t="n">
        <v>1905484</v>
      </c>
      <c r="L294" s="31" t="n">
        <v>35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55.43</v>
      </c>
      <c r="P294" s="32" t="n">
        <v>16.32</v>
      </c>
      <c r="Q294" s="32" t="n">
        <v>483.67</v>
      </c>
      <c r="R294" s="31" t="inlineStr">
        <is>
          <t>Earnings / Momentum Support</t>
        </is>
      </c>
      <c r="S294" s="31" t="inlineStr">
        <is>
          <t>Nifty Auto</t>
        </is>
      </c>
      <c r="T294" s="32" t="n">
        <v>10.42</v>
      </c>
      <c r="U294" s="32" t="n">
        <v>31.74</v>
      </c>
      <c r="V294" s="32" t="n">
        <v>19.3</v>
      </c>
      <c r="W294" s="32" t="n">
        <v>9.960000000000001</v>
      </c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Oligopoly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Shallow Cyclical (2 to 3 Years Growth)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Yes</t>
        </is>
      </c>
      <c r="AQ294" s="31">
        <f>IF(AP294="Yes",10,0)</f>
        <v/>
      </c>
      <c r="AR294" s="31" t="inlineStr">
        <is>
          <t>Fully One Time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Allocated capital in Non-core Areas</t>
        </is>
      </c>
      <c r="AU294" s="31">
        <f>IF(AT294="Good",10,0)</f>
        <v/>
      </c>
      <c r="AV294" s="31" t="inlineStr">
        <is>
          <t>Yes only for next 1 to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Blue sky scenario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Between 12 to 20%</t>
        </is>
      </c>
      <c r="BO294" s="31">
        <f>IF(BN294="More than 20%",10,IF(BN294="Between 12 to 20%",5,IF(BN294="Less than 12%",0,0)))</f>
        <v/>
      </c>
      <c r="BP294" s="31" t="inlineStr">
        <is>
          <t>Yes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Between 1.5 to 2</t>
        </is>
      </c>
      <c r="BU294" s="31">
        <f>IF(BT294="Above 2",0,IF(BT294="Between 1.5 to 2",5,IF(BT294="Less than 1.5",10,0)))</f>
        <v/>
      </c>
      <c r="BV294" s="31" t="inlineStr">
        <is>
          <t>Between 50% to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IF(B295=0,"",RANK(B295,$B$2:$B$370,0))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KIMS</t>
        </is>
      </c>
      <c r="D295" s="31" t="inlineStr">
        <is>
          <t>Krishna Institute of Medical Sciences Ltd</t>
        </is>
      </c>
      <c r="E295" s="31" t="inlineStr">
        <is>
          <t>healthcare</t>
        </is>
      </c>
      <c r="F295" s="31" t="inlineStr">
        <is>
          <t>healthcare</t>
        </is>
      </c>
      <c r="G295" s="31" t="inlineStr">
        <is>
          <t>largecap</t>
        </is>
      </c>
      <c r="H295" s="32" t="n">
        <v>32229.19</v>
      </c>
      <c r="I295" s="32" t="n">
        <v>814.6</v>
      </c>
      <c r="J295" s="32" t="n">
        <v>1.14</v>
      </c>
      <c r="K295" s="32" t="n">
        <v>1245706</v>
      </c>
      <c r="L295" s="31" t="n">
        <v>36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66.53</v>
      </c>
      <c r="P295" s="32" t="n">
        <v>29.3</v>
      </c>
      <c r="Q295" s="32" t="n">
        <v>662.85</v>
      </c>
      <c r="R295" s="31" t="inlineStr">
        <is>
          <t>Near 52W High Breakout</t>
        </is>
      </c>
      <c r="S295" s="31" t="inlineStr">
        <is>
          <t>Nifty Pharma</t>
        </is>
      </c>
      <c r="T295" s="32" t="n">
        <v>13.14</v>
      </c>
      <c r="U295" s="32" t="n">
        <v>18.74</v>
      </c>
      <c r="V295" s="32" t="n">
        <v>4.95</v>
      </c>
      <c r="W295" s="32" t="n">
        <v>10.28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Yes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Yes</t>
        </is>
      </c>
      <c r="AQ295" s="31">
        <f>IF(AP295="Yes",10,0)</f>
        <v/>
      </c>
      <c r="AR295" s="31" t="inlineStr">
        <is>
          <t>Higher Annuity, Lower One Time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20 to 40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Blue sky scenario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Less than 12%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Between 50% to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More than 1.2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IF(B296=0,"",RANK(B296,$B$2:$B$370,0))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EIFFL</t>
        </is>
      </c>
      <c r="D296" s="31" t="inlineStr">
        <is>
          <t>Euro India Fresh Foods Ltd</t>
        </is>
      </c>
      <c r="E296" s="31" t="inlineStr">
        <is>
          <t>fmcg</t>
        </is>
      </c>
      <c r="F296" s="31" t="inlineStr">
        <is>
          <t>food - processing - indian</t>
        </is>
      </c>
      <c r="G296" s="31" t="inlineStr">
        <is>
          <t>smallcap</t>
        </is>
      </c>
      <c r="H296" s="32" t="n">
        <v>796.97</v>
      </c>
      <c r="I296" s="32" t="n">
        <v>321</v>
      </c>
      <c r="J296" s="32" t="n">
        <v>-0.11</v>
      </c>
      <c r="K296" s="32" t="n">
        <v>6866</v>
      </c>
      <c r="L296" s="31" t="n">
        <v>59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68.06</v>
      </c>
      <c r="P296" s="32" t="n">
        <v>19.83</v>
      </c>
      <c r="Q296" s="32" t="n">
        <v>256.38</v>
      </c>
      <c r="R296" s="31" t="inlineStr">
        <is>
          <t>Earnings / Momentum Support</t>
        </is>
      </c>
      <c r="S296" s="31" t="inlineStr">
        <is>
          <t>Nifty FMCG</t>
        </is>
      </c>
      <c r="T296" s="32" t="n">
        <v>-10.85</v>
      </c>
      <c r="U296" s="32" t="n">
        <v>28.22</v>
      </c>
      <c r="V296" s="32" t="n">
        <v>43.83</v>
      </c>
      <c r="W296" s="32" t="n">
        <v>15.8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B2C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Annuity, Lower One Time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Between 50% to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Between 0.7 to 1.2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IF(B297=0,"",RANK(B297,$B$2:$B$370,0))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IRISDOREME</t>
        </is>
      </c>
      <c r="D297" s="31" t="inlineStr">
        <is>
          <t>Iris Clothings Ltd</t>
        </is>
      </c>
      <c r="E297" s="31" t="inlineStr">
        <is>
          <t>consumer discretionary</t>
        </is>
      </c>
      <c r="F297" s="31" t="inlineStr">
        <is>
          <t>textiles - products</t>
        </is>
      </c>
      <c r="G297" s="31" t="inlineStr">
        <is>
          <t>smallcap</t>
        </is>
      </c>
      <c r="H297" s="32" t="n">
        <v>750.67</v>
      </c>
      <c r="I297" s="32" t="n">
        <v>41.67</v>
      </c>
      <c r="J297" s="32" t="n">
        <v>5.65</v>
      </c>
      <c r="K297" s="32" t="n">
        <v>2524949</v>
      </c>
      <c r="L297" s="31" t="n">
        <v>42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66.8</v>
      </c>
      <c r="P297" s="32" t="n">
        <v>18.57</v>
      </c>
      <c r="Q297" s="32" t="n">
        <v>30.21</v>
      </c>
      <c r="R297" s="31" t="inlineStr">
        <is>
          <t>Volume Spike &amp; Near 52W High Breakout</t>
        </is>
      </c>
      <c r="S297" s="31" t="inlineStr">
        <is>
          <t>Nifty 50</t>
        </is>
      </c>
      <c r="T297" s="32" t="n">
        <v>-6.27</v>
      </c>
      <c r="U297" s="32" t="n">
        <v>18.79</v>
      </c>
      <c r="V297" s="32" t="n">
        <v>26.73</v>
      </c>
      <c r="W297" s="32" t="n">
        <v>11.54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Yes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Yes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Negative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IF(B298=0,"",RANK(B298,$B$2:$B$370,0))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GALAPREC</t>
        </is>
      </c>
      <c r="D298" s="31" t="inlineStr">
        <is>
          <t>Gala Precision Engineering Ltd</t>
        </is>
      </c>
      <c r="E298" s="31" t="inlineStr">
        <is>
          <t>industrials</t>
        </is>
      </c>
      <c r="F298" s="31" t="inlineStr">
        <is>
          <t>fasteners</t>
        </is>
      </c>
      <c r="G298" s="31" t="inlineStr">
        <is>
          <t>smallcap</t>
        </is>
      </c>
      <c r="H298" s="32" t="n">
        <v>1359.56</v>
      </c>
      <c r="I298" s="32" t="n">
        <v>1107.05</v>
      </c>
      <c r="J298" s="32" t="n">
        <v>3.82</v>
      </c>
      <c r="K298" s="32" t="n">
        <v>94613</v>
      </c>
      <c r="L298" s="31" t="n">
        <v>64</v>
      </c>
      <c r="M298" s="31" t="inlineStr">
        <is>
          <t>Outperforming</t>
        </is>
      </c>
      <c r="N298" s="32">
        <f>IF(M298="Underperforming",-5,IF(L298&gt;=95,15,IF(L298&gt;=90,10,IF(L298&gt;=80,5,0))))</f>
        <v/>
      </c>
      <c r="O298" s="32" t="n">
        <v>76.7</v>
      </c>
      <c r="P298" s="32" t="n">
        <v>32.05</v>
      </c>
      <c r="Q298" s="32" t="n">
        <v>852.05</v>
      </c>
      <c r="R298" s="31" t="inlineStr">
        <is>
          <t>Near 52W High Breakout</t>
        </is>
      </c>
      <c r="S298" s="31" t="inlineStr">
        <is>
          <t>Nifty 50</t>
        </is>
      </c>
      <c r="T298" s="32" t="n">
        <v>-6.27</v>
      </c>
      <c r="U298" s="32" t="n">
        <v>30.12</v>
      </c>
      <c r="V298" s="32" t="n">
        <v>38.82</v>
      </c>
      <c r="W298" s="32" t="n">
        <v>17.58</v>
      </c>
      <c r="X298" s="31" t="inlineStr">
        <is>
          <t>Cyclical in an Upturn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20 to 40</t>
        </is>
      </c>
      <c r="AY298" s="31">
        <f>IF(AX298="Above 40",20,IF(AX298="20 to 40",10,IF(AX298="0 to 20",-5,0)))</f>
        <v/>
      </c>
      <c r="AZ298" s="31" t="inlineStr">
        <is>
          <t>Above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Less than 12%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Less than 50%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IF(B299=0,"",RANK(B299,$B$2:$B$370,0))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TITAN</t>
        </is>
      </c>
      <c r="D299" s="31" t="inlineStr">
        <is>
          <t>Titan Company Limited</t>
        </is>
      </c>
      <c r="E299" s="31" t="inlineStr">
        <is>
          <t>consumer discretionary</t>
        </is>
      </c>
      <c r="F299" s="31" t="inlineStr">
        <is>
          <t>diamond cutting / jewellery</t>
        </is>
      </c>
      <c r="G299" s="31" t="inlineStr">
        <is>
          <t>largecap</t>
        </is>
      </c>
      <c r="H299" s="32" t="n">
        <v>379723.9</v>
      </c>
      <c r="I299" s="32" t="n">
        <v>4404</v>
      </c>
      <c r="J299" s="32" t="n">
        <v>2.96</v>
      </c>
      <c r="K299" s="32" t="n">
        <v>1243590</v>
      </c>
      <c r="L299" s="31" t="n">
        <v>17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57.14</v>
      </c>
      <c r="P299" s="32" t="n">
        <v>13.48</v>
      </c>
      <c r="Q299" s="32" t="n">
        <v>3854.97</v>
      </c>
      <c r="R299" s="31" t="inlineStr">
        <is>
          <t>Near 52W High Breakout</t>
        </is>
      </c>
      <c r="S299" s="31" t="inlineStr">
        <is>
          <t>Nifty 50</t>
        </is>
      </c>
      <c r="T299" s="32" t="n">
        <v>-6.27</v>
      </c>
      <c r="U299" s="32" t="n">
        <v>19.81</v>
      </c>
      <c r="V299" s="32" t="n">
        <v>27.82</v>
      </c>
      <c r="W299" s="32" t="n">
        <v>5.47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Yes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Blue sky scenario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Yes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Between 50% to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More than 1.2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IF(B300=0,"",RANK(B300,$B$2:$B$370,0))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3" t="inlineStr">
        <is>
          <t>SUZLON</t>
        </is>
      </c>
      <c r="D300" s="33" t="inlineStr">
        <is>
          <t>Suzlon Energy Limited</t>
        </is>
      </c>
      <c r="E300" s="31" t="inlineStr">
        <is>
          <t>industrials</t>
        </is>
      </c>
      <c r="F300" s="31" t="inlineStr">
        <is>
          <t>electric equipment</t>
        </is>
      </c>
      <c r="G300" s="31" t="inlineStr">
        <is>
          <t>largecap</t>
        </is>
      </c>
      <c r="H300" s="32" t="n">
        <v>78461.7</v>
      </c>
      <c r="I300" s="32" t="n">
        <v>58.9</v>
      </c>
      <c r="J300" s="32" t="n">
        <v>2.95</v>
      </c>
      <c r="K300" s="32" t="n">
        <v>120994413</v>
      </c>
      <c r="L300" s="31" t="n">
        <v>32</v>
      </c>
      <c r="M300" s="31" t="inlineStr">
        <is>
          <t>Underperforming</t>
        </is>
      </c>
      <c r="N300" s="32">
        <f>IF(M300="Underperforming",-5,IF(L300&gt;=95,15,IF(L300&gt;=90,10,IF(L300&gt;=80,5,0))))</f>
        <v/>
      </c>
      <c r="O300" s="32" t="n">
        <v>61.95</v>
      </c>
      <c r="P300" s="32" t="n">
        <v>26.95</v>
      </c>
      <c r="Q300" s="32" t="n">
        <v>47.72</v>
      </c>
      <c r="R300" s="31" t="inlineStr">
        <is>
          <t>Earnings / Momentum Support</t>
        </is>
      </c>
      <c r="S300" s="31" t="inlineStr">
        <is>
          <t>Nifty 50</t>
        </is>
      </c>
      <c r="T300" s="32" t="n">
        <v>-6.27</v>
      </c>
      <c r="U300" s="32" t="n">
        <v>-10.12</v>
      </c>
      <c r="V300" s="32" t="n">
        <v>-4.11</v>
      </c>
      <c r="W300" s="32" t="n">
        <v>9.35</v>
      </c>
      <c r="X300" s="31" t="inlineStr">
        <is>
          <t>Cyclical in an Upturn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20 to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Less than 12%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Less than 50%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IF(B301=0,"",RANK(B301,$B$2:$B$370,0))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USHAMART</t>
        </is>
      </c>
      <c r="D301" s="31" t="inlineStr">
        <is>
          <t>Usha Martin Limited</t>
        </is>
      </c>
      <c r="E301" s="31" t="inlineStr">
        <is>
          <t>metals &amp; mining</t>
        </is>
      </c>
      <c r="F301" s="31" t="inlineStr">
        <is>
          <t>steel - medium / small</t>
        </is>
      </c>
      <c r="G301" s="31" t="inlineStr">
        <is>
          <t>midcap</t>
        </is>
      </c>
      <c r="H301" s="32" t="n">
        <v>14760.18</v>
      </c>
      <c r="I301" s="32" t="n">
        <v>496.9</v>
      </c>
      <c r="J301" s="32" t="n">
        <v>2.59</v>
      </c>
      <c r="K301" s="32" t="n">
        <v>1242573</v>
      </c>
      <c r="L301" s="31" t="n">
        <v>43</v>
      </c>
      <c r="M301" s="31" t="inlineStr">
        <is>
          <t>Outperforming</t>
        </is>
      </c>
      <c r="N301" s="32">
        <f>IF(M301="Underperforming",-5,IF(L301&gt;=95,15,IF(L301&gt;=90,10,IF(L301&gt;=80,5,0))))</f>
        <v/>
      </c>
      <c r="O301" s="32" t="n">
        <v>62.97</v>
      </c>
      <c r="P301" s="32" t="n">
        <v>38.44</v>
      </c>
      <c r="Q301" s="32" t="n">
        <v>416.13</v>
      </c>
      <c r="R301" s="31" t="inlineStr">
        <is>
          <t>Near 52W High Breakout</t>
        </is>
      </c>
      <c r="S301" s="31" t="inlineStr">
        <is>
          <t>Nifty Metal</t>
        </is>
      </c>
      <c r="T301" s="32" t="n">
        <v>30.67</v>
      </c>
      <c r="U301" s="32" t="n">
        <v>35.26</v>
      </c>
      <c r="V301" s="32" t="n">
        <v>3.51</v>
      </c>
      <c r="W301" s="32" t="n">
        <v>11.68</v>
      </c>
      <c r="X301" s="31" t="inlineStr">
        <is>
          <t>Cyclical in an Upturn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Cyclical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Volatile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20 to 40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Negative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Blue sky scenario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More than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Less than 1.5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IF(B302=0,"",RANK(B302,$B$2:$B$370,0))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GANDHAR</t>
        </is>
      </c>
      <c r="D302" s="33" t="inlineStr">
        <is>
          <t>Gandhar Oil Refinery (India) Ltd</t>
        </is>
      </c>
      <c r="E302" s="31" t="inlineStr">
        <is>
          <t>energy</t>
        </is>
      </c>
      <c r="F302" s="31" t="inlineStr">
        <is>
          <t>refineries</t>
        </is>
      </c>
      <c r="G302" s="31" t="inlineStr">
        <is>
          <t>smallcap</t>
        </is>
      </c>
      <c r="H302" s="32" t="n">
        <v>1753.61</v>
      </c>
      <c r="I302" s="32" t="n">
        <v>183.45</v>
      </c>
      <c r="J302" s="32" t="n">
        <v>2.39</v>
      </c>
      <c r="K302" s="32" t="n">
        <v>600034</v>
      </c>
      <c r="L302" s="31" t="n">
        <v>47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65.70999999999999</v>
      </c>
      <c r="P302" s="32" t="n">
        <v>34.28</v>
      </c>
      <c r="Q302" s="32" t="n">
        <v>138.44</v>
      </c>
      <c r="R302" s="31" t="inlineStr">
        <is>
          <t>Near 52W High Breakout</t>
        </is>
      </c>
      <c r="S302" s="31" t="inlineStr">
        <is>
          <t>Nifty Energy</t>
        </is>
      </c>
      <c r="T302" s="32" t="n">
        <v>8.85</v>
      </c>
      <c r="U302" s="32" t="n">
        <v>5.9</v>
      </c>
      <c r="V302" s="32" t="n">
        <v>-2.71</v>
      </c>
      <c r="W302" s="32" t="n">
        <v>12.43</v>
      </c>
      <c r="X302" s="31" t="inlineStr">
        <is>
          <t>Cyclical in an Upturn</t>
        </is>
      </c>
      <c r="Y302" s="31">
        <f>IF(X302="Growing Industry",10,IF(X302="Cyclical in an Upturn",5,0))</f>
        <v/>
      </c>
      <c r="Z302" s="31" t="inlineStr">
        <is>
          <t>Oligopoly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Yes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Cyclical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Volatile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Yes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20 to 40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Between 50% to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IF(B303=0,"",RANK(B303,$B$2:$B$370,0))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ONMOBILE</t>
        </is>
      </c>
      <c r="D303" s="31" t="inlineStr">
        <is>
          <t>Onmobile Global Limited</t>
        </is>
      </c>
      <c r="E303" s="31" t="inlineStr">
        <is>
          <t>telecom-service</t>
        </is>
      </c>
      <c r="F303" s="31" t="inlineStr">
        <is>
          <t>telecommunications - service provider</t>
        </is>
      </c>
      <c r="G303" s="31" t="inlineStr">
        <is>
          <t>smallcap</t>
        </is>
      </c>
      <c r="H303" s="32" t="n">
        <v>640.27</v>
      </c>
      <c r="I303" s="32" t="n">
        <v>61.45</v>
      </c>
      <c r="J303" s="32" t="n">
        <v>2.04</v>
      </c>
      <c r="K303" s="32" t="n">
        <v>551227</v>
      </c>
      <c r="L303" s="31" t="n">
        <v>52</v>
      </c>
      <c r="M303" s="31" t="inlineStr">
        <is>
          <t>Outperforming</t>
        </is>
      </c>
      <c r="N303" s="32">
        <f>IF(M303="Underperforming",-5,IF(L303&gt;=95,15,IF(L303&gt;=90,10,IF(L303&gt;=80,5,0))))</f>
        <v/>
      </c>
      <c r="O303" s="32" t="n">
        <v>62.25</v>
      </c>
      <c r="P303" s="32" t="n">
        <v>19.13</v>
      </c>
      <c r="Q303" s="32" t="n">
        <v>45.72</v>
      </c>
      <c r="R303" s="31" t="inlineStr">
        <is>
          <t>Earnings / Momentum Support</t>
        </is>
      </c>
      <c r="S303" s="31" t="inlineStr">
        <is>
          <t>Nifty 50</t>
        </is>
      </c>
      <c r="T303" s="32" t="n">
        <v>-6.27</v>
      </c>
      <c r="U303" s="32" t="n">
        <v>15.38</v>
      </c>
      <c r="V303" s="32" t="n">
        <v>23.09</v>
      </c>
      <c r="W303" s="32" t="n">
        <v>13.92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Oligopoly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Yes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Less than 1.5</t>
        </is>
      </c>
      <c r="BU303" s="31">
        <f>IF(BT303="Above 2",0,IF(BT303="Between 1.5 to 2",5,IF(BT303="Less than 1.5",10,0)))</f>
        <v/>
      </c>
      <c r="BV303" s="31" t="inlineStr">
        <is>
          <t>Negative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IF(B304=0,"",RANK(B304,$B$2:$B$370,0))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TVSSCS</t>
        </is>
      </c>
      <c r="D304" s="31" t="inlineStr">
        <is>
          <t>TVS Supply Chain Solutions Ltd</t>
        </is>
      </c>
      <c r="E304" s="31" t="inlineStr">
        <is>
          <t>transportation</t>
        </is>
      </c>
      <c r="F304" s="31" t="inlineStr">
        <is>
          <t>miscellaneous</t>
        </is>
      </c>
      <c r="G304" s="31" t="inlineStr">
        <is>
          <t>midcap</t>
        </is>
      </c>
      <c r="H304" s="32" t="n">
        <v>5815.19</v>
      </c>
      <c r="I304" s="32" t="n">
        <v>134.46</v>
      </c>
      <c r="J304" s="32" t="n">
        <v>2.01</v>
      </c>
      <c r="K304" s="32" t="n">
        <v>488811</v>
      </c>
      <c r="L304" s="31" t="n">
        <v>29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58.42</v>
      </c>
      <c r="P304" s="32" t="n">
        <v>13.05</v>
      </c>
      <c r="Q304" s="32" t="n">
        <v>106.87</v>
      </c>
      <c r="R304" s="31" t="inlineStr">
        <is>
          <t>Near 52W High Breakout</t>
        </is>
      </c>
      <c r="S304" s="31" t="inlineStr">
        <is>
          <t>Nifty 50</t>
        </is>
      </c>
      <c r="T304" s="32" t="n">
        <v>-6.27</v>
      </c>
      <c r="U304" s="32" t="n">
        <v>1.91</v>
      </c>
      <c r="V304" s="32" t="n">
        <v>8.720000000000001</v>
      </c>
      <c r="W304" s="32" t="n">
        <v>8.67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Yes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More than 1.2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IF(B305=0,"",RANK(B305,$B$2:$B$370,0))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PRESTIGE</t>
        </is>
      </c>
      <c r="D305" s="31" t="inlineStr">
        <is>
          <t>Prestige Estates Projects Limited</t>
        </is>
      </c>
      <c r="E305" s="31" t="inlineStr">
        <is>
          <t>realty</t>
        </is>
      </c>
      <c r="F305" s="31" t="inlineStr">
        <is>
          <t>construction</t>
        </is>
      </c>
      <c r="G305" s="31" t="inlineStr">
        <is>
          <t>largecap</t>
        </is>
      </c>
      <c r="H305" s="32" t="n">
        <v>66306.61</v>
      </c>
      <c r="I305" s="32" t="n">
        <v>1564.6</v>
      </c>
      <c r="J305" s="32" t="n">
        <v>1.64</v>
      </c>
      <c r="K305" s="32" t="n">
        <v>645308</v>
      </c>
      <c r="L305" s="31" t="n">
        <v>30</v>
      </c>
      <c r="M305" s="31" t="inlineStr">
        <is>
          <t>Outperforming</t>
        </is>
      </c>
      <c r="N305" s="32">
        <f>IF(M305="Underperforming",-5,IF(L305&gt;=95,15,IF(L305&gt;=90,10,IF(L305&gt;=80,5,0))))</f>
        <v/>
      </c>
      <c r="O305" s="32" t="n">
        <v>58.54</v>
      </c>
      <c r="P305" s="32" t="n">
        <v>13.01</v>
      </c>
      <c r="Q305" s="32" t="n">
        <v>1247.3</v>
      </c>
      <c r="R305" s="31" t="inlineStr">
        <is>
          <t>Earnings / Momentum Support</t>
        </is>
      </c>
      <c r="S305" s="31" t="inlineStr">
        <is>
          <t>Nifty Realty</t>
        </is>
      </c>
      <c r="T305" s="32" t="n">
        <v>-14.65</v>
      </c>
      <c r="U305" s="32" t="n">
        <v>-2.89</v>
      </c>
      <c r="V305" s="32" t="n">
        <v>13.78</v>
      </c>
      <c r="W305" s="32" t="n">
        <v>8.710000000000001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0 to 20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Yes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Between 0.7 to 1.2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IF(B306=0,"",RANK(B306,$B$2:$B$370,0))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3" t="inlineStr">
        <is>
          <t>INDHOTEL</t>
        </is>
      </c>
      <c r="D306" s="33" t="inlineStr">
        <is>
          <t>The Indian Hotels Company Limited</t>
        </is>
      </c>
      <c r="E306" s="31" t="inlineStr">
        <is>
          <t>services</t>
        </is>
      </c>
      <c r="F306" s="31" t="inlineStr">
        <is>
          <t>hotels</t>
        </is>
      </c>
      <c r="G306" s="31" t="inlineStr">
        <is>
          <t>largecap</t>
        </is>
      </c>
      <c r="H306" s="32" t="n">
        <v>100643.78</v>
      </c>
      <c r="I306" s="32" t="n">
        <v>713.95</v>
      </c>
      <c r="J306" s="32" t="n">
        <v>0.98</v>
      </c>
      <c r="K306" s="32" t="n">
        <v>5245750</v>
      </c>
      <c r="L306" s="31" t="n">
        <v>14</v>
      </c>
      <c r="M306" s="31" t="inlineStr">
        <is>
          <t>Underperforming</t>
        </is>
      </c>
      <c r="N306" s="32">
        <f>IF(M306="Underperforming",-5,IF(L306&gt;=95,15,IF(L306&gt;=90,10,IF(L306&gt;=80,5,0))))</f>
        <v/>
      </c>
      <c r="O306" s="32" t="n">
        <v>58.57</v>
      </c>
      <c r="P306" s="32" t="n">
        <v>14.15</v>
      </c>
      <c r="Q306" s="32" t="n">
        <v>612.1900000000001</v>
      </c>
      <c r="R306" s="31" t="inlineStr">
        <is>
          <t>Earnings / Momentum Support</t>
        </is>
      </c>
      <c r="S306" s="31" t="inlineStr">
        <is>
          <t>Nifty 500</t>
        </is>
      </c>
      <c r="T306" s="32" t="n">
        <v>-2.41</v>
      </c>
      <c r="U306" s="32" t="n">
        <v>-3.79</v>
      </c>
      <c r="V306" s="32" t="n">
        <v>-1.42</v>
      </c>
      <c r="W306" s="32" t="n">
        <v>4.9</v>
      </c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Between 12 to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Yes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IF(B307=0,"",RANK(B307,$B$2:$B$370,0))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DMART</t>
        </is>
      </c>
      <c r="D307" s="31" t="inlineStr">
        <is>
          <t>Avenue Supermarts Ltd</t>
        </is>
      </c>
      <c r="E307" s="31" t="inlineStr">
        <is>
          <t>consumer discretionary</t>
        </is>
      </c>
      <c r="F307" s="31" t="inlineStr">
        <is>
          <t>trading</t>
        </is>
      </c>
      <c r="G307" s="31" t="inlineStr">
        <is>
          <t>largecap</t>
        </is>
      </c>
      <c r="H307" s="32" t="n">
        <v>284058.59</v>
      </c>
      <c r="I307" s="32" t="n">
        <v>4380.7</v>
      </c>
      <c r="J307" s="32" t="n">
        <v>0.54</v>
      </c>
      <c r="K307" s="32" t="n">
        <v>379455</v>
      </c>
      <c r="L307" s="31" t="n">
        <v>2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56.73</v>
      </c>
      <c r="P307" s="32" t="n">
        <v>12.33</v>
      </c>
      <c r="Q307" s="32" t="n">
        <v>3957.85</v>
      </c>
      <c r="R307" s="31" t="inlineStr">
        <is>
          <t>Earnings / Momentum Support</t>
        </is>
      </c>
      <c r="S307" s="31" t="inlineStr">
        <is>
          <t>Nifty 50</t>
        </is>
      </c>
      <c r="T307" s="32" t="n">
        <v>-6.27</v>
      </c>
      <c r="U307" s="32" t="n">
        <v>2.81</v>
      </c>
      <c r="V307" s="32" t="n">
        <v>9.68</v>
      </c>
      <c r="W307" s="32" t="n">
        <v>1.2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Between 12 to 20%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Yes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Between 50% to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IF(B308=0,"",RANK(B308,$B$2:$B$370,0))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TVSSRICHAK</t>
        </is>
      </c>
      <c r="D308" s="31" t="inlineStr">
        <is>
          <t>Tvs Srichakra Limited</t>
        </is>
      </c>
      <c r="E308" s="31" t="inlineStr">
        <is>
          <t>auto</t>
        </is>
      </c>
      <c r="F308" s="31" t="inlineStr">
        <is>
          <t>tyres</t>
        </is>
      </c>
      <c r="G308" s="31" t="inlineStr">
        <is>
          <t>smallcap</t>
        </is>
      </c>
      <c r="H308" s="32" t="n">
        <v>3140</v>
      </c>
      <c r="I308" s="32" t="n">
        <v>4100</v>
      </c>
      <c r="J308" s="32" t="n">
        <v>-0.02</v>
      </c>
      <c r="K308" s="32" t="n">
        <v>3585</v>
      </c>
      <c r="L308" s="31" t="n">
        <v>34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56.41</v>
      </c>
      <c r="P308" s="32" t="n">
        <v>13.4</v>
      </c>
      <c r="Q308" s="32" t="n">
        <v>3263.69</v>
      </c>
      <c r="R308" s="31" t="inlineStr">
        <is>
          <t>Earnings / Momentum Support</t>
        </is>
      </c>
      <c r="S308" s="31" t="inlineStr">
        <is>
          <t>Nifty Auto</t>
        </is>
      </c>
      <c r="T308" s="32" t="n">
        <v>10.42</v>
      </c>
      <c r="U308" s="32" t="n">
        <v>27.77</v>
      </c>
      <c r="V308" s="32" t="n">
        <v>15.71</v>
      </c>
      <c r="W308" s="32" t="n">
        <v>9.779999999999999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Headwind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Yes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IF(B309=0,"",RANK(B309,$B$2:$B$370,0))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1" t="inlineStr">
        <is>
          <t>LT</t>
        </is>
      </c>
      <c r="D309" s="31" t="inlineStr">
        <is>
          <t>Larsen &amp; Toubro Limited</t>
        </is>
      </c>
      <c r="E309" s="31" t="inlineStr">
        <is>
          <t>realty</t>
        </is>
      </c>
      <c r="F309" s="31" t="inlineStr">
        <is>
          <t>engineering - turnkey services</t>
        </is>
      </c>
      <c r="G309" s="31" t="inlineStr">
        <is>
          <t>largecap</t>
        </is>
      </c>
      <c r="H309" s="32" t="n">
        <v>572978.3199999999</v>
      </c>
      <c r="I309" s="32" t="n">
        <v>4143.4</v>
      </c>
      <c r="J309" s="32" t="n">
        <v>-0.52</v>
      </c>
      <c r="K309" s="32" t="n">
        <v>1539100</v>
      </c>
      <c r="L309" s="31" t="n">
        <v>21</v>
      </c>
      <c r="M309" s="31" t="inlineStr">
        <is>
          <t>Outperforming</t>
        </is>
      </c>
      <c r="N309" s="32">
        <f>IF(M309="Underperforming",-5,IF(L309&gt;=95,15,IF(L309&gt;=90,10,IF(L309&gt;=80,5,0))))</f>
        <v/>
      </c>
      <c r="O309" s="32" t="n">
        <v>56.94</v>
      </c>
      <c r="P309" s="32" t="n">
        <v>8.34</v>
      </c>
      <c r="Q309" s="32" t="n">
        <v>3601.89</v>
      </c>
      <c r="R309" s="31" t="inlineStr">
        <is>
          <t>Near 52W High Breakout</t>
        </is>
      </c>
      <c r="S309" s="31" t="inlineStr">
        <is>
          <t>Nifty Realty</t>
        </is>
      </c>
      <c r="T309" s="32" t="n">
        <v>-14.65</v>
      </c>
      <c r="U309" s="32" t="n">
        <v>16.39</v>
      </c>
      <c r="V309" s="32" t="n">
        <v>36.37</v>
      </c>
      <c r="W309" s="32" t="n">
        <v>6.75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Yes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Blue sky scenario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Less than 12%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Less than 50%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Between 0.7 to 1.2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IF(B310=0,"",RANK(B310,$B$2:$B$370,0))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ADANIGREEN</t>
        </is>
      </c>
      <c r="D310" s="31" t="inlineStr">
        <is>
          <t>Adani Green Energy Ltd</t>
        </is>
      </c>
      <c r="E310" s="31" t="inlineStr">
        <is>
          <t>power &amp; utilities</t>
        </is>
      </c>
      <c r="F310" s="31" t="inlineStr">
        <is>
          <t>power generation and supply</t>
        </is>
      </c>
      <c r="G310" s="31" t="inlineStr">
        <is>
          <t>largecap</t>
        </is>
      </c>
      <c r="H310" s="32" t="n">
        <v>247488.22</v>
      </c>
      <c r="I310" s="32" t="n">
        <v>1492.2</v>
      </c>
      <c r="J310" s="32" t="n">
        <v>-0.6899999999999999</v>
      </c>
      <c r="K310" s="32" t="n">
        <v>2679704</v>
      </c>
      <c r="L310" s="31" t="n">
        <v>83</v>
      </c>
      <c r="M310" s="31" t="inlineStr">
        <is>
          <t>Outperforming</t>
        </is>
      </c>
      <c r="N310" s="32">
        <f>IF(M310="Underperforming",-5,IF(L310&gt;=95,15,IF(L310&gt;=90,10,IF(L310&gt;=80,5,0))))</f>
        <v/>
      </c>
      <c r="O310" s="32" t="n">
        <v>70.54000000000001</v>
      </c>
      <c r="P310" s="32" t="n">
        <v>46.87</v>
      </c>
      <c r="Q310" s="32" t="n">
        <v>1228.51</v>
      </c>
      <c r="R310" s="31" t="inlineStr">
        <is>
          <t>Near 52W High Breakout</t>
        </is>
      </c>
      <c r="S310" s="31" t="inlineStr">
        <is>
          <t>Nifty IT</t>
        </is>
      </c>
      <c r="T310" s="32" t="n">
        <v>-32.85</v>
      </c>
      <c r="U310" s="32" t="n">
        <v>49.7</v>
      </c>
      <c r="V310" s="32" t="n">
        <v>122.94</v>
      </c>
      <c r="W310" s="32" t="n">
        <v>27.1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Yes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Above 40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Negative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More than 20%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Yes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More than 1.2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IF(B311=0,"",RANK(B311,$B$2:$B$370,0))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1" t="inlineStr">
        <is>
          <t>LIKHITHA</t>
        </is>
      </c>
      <c r="D311" s="31" t="inlineStr">
        <is>
          <t>Likhitha Infrastructure Ltd</t>
        </is>
      </c>
      <c r="E311" s="31" t="inlineStr">
        <is>
          <t>realty</t>
        </is>
      </c>
      <c r="F311" s="31" t="inlineStr">
        <is>
          <t>construction</t>
        </is>
      </c>
      <c r="G311" s="31" t="inlineStr">
        <is>
          <t>smallcap</t>
        </is>
      </c>
      <c r="H311" s="32" t="n">
        <v>1067.04</v>
      </c>
      <c r="I311" s="32" t="n">
        <v>268</v>
      </c>
      <c r="J311" s="32" t="n">
        <v>-0.92</v>
      </c>
      <c r="K311" s="32" t="n">
        <v>155392</v>
      </c>
      <c r="L311" s="31" t="n">
        <v>46</v>
      </c>
      <c r="M311" s="31" t="inlineStr">
        <is>
          <t>Outperforming</t>
        </is>
      </c>
      <c r="N311" s="32">
        <f>IF(M311="Underperforming",-5,IF(L311&gt;=95,15,IF(L311&gt;=90,10,IF(L311&gt;=80,5,0))))</f>
        <v/>
      </c>
      <c r="O311" s="32" t="n">
        <v>67.94</v>
      </c>
      <c r="P311" s="32" t="n">
        <v>29.46</v>
      </c>
      <c r="Q311" s="32" t="n">
        <v>196.98</v>
      </c>
      <c r="R311" s="31" t="inlineStr">
        <is>
          <t>Earnings / Momentum Support</t>
        </is>
      </c>
      <c r="S311" s="31" t="inlineStr">
        <is>
          <t>Nifty Realty</t>
        </is>
      </c>
      <c r="T311" s="32" t="n">
        <v>-14.65</v>
      </c>
      <c r="U311" s="32" t="n">
        <v>-7.79</v>
      </c>
      <c r="V311" s="32" t="n">
        <v>8.039999999999999</v>
      </c>
      <c r="W311" s="32" t="n">
        <v>12.27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20 to 40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Less than 12%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Negative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IF(B312=0,"",RANK(B312,$B$2:$B$370,0))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TATACOMM</t>
        </is>
      </c>
      <c r="D312" s="31" t="inlineStr">
        <is>
          <t>Tata Communications Limited</t>
        </is>
      </c>
      <c r="E312" s="31" t="inlineStr">
        <is>
          <t>telecom-service</t>
        </is>
      </c>
      <c r="F312" s="31" t="inlineStr">
        <is>
          <t>telecommunications - service provider</t>
        </is>
      </c>
      <c r="G312" s="31" t="inlineStr">
        <is>
          <t>largecap</t>
        </is>
      </c>
      <c r="H312" s="32" t="n">
        <v>56811.9</v>
      </c>
      <c r="I312" s="32" t="n">
        <v>1970.6</v>
      </c>
      <c r="J312" s="32" t="n">
        <v>-1.14</v>
      </c>
      <c r="K312" s="32" t="n">
        <v>579724</v>
      </c>
      <c r="L312" s="31" t="n">
        <v>50</v>
      </c>
      <c r="M312" s="31" t="inlineStr">
        <is>
          <t>Outperforming</t>
        </is>
      </c>
      <c r="N312" s="32">
        <f>IF(M312="Underperforming",-5,IF(L312&gt;=95,15,IF(L312&gt;=90,10,IF(L312&gt;=80,5,0))))</f>
        <v/>
      </c>
      <c r="O312" s="32" t="n">
        <v>68.28</v>
      </c>
      <c r="P312" s="32" t="n">
        <v>28.94</v>
      </c>
      <c r="Q312" s="32" t="n">
        <v>1599.16</v>
      </c>
      <c r="R312" s="31" t="inlineStr">
        <is>
          <t>Near 52W High Breakout</t>
        </is>
      </c>
      <c r="S312" s="31" t="inlineStr">
        <is>
          <t>Nifty 50</t>
        </is>
      </c>
      <c r="T312" s="32" t="n">
        <v>-6.27</v>
      </c>
      <c r="U312" s="32" t="n">
        <v>12.83</v>
      </c>
      <c r="V312" s="32" t="n">
        <v>20.37</v>
      </c>
      <c r="W312" s="32" t="n">
        <v>13.33</v>
      </c>
      <c r="X312" s="31" t="inlineStr">
        <is>
          <t>Growing Industry</t>
        </is>
      </c>
      <c r="Y312" s="31">
        <f>IF(X312="Growing Industry",10,IF(X312="Cyclical in an Upturn",5,0))</f>
        <v/>
      </c>
      <c r="Z312" s="31" t="inlineStr">
        <is>
          <t>Oligopoly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Yes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Yes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20 to 40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Less than 12%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Yes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More than 1.2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IF(B313=0,"",RANK(B313,$B$2:$B$370,0))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3" t="inlineStr">
        <is>
          <t>ELECTHERM</t>
        </is>
      </c>
      <c r="D313" s="33" t="inlineStr">
        <is>
          <t>Electrotherm (india) Limited</t>
        </is>
      </c>
      <c r="E313" s="31" t="inlineStr">
        <is>
          <t>metals &amp; mining</t>
        </is>
      </c>
      <c r="F313" s="31" t="inlineStr">
        <is>
          <t>steel - medium / small</t>
        </is>
      </c>
      <c r="G313" s="31" t="inlineStr">
        <is>
          <t>smallcap</t>
        </is>
      </c>
      <c r="H313" s="32" t="n">
        <v>1485.18</v>
      </c>
      <c r="I313" s="32" t="n">
        <v>1097.9</v>
      </c>
      <c r="J313" s="32" t="n">
        <v>-5.8</v>
      </c>
      <c r="K313" s="32" t="n">
        <v>65495</v>
      </c>
      <c r="L313" s="31" t="n">
        <v>79</v>
      </c>
      <c r="M313" s="31" t="inlineStr">
        <is>
          <t>Underperforming</t>
        </is>
      </c>
      <c r="N313" s="32">
        <f>IF(M313="Underperforming",-5,IF(L313&gt;=95,15,IF(L313&gt;=90,10,IF(L313&gt;=80,5,0))))</f>
        <v/>
      </c>
      <c r="O313" s="32" t="n">
        <v>61.83</v>
      </c>
      <c r="P313" s="32" t="n">
        <v>31.6</v>
      </c>
      <c r="Q313" s="32" t="n">
        <v>759.1799999999999</v>
      </c>
      <c r="R313" s="31" t="inlineStr">
        <is>
          <t>Earnings / Momentum Support</t>
        </is>
      </c>
      <c r="S313" s="31" t="inlineStr">
        <is>
          <t>Nifty Metal</t>
        </is>
      </c>
      <c r="T313" s="32" t="n">
        <v>30.67</v>
      </c>
      <c r="U313" s="32" t="n">
        <v>2.11</v>
      </c>
      <c r="V313" s="32" t="n">
        <v>-21.86</v>
      </c>
      <c r="W313" s="32" t="n">
        <v>23.76</v>
      </c>
      <c r="X313" s="31" t="inlineStr">
        <is>
          <t>Cyclical in an Upturn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Cyclical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Volatile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20 to 40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Less than 12%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Less than 1.5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IF(B314=0,"",RANK(B314,$B$2:$B$370,0))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3" t="inlineStr">
        <is>
          <t>MOREPENLAB</t>
        </is>
      </c>
      <c r="D314" s="33" t="inlineStr">
        <is>
          <t>Morepen Laboratories Limited</t>
        </is>
      </c>
      <c r="E314" s="31" t="inlineStr">
        <is>
          <t>healthcare</t>
        </is>
      </c>
      <c r="F314" s="31" t="inlineStr">
        <is>
          <t>pharmaceuticals - indian - bulk drugs &amp; formln</t>
        </is>
      </c>
      <c r="G314" s="31" t="inlineStr">
        <is>
          <t>smallcap</t>
        </is>
      </c>
      <c r="H314" s="32" t="n">
        <v>2995.11</v>
      </c>
      <c r="I314" s="32" t="n">
        <v>59.12</v>
      </c>
      <c r="J314" s="32" t="n">
        <v>8.16</v>
      </c>
      <c r="K314" s="32" t="n">
        <v>53543433</v>
      </c>
      <c r="L314" s="31" t="n">
        <v>48</v>
      </c>
      <c r="M314" s="31" t="inlineStr">
        <is>
          <t>Underperforming</t>
        </is>
      </c>
      <c r="N314" s="32">
        <f>IF(M314="Underperforming",-5,IF(L314&gt;=95,15,IF(L314&gt;=90,10,IF(L314&gt;=80,5,0))))</f>
        <v/>
      </c>
      <c r="O314" s="32" t="n">
        <v>72.97</v>
      </c>
      <c r="P314" s="32" t="n">
        <v>17.49</v>
      </c>
      <c r="Q314" s="32" t="n">
        <v>44.22</v>
      </c>
      <c r="R314" s="31" t="inlineStr">
        <is>
          <t>Volume Spike / Accumulation</t>
        </is>
      </c>
      <c r="S314" s="31" t="inlineStr">
        <is>
          <t>Nifty Pharma</t>
        </is>
      </c>
      <c r="T314" s="32" t="n">
        <v>13.14</v>
      </c>
      <c r="U314" s="32" t="n">
        <v>-9.16</v>
      </c>
      <c r="V314" s="32" t="n">
        <v>-19.71</v>
      </c>
      <c r="W314" s="32" t="n">
        <v>12.74</v>
      </c>
      <c r="X314" s="31" t="inlineStr">
        <is>
          <t>Growing Industry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Yes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Annuity, Lower One Time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0 to 20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Less than 12%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Less than 50%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IF(B315=0,"",RANK(B315,$B$2:$B$370,0))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3" t="inlineStr">
        <is>
          <t>JLHL</t>
        </is>
      </c>
      <c r="D315" s="33" t="inlineStr">
        <is>
          <t>Jupiter Life Line Hospitals Ltd</t>
        </is>
      </c>
      <c r="E315" s="31" t="inlineStr">
        <is>
          <t>healthcare</t>
        </is>
      </c>
      <c r="F315" s="31" t="inlineStr">
        <is>
          <t>healthcare</t>
        </is>
      </c>
      <c r="G315" s="31" t="inlineStr">
        <is>
          <t>midcap</t>
        </is>
      </c>
      <c r="H315" s="32" t="n">
        <v>9082.860000000001</v>
      </c>
      <c r="I315" s="32" t="n">
        <v>1420</v>
      </c>
      <c r="J315" s="32" t="n">
        <v>2.5</v>
      </c>
      <c r="K315" s="32" t="n">
        <v>134193</v>
      </c>
      <c r="L315" s="31" t="n">
        <v>5</v>
      </c>
      <c r="M315" s="31" t="inlineStr">
        <is>
          <t>Underperforming</t>
        </is>
      </c>
      <c r="N315" s="32">
        <f>IF(M315="Underperforming",-5,IF(L315&gt;=95,15,IF(L315&gt;=90,10,IF(L315&gt;=80,5,0))))</f>
        <v/>
      </c>
      <c r="O315" s="32" t="n">
        <v>61.72</v>
      </c>
      <c r="P315" s="32" t="n">
        <v>18.37</v>
      </c>
      <c r="Q315" s="32" t="n">
        <v>1186.23</v>
      </c>
      <c r="R315" s="31" t="inlineStr">
        <is>
          <t>Earnings / Momentum Support</t>
        </is>
      </c>
      <c r="S315" s="31" t="inlineStr">
        <is>
          <t>Nifty Pharma</t>
        </is>
      </c>
      <c r="T315" s="32" t="n">
        <v>13.14</v>
      </c>
      <c r="U315" s="32" t="n">
        <v>-5.55</v>
      </c>
      <c r="V315" s="32" t="n">
        <v>-16.52</v>
      </c>
      <c r="W315" s="32" t="n">
        <v>2.42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Yes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Annuity, Lower One Time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0 to 20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Between 12 to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Yes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IF(B316=0,"",RANK(B316,$B$2:$B$370,0))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AGARWALEYE</t>
        </is>
      </c>
      <c r="D316" s="31" t="inlineStr">
        <is>
          <t>Dr Agarwals Health Care Ltd</t>
        </is>
      </c>
      <c r="E316" s="31" t="inlineStr">
        <is>
          <t>healthcare</t>
        </is>
      </c>
      <c r="F316" s="31" t="inlineStr">
        <is>
          <t>healthcare</t>
        </is>
      </c>
      <c r="G316" s="31" t="inlineStr">
        <is>
          <t>midcap</t>
        </is>
      </c>
      <c r="H316" s="32" t="n">
        <v>15021.43</v>
      </c>
      <c r="I316" s="32" t="n">
        <v>478.95</v>
      </c>
      <c r="J316" s="32" t="n">
        <v>1.01</v>
      </c>
      <c r="K316" s="32" t="n">
        <v>29478</v>
      </c>
      <c r="L316" s="31" t="n">
        <v>21</v>
      </c>
      <c r="M316" s="31" t="inlineStr">
        <is>
          <t>Outperforming</t>
        </is>
      </c>
      <c r="N316" s="32">
        <f>IF(M316="Underperforming",-5,IF(L316&gt;=95,15,IF(L316&gt;=90,10,IF(L316&gt;=80,5,0))))</f>
        <v/>
      </c>
      <c r="O316" s="32" t="n">
        <v>55.86</v>
      </c>
      <c r="P316" s="32" t="n">
        <v>14.37</v>
      </c>
      <c r="Q316" s="32" t="n">
        <v>391.92</v>
      </c>
      <c r="R316" s="31" t="inlineStr">
        <is>
          <t>Earnings / Momentum Support</t>
        </is>
      </c>
      <c r="S316" s="31" t="inlineStr">
        <is>
          <t>Nifty Pharma</t>
        </is>
      </c>
      <c r="T316" s="32" t="n">
        <v>13.14</v>
      </c>
      <c r="U316" s="32" t="n">
        <v>14.95</v>
      </c>
      <c r="V316" s="32" t="n">
        <v>1.6</v>
      </c>
      <c r="W316" s="32" t="n">
        <v>6.63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Yes</t>
        </is>
      </c>
      <c r="AC316" s="31">
        <f>IF(AB316="No",5,0)</f>
        <v/>
      </c>
      <c r="AD316" s="31" t="inlineStr">
        <is>
          <t>Headwind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Annuity, Lower One Time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0 to 20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More than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Yes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IF(B317=0,"",RANK(B317,$B$2:$B$370,0))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NEOGEN</t>
        </is>
      </c>
      <c r="D317" s="31" t="inlineStr">
        <is>
          <t>Neogen Chemicals Ltd</t>
        </is>
      </c>
      <c r="E317" s="31" t="inlineStr">
        <is>
          <t>chemicals</t>
        </is>
      </c>
      <c r="F317" s="31" t="inlineStr">
        <is>
          <t>chemicals</t>
        </is>
      </c>
      <c r="G317" s="31" t="inlineStr">
        <is>
          <t>midcap</t>
        </is>
      </c>
      <c r="H317" s="32" t="n">
        <v>5154.05</v>
      </c>
      <c r="I317" s="32" t="n">
        <v>2024.9</v>
      </c>
      <c r="J317" s="32" t="n">
        <v>7.58</v>
      </c>
      <c r="K317" s="32" t="n">
        <v>863175</v>
      </c>
      <c r="L317" s="31" t="n">
        <v>76</v>
      </c>
      <c r="M317" s="31" t="inlineStr">
        <is>
          <t>Outperforming</t>
        </is>
      </c>
      <c r="N317" s="32">
        <f>IF(M317="Underperforming",-5,IF(L317&gt;=95,15,IF(L317&gt;=90,10,IF(L317&gt;=80,5,0))))</f>
        <v/>
      </c>
      <c r="O317" s="32" t="n">
        <v>67.01000000000001</v>
      </c>
      <c r="P317" s="32" t="n">
        <v>39.66</v>
      </c>
      <c r="Q317" s="32" t="n">
        <v>1519.41</v>
      </c>
      <c r="R317" s="31" t="inlineStr">
        <is>
          <t>Volume Spike &amp; Near 52W High Breakout</t>
        </is>
      </c>
      <c r="S317" s="31" t="inlineStr">
        <is>
          <t>Nifty 50</t>
        </is>
      </c>
      <c r="T317" s="32" t="n">
        <v>-6.27</v>
      </c>
      <c r="U317" s="32" t="n">
        <v>25.35</v>
      </c>
      <c r="V317" s="32" t="n">
        <v>33.73</v>
      </c>
      <c r="W317" s="32" t="n">
        <v>22.46</v>
      </c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Yes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20 to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More than 20%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Yes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Negative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More than 1.2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IF(B318=0,"",RANK(B318,$B$2:$B$370,0))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3" t="inlineStr">
        <is>
          <t>ACE</t>
        </is>
      </c>
      <c r="D318" s="33" t="inlineStr">
        <is>
          <t>Action Construction Equipment Limited</t>
        </is>
      </c>
      <c r="E318" s="31" t="inlineStr">
        <is>
          <t>industrials</t>
        </is>
      </c>
      <c r="F318" s="31" t="inlineStr">
        <is>
          <t>engineering</t>
        </is>
      </c>
      <c r="G318" s="31" t="inlineStr">
        <is>
          <t>midcap</t>
        </is>
      </c>
      <c r="H318" s="32" t="n">
        <v>11731.48</v>
      </c>
      <c r="I318" s="32" t="n">
        <v>1024</v>
      </c>
      <c r="J318" s="32" t="n">
        <v>3.94</v>
      </c>
      <c r="K318" s="32" t="n">
        <v>498157</v>
      </c>
      <c r="L318" s="31" t="n">
        <v>8</v>
      </c>
      <c r="M318" s="31" t="inlineStr">
        <is>
          <t>Underperforming</t>
        </is>
      </c>
      <c r="N318" s="32">
        <f>IF(M318="Underperforming",-5,IF(L318&gt;=95,15,IF(L318&gt;=90,10,IF(L318&gt;=80,5,0))))</f>
        <v/>
      </c>
      <c r="O318" s="32" t="n">
        <v>61.13</v>
      </c>
      <c r="P318" s="32" t="n">
        <v>12.25</v>
      </c>
      <c r="Q318" s="32" t="n">
        <v>826.09</v>
      </c>
      <c r="R318" s="31" t="inlineStr">
        <is>
          <t>Earnings / Momentum Support</t>
        </is>
      </c>
      <c r="S318" s="31" t="inlineStr">
        <is>
          <t>Nifty 50</t>
        </is>
      </c>
      <c r="T318" s="32" t="n">
        <v>-6.27</v>
      </c>
      <c r="U318" s="32" t="n">
        <v>-13.62</v>
      </c>
      <c r="V318" s="32" t="n">
        <v>-7.85</v>
      </c>
      <c r="W318" s="32" t="n">
        <v>3.15</v>
      </c>
      <c r="X318" s="31" t="inlineStr">
        <is>
          <t>Cyclical in an Upturn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No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2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Less than 12%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IF(B319=0,"",RANK(B319,$B$2:$B$370,0))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3" t="inlineStr">
        <is>
          <t>KAMDHENU</t>
        </is>
      </c>
      <c r="D319" s="33" t="inlineStr">
        <is>
          <t>Kamdhenu Limited</t>
        </is>
      </c>
      <c r="E319" s="31" t="inlineStr">
        <is>
          <t>metals &amp; mining</t>
        </is>
      </c>
      <c r="F319" s="31" t="inlineStr">
        <is>
          <t>steel - medium / small</t>
        </is>
      </c>
      <c r="G319" s="31" t="inlineStr">
        <is>
          <t>smallcap</t>
        </is>
      </c>
      <c r="H319" s="32" t="n">
        <v>816.33</v>
      </c>
      <c r="I319" s="32" t="n">
        <v>29.96</v>
      </c>
      <c r="J319" s="32" t="n">
        <v>3.45</v>
      </c>
      <c r="K319" s="32" t="n">
        <v>829995</v>
      </c>
      <c r="L319" s="31" t="n">
        <v>52</v>
      </c>
      <c r="M319" s="31" t="inlineStr">
        <is>
          <t>Underperforming</t>
        </is>
      </c>
      <c r="N319" s="32">
        <f>IF(M319="Underperforming",-5,IF(L319&gt;=95,15,IF(L319&gt;=90,10,IF(L319&gt;=80,5,0))))</f>
        <v/>
      </c>
      <c r="O319" s="32" t="n">
        <v>63.77</v>
      </c>
      <c r="P319" s="32" t="n">
        <v>22.82</v>
      </c>
      <c r="Q319" s="32" t="n">
        <v>21.46</v>
      </c>
      <c r="R319" s="31" t="inlineStr">
        <is>
          <t>Near 52W High Breakout</t>
        </is>
      </c>
      <c r="S319" s="31" t="inlineStr">
        <is>
          <t>Nifty Metal</t>
        </is>
      </c>
      <c r="T319" s="32" t="n">
        <v>30.67</v>
      </c>
      <c r="U319" s="32" t="n">
        <v>-2.68</v>
      </c>
      <c r="V319" s="32" t="n">
        <v>-25.53</v>
      </c>
      <c r="W319" s="32" t="n">
        <v>14.11</v>
      </c>
      <c r="X319" s="31" t="inlineStr">
        <is>
          <t>Cyclical in an Upturn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Cyclical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Volatile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Yes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20 to 40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Less than 12%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Between 50% to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IF(B320=0,"",RANK(B320,$B$2:$B$370,0))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VINCOFE</t>
        </is>
      </c>
      <c r="D320" s="31" t="inlineStr">
        <is>
          <t>Vintage Coffee &amp; Beverages Ltd</t>
        </is>
      </c>
      <c r="E320" s="31" t="inlineStr">
        <is>
          <t>consumer discretionary</t>
        </is>
      </c>
      <c r="F320" s="31" t="inlineStr">
        <is>
          <t>trading</t>
        </is>
      </c>
      <c r="G320" s="31" t="inlineStr">
        <is>
          <t>smallcap</t>
        </is>
      </c>
      <c r="H320" s="32" t="n">
        <v>2185.03</v>
      </c>
      <c r="I320" s="32" t="n">
        <v>154.85</v>
      </c>
      <c r="J320" s="32" t="n">
        <v>3.25</v>
      </c>
      <c r="K320" s="32" t="n">
        <v>2664671</v>
      </c>
      <c r="L320" s="31" t="n">
        <v>18</v>
      </c>
      <c r="M320" s="31" t="inlineStr">
        <is>
          <t>Outperforming</t>
        </is>
      </c>
      <c r="N320" s="32">
        <f>IF(M320="Underperforming",-5,IF(L320&gt;=95,15,IF(L320&gt;=90,10,IF(L320&gt;=80,5,0))))</f>
        <v/>
      </c>
      <c r="O320" s="32" t="n">
        <v>57.06</v>
      </c>
      <c r="P320" s="32" t="n">
        <v>15.96</v>
      </c>
      <c r="Q320" s="32" t="n">
        <v>118.76</v>
      </c>
      <c r="R320" s="31" t="inlineStr">
        <is>
          <t>Earnings / Momentum Support</t>
        </is>
      </c>
      <c r="S320" s="31" t="inlineStr">
        <is>
          <t>Nifty 50</t>
        </is>
      </c>
      <c r="T320" s="32" t="n">
        <v>-6.27</v>
      </c>
      <c r="U320" s="32" t="n">
        <v>9.359999999999999</v>
      </c>
      <c r="V320" s="32" t="n">
        <v>16.67</v>
      </c>
      <c r="W320" s="32" t="n">
        <v>5.77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Headwind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Between 12 to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Between 1.5 to 2</t>
        </is>
      </c>
      <c r="BU320" s="31">
        <f>IF(BT320="Above 2",0,IF(BT320="Between 1.5 to 2",5,IF(BT320="Less than 1.5",10,0)))</f>
        <v/>
      </c>
      <c r="BV320" s="31" t="inlineStr">
        <is>
          <t>Less than 50%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IF(B321=0,"",RANK(B321,$B$2:$B$370,0))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3" t="inlineStr">
        <is>
          <t>VENUSPIPES</t>
        </is>
      </c>
      <c r="D321" s="33" t="inlineStr">
        <is>
          <t>Venus Pipes &amp; Tubes Ltd</t>
        </is>
      </c>
      <c r="E321" s="31" t="inlineStr">
        <is>
          <t>metals &amp; mining</t>
        </is>
      </c>
      <c r="F321" s="31" t="inlineStr">
        <is>
          <t>steel - medium / small</t>
        </is>
      </c>
      <c r="G321" s="31" t="inlineStr">
        <is>
          <t>smallcap</t>
        </is>
      </c>
      <c r="H321" s="32" t="n">
        <v>3524.22</v>
      </c>
      <c r="I321" s="32" t="n">
        <v>1730.5</v>
      </c>
      <c r="J321" s="32" t="n">
        <v>1.72</v>
      </c>
      <c r="K321" s="32" t="n">
        <v>165088</v>
      </c>
      <c r="L321" s="31" t="n">
        <v>77</v>
      </c>
      <c r="M321" s="31" t="inlineStr">
        <is>
          <t>Underperforming</t>
        </is>
      </c>
      <c r="N321" s="32">
        <f>IF(M321="Underperforming",-5,IF(L321&gt;=95,15,IF(L321&gt;=90,10,IF(L321&gt;=80,5,0))))</f>
        <v/>
      </c>
      <c r="O321" s="32" t="n">
        <v>72.22</v>
      </c>
      <c r="P321" s="32" t="n">
        <v>20.57</v>
      </c>
      <c r="Q321" s="32" t="n">
        <v>1325.45</v>
      </c>
      <c r="R321" s="31" t="inlineStr">
        <is>
          <t>Near 52W High Breakout</t>
        </is>
      </c>
      <c r="S321" s="31" t="inlineStr">
        <is>
          <t>Nifty Metal</t>
        </is>
      </c>
      <c r="T321" s="32" t="n">
        <v>30.67</v>
      </c>
      <c r="U321" s="32" t="n">
        <v>18.82</v>
      </c>
      <c r="V321" s="32" t="n">
        <v>-9.07</v>
      </c>
      <c r="W321" s="32" t="n">
        <v>23.02</v>
      </c>
      <c r="X321" s="31" t="inlineStr">
        <is>
          <t>Cyclical in an Upturn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Cyclical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Volatile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Yes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20 to 40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2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Less than 12%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Between 50% to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IF(B322=0,"",RANK(B322,$B$2:$B$370,0))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3" t="inlineStr">
        <is>
          <t>INDIGO</t>
        </is>
      </c>
      <c r="D322" s="33" t="inlineStr">
        <is>
          <t>Interglobe Aviation Limited</t>
        </is>
      </c>
      <c r="E322" s="31" t="inlineStr">
        <is>
          <t>transportation</t>
        </is>
      </c>
      <c r="F322" s="31" t="inlineStr">
        <is>
          <t>transport - airlines</t>
        </is>
      </c>
      <c r="G322" s="31" t="inlineStr">
        <is>
          <t>largecap</t>
        </is>
      </c>
      <c r="H322" s="32" t="n">
        <v>205492.54</v>
      </c>
      <c r="I322" s="32" t="n">
        <v>5368.4</v>
      </c>
      <c r="J322" s="32" t="n">
        <v>1</v>
      </c>
      <c r="K322" s="32" t="n">
        <v>1064890</v>
      </c>
      <c r="L322" s="31" t="n">
        <v>16</v>
      </c>
      <c r="M322" s="31" t="inlineStr">
        <is>
          <t>Underperforming</t>
        </is>
      </c>
      <c r="N322" s="32">
        <f>IF(M322="Underperforming",-5,IF(L322&gt;=95,15,IF(L322&gt;=90,10,IF(L322&gt;=80,5,0))))</f>
        <v/>
      </c>
      <c r="O322" s="32" t="n">
        <v>62.49</v>
      </c>
      <c r="P322" s="32" t="n">
        <v>29.24</v>
      </c>
      <c r="Q322" s="32" t="n">
        <v>4451.73</v>
      </c>
      <c r="R322" s="31" t="inlineStr">
        <is>
          <t>Earnings / Momentum Support</t>
        </is>
      </c>
      <c r="S322" s="31" t="inlineStr">
        <is>
          <t>Nifty 50</t>
        </is>
      </c>
      <c r="T322" s="32" t="n">
        <v>-6.27</v>
      </c>
      <c r="U322" s="32" t="n">
        <v>-6.53</v>
      </c>
      <c r="V322" s="32" t="n">
        <v>-0.28</v>
      </c>
      <c r="W322" s="32" t="n">
        <v>5.38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20 to 40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Less than 12%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No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More than 1.2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IF(B323=0,"",RANK(B323,$B$2:$B$370,0))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SBC</t>
        </is>
      </c>
      <c r="D323" s="31" t="inlineStr">
        <is>
          <t>SBC Exports Ltd</t>
        </is>
      </c>
      <c r="E323" s="31" t="inlineStr">
        <is>
          <t>textiles</t>
        </is>
      </c>
      <c r="F323" s="31" t="inlineStr">
        <is>
          <t>textiles - products</t>
        </is>
      </c>
      <c r="G323" s="31" t="inlineStr">
        <is>
          <t>smallcap</t>
        </is>
      </c>
      <c r="H323" s="32" t="n">
        <v>1988.09</v>
      </c>
      <c r="I323" s="32" t="n">
        <v>41.4</v>
      </c>
      <c r="J323" s="32" t="n">
        <v>-0.84</v>
      </c>
      <c r="K323" s="32" t="n">
        <v>8408991</v>
      </c>
      <c r="L323" s="31" t="n">
        <v>86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71.62</v>
      </c>
      <c r="P323" s="32" t="n">
        <v>32.88</v>
      </c>
      <c r="Q323" s="32" t="n">
        <v>35.96</v>
      </c>
      <c r="R323" s="31" t="inlineStr">
        <is>
          <t>Earnings / Momentum Support</t>
        </is>
      </c>
      <c r="S323" s="31" t="inlineStr">
        <is>
          <t>Nifty 50</t>
        </is>
      </c>
      <c r="T323" s="32" t="n">
        <v>-6.27</v>
      </c>
      <c r="U323" s="32" t="n">
        <v>176.97</v>
      </c>
      <c r="V323" s="32" t="n">
        <v>195.49</v>
      </c>
      <c r="W323" s="32" t="n">
        <v>30.98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20 to 40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Positive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Yes</t>
        </is>
      </c>
      <c r="BS323" s="31">
        <f>IF(BR323="NO",5,0)</f>
        <v/>
      </c>
      <c r="BT323" s="31" t="inlineStr">
        <is>
          <t>Between 1.5 to 2</t>
        </is>
      </c>
      <c r="BU323" s="31">
        <f>IF(BT323="Above 2",0,IF(BT323="Between 1.5 to 2",5,IF(BT323="Less than 1.5",10,0)))</f>
        <v/>
      </c>
      <c r="BV323" s="31" t="inlineStr">
        <is>
          <t>Negative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More than 1.2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IF(B324=0,"",RANK(B324,$B$2:$B$370,0))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3" t="inlineStr">
        <is>
          <t>NOCIL</t>
        </is>
      </c>
      <c r="D324" s="33" t="inlineStr">
        <is>
          <t>Nocil Limited</t>
        </is>
      </c>
      <c r="E324" s="31" t="inlineStr">
        <is>
          <t>chemicals</t>
        </is>
      </c>
      <c r="F324" s="31" t="inlineStr">
        <is>
          <t>chemicals</t>
        </is>
      </c>
      <c r="G324" s="31" t="inlineStr">
        <is>
          <t>smallcap</t>
        </is>
      </c>
      <c r="H324" s="32" t="n">
        <v>3049.21</v>
      </c>
      <c r="I324" s="32" t="n">
        <v>179.81</v>
      </c>
      <c r="J324" s="32" t="n">
        <v>-1.51</v>
      </c>
      <c r="K324" s="32" t="n">
        <v>549091</v>
      </c>
      <c r="L324" s="31" t="n">
        <v>1</v>
      </c>
      <c r="M324" s="31" t="inlineStr">
        <is>
          <t>Underperforming</t>
        </is>
      </c>
      <c r="N324" s="32">
        <f>IF(M324="Underperforming",-5,IF(L324&gt;=95,15,IF(L324&gt;=90,10,IF(L324&gt;=80,5,0))))</f>
        <v/>
      </c>
      <c r="O324" s="32" t="n">
        <v>58.14</v>
      </c>
      <c r="P324" s="32" t="n">
        <v>19.55</v>
      </c>
      <c r="Q324" s="32" t="n">
        <v>140.04</v>
      </c>
      <c r="R324" s="31" t="inlineStr">
        <is>
          <t>Earnings / Momentum Support</t>
        </is>
      </c>
      <c r="S324" s="31" t="inlineStr">
        <is>
          <t>Nifty 50</t>
        </is>
      </c>
      <c r="T324" s="32" t="n">
        <v>-6.27</v>
      </c>
      <c r="U324" s="32" t="n">
        <v>-9.289999999999999</v>
      </c>
      <c r="V324" s="32" t="n">
        <v>-3.23</v>
      </c>
      <c r="W324" s="32" t="n">
        <v>0.34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0 to 20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2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Less than 12%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Yes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IF(B325=0,"",RANK(B325,$B$2:$B$370,0))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STLTECH</t>
        </is>
      </c>
      <c r="D325" s="31" t="inlineStr">
        <is>
          <t>Sterlite Technologies Limited</t>
        </is>
      </c>
      <c r="E325" s="31" t="inlineStr">
        <is>
          <t>industrials</t>
        </is>
      </c>
      <c r="F325" s="31" t="inlineStr">
        <is>
          <t>cables - telephone</t>
        </is>
      </c>
      <c r="G325" s="31" t="inlineStr">
        <is>
          <t>largecap</t>
        </is>
      </c>
      <c r="H325" s="32" t="n">
        <v>30486.32</v>
      </c>
      <c r="I325" s="32" t="n">
        <v>613.3</v>
      </c>
      <c r="J325" s="32" t="n">
        <v>-1.8</v>
      </c>
      <c r="K325" s="32" t="n">
        <v>1488066</v>
      </c>
      <c r="L325" s="31" t="n">
        <v>98</v>
      </c>
      <c r="M325" s="31" t="inlineStr">
        <is>
          <t>Outperforming</t>
        </is>
      </c>
      <c r="N325" s="32">
        <f>IF(M325="Underperforming",-5,IF(L325&gt;=95,15,IF(L325&gt;=90,10,IF(L325&gt;=80,5,0))))</f>
        <v/>
      </c>
      <c r="O325" s="32" t="n">
        <v>81.81</v>
      </c>
      <c r="P325" s="32" t="n">
        <v>86.75</v>
      </c>
      <c r="Q325" s="32" t="n">
        <v>491.72</v>
      </c>
      <c r="R325" s="31" t="inlineStr">
        <is>
          <t>Earnings / Momentum Support</t>
        </is>
      </c>
      <c r="S325" s="31" t="inlineStr">
        <is>
          <t>Nifty Infra</t>
        </is>
      </c>
      <c r="T325" s="32" t="n">
        <v>-0.44</v>
      </c>
      <c r="U325" s="32" t="n">
        <v>431.92</v>
      </c>
      <c r="V325" s="32" t="n">
        <v>434.28</v>
      </c>
      <c r="W325" s="32" t="n">
        <v>110.46</v>
      </c>
      <c r="X325" s="31" t="inlineStr">
        <is>
          <t>Cyclical in an Upturn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Above 40</t>
        </is>
      </c>
      <c r="AY325" s="31">
        <f>IF(AX325="Above 40",20,IF(AX325="20 to 40",10,IF(AX325="0 to 20",-5,0)))</f>
        <v/>
      </c>
      <c r="AZ325" s="31" t="inlineStr">
        <is>
          <t>Above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Negative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More than 20%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Yes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Between 0.7 to 1.2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IF(B326=0,"",RANK(B326,$B$2:$B$370,0))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ZOTA</t>
        </is>
      </c>
      <c r="D326" s="31" t="inlineStr">
        <is>
          <t>Zota Health Care Ltd</t>
        </is>
      </c>
      <c r="E326" s="31" t="inlineStr">
        <is>
          <t>healthcare</t>
        </is>
      </c>
      <c r="F326" s="31" t="inlineStr">
        <is>
          <t>pharmaceuticals - indian - bulk drugs &amp; formln</t>
        </is>
      </c>
      <c r="G326" s="31" t="inlineStr">
        <is>
          <t>smallcap</t>
        </is>
      </c>
      <c r="H326" s="32" t="n">
        <v>4835.75</v>
      </c>
      <c r="I326" s="32" t="n">
        <v>1416.8</v>
      </c>
      <c r="J326" s="32" t="n">
        <v>1.47</v>
      </c>
      <c r="K326" s="32" t="n">
        <v>102877</v>
      </c>
      <c r="L326" s="31" t="n">
        <v>40</v>
      </c>
      <c r="M326" s="31" t="inlineStr">
        <is>
          <t>Outperforming</t>
        </is>
      </c>
      <c r="N326" s="32">
        <f>IF(M326="Underperforming",-5,IF(L326&gt;=95,15,IF(L326&gt;=90,10,IF(L326&gt;=80,5,0))))</f>
        <v/>
      </c>
      <c r="O326" s="32" t="n">
        <v>58.26</v>
      </c>
      <c r="P326" s="32" t="n">
        <v>11.5</v>
      </c>
      <c r="Q326" s="32" t="n">
        <v>1071.25</v>
      </c>
      <c r="R326" s="31" t="inlineStr">
        <is>
          <t>Earnings / Momentum Support</t>
        </is>
      </c>
      <c r="S326" s="31" t="inlineStr">
        <is>
          <t>Nifty Pharma</t>
        </is>
      </c>
      <c r="T326" s="32" t="n">
        <v>13.14</v>
      </c>
      <c r="U326" s="32" t="n">
        <v>18.17</v>
      </c>
      <c r="V326" s="32" t="n">
        <v>4.44</v>
      </c>
      <c r="W326" s="32" t="n">
        <v>11.05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Yes</t>
        </is>
      </c>
      <c r="AC326" s="31">
        <f>IF(AB326="No",5,0)</f>
        <v/>
      </c>
      <c r="AD326" s="31" t="inlineStr">
        <is>
          <t>Headwind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Annuity, Lower One Time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2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More than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Less than 1.5</t>
        </is>
      </c>
      <c r="BU326" s="31">
        <f>IF(BT326="Above 2",0,IF(BT326="Between 1.5 to 2",5,IF(BT326="Less than 1.5",10,0)))</f>
        <v/>
      </c>
      <c r="BV326" s="31" t="inlineStr">
        <is>
          <t>Negative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IF(B327=0,"",RANK(B327,$B$2:$B$370,0))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3" t="inlineStr">
        <is>
          <t>RPGLIFE</t>
        </is>
      </c>
      <c r="D327" s="33" t="inlineStr">
        <is>
          <t>Rpg Life Sciences Limited</t>
        </is>
      </c>
      <c r="E327" s="31" t="inlineStr">
        <is>
          <t>healthcare</t>
        </is>
      </c>
      <c r="F327" s="31" t="inlineStr">
        <is>
          <t>pharmaceuticals - indian - bulk drugs &amp; formln</t>
        </is>
      </c>
      <c r="G327" s="31" t="inlineStr">
        <is>
          <t>smallcap</t>
        </is>
      </c>
      <c r="H327" s="32" t="n">
        <v>3768.25</v>
      </c>
      <c r="I327" s="32" t="n">
        <v>2294</v>
      </c>
      <c r="J327" s="32" t="n">
        <v>0.68</v>
      </c>
      <c r="K327" s="32" t="n">
        <v>5147</v>
      </c>
      <c r="L327" s="31" t="n">
        <v>6</v>
      </c>
      <c r="M327" s="31" t="inlineStr">
        <is>
          <t>Underperforming</t>
        </is>
      </c>
      <c r="N327" s="32">
        <f>IF(M327="Underperforming",-5,IF(L327&gt;=95,15,IF(L327&gt;=90,10,IF(L327&gt;=80,5,0))))</f>
        <v/>
      </c>
      <c r="O327" s="32" t="n">
        <v>57.03</v>
      </c>
      <c r="P327" s="32" t="n">
        <v>20.61</v>
      </c>
      <c r="Q327" s="32" t="n">
        <v>1996.83</v>
      </c>
      <c r="R327" s="31" t="inlineStr">
        <is>
          <t>Earnings / Momentum Support</t>
        </is>
      </c>
      <c r="S327" s="31" t="inlineStr">
        <is>
          <t>Nifty Pharma</t>
        </is>
      </c>
      <c r="T327" s="32" t="n">
        <v>13.14</v>
      </c>
      <c r="U327" s="32" t="n">
        <v>-9.02</v>
      </c>
      <c r="V327" s="32" t="n">
        <v>-19.59</v>
      </c>
      <c r="W327" s="32" t="n">
        <v>2.74</v>
      </c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Yes</t>
        </is>
      </c>
      <c r="AC327" s="31">
        <f>IF(AB327="No",5,0)</f>
        <v/>
      </c>
      <c r="AD327" s="31" t="inlineStr">
        <is>
          <t>Headwind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Annuity, Lower One Time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20 to 40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Less than 12%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No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Less than 50%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IF(B328=0,"",RANK(B328,$B$2:$B$370,0))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1" t="inlineStr">
        <is>
          <t>UNITDSPR</t>
        </is>
      </c>
      <c r="D328" s="31" t="inlineStr">
        <is>
          <t>United Spirits Ltd</t>
        </is>
      </c>
      <c r="E328" s="31" t="inlineStr">
        <is>
          <t>fmcg</t>
        </is>
      </c>
      <c r="F328" s="31" t="inlineStr">
        <is>
          <t>breweries &amp; distilleries</t>
        </is>
      </c>
      <c r="G328" s="31" t="inlineStr">
        <is>
          <t>largecap</t>
        </is>
      </c>
      <c r="H328" s="32" t="n">
        <v>97574.12</v>
      </c>
      <c r="I328" s="32" t="n">
        <v>1350.4</v>
      </c>
      <c r="J328" s="32" t="n">
        <v>0.66</v>
      </c>
      <c r="K328" s="32" t="n">
        <v>944943</v>
      </c>
      <c r="L328" s="31" t="n">
        <v>4</v>
      </c>
      <c r="M328" s="31" t="inlineStr">
        <is>
          <t>Outperforming</t>
        </is>
      </c>
      <c r="N328" s="32">
        <f>IF(M328="Underperforming",-5,IF(L328&gt;=95,15,IF(L328&gt;=90,10,IF(L328&gt;=80,5,0))))</f>
        <v/>
      </c>
      <c r="O328" s="32" t="n">
        <v>52.49</v>
      </c>
      <c r="P328" s="32" t="n">
        <v>16.02</v>
      </c>
      <c r="Q328" s="32" t="n">
        <v>1177.67</v>
      </c>
      <c r="R328" s="31" t="inlineStr">
        <is>
          <t>Earnings / Momentum Support</t>
        </is>
      </c>
      <c r="S328" s="31" t="inlineStr">
        <is>
          <t>Nifty FMCG</t>
        </is>
      </c>
      <c r="T328" s="32" t="n">
        <v>-10.85</v>
      </c>
      <c r="U328" s="32" t="n">
        <v>-0.98</v>
      </c>
      <c r="V328" s="32" t="n">
        <v>11.07</v>
      </c>
      <c r="W328" s="32" t="n">
        <v>2.16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B2C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Annuity, Lower One Time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1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More than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Yes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Between 50% to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IF(B329=0,"",RANK(B329,$B$2:$B$370,0))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1" t="inlineStr">
        <is>
          <t>PANAMAPET</t>
        </is>
      </c>
      <c r="D329" s="31" t="inlineStr">
        <is>
          <t>Panama Petrochem Limited</t>
        </is>
      </c>
      <c r="E329" s="31" t="inlineStr">
        <is>
          <t>energy</t>
        </is>
      </c>
      <c r="F329" s="31" t="inlineStr">
        <is>
          <t>petrochemicals</t>
        </is>
      </c>
      <c r="G329" s="31" t="inlineStr">
        <is>
          <t>smallcap</t>
        </is>
      </c>
      <c r="H329" s="32" t="n">
        <v>2423.07</v>
      </c>
      <c r="I329" s="32" t="n">
        <v>420.55</v>
      </c>
      <c r="J329" s="32" t="n">
        <v>4.99</v>
      </c>
      <c r="K329" s="32" t="n">
        <v>400403</v>
      </c>
      <c r="L329" s="31" t="n">
        <v>66</v>
      </c>
      <c r="M329" s="31" t="inlineStr">
        <is>
          <t>Outperforming</t>
        </is>
      </c>
      <c r="N329" s="32">
        <f>IF(M329="Underperforming",-5,IF(L329&gt;=95,15,IF(L329&gt;=90,10,IF(L329&gt;=80,5,0))))</f>
        <v/>
      </c>
      <c r="O329" s="32" t="n">
        <v>64.65000000000001</v>
      </c>
      <c r="P329" s="32" t="n">
        <v>30.07</v>
      </c>
      <c r="Q329" s="32" t="n">
        <v>355.65</v>
      </c>
      <c r="R329" s="31" t="inlineStr">
        <is>
          <t>Earnings / Momentum Support</t>
        </is>
      </c>
      <c r="S329" s="31" t="inlineStr">
        <is>
          <t>Nifty Energy</t>
        </is>
      </c>
      <c r="T329" s="32" t="n">
        <v>8.85</v>
      </c>
      <c r="U329" s="32" t="n">
        <v>19.8</v>
      </c>
      <c r="V329" s="32" t="n">
        <v>10.06</v>
      </c>
      <c r="W329" s="32" t="n">
        <v>18.12</v>
      </c>
      <c r="X329" s="31" t="inlineStr">
        <is>
          <t>Cyclical in an Upturn</t>
        </is>
      </c>
      <c r="Y329" s="31">
        <f>IF(X329="Growing Industry",10,IF(X329="Cyclical in an Upturn",5,0))</f>
        <v/>
      </c>
      <c r="Z329" s="31" t="inlineStr">
        <is>
          <t>Oligopoly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Yes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Cyclical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Volatile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20 to 40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2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More than 20%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No</t>
        </is>
      </c>
      <c r="BS329" s="31">
        <f>IF(BR329="NO",5,0)</f>
        <v/>
      </c>
      <c r="BT329" s="31" t="inlineStr">
        <is>
          <t>Less than 1.5</t>
        </is>
      </c>
      <c r="BU329" s="31">
        <f>IF(BT329="Above 2",0,IF(BT329="Between 1.5 to 2",5,IF(BT329="Less than 1.5",10,0)))</f>
        <v/>
      </c>
      <c r="BV329" s="31" t="inlineStr">
        <is>
          <t>Negative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IF(B330=0,"",RANK(B330,$B$2:$B$370,0))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1" t="inlineStr">
        <is>
          <t>VMART</t>
        </is>
      </c>
      <c r="D330" s="31" t="inlineStr">
        <is>
          <t>V-mart Retail Limited</t>
        </is>
      </c>
      <c r="E330" s="31" t="inlineStr">
        <is>
          <t>consumer discretionary</t>
        </is>
      </c>
      <c r="F330" s="31" t="inlineStr">
        <is>
          <t>trading</t>
        </is>
      </c>
      <c r="G330" s="31" t="inlineStr">
        <is>
          <t>midcap</t>
        </is>
      </c>
      <c r="H330" s="32" t="n">
        <v>6002.28</v>
      </c>
      <c r="I330" s="32" t="n">
        <v>779.05</v>
      </c>
      <c r="J330" s="32" t="n">
        <v>3.13</v>
      </c>
      <c r="K330" s="32" t="n">
        <v>130122</v>
      </c>
      <c r="L330" s="31" t="n">
        <v>38</v>
      </c>
      <c r="M330" s="31" t="inlineStr">
        <is>
          <t>Outperforming</t>
        </is>
      </c>
      <c r="N330" s="32">
        <f>IF(M330="Underperforming",-5,IF(L330&gt;=95,15,IF(L330&gt;=90,10,IF(L330&gt;=80,5,0))))</f>
        <v/>
      </c>
      <c r="O330" s="32" t="n">
        <v>63.74</v>
      </c>
      <c r="P330" s="32" t="n">
        <v>19.51</v>
      </c>
      <c r="Q330" s="32" t="n">
        <v>629.23</v>
      </c>
      <c r="R330" s="31" t="inlineStr">
        <is>
          <t>Earnings / Momentum Support</t>
        </is>
      </c>
      <c r="S330" s="31" t="inlineStr">
        <is>
          <t>Nifty 50</t>
        </is>
      </c>
      <c r="T330" s="32" t="n">
        <v>-6.27</v>
      </c>
      <c r="U330" s="32" t="n">
        <v>-1.45</v>
      </c>
      <c r="V330" s="32" t="n">
        <v>5.14</v>
      </c>
      <c r="W330" s="32" t="n">
        <v>10.7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0 to 20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2</t>
        </is>
      </c>
      <c r="BC330" s="31">
        <f>IF(BB330="Stage 2",20,IF(BB330="Stage 1",0,IF(BB330="Stage 3",5,IF(BB330="Stage 4",-5,0))))</f>
        <v/>
      </c>
      <c r="BD330" s="31" t="inlineStr">
        <is>
          <t>Positive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Less than 12%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Yes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Between 0.7 to 1.2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IF(B331=0,"",RANK(B331,$B$2:$B$370,0))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1" t="inlineStr">
        <is>
          <t>GOKEX</t>
        </is>
      </c>
      <c r="D331" s="31" t="inlineStr">
        <is>
          <t>Gokaldas Exports Limited</t>
        </is>
      </c>
      <c r="E331" s="31" t="inlineStr">
        <is>
          <t>consumer discretionary</t>
        </is>
      </c>
      <c r="F331" s="31" t="inlineStr">
        <is>
          <t>textiles - products</t>
        </is>
      </c>
      <c r="G331" s="31" t="inlineStr">
        <is>
          <t>midcap</t>
        </is>
      </c>
      <c r="H331" s="32" t="n">
        <v>6224.55</v>
      </c>
      <c r="I331" s="32" t="n">
        <v>873.25</v>
      </c>
      <c r="J331" s="32" t="n">
        <v>2.76</v>
      </c>
      <c r="K331" s="32" t="n">
        <v>858305</v>
      </c>
      <c r="L331" s="31" t="n">
        <v>33</v>
      </c>
      <c r="M331" s="31" t="inlineStr">
        <is>
          <t>Outperforming</t>
        </is>
      </c>
      <c r="N331" s="32">
        <f>IF(M331="Underperforming",-5,IF(L331&gt;=95,15,IF(L331&gt;=90,10,IF(L331&gt;=80,5,0))))</f>
        <v/>
      </c>
      <c r="O331" s="32" t="n">
        <v>63.27</v>
      </c>
      <c r="P331" s="32" t="n">
        <v>13.53</v>
      </c>
      <c r="Q331" s="32" t="n">
        <v>642.2</v>
      </c>
      <c r="R331" s="31" t="inlineStr">
        <is>
          <t>Earnings / Momentum Support</t>
        </is>
      </c>
      <c r="S331" s="31" t="inlineStr">
        <is>
          <t>Nifty 50</t>
        </is>
      </c>
      <c r="T331" s="32" t="n">
        <v>-6.27</v>
      </c>
      <c r="U331" s="32" t="n">
        <v>-6.21</v>
      </c>
      <c r="V331" s="32" t="n">
        <v>0.06</v>
      </c>
      <c r="W331" s="32" t="n">
        <v>9.67</v>
      </c>
      <c r="X331" s="31" t="inlineStr">
        <is>
          <t>Growing Industry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Less than 12%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Yes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Less than 50%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IF(B332=0,"",RANK(B332,$B$2:$B$370,0))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3" t="inlineStr">
        <is>
          <t>PAGEIND</t>
        </is>
      </c>
      <c r="D332" s="33" t="inlineStr">
        <is>
          <t>Page Industries Limited</t>
        </is>
      </c>
      <c r="E332" s="31" t="inlineStr">
        <is>
          <t>consumer discretionary</t>
        </is>
      </c>
      <c r="F332" s="31" t="inlineStr">
        <is>
          <t>textiles - products</t>
        </is>
      </c>
      <c r="G332" s="31" t="inlineStr">
        <is>
          <t>largecap</t>
        </is>
      </c>
      <c r="H332" s="32" t="n">
        <v>45067.23</v>
      </c>
      <c r="I332" s="32" t="n">
        <v>41370</v>
      </c>
      <c r="J332" s="32" t="n">
        <v>2.39</v>
      </c>
      <c r="K332" s="32" t="n">
        <v>43917</v>
      </c>
      <c r="L332" s="31" t="n">
        <v>5</v>
      </c>
      <c r="M332" s="31" t="inlineStr">
        <is>
          <t>Underperforming</t>
        </is>
      </c>
      <c r="N332" s="32">
        <f>IF(M332="Underperforming",-5,IF(L332&gt;=95,15,IF(L332&gt;=90,10,IF(L332&gt;=80,5,0))))</f>
        <v/>
      </c>
      <c r="O332" s="32" t="n">
        <v>64.81</v>
      </c>
      <c r="P332" s="32" t="n">
        <v>13.49</v>
      </c>
      <c r="Q332" s="32" t="n">
        <v>34871.76</v>
      </c>
      <c r="R332" s="31" t="inlineStr">
        <is>
          <t>Earnings / Momentum Support</t>
        </is>
      </c>
      <c r="S332" s="31" t="inlineStr">
        <is>
          <t>Nifty 500</t>
        </is>
      </c>
      <c r="T332" s="32" t="n">
        <v>-2.41</v>
      </c>
      <c r="U332" s="32" t="n">
        <v>-13.86</v>
      </c>
      <c r="V332" s="32" t="n">
        <v>-11.74</v>
      </c>
      <c r="W332" s="32" t="n">
        <v>2.39</v>
      </c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2</t>
        </is>
      </c>
      <c r="BC332" s="31">
        <f>IF(BB332="Stage 2",20,IF(BB332="Stage 1",0,IF(BB332="Stage 3",5,IF(BB332="Stage 4",-5,0))))</f>
        <v/>
      </c>
      <c r="BD332" s="31" t="inlineStr">
        <is>
          <t>Positive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Yes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Between 50% to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IF(B333=0,"",RANK(B333,$B$2:$B$370,0))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GODREJIND</t>
        </is>
      </c>
      <c r="D333" s="31" t="inlineStr">
        <is>
          <t>Godrej Industries Limited</t>
        </is>
      </c>
      <c r="E333" s="31" t="inlineStr">
        <is>
          <t>chemicals</t>
        </is>
      </c>
      <c r="F333" s="31" t="inlineStr">
        <is>
          <t>chemicals</t>
        </is>
      </c>
      <c r="G333" s="31" t="inlineStr">
        <is>
          <t>largecap</t>
        </is>
      </c>
      <c r="H333" s="32" t="n">
        <v>38850.44</v>
      </c>
      <c r="I333" s="32" t="n">
        <v>1174.7</v>
      </c>
      <c r="J333" s="32" t="n">
        <v>1.84</v>
      </c>
      <c r="K333" s="32" t="n">
        <v>142445</v>
      </c>
      <c r="L333" s="31" t="n">
        <v>34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60.29</v>
      </c>
      <c r="P333" s="32" t="n">
        <v>27.91</v>
      </c>
      <c r="Q333" s="32" t="n">
        <v>937.08</v>
      </c>
      <c r="R333" s="31" t="inlineStr">
        <is>
          <t>Earnings / Momentum Support</t>
        </is>
      </c>
      <c r="S333" s="31" t="inlineStr">
        <is>
          <t>Nifty 50</t>
        </is>
      </c>
      <c r="T333" s="32" t="n">
        <v>-6.27</v>
      </c>
      <c r="U333" s="32" t="n">
        <v>0.8100000000000001</v>
      </c>
      <c r="V333" s="32" t="n">
        <v>7.54</v>
      </c>
      <c r="W333" s="32" t="n">
        <v>9.82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20 to 40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2</t>
        </is>
      </c>
      <c r="BC333" s="31">
        <f>IF(BB333="Stage 2",20,IF(BB333="Stage 1",0,IF(BB333="Stage 3",5,IF(BB333="Stage 4",-5,0))))</f>
        <v/>
      </c>
      <c r="BD333" s="31" t="inlineStr">
        <is>
          <t>Positive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More than 20%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No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Negative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More than 1.2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IF(B334=0,"",RANK(B334,$B$2:$B$370,0))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3" t="inlineStr">
        <is>
          <t>TEJASNET</t>
        </is>
      </c>
      <c r="D334" s="33" t="inlineStr">
        <is>
          <t>Tejas Networks Ltd</t>
        </is>
      </c>
      <c r="E334" s="31" t="inlineStr">
        <is>
          <t>telecom</t>
        </is>
      </c>
      <c r="F334" s="31" t="inlineStr">
        <is>
          <t>telecommunications - equipment</t>
        </is>
      </c>
      <c r="G334" s="31" t="inlineStr">
        <is>
          <t>midcap</t>
        </is>
      </c>
      <c r="H334" s="32" t="n">
        <v>10727.61</v>
      </c>
      <c r="I334" s="32" t="n">
        <v>612.5</v>
      </c>
      <c r="J334" s="32" t="n">
        <v>1.48</v>
      </c>
      <c r="K334" s="32" t="n">
        <v>7319918</v>
      </c>
      <c r="L334" s="31" t="n">
        <v>31</v>
      </c>
      <c r="M334" s="31" t="inlineStr">
        <is>
          <t>Underperforming</t>
        </is>
      </c>
      <c r="N334" s="32">
        <f>IF(M334="Underperforming",-5,IF(L334&gt;=95,15,IF(L334&gt;=90,10,IF(L334&gt;=80,5,0))))</f>
        <v/>
      </c>
      <c r="O334" s="32" t="n">
        <v>63.66</v>
      </c>
      <c r="P334" s="32" t="n">
        <v>26.87</v>
      </c>
      <c r="Q334" s="32" t="n">
        <v>454.82</v>
      </c>
      <c r="R334" s="31" t="inlineStr">
        <is>
          <t>Earnings / Momentum Support</t>
        </is>
      </c>
      <c r="S334" s="31" t="inlineStr">
        <is>
          <t>Nifty 50</t>
        </is>
      </c>
      <c r="T334" s="32" t="n">
        <v>-6.27</v>
      </c>
      <c r="U334" s="32" t="n">
        <v>-13.18</v>
      </c>
      <c r="V334" s="32" t="n">
        <v>-7.37</v>
      </c>
      <c r="W334" s="32" t="n">
        <v>9.029999999999999</v>
      </c>
      <c r="X334" s="31" t="inlineStr">
        <is>
          <t>Growing Industry</t>
        </is>
      </c>
      <c r="Y334" s="31">
        <f>IF(X334="Growing Industry",10,IF(X334="Cyclical in an Upturn",5,0))</f>
        <v/>
      </c>
      <c r="Z334" s="31" t="inlineStr">
        <is>
          <t>Oligopoly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Yes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20 to 40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2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More than 20%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No</t>
        </is>
      </c>
      <c r="BS334" s="31">
        <f>IF(BR334="NO",5,0)</f>
        <v/>
      </c>
      <c r="BT334" s="31" t="inlineStr">
        <is>
          <t>Less than 1.5</t>
        </is>
      </c>
      <c r="BU334" s="31">
        <f>IF(BT334="Above 2",0,IF(BT334="Between 1.5 to 2",5,IF(BT334="Less than 1.5",10,0)))</f>
        <v/>
      </c>
      <c r="BV334" s="31" t="inlineStr">
        <is>
          <t>Negative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More than 1.2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IF(B335=0,"",RANK(B335,$B$2:$B$370,0))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1" t="inlineStr">
        <is>
          <t>RELTD</t>
        </is>
      </c>
      <c r="D335" s="31" t="inlineStr">
        <is>
          <t>Ravindra Energy Ltd</t>
        </is>
      </c>
      <c r="E335" s="31" t="inlineStr">
        <is>
          <t>industrials</t>
        </is>
      </c>
      <c r="F335" s="31" t="inlineStr">
        <is>
          <t>electric equipment</t>
        </is>
      </c>
      <c r="G335" s="31" t="inlineStr">
        <is>
          <t>smallcap</t>
        </is>
      </c>
      <c r="H335" s="32" t="n">
        <v>2911.22</v>
      </c>
      <c r="I335" s="32" t="n">
        <v>164.38</v>
      </c>
      <c r="J335" s="32" t="n">
        <v>0.86</v>
      </c>
      <c r="K335" s="32" t="n">
        <v>660425</v>
      </c>
      <c r="L335" s="31" t="n">
        <v>39</v>
      </c>
      <c r="M335" s="31" t="inlineStr">
        <is>
          <t>Outperforming</t>
        </is>
      </c>
      <c r="N335" s="32">
        <f>IF(M335="Underperforming",-5,IF(L335&gt;=95,15,IF(L335&gt;=90,10,IF(L335&gt;=80,5,0))))</f>
        <v/>
      </c>
      <c r="O335" s="32" t="n">
        <v>60.63</v>
      </c>
      <c r="P335" s="32" t="n">
        <v>14.02</v>
      </c>
      <c r="Q335" s="32" t="n">
        <v>117.96</v>
      </c>
      <c r="R335" s="31" t="inlineStr">
        <is>
          <t>Earnings / Momentum Support</t>
        </is>
      </c>
      <c r="S335" s="31" t="inlineStr">
        <is>
          <t>Nifty 50</t>
        </is>
      </c>
      <c r="T335" s="32" t="n">
        <v>-6.27</v>
      </c>
      <c r="U335" s="32" t="n">
        <v>24.74</v>
      </c>
      <c r="V335" s="32" t="n">
        <v>33.08</v>
      </c>
      <c r="W335" s="32" t="n">
        <v>10.78</v>
      </c>
      <c r="X335" s="31" t="inlineStr">
        <is>
          <t>Cyclical in an Upturn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2</t>
        </is>
      </c>
      <c r="BC335" s="31">
        <f>IF(BB335="Stage 2",20,IF(BB335="Stage 1",0,IF(BB335="Stage 3",5,IF(BB335="Stage 4",-5,0))))</f>
        <v/>
      </c>
      <c r="BD335" s="31" t="inlineStr">
        <is>
          <t>Positive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More than 20%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More than 1.2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IF(B336=0,"",RANK(B336,$B$2:$B$370,0))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1" t="inlineStr">
        <is>
          <t>MAHLOG</t>
        </is>
      </c>
      <c r="D336" s="31" t="inlineStr">
        <is>
          <t>Mahindra Logistics Ltd</t>
        </is>
      </c>
      <c r="E336" s="31" t="inlineStr">
        <is>
          <t>transportation</t>
        </is>
      </c>
      <c r="F336" s="31" t="inlineStr">
        <is>
          <t>miscellaneous</t>
        </is>
      </c>
      <c r="G336" s="31" t="inlineStr">
        <is>
          <t>smallcap</t>
        </is>
      </c>
      <c r="H336" s="32" t="n">
        <v>3695.05</v>
      </c>
      <c r="I336" s="32" t="n">
        <v>374.75</v>
      </c>
      <c r="J336" s="32" t="n">
        <v>0.63</v>
      </c>
      <c r="K336" s="32" t="n">
        <v>112301</v>
      </c>
      <c r="L336" s="31" t="n">
        <v>7</v>
      </c>
      <c r="M336" s="31" t="inlineStr">
        <is>
          <t>Outperforming</t>
        </is>
      </c>
      <c r="N336" s="32">
        <f>IF(M336="Underperforming",-5,IF(L336&gt;=95,15,IF(L336&gt;=90,10,IF(L336&gt;=80,5,0))))</f>
        <v/>
      </c>
      <c r="O336" s="32" t="n">
        <v>52.98</v>
      </c>
      <c r="P336" s="32" t="n">
        <v>16.07</v>
      </c>
      <c r="Q336" s="32" t="n">
        <v>342.14</v>
      </c>
      <c r="R336" s="31" t="inlineStr">
        <is>
          <t>Earnings / Momentum Support</t>
        </is>
      </c>
      <c r="S336" s="31" t="inlineStr">
        <is>
          <t>Nifty 50</t>
        </is>
      </c>
      <c r="T336" s="32" t="n">
        <v>-6.27</v>
      </c>
      <c r="U336" s="32" t="n">
        <v>6.5</v>
      </c>
      <c r="V336" s="32" t="n">
        <v>13.62</v>
      </c>
      <c r="W336" s="32" t="n">
        <v>3</v>
      </c>
      <c r="X336" s="31" t="inlineStr">
        <is>
          <t>Growing Industry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1</t>
        </is>
      </c>
      <c r="BC336" s="31">
        <f>IF(BB336="Stage 2",20,IF(BB336="Stage 1",0,IF(BB336="Stage 3",5,IF(BB336="Stage 4",-5,0))))</f>
        <v/>
      </c>
      <c r="BD336" s="31" t="inlineStr">
        <is>
          <t>Positive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More than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Yes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IF(B337=0,"",RANK(B337,$B$2:$B$370,0))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3" t="inlineStr">
        <is>
          <t>LLOYDSME</t>
        </is>
      </c>
      <c r="D337" s="33" t="inlineStr">
        <is>
          <t>Lloyds Metals &amp; Energy Ltd</t>
        </is>
      </c>
      <c r="E337" s="31" t="inlineStr">
        <is>
          <t>metals &amp; mining</t>
        </is>
      </c>
      <c r="F337" s="31" t="inlineStr">
        <is>
          <t>mining / minerals / metals</t>
        </is>
      </c>
      <c r="G337" s="31" t="inlineStr">
        <is>
          <t>largecap</t>
        </is>
      </c>
      <c r="H337" s="32" t="n">
        <v>101622.1</v>
      </c>
      <c r="I337" s="32" t="n">
        <v>1810.4</v>
      </c>
      <c r="J337" s="32" t="n">
        <v>0.26</v>
      </c>
      <c r="K337" s="32" t="n">
        <v>302196</v>
      </c>
      <c r="L337" s="31" t="n">
        <v>36</v>
      </c>
      <c r="M337" s="31" t="inlineStr">
        <is>
          <t>Underperforming</t>
        </is>
      </c>
      <c r="N337" s="32">
        <f>IF(M337="Underperforming",-5,IF(L337&gt;=95,15,IF(L337&gt;=90,10,IF(L337&gt;=80,5,0))))</f>
        <v/>
      </c>
      <c r="O337" s="32" t="n">
        <v>68.91</v>
      </c>
      <c r="P337" s="32" t="n">
        <v>43.75</v>
      </c>
      <c r="Q337" s="32" t="n">
        <v>1470.61</v>
      </c>
      <c r="R337" s="31" t="inlineStr">
        <is>
          <t>Near 52W High Breakout</t>
        </is>
      </c>
      <c r="S337" s="31" t="inlineStr">
        <is>
          <t>Nifty Metal</t>
        </is>
      </c>
      <c r="T337" s="32" t="n">
        <v>30.67</v>
      </c>
      <c r="U337" s="32" t="n">
        <v>16.59</v>
      </c>
      <c r="V337" s="32" t="n">
        <v>-10.78</v>
      </c>
      <c r="W337" s="32" t="n">
        <v>10.23</v>
      </c>
      <c r="X337" s="31" t="inlineStr">
        <is>
          <t>Cyclical in an Upturn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Cyclical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Volatile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Yes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Above 40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2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Blue sky scenario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More than 20%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No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Less than 50% and Borrowings are increasing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More than 1.2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IF(B338=0,"",RANK(B338,$B$2:$B$370,0))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3" t="inlineStr">
        <is>
          <t>REDINGTON</t>
        </is>
      </c>
      <c r="D338" s="33" t="inlineStr">
        <is>
          <t>Redington (india) Limited</t>
        </is>
      </c>
      <c r="E338" s="31" t="inlineStr">
        <is>
          <t>services</t>
        </is>
      </c>
      <c r="F338" s="31" t="inlineStr">
        <is>
          <t>trading</t>
        </is>
      </c>
      <c r="G338" s="31" t="inlineStr">
        <is>
          <t>largecap</t>
        </is>
      </c>
      <c r="H338" s="32" t="n">
        <v>21539.45</v>
      </c>
      <c r="I338" s="32" t="n">
        <v>276.18</v>
      </c>
      <c r="J338" s="32" t="n">
        <v>0.24</v>
      </c>
      <c r="K338" s="32" t="n">
        <v>2453236</v>
      </c>
      <c r="L338" s="31" t="n">
        <v>25</v>
      </c>
      <c r="M338" s="31" t="inlineStr">
        <is>
          <t>Underperforming</t>
        </is>
      </c>
      <c r="N338" s="32">
        <f>IF(M338="Underperforming",-5,IF(L338&gt;=95,15,IF(L338&gt;=90,10,IF(L338&gt;=80,5,0))))</f>
        <v/>
      </c>
      <c r="O338" s="32" t="n">
        <v>59.37</v>
      </c>
      <c r="P338" s="32" t="n">
        <v>14.89</v>
      </c>
      <c r="Q338" s="32" t="n">
        <v>217.86</v>
      </c>
      <c r="R338" s="31" t="inlineStr">
        <is>
          <t>Earnings / Momentum Support</t>
        </is>
      </c>
      <c r="S338" s="31" t="inlineStr">
        <is>
          <t>Nifty 50</t>
        </is>
      </c>
      <c r="T338" s="32" t="n">
        <v>-6.27</v>
      </c>
      <c r="U338" s="32" t="n">
        <v>-9.51</v>
      </c>
      <c r="V338" s="32" t="n">
        <v>-3.46</v>
      </c>
      <c r="W338" s="32" t="n">
        <v>7.57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Tailwind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2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Less than 12%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No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Less than 50%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IF(B339=0,"",RANK(B339,$B$2:$B$370,0))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CHENNPETRO</t>
        </is>
      </c>
      <c r="D339" s="31" t="inlineStr">
        <is>
          <t>Chennai Petroleum Corporation Limited</t>
        </is>
      </c>
      <c r="E339" s="31" t="inlineStr">
        <is>
          <t>energy</t>
        </is>
      </c>
      <c r="F339" s="31" t="inlineStr">
        <is>
          <t>refineries</t>
        </is>
      </c>
      <c r="G339" s="31" t="inlineStr">
        <is>
          <t>midcap</t>
        </is>
      </c>
      <c r="H339" s="32" t="n">
        <v>17181.4</v>
      </c>
      <c r="I339" s="32" t="n">
        <v>1156.3</v>
      </c>
      <c r="J339" s="32" t="n">
        <v>0.22</v>
      </c>
      <c r="K339" s="32" t="n">
        <v>704680</v>
      </c>
      <c r="L339" s="31" t="n">
        <v>43</v>
      </c>
      <c r="M339" s="31" t="inlineStr">
        <is>
          <t>Outperforming</t>
        </is>
      </c>
      <c r="N339" s="32">
        <f>IF(M339="Underperforming",-5,IF(L339&gt;=95,15,IF(L339&gt;=90,10,IF(L339&gt;=80,5,0))))</f>
        <v/>
      </c>
      <c r="O339" s="32" t="n">
        <v>60.9</v>
      </c>
      <c r="P339" s="32" t="n">
        <v>46.46</v>
      </c>
      <c r="Q339" s="32" t="n">
        <v>884.42</v>
      </c>
      <c r="R339" s="31" t="inlineStr">
        <is>
          <t>Near 52W High Breakout</t>
        </is>
      </c>
      <c r="S339" s="31" t="inlineStr">
        <is>
          <t>Nifty Energy</t>
        </is>
      </c>
      <c r="T339" s="32" t="n">
        <v>8.85</v>
      </c>
      <c r="U339" s="32" t="n">
        <v>52.25</v>
      </c>
      <c r="V339" s="32" t="n">
        <v>39.87</v>
      </c>
      <c r="W339" s="32" t="n">
        <v>11.71</v>
      </c>
      <c r="X339" s="31" t="inlineStr">
        <is>
          <t>Cyclical in an Upturn</t>
        </is>
      </c>
      <c r="Y339" s="31">
        <f>IF(X339="Growing Industry",10,IF(X339="Cyclical in an Upturn",5,0))</f>
        <v/>
      </c>
      <c r="Z339" s="31" t="inlineStr">
        <is>
          <t>Oligopoly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Yes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Cyclical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Volatile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Yes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Above 40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2</t>
        </is>
      </c>
      <c r="BC339" s="31">
        <f>IF(BB339="Stage 2",20,IF(BB339="Stage 1",0,IF(BB339="Stage 3",5,IF(BB339="Stage 4",-5,0))))</f>
        <v/>
      </c>
      <c r="BD339" s="31" t="inlineStr">
        <is>
          <t>Negative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Blue sky scenario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More than 20%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No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Between 50% to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IF(B340=0,"",RANK(B340,$B$2:$B$370,0))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1" t="inlineStr">
        <is>
          <t>NHPC</t>
        </is>
      </c>
      <c r="D340" s="31" t="inlineStr">
        <is>
          <t>Nhpc Limited</t>
        </is>
      </c>
      <c r="E340" s="31" t="inlineStr">
        <is>
          <t>power &amp; utilities</t>
        </is>
      </c>
      <c r="F340" s="31" t="inlineStr">
        <is>
          <t>power generation and supply</t>
        </is>
      </c>
      <c r="G340" s="31" t="inlineStr">
        <is>
          <t>largecap</t>
        </is>
      </c>
      <c r="H340" s="32" t="n">
        <v>81937.35000000001</v>
      </c>
      <c r="I340" s="32" t="n">
        <v>81.33</v>
      </c>
      <c r="J340" s="32" t="n">
        <v>-0.29</v>
      </c>
      <c r="K340" s="32" t="n">
        <v>20941481</v>
      </c>
      <c r="L340" s="31" t="n">
        <v>3</v>
      </c>
      <c r="M340" s="31" t="inlineStr">
        <is>
          <t>Outperforming</t>
        </is>
      </c>
      <c r="N340" s="32">
        <f>IF(M340="Underperforming",-5,IF(L340&gt;=95,15,IF(L340&gt;=90,10,IF(L340&gt;=80,5,0))))</f>
        <v/>
      </c>
      <c r="O340" s="32" t="n">
        <v>55.53</v>
      </c>
      <c r="P340" s="32" t="n">
        <v>15.97</v>
      </c>
      <c r="Q340" s="32" t="n">
        <v>70.17</v>
      </c>
      <c r="R340" s="31" t="inlineStr">
        <is>
          <t>Earnings / Momentum Support</t>
        </is>
      </c>
      <c r="S340" s="31" t="inlineStr">
        <is>
          <t>Nifty IT</t>
        </is>
      </c>
      <c r="T340" s="32" t="n">
        <v>-32.85</v>
      </c>
      <c r="U340" s="32" t="n">
        <v>-2.05</v>
      </c>
      <c r="V340" s="32" t="n">
        <v>45.88</v>
      </c>
      <c r="W340" s="32" t="n">
        <v>1.33</v>
      </c>
      <c r="X340" s="31" t="inlineStr">
        <is>
          <t>Growing Industry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Structural (10 Years Consistency)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Stable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No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1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More than 20%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No</t>
        </is>
      </c>
      <c r="BS340" s="31">
        <f>IF(BR340="NO",5,0)</f>
        <v/>
      </c>
      <c r="BT340" s="31" t="inlineStr">
        <is>
          <t>Less than 1.5</t>
        </is>
      </c>
      <c r="BU340" s="31">
        <f>IF(BT340="Above 2",0,IF(BT340="Between 1.5 to 2",5,IF(BT340="Less than 1.5",10,0)))</f>
        <v/>
      </c>
      <c r="BV340" s="31" t="inlineStr">
        <is>
          <t>Between 50% to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Between 0.7 to 1.2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IF(B341=0,"",RANK(B341,$B$2:$B$370,0))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1" t="inlineStr">
        <is>
          <t>JSWENERGY</t>
        </is>
      </c>
      <c r="D341" s="31" t="inlineStr">
        <is>
          <t>Jsw Energy Limited</t>
        </is>
      </c>
      <c r="E341" s="31" t="inlineStr">
        <is>
          <t>power &amp; utilities</t>
        </is>
      </c>
      <c r="F341" s="31" t="inlineStr">
        <is>
          <t>power generation and supply</t>
        </is>
      </c>
      <c r="G341" s="31" t="inlineStr">
        <is>
          <t>largecap</t>
        </is>
      </c>
      <c r="H341" s="32" t="n">
        <v>107487.93</v>
      </c>
      <c r="I341" s="32" t="n">
        <v>583.15</v>
      </c>
      <c r="J341" s="32" t="n">
        <v>-0.53</v>
      </c>
      <c r="K341" s="32" t="n">
        <v>4361565</v>
      </c>
      <c r="L341" s="31" t="n">
        <v>22</v>
      </c>
      <c r="M341" s="31" t="inlineStr">
        <is>
          <t>Outperforming</t>
        </is>
      </c>
      <c r="N341" s="32">
        <f>IF(M341="Underperforming",-5,IF(L341&gt;=95,15,IF(L341&gt;=90,10,IF(L341&gt;=80,5,0))))</f>
        <v/>
      </c>
      <c r="O341" s="32" t="n">
        <v>60.09</v>
      </c>
      <c r="P341" s="32" t="n">
        <v>15.77</v>
      </c>
      <c r="Q341" s="32" t="n">
        <v>485.78</v>
      </c>
      <c r="R341" s="31" t="inlineStr">
        <is>
          <t>Near 52W High Breakout</t>
        </is>
      </c>
      <c r="S341" s="31" t="inlineStr">
        <is>
          <t>Nifty IT</t>
        </is>
      </c>
      <c r="T341" s="32" t="n">
        <v>-32.85</v>
      </c>
      <c r="U341" s="32" t="n">
        <v>14.28</v>
      </c>
      <c r="V341" s="32" t="n">
        <v>70.2</v>
      </c>
      <c r="W341" s="32" t="n">
        <v>6.9</v>
      </c>
      <c r="X341" s="31" t="inlineStr">
        <is>
          <t>Growing Industry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Tailwind</t>
        </is>
      </c>
      <c r="AE341" s="31">
        <f>IF(AD341="Tailwind",10,0)</f>
        <v/>
      </c>
      <c r="AF341" s="31" t="inlineStr">
        <is>
          <t>Structural (10 Years Consistency)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Stable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Yes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0 to 20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2</t>
        </is>
      </c>
      <c r="BC341" s="31">
        <f>IF(BB341="Stage 2",20,IF(BB341="Stage 1",0,IF(BB341="Stage 3",5,IF(BB341="Stage 4",-5,0))))</f>
        <v/>
      </c>
      <c r="BD341" s="31" t="inlineStr">
        <is>
          <t>Positive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Less than 12%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Yes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More than 1.2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IF(B342=0,"",RANK(B342,$B$2:$B$370,0))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3" t="inlineStr">
        <is>
          <t>KIRLOSBROS</t>
        </is>
      </c>
      <c r="D342" s="33" t="inlineStr">
        <is>
          <t>Kirloskar Brothers Limited</t>
        </is>
      </c>
      <c r="E342" s="31" t="inlineStr">
        <is>
          <t>industrials</t>
        </is>
      </c>
      <c r="F342" s="31" t="inlineStr">
        <is>
          <t>pumps</t>
        </is>
      </c>
      <c r="G342" s="31" t="inlineStr">
        <is>
          <t>midcap</t>
        </is>
      </c>
      <c r="H342" s="32" t="n">
        <v>15594.32</v>
      </c>
      <c r="I342" s="32" t="n">
        <v>2053.4</v>
      </c>
      <c r="J342" s="32" t="n">
        <v>4.56</v>
      </c>
      <c r="K342" s="32" t="n">
        <v>397085</v>
      </c>
      <c r="L342" s="31" t="n">
        <v>32</v>
      </c>
      <c r="M342" s="31" t="inlineStr">
        <is>
          <t>Underperforming</t>
        </is>
      </c>
      <c r="N342" s="32">
        <f>IF(M342="Underperforming",-5,IF(L342&gt;=95,15,IF(L342&gt;=90,10,IF(L342&gt;=80,5,0))))</f>
        <v/>
      </c>
      <c r="O342" s="32" t="n">
        <v>67.04000000000001</v>
      </c>
      <c r="P342" s="32" t="n">
        <v>19.51</v>
      </c>
      <c r="Q342" s="32" t="n">
        <v>1579.59</v>
      </c>
      <c r="R342" s="31" t="inlineStr">
        <is>
          <t>Earnings / Momentum Support</t>
        </is>
      </c>
      <c r="S342" s="31" t="inlineStr">
        <is>
          <t>Nifty 50</t>
        </is>
      </c>
      <c r="T342" s="32" t="n">
        <v>-6.27</v>
      </c>
      <c r="U342" s="32" t="n">
        <v>-11.68</v>
      </c>
      <c r="V342" s="32" t="n">
        <v>-5.78</v>
      </c>
      <c r="W342" s="32" t="n">
        <v>9.23</v>
      </c>
      <c r="X342" s="31" t="inlineStr">
        <is>
          <t>Cyclical in an Upturn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Tailwind</t>
        </is>
      </c>
      <c r="AE342" s="31">
        <f>IF(AD342="Tailwind",10,0)</f>
        <v/>
      </c>
      <c r="AF342" s="31" t="inlineStr">
        <is>
          <t>Structural (10 Years Consistency)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Stable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No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0 to 20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2</t>
        </is>
      </c>
      <c r="BC342" s="31">
        <f>IF(BB342="Stage 2",20,IF(BB342="Stage 1",0,IF(BB342="Stage 3",5,IF(BB342="Stage 4",-5,0))))</f>
        <v/>
      </c>
      <c r="BD342" s="31" t="inlineStr">
        <is>
          <t>Positive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Less than 12%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Yes</t>
        </is>
      </c>
      <c r="BS342" s="31">
        <f>IF(BR342="NO",5,0)</f>
        <v/>
      </c>
      <c r="BT342" s="31" t="inlineStr">
        <is>
          <t>Above 2</t>
        </is>
      </c>
      <c r="BU342" s="31">
        <f>IF(BT342="Above 2",0,IF(BT342="Between 1.5 to 2",5,IF(BT342="Less than 1.5",10,0)))</f>
        <v/>
      </c>
      <c r="BV342" s="31" t="inlineStr">
        <is>
          <t>Between 50% to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IF(B343=0,"",RANK(B343,$B$2:$B$370,0))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1" t="inlineStr">
        <is>
          <t>AVANTEL</t>
        </is>
      </c>
      <c r="D343" s="31" t="inlineStr">
        <is>
          <t>Avantel Ltd</t>
        </is>
      </c>
      <c r="E343" s="31" t="inlineStr">
        <is>
          <t>aerospace &amp; defence</t>
        </is>
      </c>
      <c r="F343" s="31" t="inlineStr">
        <is>
          <t>telecommunications - equipment</t>
        </is>
      </c>
      <c r="G343" s="31" t="inlineStr">
        <is>
          <t>smallcap</t>
        </is>
      </c>
      <c r="H343" s="32" t="n">
        <v>4563.85</v>
      </c>
      <c r="I343" s="32" t="n">
        <v>179.12</v>
      </c>
      <c r="J343" s="32" t="n">
        <v>4.29</v>
      </c>
      <c r="K343" s="32" t="n">
        <v>4045894</v>
      </c>
      <c r="L343" s="31" t="n">
        <v>42</v>
      </c>
      <c r="M343" s="31" t="inlineStr">
        <is>
          <t>Outperforming</t>
        </is>
      </c>
      <c r="N343" s="32">
        <f>IF(M343="Underperforming",-5,IF(L343&gt;=95,15,IF(L343&gt;=90,10,IF(L343&gt;=80,5,0))))</f>
        <v/>
      </c>
      <c r="O343" s="32" t="n">
        <v>58.84</v>
      </c>
      <c r="P343" s="32" t="n">
        <v>12.21</v>
      </c>
      <c r="Q343" s="32" t="n">
        <v>129.78</v>
      </c>
      <c r="R343" s="31" t="inlineStr">
        <is>
          <t>Earnings / Momentum Support</t>
        </is>
      </c>
      <c r="S343" s="31" t="inlineStr">
        <is>
          <t>Nifty 50</t>
        </is>
      </c>
      <c r="T343" s="32" t="n">
        <v>-6.27</v>
      </c>
      <c r="U343" s="32" t="n">
        <v>12.49</v>
      </c>
      <c r="V343" s="32" t="n">
        <v>20.01</v>
      </c>
      <c r="W343" s="32" t="n">
        <v>11.47</v>
      </c>
      <c r="X343" s="31" t="inlineStr">
        <is>
          <t>Growing Industry</t>
        </is>
      </c>
      <c r="Y343" s="31">
        <f>IF(X343="Growing Industry",10,IF(X343="Cyclical in an Upturn",5,0))</f>
        <v/>
      </c>
      <c r="Z343" s="31" t="inlineStr">
        <is>
          <t>Oligopoly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Yes</t>
        </is>
      </c>
      <c r="AC343" s="31">
        <f>IF(AB343="No",5,0)</f>
        <v/>
      </c>
      <c r="AD343" s="31" t="inlineStr">
        <is>
          <t>Tailwind</t>
        </is>
      </c>
      <c r="AE343" s="31">
        <f>IF(AD343="Tailwind",10,0)</f>
        <v/>
      </c>
      <c r="AF343" s="31" t="inlineStr">
        <is>
          <t>Structural (10 Years Consistency)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Stable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No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2</t>
        </is>
      </c>
      <c r="BC343" s="31">
        <f>IF(BB343="Stage 2",20,IF(BB343="Stage 1",0,IF(BB343="Stage 3",5,IF(BB343="Stage 4",-5,0))))</f>
        <v/>
      </c>
      <c r="BD343" s="31" t="inlineStr">
        <is>
          <t>Positive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Less than 12%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Yes</t>
        </is>
      </c>
      <c r="BS343" s="31">
        <f>IF(BR343="NO",5,0)</f>
        <v/>
      </c>
      <c r="BT343" s="31" t="inlineStr">
        <is>
          <t>Above 2</t>
        </is>
      </c>
      <c r="BU343" s="31">
        <f>IF(BT343="Above 2",0,IF(BT343="Between 1.5 to 2",5,IF(BT343="Less than 1.5",10,0)))</f>
        <v/>
      </c>
      <c r="BV343" s="31" t="inlineStr">
        <is>
          <t>Less than 50%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IF(B344=0,"",RANK(B344,$B$2:$B$370,0))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3" t="inlineStr">
        <is>
          <t>KSL</t>
        </is>
      </c>
      <c r="D344" s="33" t="inlineStr">
        <is>
          <t>Kalyani Steels Limited</t>
        </is>
      </c>
      <c r="E344" s="31" t="inlineStr">
        <is>
          <t>metals &amp; mining</t>
        </is>
      </c>
      <c r="F344" s="31" t="inlineStr">
        <is>
          <t>steel - medium / small</t>
        </is>
      </c>
      <c r="G344" s="31" t="inlineStr">
        <is>
          <t>smallcap</t>
        </is>
      </c>
      <c r="H344" s="32" t="n">
        <v>3686.72</v>
      </c>
      <c r="I344" s="32" t="n">
        <v>879.95</v>
      </c>
      <c r="J344" s="32" t="n">
        <v>4.19</v>
      </c>
      <c r="K344" s="32" t="n">
        <v>123531</v>
      </c>
      <c r="L344" s="31" t="n">
        <v>28</v>
      </c>
      <c r="M344" s="31" t="inlineStr">
        <is>
          <t>Underperforming</t>
        </is>
      </c>
      <c r="N344" s="32">
        <f>IF(M344="Underperforming",-5,IF(L344&gt;=95,15,IF(L344&gt;=90,10,IF(L344&gt;=80,5,0))))</f>
        <v/>
      </c>
      <c r="O344" s="32" t="n">
        <v>63.23</v>
      </c>
      <c r="P344" s="32" t="n">
        <v>19.23</v>
      </c>
      <c r="Q344" s="32" t="n">
        <v>703.01</v>
      </c>
      <c r="R344" s="31" t="inlineStr">
        <is>
          <t>Near 52W High Breakout</t>
        </is>
      </c>
      <c r="S344" s="31" t="inlineStr">
        <is>
          <t>Nifty Metal</t>
        </is>
      </c>
      <c r="T344" s="32" t="n">
        <v>30.67</v>
      </c>
      <c r="U344" s="32" t="n">
        <v>-7.26</v>
      </c>
      <c r="V344" s="32" t="n">
        <v>-29.03</v>
      </c>
      <c r="W344" s="32" t="n">
        <v>8.619999999999999</v>
      </c>
      <c r="X344" s="31" t="inlineStr">
        <is>
          <t>Cyclical in an Upturn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Tailwind</t>
        </is>
      </c>
      <c r="AE344" s="31">
        <f>IF(AD344="Tailwind",10,0)</f>
        <v/>
      </c>
      <c r="AF344" s="31" t="inlineStr">
        <is>
          <t>Cyclical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Volatile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Yes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0 to 20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2</t>
        </is>
      </c>
      <c r="BC344" s="31">
        <f>IF(BB344="Stage 2",20,IF(BB344="Stage 1",0,IF(BB344="Stage 3",5,IF(BB344="Stage 4",-5,0))))</f>
        <v/>
      </c>
      <c r="BD344" s="31" t="inlineStr">
        <is>
          <t>Positive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Less than 12%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No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Less than 0.7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IF(B345=0,"",RANK(B345,$B$2:$B$370,0))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1" t="inlineStr">
        <is>
          <t>ADANIENT</t>
        </is>
      </c>
      <c r="D345" s="31" t="inlineStr">
        <is>
          <t>Adani Enterprises Limited</t>
        </is>
      </c>
      <c r="E345" s="31" t="inlineStr">
        <is>
          <t>services</t>
        </is>
      </c>
      <c r="F345" s="31" t="inlineStr">
        <is>
          <t>trading</t>
        </is>
      </c>
      <c r="G345" s="31" t="inlineStr">
        <is>
          <t>largecap</t>
        </is>
      </c>
      <c r="H345" s="32" t="n">
        <v>382957.17</v>
      </c>
      <c r="I345" s="32" t="n">
        <v>3036</v>
      </c>
      <c r="J345" s="32" t="n">
        <v>2.48</v>
      </c>
      <c r="K345" s="32" t="n">
        <v>2099291</v>
      </c>
      <c r="L345" s="31" t="n">
        <v>70</v>
      </c>
      <c r="M345" s="31" t="inlineStr">
        <is>
          <t>Outperforming</t>
        </is>
      </c>
      <c r="N345" s="32">
        <f>IF(M345="Underperforming",-5,IF(L345&gt;=95,15,IF(L345&gt;=90,10,IF(L345&gt;=80,5,0))))</f>
        <v/>
      </c>
      <c r="O345" s="32" t="n">
        <v>71</v>
      </c>
      <c r="P345" s="32" t="n">
        <v>33.52</v>
      </c>
      <c r="Q345" s="32" t="n">
        <v>2535.17</v>
      </c>
      <c r="R345" s="31" t="inlineStr">
        <is>
          <t>Near 52W High Breakout</t>
        </is>
      </c>
      <c r="S345" s="31" t="inlineStr">
        <is>
          <t>Nifty 50</t>
        </is>
      </c>
      <c r="T345" s="32" t="n">
        <v>-6.27</v>
      </c>
      <c r="U345" s="32" t="n">
        <v>16.86</v>
      </c>
      <c r="V345" s="32" t="n">
        <v>24.67</v>
      </c>
      <c r="W345" s="32" t="n">
        <v>19.86</v>
      </c>
      <c r="X345" s="31" t="inlineStr">
        <is>
          <t>Growing Industry</t>
        </is>
      </c>
      <c r="Y345" s="31">
        <f>IF(X345="Growing Industry",10,IF(X345="Cyclical in an Upturn",5,0))</f>
        <v/>
      </c>
      <c r="Z345" s="31" t="inlineStr">
        <is>
          <t>Too Many Players with High ROCE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Tailwind</t>
        </is>
      </c>
      <c r="AE345" s="31">
        <f>IF(AD345="Tailwind",10,0)</f>
        <v/>
      </c>
      <c r="AF345" s="31" t="inlineStr">
        <is>
          <t>Structural (10 Years Consistency)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Stable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Yes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20 to 40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2</t>
        </is>
      </c>
      <c r="BC345" s="31">
        <f>IF(BB345="Stage 2",20,IF(BB345="Stage 1",0,IF(BB345="Stage 3",5,IF(BB345="Stage 4",-5,0))))</f>
        <v/>
      </c>
      <c r="BD345" s="31" t="inlineStr">
        <is>
          <t>Negative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Blue sky scenario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Yes</t>
        </is>
      </c>
      <c r="BS345" s="31">
        <f>IF(BR345="NO",5,0)</f>
        <v/>
      </c>
      <c r="BT345" s="31" t="inlineStr">
        <is>
          <t>Above 2</t>
        </is>
      </c>
      <c r="BU345" s="31">
        <f>IF(BT345="Above 2",0,IF(BT345="Between 1.5 to 2",5,IF(BT345="Less than 1.5",10,0)))</f>
        <v/>
      </c>
      <c r="BV345" s="31" t="inlineStr">
        <is>
          <t>Less than 50% and Borrowings are increasing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Between 0.7 to 1.2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IF(B346=0,"",RANK(B346,$B$2:$B$370,0))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1" t="inlineStr">
        <is>
          <t>KAPSTON</t>
        </is>
      </c>
      <c r="D346" s="31" t="inlineStr">
        <is>
          <t>Kapston Services Ltd</t>
        </is>
      </c>
      <c r="E346" s="31" t="inlineStr">
        <is>
          <t>miscellaneous</t>
        </is>
      </c>
      <c r="F346" s="31" t="inlineStr">
        <is>
          <t>miscellaneous</t>
        </is>
      </c>
      <c r="G346" s="31" t="inlineStr">
        <is>
          <t>smallcap</t>
        </is>
      </c>
      <c r="H346" s="32" t="n">
        <v>1096.32</v>
      </c>
      <c r="I346" s="32" t="n">
        <v>367.4</v>
      </c>
      <c r="J346" s="32" t="n">
        <v>1.98</v>
      </c>
      <c r="K346" s="32" t="n">
        <v>18065</v>
      </c>
      <c r="L346" s="31" t="n">
        <v>56</v>
      </c>
      <c r="M346" s="31" t="inlineStr">
        <is>
          <t>Outperforming</t>
        </is>
      </c>
      <c r="N346" s="32">
        <f>IF(M346="Underperforming",-5,IF(L346&gt;=95,15,IF(L346&gt;=90,10,IF(L346&gt;=80,5,0))))</f>
        <v/>
      </c>
      <c r="O346" s="32" t="n">
        <v>60.6</v>
      </c>
      <c r="P346" s="32" t="n">
        <v>13.94</v>
      </c>
      <c r="Q346" s="32" t="n">
        <v>272.46</v>
      </c>
      <c r="R346" s="31" t="inlineStr">
        <is>
          <t>Earnings / Momentum Support</t>
        </is>
      </c>
      <c r="S346" s="31" t="inlineStr">
        <is>
          <t>Nifty 50</t>
        </is>
      </c>
      <c r="T346" s="32" t="n">
        <v>-6.27</v>
      </c>
      <c r="U346" s="32" t="n">
        <v>46.67</v>
      </c>
      <c r="V346" s="32" t="n">
        <v>56.48</v>
      </c>
      <c r="W346" s="32" t="n">
        <v>15.08</v>
      </c>
      <c r="X346" s="31" t="inlineStr">
        <is>
          <t>Growing Industry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Tailwind</t>
        </is>
      </c>
      <c r="AE346" s="31">
        <f>IF(AD346="Tailwind",10,0)</f>
        <v/>
      </c>
      <c r="AF346" s="31" t="inlineStr">
        <is>
          <t>Structural (10 Years Consistency)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Stable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No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0 to 20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2</t>
        </is>
      </c>
      <c r="BC346" s="31">
        <f>IF(BB346="Stage 2",20,IF(BB346="Stage 1",0,IF(BB346="Stage 3",5,IF(BB346="Stage 4",-5,0))))</f>
        <v/>
      </c>
      <c r="BD346" s="31" t="inlineStr">
        <is>
          <t>Positive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More than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Between 1.5 to 2</t>
        </is>
      </c>
      <c r="BU346" s="31">
        <f>IF(BT346="Above 2",0,IF(BT346="Between 1.5 to 2",5,IF(BT346="Less than 1.5",10,0)))</f>
        <v/>
      </c>
      <c r="BV346" s="31" t="inlineStr">
        <is>
          <t>Less than 50% and Borrowings are increasing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More than 1.2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IF(B347=0,"",RANK(B347,$B$2:$B$370,0))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1" t="inlineStr">
        <is>
          <t>DIAMONDYD</t>
        </is>
      </c>
      <c r="D347" s="31" t="inlineStr">
        <is>
          <t>Prataap Snacks Ltd</t>
        </is>
      </c>
      <c r="E347" s="31" t="inlineStr">
        <is>
          <t>fmcg</t>
        </is>
      </c>
      <c r="F347" s="31" t="inlineStr">
        <is>
          <t>food - processing - indian</t>
        </is>
      </c>
      <c r="G347" s="31" t="inlineStr">
        <is>
          <t>smallcap</t>
        </is>
      </c>
      <c r="H347" s="32" t="n">
        <v>2667.4</v>
      </c>
      <c r="I347" s="32" t="n">
        <v>1158</v>
      </c>
      <c r="J347" s="32" t="n">
        <v>3.77</v>
      </c>
      <c r="K347" s="32" t="n">
        <v>33451</v>
      </c>
      <c r="L347" s="31" t="n">
        <v>24</v>
      </c>
      <c r="M347" s="31" t="inlineStr">
        <is>
          <t>Outperforming</t>
        </is>
      </c>
      <c r="N347" s="32">
        <f>IF(M347="Underperforming",-5,IF(L347&gt;=95,15,IF(L347&gt;=90,10,IF(L347&gt;=80,5,0))))</f>
        <v/>
      </c>
      <c r="O347" s="32" t="n">
        <v>61.37</v>
      </c>
      <c r="P347" s="32" t="n">
        <v>19.41</v>
      </c>
      <c r="Q347" s="32" t="n">
        <v>934.97</v>
      </c>
      <c r="R347" s="31" t="inlineStr">
        <is>
          <t>Near 52W High Breakout</t>
        </is>
      </c>
      <c r="S347" s="31" t="inlineStr">
        <is>
          <t>Nifty FMCG</t>
        </is>
      </c>
      <c r="T347" s="32" t="n">
        <v>-10.85</v>
      </c>
      <c r="U347" s="32" t="n">
        <v>12.05</v>
      </c>
      <c r="V347" s="32" t="n">
        <v>25.69</v>
      </c>
      <c r="W347" s="32" t="n">
        <v>7.52</v>
      </c>
      <c r="X347" s="31" t="inlineStr">
        <is>
          <t>Growing Industry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Headwind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B2C</t>
        </is>
      </c>
      <c r="AO347" s="31">
        <f>IF(AN347="B2C",10,IF(AN347="B2B",5,0))</f>
        <v/>
      </c>
      <c r="AP347" s="31" t="inlineStr">
        <is>
          <t>Yes</t>
        </is>
      </c>
      <c r="AQ347" s="31">
        <f>IF(AP347="Yes",10,0)</f>
        <v/>
      </c>
      <c r="AR347" s="31" t="inlineStr">
        <is>
          <t>Higher Annuity, Lower One Time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0 to 20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2</t>
        </is>
      </c>
      <c r="BC347" s="31">
        <f>IF(BB347="Stage 2",20,IF(BB347="Stage 1",0,IF(BB347="Stage 3",5,IF(BB347="Stage 4",-5,0))))</f>
        <v/>
      </c>
      <c r="BD347" s="31" t="inlineStr">
        <is>
          <t>Negative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More than 20%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Yes</t>
        </is>
      </c>
      <c r="BS347" s="31">
        <f>IF(BR347="NO",5,0)</f>
        <v/>
      </c>
      <c r="BT347" s="31" t="inlineStr">
        <is>
          <t>Above 2</t>
        </is>
      </c>
      <c r="BU347" s="31">
        <f>IF(BT347="Above 2",0,IF(BT347="Between 1.5 to 2",5,IF(BT347="Less than 1.5",10,0)))</f>
        <v/>
      </c>
      <c r="BV347" s="31" t="inlineStr">
        <is>
          <t>Between 50% to 70%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Less than 0.7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IF(B348=0,"",RANK(B348,$B$2:$B$370,0))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1" t="inlineStr">
        <is>
          <t>SIMPLEXINF</t>
        </is>
      </c>
      <c r="D348" s="31" t="inlineStr">
        <is>
          <t>Simplex Infrastructures Limited</t>
        </is>
      </c>
      <c r="E348" s="31" t="inlineStr">
        <is>
          <t>realty</t>
        </is>
      </c>
      <c r="F348" s="31" t="inlineStr">
        <is>
          <t>construction</t>
        </is>
      </c>
      <c r="G348" s="31" t="inlineStr">
        <is>
          <t>smallcap</t>
        </is>
      </c>
      <c r="H348" s="32" t="n">
        <v>1995.58</v>
      </c>
      <c r="I348" s="32" t="n">
        <v>266</v>
      </c>
      <c r="J348" s="32" t="n">
        <v>5.43</v>
      </c>
      <c r="K348" s="32" t="n">
        <v>184098</v>
      </c>
      <c r="L348" s="31" t="n">
        <v>71</v>
      </c>
      <c r="M348" s="31" t="inlineStr">
        <is>
          <t>Outperforming</t>
        </is>
      </c>
      <c r="N348" s="32">
        <f>IF(M348="Underperforming",-5,IF(L348&gt;=95,15,IF(L348&gt;=90,10,IF(L348&gt;=80,5,0))))</f>
        <v/>
      </c>
      <c r="O348" s="32" t="n">
        <v>57.34</v>
      </c>
      <c r="P348" s="32" t="n">
        <v>16.53</v>
      </c>
      <c r="Q348" s="32" t="n">
        <v>184.53</v>
      </c>
      <c r="R348" s="31" t="inlineStr">
        <is>
          <t>Earnings / Momentum Support</t>
        </is>
      </c>
      <c r="S348" s="31" t="inlineStr">
        <is>
          <t>Nifty Realty</t>
        </is>
      </c>
      <c r="T348" s="32" t="n">
        <v>-14.65</v>
      </c>
      <c r="U348" s="32" t="n">
        <v>2.71</v>
      </c>
      <c r="V348" s="32" t="n">
        <v>20.34</v>
      </c>
      <c r="W348" s="32" t="n">
        <v>20.18</v>
      </c>
      <c r="X348" s="31" t="inlineStr">
        <is>
          <t>Growing Industry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Tailwind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No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0 to 20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2</t>
        </is>
      </c>
      <c r="BC348" s="31">
        <f>IF(BB348="Stage 2",20,IF(BB348="Stage 1",0,IF(BB348="Stage 3",5,IF(BB348="Stage 4",-5,0))))</f>
        <v/>
      </c>
      <c r="BD348" s="31" t="inlineStr">
        <is>
          <t>Positive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Less than 12%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Yes</t>
        </is>
      </c>
      <c r="BS348" s="31">
        <f>IF(BR348="NO",5,0)</f>
        <v/>
      </c>
      <c r="BT348" s="31" t="inlineStr">
        <is>
          <t>Above 2</t>
        </is>
      </c>
      <c r="BU348" s="31">
        <f>IF(BT348="Above 2",0,IF(BT348="Between 1.5 to 2",5,IF(BT348="Less than 1.5",10,0)))</f>
        <v/>
      </c>
      <c r="BV348" s="31" t="inlineStr">
        <is>
          <t>Above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More than 1.2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IF(B349=0,"",RANK(B349,$B$2:$B$370,0))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3" t="inlineStr">
        <is>
          <t>JBMA</t>
        </is>
      </c>
      <c r="D349" s="33" t="inlineStr">
        <is>
          <t>Jbm Auto Limited</t>
        </is>
      </c>
      <c r="E349" s="31" t="inlineStr">
        <is>
          <t>auto</t>
        </is>
      </c>
      <c r="F349" s="31" t="inlineStr">
        <is>
          <t>auto ancillaries</t>
        </is>
      </c>
      <c r="G349" s="31" t="inlineStr">
        <is>
          <t>midcap</t>
        </is>
      </c>
      <c r="H349" s="32" t="n">
        <v>16188.03</v>
      </c>
      <c r="I349" s="32" t="n">
        <v>697.75</v>
      </c>
      <c r="J349" s="32" t="n">
        <v>1.94</v>
      </c>
      <c r="K349" s="32" t="n">
        <v>707344</v>
      </c>
      <c r="L349" s="31" t="n">
        <v>24</v>
      </c>
      <c r="M349" s="31" t="inlineStr">
        <is>
          <t>Underperforming</t>
        </is>
      </c>
      <c r="N349" s="32">
        <f>IF(M349="Underperforming",-5,IF(L349&gt;=95,15,IF(L349&gt;=90,10,IF(L349&gt;=80,5,0))))</f>
        <v/>
      </c>
      <c r="O349" s="32" t="n">
        <v>60.22</v>
      </c>
      <c r="P349" s="32" t="n">
        <v>20.68</v>
      </c>
      <c r="Q349" s="32" t="n">
        <v>564.08</v>
      </c>
      <c r="R349" s="31" t="inlineStr">
        <is>
          <t>Near 52W High Breakout</t>
        </is>
      </c>
      <c r="S349" s="31" t="inlineStr">
        <is>
          <t>Nifty Auto</t>
        </is>
      </c>
      <c r="T349" s="32" t="n">
        <v>10.42</v>
      </c>
      <c r="U349" s="32" t="n">
        <v>8.06</v>
      </c>
      <c r="V349" s="32" t="n">
        <v>-2.14</v>
      </c>
      <c r="W349" s="32" t="n">
        <v>7.22</v>
      </c>
      <c r="X349" s="31" t="inlineStr">
        <is>
          <t>Growing Industry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Tailwind</t>
        </is>
      </c>
      <c r="AE349" s="31">
        <f>IF(AD349="Tailwind",10,0)</f>
        <v/>
      </c>
      <c r="AF349" s="31" t="inlineStr">
        <is>
          <t>Structural (10 Years Consistency)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Stable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Yes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20 to 40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2</t>
        </is>
      </c>
      <c r="BC349" s="31">
        <f>IF(BB349="Stage 2",20,IF(BB349="Stage 1",0,IF(BB349="Stage 3",5,IF(BB349="Stage 4",-5,0))))</f>
        <v/>
      </c>
      <c r="BD349" s="31" t="inlineStr">
        <is>
          <t>Positive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Less than 12%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Yes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Negative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More than 1.2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IF(B350=0,"",RANK(B350,$B$2:$B$370,0))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1" t="inlineStr">
        <is>
          <t>GOCLCORP</t>
        </is>
      </c>
      <c r="D350" s="31" t="inlineStr">
        <is>
          <t>Gocl Corporation Limited</t>
        </is>
      </c>
      <c r="E350" s="31" t="inlineStr">
        <is>
          <t>miscellaneous</t>
        </is>
      </c>
      <c r="F350" s="31" t="inlineStr">
        <is>
          <t>diversified - medium / small</t>
        </is>
      </c>
      <c r="G350" s="31" t="inlineStr">
        <is>
          <t>smallcap</t>
        </is>
      </c>
      <c r="H350" s="32" t="n">
        <v>1999.51</v>
      </c>
      <c r="I350" s="32" t="n">
        <v>408.55</v>
      </c>
      <c r="J350" s="32" t="n">
        <v>1.29</v>
      </c>
      <c r="K350" s="32" t="n">
        <v>38213</v>
      </c>
      <c r="L350" s="31" t="n">
        <v>54</v>
      </c>
      <c r="M350" s="31" t="inlineStr">
        <is>
          <t>Outperforming</t>
        </is>
      </c>
      <c r="N350" s="32">
        <f>IF(M350="Underperforming",-5,IF(L350&gt;=95,15,IF(L350&gt;=90,10,IF(L350&gt;=80,5,0))))</f>
        <v/>
      </c>
      <c r="O350" s="32" t="n">
        <v>65.36</v>
      </c>
      <c r="P350" s="32" t="n">
        <v>33.62</v>
      </c>
      <c r="Q350" s="32" t="n">
        <v>327.49</v>
      </c>
      <c r="R350" s="31" t="inlineStr">
        <is>
          <t>Earnings / Momentum Support</t>
        </is>
      </c>
      <c r="S350" s="31" t="inlineStr">
        <is>
          <t>Nifty 50</t>
        </is>
      </c>
      <c r="T350" s="32" t="n">
        <v>-6.27</v>
      </c>
      <c r="U350" s="32" t="n">
        <v>12.53</v>
      </c>
      <c r="V350" s="32" t="n">
        <v>20.05</v>
      </c>
      <c r="W350" s="32" t="n">
        <v>14.72</v>
      </c>
      <c r="X350" s="31" t="inlineStr">
        <is>
          <t>Growing Industry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Tailwind</t>
        </is>
      </c>
      <c r="AE350" s="31">
        <f>IF(AD350="Tailwind",10,0)</f>
        <v/>
      </c>
      <c r="AF350" s="31" t="inlineStr">
        <is>
          <t>Structural (10 Years Consistency)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Stable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No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20 to 40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2</t>
        </is>
      </c>
      <c r="BC350" s="31">
        <f>IF(BB350="Stage 2",20,IF(BB350="Stage 1",0,IF(BB350="Stage 3",5,IF(BB350="Stage 4",-5,0))))</f>
        <v/>
      </c>
      <c r="BD350" s="31" t="inlineStr">
        <is>
          <t>Negative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More than 20%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Above 2</t>
        </is>
      </c>
      <c r="BU350" s="31">
        <f>IF(BT350="Above 2",0,IF(BT350="Between 1.5 to 2",5,IF(BT350="Less than 1.5",10,0)))</f>
        <v/>
      </c>
      <c r="BV350" s="31" t="inlineStr">
        <is>
          <t>Negative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Less than 0.7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IF(B351=0,"",RANK(B351,$B$2:$B$370,0))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3" t="inlineStr">
        <is>
          <t>GAIL</t>
        </is>
      </c>
      <c r="D351" s="33" t="inlineStr">
        <is>
          <t>Gail (india) Limited</t>
        </is>
      </c>
      <c r="E351" s="31" t="inlineStr">
        <is>
          <t>energy</t>
        </is>
      </c>
      <c r="F351" s="31" t="inlineStr">
        <is>
          <t>miscellaneous</t>
        </is>
      </c>
      <c r="G351" s="31" t="inlineStr">
        <is>
          <t>largecap</t>
        </is>
      </c>
      <c r="H351" s="32" t="n">
        <v>113236.37</v>
      </c>
      <c r="I351" s="32" t="n">
        <v>173.46</v>
      </c>
      <c r="J351" s="32" t="n">
        <v>0.72</v>
      </c>
      <c r="K351" s="32" t="n">
        <v>10139334</v>
      </c>
      <c r="L351" s="31" t="n">
        <v>11</v>
      </c>
      <c r="M351" s="31" t="inlineStr">
        <is>
          <t>Underperforming</t>
        </is>
      </c>
      <c r="N351" s="32">
        <f>IF(M351="Underperforming",-5,IF(L351&gt;=95,15,IF(L351&gt;=90,10,IF(L351&gt;=80,5,0))))</f>
        <v/>
      </c>
      <c r="O351" s="32" t="n">
        <v>59.18</v>
      </c>
      <c r="P351" s="32" t="n">
        <v>9.4</v>
      </c>
      <c r="Q351" s="32" t="n">
        <v>148.38</v>
      </c>
      <c r="R351" s="31" t="inlineStr">
        <is>
          <t>Near 52W High Breakout</t>
        </is>
      </c>
      <c r="S351" s="31" t="inlineStr">
        <is>
          <t>Nifty Energy</t>
        </is>
      </c>
      <c r="T351" s="32" t="n">
        <v>8.85</v>
      </c>
      <c r="U351" s="32" t="n">
        <v>-6.99</v>
      </c>
      <c r="V351" s="32" t="n">
        <v>-14.55</v>
      </c>
      <c r="W351" s="32" t="n">
        <v>3.84</v>
      </c>
      <c r="X351" s="31" t="inlineStr">
        <is>
          <t>Cyclical in an Upturn</t>
        </is>
      </c>
      <c r="Y351" s="31">
        <f>IF(X351="Growing Industry",10,IF(X351="Cyclical in an Upturn",5,0))</f>
        <v/>
      </c>
      <c r="Z351" s="31" t="inlineStr">
        <is>
          <t>Oligopoly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Yes</t>
        </is>
      </c>
      <c r="AC351" s="31">
        <f>IF(AB351="No",5,0)</f>
        <v/>
      </c>
      <c r="AD351" s="31" t="inlineStr">
        <is>
          <t>Tailwind</t>
        </is>
      </c>
      <c r="AE351" s="31">
        <f>IF(AD351="Tailwind",10,0)</f>
        <v/>
      </c>
      <c r="AF351" s="31" t="inlineStr">
        <is>
          <t>Cyclical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Volatile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Yes</t>
        </is>
      </c>
      <c r="AQ351" s="31">
        <f>IF(AP351="Yes",10,0)</f>
        <v/>
      </c>
      <c r="AR351" s="31" t="inlineStr">
        <is>
          <t>Higher One Time, Lower Annuity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0 to 20</t>
        </is>
      </c>
      <c r="AY351" s="31">
        <f>IF(AX351="Above 40",20,IF(AX351="20 to 40",10,IF(AX351="0 to 20",-5,0)))</f>
        <v/>
      </c>
      <c r="AZ351" s="31" t="inlineStr">
        <is>
          <t>Between 50 to 75</t>
        </is>
      </c>
      <c r="BA351" s="31">
        <f>IF(AZ351="Between 50 to 75",10,IF(AZ351="Above 75",0,0))</f>
        <v/>
      </c>
      <c r="BB351" s="31" t="inlineStr">
        <is>
          <t>Stage 2</t>
        </is>
      </c>
      <c r="BC351" s="31">
        <f>IF(BB351="Stage 2",20,IF(BB351="Stage 1",0,IF(BB351="Stage 3",5,IF(BB351="Stage 4",-5,0))))</f>
        <v/>
      </c>
      <c r="BD351" s="31" t="inlineStr">
        <is>
          <t>Positive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Less than 12%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No</t>
        </is>
      </c>
      <c r="BS351" s="31">
        <f>IF(BR351="NO",5,0)</f>
        <v/>
      </c>
      <c r="BT351" s="31" t="inlineStr">
        <is>
          <t>Above 2</t>
        </is>
      </c>
      <c r="BU351" s="31">
        <f>IF(BT351="Above 2",0,IF(BT351="Between 1.5 to 2",5,IF(BT351="Less than 1.5",10,0)))</f>
        <v/>
      </c>
      <c r="BV351" s="31" t="inlineStr">
        <is>
          <t>Above 70%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Less than 0.7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IF(B352=0,"",RANK(B352,$B$2:$B$370,0))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1" t="inlineStr">
        <is>
          <t>ALKEM</t>
        </is>
      </c>
      <c r="D352" s="31" t="inlineStr">
        <is>
          <t>Alkem Laboratories Limited</t>
        </is>
      </c>
      <c r="E352" s="31" t="inlineStr">
        <is>
          <t>healthcare</t>
        </is>
      </c>
      <c r="F352" s="31" t="inlineStr">
        <is>
          <t>pharmaceuticals - indian - bulk drugs &amp; formln</t>
        </is>
      </c>
      <c r="G352" s="31" t="inlineStr">
        <is>
          <t>largecap</t>
        </is>
      </c>
      <c r="H352" s="32" t="n">
        <v>64762.38</v>
      </c>
      <c r="I352" s="32" t="n">
        <v>5570</v>
      </c>
      <c r="J352" s="32" t="n">
        <v>2.83</v>
      </c>
      <c r="K352" s="32" t="n">
        <v>340712</v>
      </c>
      <c r="L352" s="31" t="n">
        <v>12</v>
      </c>
      <c r="M352" s="31" t="inlineStr">
        <is>
          <t>Outperforming</t>
        </is>
      </c>
      <c r="N352" s="32">
        <f>IF(M352="Underperforming",-5,IF(L352&gt;=95,15,IF(L352&gt;=90,10,IF(L352&gt;=80,5,0))))</f>
        <v/>
      </c>
      <c r="O352" s="32" t="n">
        <v>54.38</v>
      </c>
      <c r="P352" s="32" t="n">
        <v>14.06</v>
      </c>
      <c r="Q352" s="32" t="n">
        <v>4747.85</v>
      </c>
      <c r="R352" s="31" t="inlineStr">
        <is>
          <t>Near 52W High Breakout</t>
        </is>
      </c>
      <c r="S352" s="31" t="inlineStr">
        <is>
          <t>Nifty Pharma</t>
        </is>
      </c>
      <c r="T352" s="32" t="n">
        <v>13.14</v>
      </c>
      <c r="U352" s="32" t="n">
        <v>15.1</v>
      </c>
      <c r="V352" s="32" t="n">
        <v>1.73</v>
      </c>
      <c r="W352" s="32" t="n">
        <v>4.19</v>
      </c>
      <c r="X352" s="31" t="inlineStr">
        <is>
          <t>Growing Industry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Yes</t>
        </is>
      </c>
      <c r="AC352" s="31">
        <f>IF(AB352="No",5,0)</f>
        <v/>
      </c>
      <c r="AD352" s="31" t="inlineStr">
        <is>
          <t>Headwind</t>
        </is>
      </c>
      <c r="AE352" s="31">
        <f>IF(AD352="Tailwind",10,0)</f>
        <v/>
      </c>
      <c r="AF352" s="31" t="inlineStr">
        <is>
          <t>Structural (10 Years Consistency)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Stable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Yes</t>
        </is>
      </c>
      <c r="AQ352" s="31">
        <f>IF(AP352="Yes",10,0)</f>
        <v/>
      </c>
      <c r="AR352" s="31" t="inlineStr">
        <is>
          <t>Higher Annuity, Lower One Time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0 to 20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1</t>
        </is>
      </c>
      <c r="BC352" s="31">
        <f>IF(BB352="Stage 2",20,IF(BB352="Stage 1",0,IF(BB352="Stage 3",5,IF(BB352="Stage 4",-5,0))))</f>
        <v/>
      </c>
      <c r="BD352" s="31" t="inlineStr">
        <is>
          <t>Positive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Less than 12%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No</t>
        </is>
      </c>
      <c r="BS352" s="31">
        <f>IF(BR352="NO",5,0)</f>
        <v/>
      </c>
      <c r="BT352" s="31" t="inlineStr">
        <is>
          <t>Above 2</t>
        </is>
      </c>
      <c r="BU352" s="31">
        <f>IF(BT352="Above 2",0,IF(BT352="Between 1.5 to 2",5,IF(BT352="Less than 1.5",10,0)))</f>
        <v/>
      </c>
      <c r="BV352" s="31" t="inlineStr">
        <is>
          <t>Between 50% to 70%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Less than 0.7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IF(B353=0,"",RANK(B353,$B$2:$B$370,0))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1" t="inlineStr">
        <is>
          <t>POCL</t>
        </is>
      </c>
      <c r="D353" s="31" t="inlineStr">
        <is>
          <t>Pondy Oxides &amp; Chemicals Ltd</t>
        </is>
      </c>
      <c r="E353" s="31" t="inlineStr">
        <is>
          <t>metals &amp; mining</t>
        </is>
      </c>
      <c r="F353" s="31" t="inlineStr">
        <is>
          <t>mining / minerals / metals</t>
        </is>
      </c>
      <c r="G353" s="31" t="inlineStr">
        <is>
          <t>smallcap</t>
        </is>
      </c>
      <c r="H353" s="32" t="n">
        <v>3979.89</v>
      </c>
      <c r="I353" s="32" t="n">
        <v>1374.9</v>
      </c>
      <c r="J353" s="32" t="n">
        <v>5.4</v>
      </c>
      <c r="K353" s="32" t="n">
        <v>583776</v>
      </c>
      <c r="L353" s="31" t="n">
        <v>60</v>
      </c>
      <c r="M353" s="31" t="inlineStr">
        <is>
          <t>Outperforming</t>
        </is>
      </c>
      <c r="N353" s="32">
        <f>IF(M353="Underperforming",-5,IF(L353&gt;=95,15,IF(L353&gt;=90,10,IF(L353&gt;=80,5,0))))</f>
        <v/>
      </c>
      <c r="O353" s="32" t="n">
        <v>56.06</v>
      </c>
      <c r="P353" s="32" t="n">
        <v>22.33</v>
      </c>
      <c r="Q353" s="32" t="n">
        <v>1121.31</v>
      </c>
      <c r="R353" s="31" t="inlineStr">
        <is>
          <t>Earnings / Momentum Support</t>
        </is>
      </c>
      <c r="S353" s="31" t="inlineStr">
        <is>
          <t>Nifty Metal</t>
        </is>
      </c>
      <c r="T353" s="32" t="n">
        <v>30.67</v>
      </c>
      <c r="U353" s="32" t="n">
        <v>47.76</v>
      </c>
      <c r="V353" s="32" t="n">
        <v>13.08</v>
      </c>
      <c r="W353" s="32" t="n">
        <v>16.28</v>
      </c>
      <c r="X353" s="31" t="inlineStr">
        <is>
          <t>Cyclical in an Upturn</t>
        </is>
      </c>
      <c r="Y353" s="31">
        <f>IF(X353="Growing Industry",10,IF(X353="Cyclical in an Upturn",5,0))</f>
        <v/>
      </c>
      <c r="Z353" s="31" t="inlineStr">
        <is>
          <t>Too Many Players with High ROCE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No</t>
        </is>
      </c>
      <c r="AC353" s="31">
        <f>IF(AB353="No",5,0)</f>
        <v/>
      </c>
      <c r="AD353" s="31" t="inlineStr">
        <is>
          <t>Headwind</t>
        </is>
      </c>
      <c r="AE353" s="31">
        <f>IF(AD353="Tailwind",10,0)</f>
        <v/>
      </c>
      <c r="AF353" s="31" t="inlineStr">
        <is>
          <t>Cyclical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Volatile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No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20 to 40</t>
        </is>
      </c>
      <c r="AY353" s="31">
        <f>IF(AX353="Above 40",20,IF(AX353="20 to 40",10,IF(AX353="0 to 20",-5,0)))</f>
        <v/>
      </c>
      <c r="AZ353" s="31" t="inlineStr">
        <is>
          <t>Between 50 to 75</t>
        </is>
      </c>
      <c r="BA353" s="31">
        <f>IF(AZ353="Between 50 to 75",10,IF(AZ353="Above 75",0,0))</f>
        <v/>
      </c>
      <c r="BB353" s="31" t="inlineStr">
        <is>
          <t>Stage 2</t>
        </is>
      </c>
      <c r="BC353" s="31">
        <f>IF(BB353="Stage 2",20,IF(BB353="Stage 1",0,IF(BB353="Stage 3",5,IF(BB353="Stage 4",-5,0))))</f>
        <v/>
      </c>
      <c r="BD353" s="31" t="inlineStr">
        <is>
          <t>Positive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Close to 52 week high or retracement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More than 20%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No</t>
        </is>
      </c>
      <c r="BS353" s="31">
        <f>IF(BR353="NO",5,0)</f>
        <v/>
      </c>
      <c r="BT353" s="31" t="inlineStr">
        <is>
          <t>Above 2</t>
        </is>
      </c>
      <c r="BU353" s="31">
        <f>IF(BT353="Above 2",0,IF(BT353="Between 1.5 to 2",5,IF(BT353="Less than 1.5",10,0)))</f>
        <v/>
      </c>
      <c r="BV353" s="31" t="inlineStr">
        <is>
          <t>Negative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Less than 0.7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IF(B354=0,"",RANK(B354,$B$2:$B$370,0))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1" t="inlineStr">
        <is>
          <t>SGIL</t>
        </is>
      </c>
      <c r="D354" s="31" t="inlineStr">
        <is>
          <t>Synergy Green Industries Ltd</t>
        </is>
      </c>
      <c r="E354" s="31" t="inlineStr">
        <is>
          <t>industrials</t>
        </is>
      </c>
      <c r="F354" s="31" t="inlineStr">
        <is>
          <t>castings &amp; forgings</t>
        </is>
      </c>
      <c r="G354" s="31" t="inlineStr">
        <is>
          <t>smallcap</t>
        </is>
      </c>
      <c r="H354" s="32" t="n">
        <v>871.03</v>
      </c>
      <c r="I354" s="32" t="n">
        <v>590</v>
      </c>
      <c r="J354" s="32" t="n">
        <v>5.28</v>
      </c>
      <c r="K354" s="32" t="n">
        <v>6829</v>
      </c>
      <c r="L354" s="31" t="n">
        <v>21</v>
      </c>
      <c r="M354" s="31" t="inlineStr">
        <is>
          <t>Outperforming</t>
        </is>
      </c>
      <c r="N354" s="32">
        <f>IF(M354="Underperforming",-5,IF(L354&gt;=95,15,IF(L354&gt;=90,10,IF(L354&gt;=80,5,0))))</f>
        <v/>
      </c>
      <c r="O354" s="32" t="n">
        <v>59.34</v>
      </c>
      <c r="P354" s="32" t="n">
        <v>18.94</v>
      </c>
      <c r="Q354" s="32" t="n">
        <v>440.24</v>
      </c>
      <c r="R354" s="31" t="inlineStr">
        <is>
          <t>Near 52W High Breakout</t>
        </is>
      </c>
      <c r="S354" s="31" t="inlineStr">
        <is>
          <t>Nifty 50</t>
        </is>
      </c>
      <c r="T354" s="32" t="n">
        <v>-6.27</v>
      </c>
      <c r="U354" s="32" t="n">
        <v>11.26</v>
      </c>
      <c r="V354" s="32" t="n">
        <v>18.7</v>
      </c>
      <c r="W354" s="32" t="n">
        <v>6.69</v>
      </c>
      <c r="X354" s="31" t="inlineStr">
        <is>
          <t>Cyclical in an Upturn</t>
        </is>
      </c>
      <c r="Y354" s="31">
        <f>IF(X354="Growing Industry",10,IF(X354="Cyclical in an Upturn",5,0))</f>
        <v/>
      </c>
      <c r="Z354" s="31" t="inlineStr">
        <is>
          <t>Too Many Players with High ROCE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Tailwind</t>
        </is>
      </c>
      <c r="AE354" s="31">
        <f>IF(AD354="Tailwind",10,0)</f>
        <v/>
      </c>
      <c r="AF354" s="31" t="inlineStr">
        <is>
          <t>Structural (10 Years Consistency)</t>
        </is>
      </c>
      <c r="AG354" s="31">
        <f>IF(AF354="Structural (10 Years Consistency)",10,IF(AF354="Shallow Cyclical (2 to 3 years growth)",5,0))</f>
        <v/>
      </c>
      <c r="AH354" s="31" t="inlineStr">
        <is>
          <t>No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Stable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Yes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Good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0 to 20</t>
        </is>
      </c>
      <c r="AY354" s="31">
        <f>IF(AX354="Above 40",20,IF(AX354="20 to 40",10,IF(AX354="0 to 20",-5,0)))</f>
        <v/>
      </c>
      <c r="AZ354" s="31" t="inlineStr">
        <is>
          <t>Between 50 to 75</t>
        </is>
      </c>
      <c r="BA354" s="31">
        <f>IF(AZ354="Between 50 to 75",10,IF(AZ354="Above 75",0,0))</f>
        <v/>
      </c>
      <c r="BB354" s="31" t="inlineStr">
        <is>
          <t>Stage 2</t>
        </is>
      </c>
      <c r="BC354" s="31">
        <f>IF(BB354="Stage 2",20,IF(BB354="Stage 1",0,IF(BB354="Stage 3",5,IF(BB354="Stage 4",-5,0))))</f>
        <v/>
      </c>
      <c r="BD354" s="31" t="inlineStr">
        <is>
          <t>Positive Trend</t>
        </is>
      </c>
      <c r="BE354" s="31">
        <f>IF(BD354="Positive Trend",20,IF(BD354="Negative Trend",-10,0))</f>
        <v/>
      </c>
      <c r="BF354" s="31" t="inlineStr">
        <is>
          <t>Uptrend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Blue sky scenario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Less than 12%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Yes</t>
        </is>
      </c>
      <c r="BS354" s="31">
        <f>IF(BR354="NO",5,0)</f>
        <v/>
      </c>
      <c r="BT354" s="31" t="inlineStr">
        <is>
          <t>Above 2</t>
        </is>
      </c>
      <c r="BU354" s="31">
        <f>IF(BT354="Above 2",0,IF(BT354="Between 1.5 to 2",5,IF(BT354="Less than 1.5",10,0)))</f>
        <v/>
      </c>
      <c r="BV354" s="31" t="inlineStr">
        <is>
          <t>Less than 50% and Borrowings are increasing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More than 1.2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Less than 15%</t>
        </is>
      </c>
      <c r="CC354" s="31">
        <f>IF(CB354="More than 15%",-10,IF(CB354="Less than 15%",10,0))</f>
        <v/>
      </c>
      <c r="CD354" s="31" t="inlineStr">
        <is>
          <t>No</t>
        </is>
      </c>
      <c r="CE354" s="31">
        <f>IF(CD354="Yes, more than 10%",-10,IF(CD354="No",10,0))</f>
        <v/>
      </c>
    </row>
    <row r="355">
      <c r="A355" s="31">
        <f>IF(B355=0,"",RANK(B355,$B$2:$B$370,0))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1" t="inlineStr">
        <is>
          <t>MARUTI</t>
        </is>
      </c>
      <c r="D355" s="31" t="inlineStr">
        <is>
          <t>Maruti Suzuki India Limited</t>
        </is>
      </c>
      <c r="E355" s="31" t="inlineStr">
        <is>
          <t>auto</t>
        </is>
      </c>
      <c r="F355" s="31" t="inlineStr">
        <is>
          <t>automobiles - passenger cars</t>
        </is>
      </c>
      <c r="G355" s="31" t="inlineStr">
        <is>
          <t>largecap</t>
        </is>
      </c>
      <c r="H355" s="32" t="n">
        <v>421676.73</v>
      </c>
      <c r="I355" s="32" t="n">
        <v>14115</v>
      </c>
      <c r="J355" s="32" t="n">
        <v>5.24</v>
      </c>
      <c r="K355" s="32" t="n">
        <v>1511415</v>
      </c>
      <c r="L355" s="31" t="n">
        <v>19</v>
      </c>
      <c r="M355" s="31" t="inlineStr">
        <is>
          <t>Outperforming</t>
        </is>
      </c>
      <c r="N355" s="32">
        <f>IF(M355="Underperforming",-5,IF(L355&gt;=95,15,IF(L355&gt;=90,10,IF(L355&gt;=80,5,0))))</f>
        <v/>
      </c>
      <c r="O355" s="32" t="n">
        <v>53.11</v>
      </c>
      <c r="P355" s="32" t="n">
        <v>17.29</v>
      </c>
      <c r="Q355" s="32" t="n">
        <v>12002.55</v>
      </c>
      <c r="R355" s="31" t="inlineStr">
        <is>
          <t>Earnings / Momentum Support</t>
        </is>
      </c>
      <c r="S355" s="31" t="inlineStr">
        <is>
          <t>Nifty Auto</t>
        </is>
      </c>
      <c r="T355" s="32" t="n">
        <v>10.42</v>
      </c>
      <c r="U355" s="32" t="n">
        <v>12.82</v>
      </c>
      <c r="V355" s="32" t="n">
        <v>2.18</v>
      </c>
      <c r="W355" s="32" t="n">
        <v>6.32</v>
      </c>
      <c r="X355" s="31" t="inlineStr">
        <is>
          <t>Growing Industry</t>
        </is>
      </c>
      <c r="Y355" s="31">
        <f>IF(X355="Growing Industry",10,IF(X355="Cyclical in an Upturn",5,0))</f>
        <v/>
      </c>
      <c r="Z355" s="31" t="inlineStr">
        <is>
          <t>Too Many Players with High ROCE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No</t>
        </is>
      </c>
      <c r="AC355" s="31">
        <f>IF(AB355="No",5,0)</f>
        <v/>
      </c>
      <c r="AD355" s="31" t="inlineStr">
        <is>
          <t>Headwind</t>
        </is>
      </c>
      <c r="AE355" s="31">
        <f>IF(AD355="Tailwind",10,0)</f>
        <v/>
      </c>
      <c r="AF355" s="31" t="inlineStr">
        <is>
          <t>Structural (10 Years Consistency)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Stable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No</t>
        </is>
      </c>
      <c r="AQ355" s="31">
        <f>IF(AP355="Yes",10,0)</f>
        <v/>
      </c>
      <c r="AR355" s="31" t="inlineStr">
        <is>
          <t>Higher One Time, Lower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Good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0 to 20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1</t>
        </is>
      </c>
      <c r="BC355" s="31">
        <f>IF(BB355="Stage 2",20,IF(BB355="Stage 1",0,IF(BB355="Stage 3",5,IF(BB355="Stage 4",-5,0))))</f>
        <v/>
      </c>
      <c r="BD355" s="31" t="inlineStr">
        <is>
          <t>Positive Trend</t>
        </is>
      </c>
      <c r="BE355" s="31">
        <f>IF(BD355="Positive Trend",20,IF(BD355="Negative Trend",-10,0))</f>
        <v/>
      </c>
      <c r="BF355" s="31" t="inlineStr">
        <is>
          <t>Uptrend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Close to 52 week high or retracement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Less than 12%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No</t>
        </is>
      </c>
      <c r="BS355" s="31">
        <f>IF(BR355="NO",5,0)</f>
        <v/>
      </c>
      <c r="BT355" s="31" t="inlineStr">
        <is>
          <t>Above 2</t>
        </is>
      </c>
      <c r="BU355" s="31">
        <f>IF(BT355="Above 2",0,IF(BT355="Between 1.5 to 2",5,IF(BT355="Less than 1.5",10,0)))</f>
        <v/>
      </c>
      <c r="BV355" s="31" t="inlineStr">
        <is>
          <t>Above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IF(B356=0,"",RANK(B356,$B$2:$B$370,0))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3" t="inlineStr">
        <is>
          <t>BBL</t>
        </is>
      </c>
      <c r="D356" s="33" t="inlineStr">
        <is>
          <t>Bharat Bijlee Limited</t>
        </is>
      </c>
      <c r="E356" s="31" t="inlineStr">
        <is>
          <t>industrials</t>
        </is>
      </c>
      <c r="F356" s="31" t="inlineStr">
        <is>
          <t>electric equipment</t>
        </is>
      </c>
      <c r="G356" s="31" t="inlineStr">
        <is>
          <t>smallcap</t>
        </is>
      </c>
      <c r="H356" s="32" t="n">
        <v>3147.35</v>
      </c>
      <c r="I356" s="32" t="n">
        <v>2884.9</v>
      </c>
      <c r="J356" s="32" t="n">
        <v>3.61</v>
      </c>
      <c r="K356" s="32" t="n">
        <v>37730</v>
      </c>
      <c r="L356" s="31" t="n">
        <v>18</v>
      </c>
      <c r="M356" s="31" t="inlineStr">
        <is>
          <t>Underperforming</t>
        </is>
      </c>
      <c r="N356" s="32">
        <f>IF(M356="Underperforming",-5,IF(L356&gt;=95,15,IF(L356&gt;=90,10,IF(L356&gt;=80,5,0))))</f>
        <v/>
      </c>
      <c r="O356" s="32" t="n">
        <v>54.61</v>
      </c>
      <c r="P356" s="32" t="n">
        <v>11.91</v>
      </c>
      <c r="Q356" s="32" t="n">
        <v>2418.81</v>
      </c>
      <c r="R356" s="31" t="inlineStr">
        <is>
          <t>Earnings / Momentum Support</t>
        </is>
      </c>
      <c r="S356" s="31" t="inlineStr">
        <is>
          <t>Nifty Infra</t>
        </is>
      </c>
      <c r="T356" s="32" t="n">
        <v>-0.44</v>
      </c>
      <c r="U356" s="32" t="n">
        <v>-3.59</v>
      </c>
      <c r="V356" s="32" t="n">
        <v>-3.16</v>
      </c>
      <c r="W356" s="32" t="n">
        <v>6.24</v>
      </c>
      <c r="X356" s="31" t="inlineStr">
        <is>
          <t>Cyclical in an Upturn</t>
        </is>
      </c>
      <c r="Y356" s="31">
        <f>IF(X356="Growing Industry",10,IF(X356="Cyclical in an Upturn",5,0))</f>
        <v/>
      </c>
      <c r="Z356" s="31" t="inlineStr">
        <is>
          <t>Too Many Players with High ROCE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No</t>
        </is>
      </c>
      <c r="AC356" s="31">
        <f>IF(AB356="No",5,0)</f>
        <v/>
      </c>
      <c r="AD356" s="31" t="inlineStr">
        <is>
          <t>Tailwind</t>
        </is>
      </c>
      <c r="AE356" s="31">
        <f>IF(AD356="Tailwind",10,0)</f>
        <v/>
      </c>
      <c r="AF356" s="31" t="inlineStr">
        <is>
          <t>Structural (10 Years Consistency)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Stable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No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0 to 20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2</t>
        </is>
      </c>
      <c r="BC356" s="31">
        <f>IF(BB356="Stage 2",20,IF(BB356="Stage 1",0,IF(BB356="Stage 3",5,IF(BB356="Stage 4",-5,0))))</f>
        <v/>
      </c>
      <c r="BD356" s="31" t="inlineStr">
        <is>
          <t>Positive Trend</t>
        </is>
      </c>
      <c r="BE356" s="31">
        <f>IF(BD356="Positive Trend",20,IF(BD356="Negative Trend",-10,0))</f>
        <v/>
      </c>
      <c r="BF356" s="31" t="inlineStr">
        <is>
          <t>Uptrend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Close to 52 week high or retracement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Less than 12%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No</t>
        </is>
      </c>
      <c r="BS356" s="31">
        <f>IF(BR356="NO",5,0)</f>
        <v/>
      </c>
      <c r="BT356" s="31" t="inlineStr">
        <is>
          <t>Above 2</t>
        </is>
      </c>
      <c r="BU356" s="31">
        <f>IF(BT356="Above 2",0,IF(BT356="Between 1.5 to 2",5,IF(BT356="Less than 1.5",10,0)))</f>
        <v/>
      </c>
      <c r="BV356" s="31" t="inlineStr">
        <is>
          <t>Negative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Less than 0.7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IF(B357=0,"",RANK(B357,$B$2:$B$370,0))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3" t="inlineStr">
        <is>
          <t>RAJRILTD</t>
        </is>
      </c>
      <c r="D357" s="33" t="inlineStr">
        <is>
          <t>Raj Rayon Industries Ltd</t>
        </is>
      </c>
      <c r="E357" s="31" t="inlineStr">
        <is>
          <t>textiles</t>
        </is>
      </c>
      <c r="F357" s="31" t="inlineStr">
        <is>
          <t>textiles - manmade</t>
        </is>
      </c>
      <c r="G357" s="31" t="inlineStr">
        <is>
          <t>smallcap</t>
        </is>
      </c>
      <c r="H357" s="32" t="n">
        <v>1322.92</v>
      </c>
      <c r="I357" s="32" t="n">
        <v>24.26</v>
      </c>
      <c r="J357" s="32" t="n">
        <v>1.98</v>
      </c>
      <c r="K357" s="32" t="n">
        <v>63036</v>
      </c>
      <c r="L357" s="31" t="n">
        <v>3</v>
      </c>
      <c r="M357" s="31" t="inlineStr">
        <is>
          <t>Underperforming</t>
        </is>
      </c>
      <c r="N357" s="32">
        <f>IF(M357="Underperforming",-5,IF(L357&gt;=95,15,IF(L357&gt;=90,10,IF(L357&gt;=80,5,0))))</f>
        <v/>
      </c>
      <c r="O357" s="32" t="n">
        <v>61.4</v>
      </c>
      <c r="P357" s="32" t="n">
        <v>12.98</v>
      </c>
      <c r="Q357" s="32" t="n">
        <v>20.06</v>
      </c>
      <c r="R357" s="31" t="inlineStr">
        <is>
          <t>Earnings / Momentum Support</t>
        </is>
      </c>
      <c r="S357" s="31" t="inlineStr">
        <is>
          <t>Nifty 50</t>
        </is>
      </c>
      <c r="T357" s="32" t="n">
        <v>-6.27</v>
      </c>
      <c r="U357" s="32" t="n">
        <v>-15.36</v>
      </c>
      <c r="V357" s="32" t="n">
        <v>-9.699999999999999</v>
      </c>
      <c r="W357" s="32" t="n">
        <v>1.41</v>
      </c>
      <c r="X357" s="31" t="inlineStr">
        <is>
          <t>Growing Industry</t>
        </is>
      </c>
      <c r="Y357" s="31">
        <f>IF(X357="Growing Industry",10,IF(X357="Cyclical in an Upturn",5,0))</f>
        <v/>
      </c>
      <c r="Z357" s="31" t="inlineStr">
        <is>
          <t>Too Many Players with High ROCE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Tailwind</t>
        </is>
      </c>
      <c r="AE357" s="31">
        <f>IF(AD357="Tailwind",10,0)</f>
        <v/>
      </c>
      <c r="AF357" s="31" t="inlineStr">
        <is>
          <t>Structural (10 Years Consistency)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Stable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No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0 to 20</t>
        </is>
      </c>
      <c r="AY357" s="31">
        <f>IF(AX357="Above 40",20,IF(AX357="20 to 40",10,IF(AX357="0 to 20",-5,0)))</f>
        <v/>
      </c>
      <c r="AZ357" s="31" t="inlineStr">
        <is>
          <t>Between 50 to 75</t>
        </is>
      </c>
      <c r="BA357" s="31">
        <f>IF(AZ357="Between 50 to 75",10,IF(AZ357="Above 75",0,0))</f>
        <v/>
      </c>
      <c r="BB357" s="31" t="inlineStr">
        <is>
          <t>Stage 2</t>
        </is>
      </c>
      <c r="BC357" s="31">
        <f>IF(BB357="Stage 2",20,IF(BB357="Stage 1",0,IF(BB357="Stage 3",5,IF(BB357="Stage 4",-5,0))))</f>
        <v/>
      </c>
      <c r="BD357" s="31" t="inlineStr">
        <is>
          <t>Positive Trend</t>
        </is>
      </c>
      <c r="BE357" s="31">
        <f>IF(BD357="Positive Trend",20,IF(BD357="Negative Trend",-10,0))</f>
        <v/>
      </c>
      <c r="BF357" s="31" t="inlineStr">
        <is>
          <t>Uptrend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Close to 52 week high or retracement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Less than 12%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Yes</t>
        </is>
      </c>
      <c r="BS357" s="31">
        <f>IF(BR357="NO",5,0)</f>
        <v/>
      </c>
      <c r="BT357" s="31" t="inlineStr">
        <is>
          <t>Above 2</t>
        </is>
      </c>
      <c r="BU357" s="31">
        <f>IF(BT357="Above 2",0,IF(BT357="Between 1.5 to 2",5,IF(BT357="Less than 1.5",10,0)))</f>
        <v/>
      </c>
      <c r="BV357" s="31" t="inlineStr">
        <is>
          <t>Above 70%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More than 1.2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IF(B358=0,"",RANK(B358,$B$2:$B$370,0))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1" t="inlineStr">
        <is>
          <t>KRYSTAL</t>
        </is>
      </c>
      <c r="D358" s="31" t="inlineStr">
        <is>
          <t>Krystal Integrated Services Ltd</t>
        </is>
      </c>
      <c r="E358" s="31" t="inlineStr">
        <is>
          <t>miscellaneous</t>
        </is>
      </c>
      <c r="F358" s="31" t="inlineStr">
        <is>
          <t>miscellaneous</t>
        </is>
      </c>
      <c r="G358" s="31" t="inlineStr">
        <is>
          <t>smallcap</t>
        </is>
      </c>
      <c r="H358" s="32" t="n">
        <v>838.67</v>
      </c>
      <c r="I358" s="32" t="n">
        <v>600.05</v>
      </c>
      <c r="J358" s="32" t="n">
        <v>-0.03</v>
      </c>
      <c r="K358" s="32" t="n">
        <v>17955</v>
      </c>
      <c r="L358" s="31" t="n">
        <v>6</v>
      </c>
      <c r="M358" s="31" t="inlineStr">
        <is>
          <t>Outperforming</t>
        </is>
      </c>
      <c r="N358" s="32">
        <f>IF(M358="Underperforming",-5,IF(L358&gt;=95,15,IF(L358&gt;=90,10,IF(L358&gt;=80,5,0))))</f>
        <v/>
      </c>
      <c r="O358" s="32" t="n">
        <v>53.28</v>
      </c>
      <c r="P358" s="32" t="n">
        <v>18.08</v>
      </c>
      <c r="Q358" s="32" t="n">
        <v>490.84</v>
      </c>
      <c r="R358" s="31" t="inlineStr">
        <is>
          <t>Earnings / Momentum Support</t>
        </is>
      </c>
      <c r="S358" s="31" t="inlineStr">
        <is>
          <t>Nifty 50</t>
        </is>
      </c>
      <c r="T358" s="32" t="n">
        <v>-6.27</v>
      </c>
      <c r="U358" s="32" t="n">
        <v>-1.11</v>
      </c>
      <c r="V358" s="32" t="n">
        <v>5.5</v>
      </c>
      <c r="W358" s="32" t="n">
        <v>2.88</v>
      </c>
      <c r="X358" s="31" t="inlineStr">
        <is>
          <t>Growing Industry</t>
        </is>
      </c>
      <c r="Y358" s="31">
        <f>IF(X358="Growing Industry",10,IF(X358="Cyclical in an Upturn",5,0))</f>
        <v/>
      </c>
      <c r="Z358" s="31" t="inlineStr">
        <is>
          <t>Too Many Players with High ROCE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No</t>
        </is>
      </c>
      <c r="AC358" s="31">
        <f>IF(AB358="No",5,0)</f>
        <v/>
      </c>
      <c r="AD358" s="31" t="inlineStr">
        <is>
          <t>Headwind</t>
        </is>
      </c>
      <c r="AE358" s="31">
        <f>IF(AD358="Tailwind",10,0)</f>
        <v/>
      </c>
      <c r="AF358" s="31" t="inlineStr">
        <is>
          <t>Structural (10 Years Consistency)</t>
        </is>
      </c>
      <c r="AG358" s="31">
        <f>IF(AF358="Structural (10 Years Consistency)",10,IF(AF358="Shallow Cyclical (2 to 3 years growth)",5,0))</f>
        <v/>
      </c>
      <c r="AH358" s="31" t="inlineStr">
        <is>
          <t>No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Stable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B2B</t>
        </is>
      </c>
      <c r="AO358" s="31">
        <f>IF(AN358="B2C",10,IF(AN358="B2B",5,0))</f>
        <v/>
      </c>
      <c r="AP358" s="31" t="inlineStr">
        <is>
          <t>No</t>
        </is>
      </c>
      <c r="AQ358" s="31">
        <f>IF(AP358="Yes",10,0)</f>
        <v/>
      </c>
      <c r="AR358" s="31" t="inlineStr">
        <is>
          <t>Higher One Time, Lower Annuity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Good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0 to 20</t>
        </is>
      </c>
      <c r="AY358" s="31">
        <f>IF(AX358="Above 40",20,IF(AX358="20 to 40",10,IF(AX358="0 to 20",-5,0)))</f>
        <v/>
      </c>
      <c r="AZ358" s="31" t="inlineStr">
        <is>
          <t>Between 50 to 75</t>
        </is>
      </c>
      <c r="BA358" s="31">
        <f>IF(AZ358="Between 50 to 75",10,IF(AZ358="Above 75",0,0))</f>
        <v/>
      </c>
      <c r="BB358" s="31" t="inlineStr">
        <is>
          <t>Stage 1</t>
        </is>
      </c>
      <c r="BC358" s="31">
        <f>IF(BB358="Stage 2",20,IF(BB358="Stage 1",0,IF(BB358="Stage 3",5,IF(BB358="Stage 4",-5,0))))</f>
        <v/>
      </c>
      <c r="BD358" s="31" t="inlineStr">
        <is>
          <t>Positive Trend</t>
        </is>
      </c>
      <c r="BE358" s="31">
        <f>IF(BD358="Positive Trend",20,IF(BD358="Negative Trend",-10,0))</f>
        <v/>
      </c>
      <c r="BF358" s="31" t="inlineStr">
        <is>
          <t>Uptrend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Close to 52 week high or retracement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Less than 12%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No</t>
        </is>
      </c>
      <c r="BS358" s="31">
        <f>IF(BR358="NO",5,0)</f>
        <v/>
      </c>
      <c r="BT358" s="31" t="inlineStr">
        <is>
          <t>Less than 1.5</t>
        </is>
      </c>
      <c r="BU358" s="31">
        <f>IF(BT358="Above 2",0,IF(BT358="Between 1.5 to 2",5,IF(BT358="Less than 1.5",10,0)))</f>
        <v/>
      </c>
      <c r="BV358" s="31" t="inlineStr">
        <is>
          <t>Less than 50%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Less than 0.7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Less than 15%</t>
        </is>
      </c>
      <c r="CC358" s="31">
        <f>IF(CB358="More than 15%",-10,IF(CB358="Less than 15%",10,0))</f>
        <v/>
      </c>
      <c r="CD358" s="31" t="inlineStr">
        <is>
          <t>No</t>
        </is>
      </c>
      <c r="CE358" s="31">
        <f>IF(CD358="Yes, more than 10%",-10,IF(CD358="No",10,0))</f>
        <v/>
      </c>
    </row>
    <row r="359">
      <c r="A359" s="31">
        <f>IF(B359=0,"",RANK(B359,$B$2:$B$370,0))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1" t="inlineStr">
        <is>
          <t>MAHLIFE</t>
        </is>
      </c>
      <c r="D359" s="31" t="inlineStr">
        <is>
          <t>Mahindra Lifespace Developers Limited</t>
        </is>
      </c>
      <c r="E359" s="31" t="inlineStr">
        <is>
          <t>realty</t>
        </is>
      </c>
      <c r="F359" s="31" t="inlineStr">
        <is>
          <t>construction</t>
        </is>
      </c>
      <c r="G359" s="31" t="inlineStr">
        <is>
          <t>midcap</t>
        </is>
      </c>
      <c r="H359" s="32" t="n">
        <v>7830.74</v>
      </c>
      <c r="I359" s="32" t="n">
        <v>366.45</v>
      </c>
      <c r="J359" s="32" t="n">
        <v>-0.16</v>
      </c>
      <c r="K359" s="32" t="n">
        <v>179066</v>
      </c>
      <c r="L359" s="31" t="n">
        <v>12</v>
      </c>
      <c r="M359" s="31" t="inlineStr">
        <is>
          <t>Outperforming</t>
        </is>
      </c>
      <c r="N359" s="32">
        <f>IF(M359="Underperforming",-5,IF(L359&gt;=95,15,IF(L359&gt;=90,10,IF(L359&gt;=80,5,0))))</f>
        <v/>
      </c>
      <c r="O359" s="32" t="n">
        <v>55.63</v>
      </c>
      <c r="P359" s="32" t="n">
        <v>12.93</v>
      </c>
      <c r="Q359" s="32" t="n">
        <v>295.96</v>
      </c>
      <c r="R359" s="31" t="inlineStr">
        <is>
          <t>Earnings / Momentum Support</t>
        </is>
      </c>
      <c r="S359" s="31" t="inlineStr">
        <is>
          <t>Nifty Realty</t>
        </is>
      </c>
      <c r="T359" s="32" t="n">
        <v>-14.65</v>
      </c>
      <c r="U359" s="32" t="n">
        <v>2.13</v>
      </c>
      <c r="V359" s="32" t="n">
        <v>19.66</v>
      </c>
      <c r="W359" s="32" t="n">
        <v>4.04</v>
      </c>
      <c r="X359" s="31" t="inlineStr">
        <is>
          <t>Growing Industry</t>
        </is>
      </c>
      <c r="Y359" s="31">
        <f>IF(X359="Growing Industry",10,IF(X359="Cyclical in an Upturn",5,0))</f>
        <v/>
      </c>
      <c r="Z359" s="31" t="inlineStr">
        <is>
          <t>Too Many Players with High ROCE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No</t>
        </is>
      </c>
      <c r="AC359" s="31">
        <f>IF(AB359="No",5,0)</f>
        <v/>
      </c>
      <c r="AD359" s="31" t="inlineStr">
        <is>
          <t>Headwind</t>
        </is>
      </c>
      <c r="AE359" s="31">
        <f>IF(AD359="Tailwind",10,0)</f>
        <v/>
      </c>
      <c r="AF359" s="31" t="inlineStr">
        <is>
          <t>Structural (10 Years Consistency)</t>
        </is>
      </c>
      <c r="AG359" s="31">
        <f>IF(AF359="Structural (10 Years Consistency)",10,IF(AF359="Shallow Cyclical (2 to 3 years growth)",5,0))</f>
        <v/>
      </c>
      <c r="AH359" s="31" t="inlineStr">
        <is>
          <t>No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Stable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B2B</t>
        </is>
      </c>
      <c r="AO359" s="31">
        <f>IF(AN359="B2C",10,IF(AN359="B2B",5,0))</f>
        <v/>
      </c>
      <c r="AP359" s="31" t="inlineStr">
        <is>
          <t>No</t>
        </is>
      </c>
      <c r="AQ359" s="31">
        <f>IF(AP359="Yes",10,0)</f>
        <v/>
      </c>
      <c r="AR359" s="31" t="inlineStr">
        <is>
          <t>Higher One Time, Lower Annuity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Good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0 to 20</t>
        </is>
      </c>
      <c r="AY359" s="31">
        <f>IF(AX359="Above 40",20,IF(AX359="20 to 40",10,IF(AX359="0 to 20",-5,0)))</f>
        <v/>
      </c>
      <c r="AZ359" s="31" t="inlineStr">
        <is>
          <t>Between 50 to 75</t>
        </is>
      </c>
      <c r="BA359" s="31">
        <f>IF(AZ359="Between 50 to 75",10,IF(AZ359="Above 75",0,0))</f>
        <v/>
      </c>
      <c r="BB359" s="31" t="inlineStr">
        <is>
          <t>Stage 1</t>
        </is>
      </c>
      <c r="BC359" s="31">
        <f>IF(BB359="Stage 2",20,IF(BB359="Stage 1",0,IF(BB359="Stage 3",5,IF(BB359="Stage 4",-5,0))))</f>
        <v/>
      </c>
      <c r="BD359" s="31" t="inlineStr">
        <is>
          <t>Positive Trend</t>
        </is>
      </c>
      <c r="BE359" s="31">
        <f>IF(BD359="Positive Trend",20,IF(BD359="Negative Trend",-10,0))</f>
        <v/>
      </c>
      <c r="BF359" s="31" t="inlineStr">
        <is>
          <t>Uptrend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Close to 52 week high or retracement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Less than 12%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No</t>
        </is>
      </c>
      <c r="BS359" s="31">
        <f>IF(BR359="NO",5,0)</f>
        <v/>
      </c>
      <c r="BT359" s="31" t="inlineStr">
        <is>
          <t>Above 2</t>
        </is>
      </c>
      <c r="BU359" s="31">
        <f>IF(BT359="Above 2",0,IF(BT359="Between 1.5 to 2",5,IF(BT359="Less than 1.5",10,0)))</f>
        <v/>
      </c>
      <c r="BV359" s="31" t="inlineStr">
        <is>
          <t>Above 70%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Less than 0.7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Less than 15%</t>
        </is>
      </c>
      <c r="CC359" s="31">
        <f>IF(CB359="More than 15%",-10,IF(CB359="Less than 15%",10,0))</f>
        <v/>
      </c>
      <c r="CD359" s="31" t="inlineStr">
        <is>
          <t>No</t>
        </is>
      </c>
      <c r="CE359" s="31">
        <f>IF(CD359="Yes, more than 10%",-10,IF(CD359="No",10,0))</f>
        <v/>
      </c>
    </row>
    <row r="360">
      <c r="A360" s="31">
        <f>IF(B360=0,"",RANK(B360,$B$2:$B$370,0))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3" t="inlineStr">
        <is>
          <t>STEELXIND</t>
        </is>
      </c>
      <c r="D360" s="33" t="inlineStr">
        <is>
          <t>Steel Exchange India Ltd</t>
        </is>
      </c>
      <c r="E360" s="31" t="inlineStr">
        <is>
          <t>metals &amp; mining</t>
        </is>
      </c>
      <c r="F360" s="31" t="inlineStr">
        <is>
          <t>steel - medium / small</t>
        </is>
      </c>
      <c r="G360" s="31" t="inlineStr">
        <is>
          <t>smallcap</t>
        </is>
      </c>
      <c r="H360" s="32" t="n">
        <v>1607.15</v>
      </c>
      <c r="I360" s="32" t="n">
        <v>12.53</v>
      </c>
      <c r="J360" s="32" t="n">
        <v>-0.5600000000000001</v>
      </c>
      <c r="K360" s="32" t="n">
        <v>1934820</v>
      </c>
      <c r="L360" s="31" t="n">
        <v>74</v>
      </c>
      <c r="M360" s="31" t="inlineStr">
        <is>
          <t>Underperforming</t>
        </is>
      </c>
      <c r="N360" s="32">
        <f>IF(M360="Underperforming",-5,IF(L360&gt;=95,15,IF(L360&gt;=90,10,IF(L360&gt;=80,5,0))))</f>
        <v/>
      </c>
      <c r="O360" s="32" t="n">
        <v>63.37</v>
      </c>
      <c r="P360" s="32" t="n">
        <v>26.19</v>
      </c>
      <c r="Q360" s="32" t="n">
        <v>9.35</v>
      </c>
      <c r="R360" s="31" t="inlineStr">
        <is>
          <t>Earnings / Momentum Support</t>
        </is>
      </c>
      <c r="S360" s="31" t="inlineStr">
        <is>
          <t>Nifty Metal</t>
        </is>
      </c>
      <c r="T360" s="32" t="n">
        <v>30.67</v>
      </c>
      <c r="U360" s="32" t="n">
        <v>25.3</v>
      </c>
      <c r="V360" s="32" t="n">
        <v>-4.11</v>
      </c>
      <c r="W360" s="32" t="n">
        <v>21.32</v>
      </c>
      <c r="X360" s="31" t="inlineStr">
        <is>
          <t>Cyclical in an Upturn</t>
        </is>
      </c>
      <c r="Y360" s="31">
        <f>IF(X360="Growing Industry",10,IF(X360="Cyclical in an Upturn",5,0))</f>
        <v/>
      </c>
      <c r="Z360" s="31" t="inlineStr">
        <is>
          <t>Too Many Players with High ROCE</t>
        </is>
      </c>
      <c r="AA360" s="31">
        <f>IF(Z360="Monopoly",10,IF(Z360="Oligopoly",5,IF(Z360="Duopoly that cooperate",10,IF(Z360="Duopoly that compete",5,IF(Z360="Too many players with High ROCE",5,0)))))</f>
        <v/>
      </c>
      <c r="AB360" s="31" t="inlineStr">
        <is>
          <t>No</t>
        </is>
      </c>
      <c r="AC360" s="31">
        <f>IF(AB360="No",5,0)</f>
        <v/>
      </c>
      <c r="AD360" s="31" t="inlineStr">
        <is>
          <t>Tailwind</t>
        </is>
      </c>
      <c r="AE360" s="31">
        <f>IF(AD360="Tailwind",10,0)</f>
        <v/>
      </c>
      <c r="AF360" s="31" t="inlineStr">
        <is>
          <t>Cyclical</t>
        </is>
      </c>
      <c r="AG360" s="31">
        <f>IF(AF360="Structural (10 Years Consistency)",10,IF(AF360="Shallow Cyclical (2 to 3 years growth)",5,0))</f>
        <v/>
      </c>
      <c r="AH360" s="31" t="inlineStr">
        <is>
          <t>No</t>
        </is>
      </c>
      <c r="AI360" s="31">
        <f>IF(AH360="Yes due to Product Mix change or Operating Leverage",10,IF(AH360="Yes, these are peak margins",-5,IF(AH360="No",5,0)))</f>
        <v/>
      </c>
      <c r="AJ360" s="31" t="inlineStr">
        <is>
          <t>Volatile</t>
        </is>
      </c>
      <c r="AK360" s="31">
        <f>IF(AJ360="Stable",10,0)</f>
        <v/>
      </c>
      <c r="AL360" s="31" t="inlineStr">
        <is>
          <t>Yes</t>
        </is>
      </c>
      <c r="AM360" s="31">
        <f>IF(AL360="Yes",10,0)</f>
        <v/>
      </c>
      <c r="AN360" s="31" t="inlineStr">
        <is>
          <t>B2B</t>
        </is>
      </c>
      <c r="AO360" s="31">
        <f>IF(AN360="B2C",10,IF(AN360="B2B",5,0))</f>
        <v/>
      </c>
      <c r="AP360" s="31" t="inlineStr">
        <is>
          <t>No</t>
        </is>
      </c>
      <c r="AQ360" s="31">
        <f>IF(AP360="Yes",10,0)</f>
        <v/>
      </c>
      <c r="AR360" s="31" t="inlineStr">
        <is>
          <t>Higher One Time, Lower Annuity</t>
        </is>
      </c>
      <c r="AS360" s="31">
        <f>IF(AR360="Fully Annuity",10,IF(AR360="Higher Annuity, Lower One Time",5,IF(AR360="Higher One Time, Lower Annuity",3,0)))</f>
        <v/>
      </c>
      <c r="AT360" s="31" t="inlineStr">
        <is>
          <t>Good</t>
        </is>
      </c>
      <c r="AU360" s="31">
        <f>IF(AT360="Good",10,0)</f>
        <v/>
      </c>
      <c r="AV360" s="31" t="inlineStr">
        <is>
          <t>Yes for more than 2 years</t>
        </is>
      </c>
      <c r="AW360" s="31">
        <f>IF(AV360="Yes for more than 2 years",10,IF(AV360="Yes only for next 1 to 2 years",5,0))</f>
        <v/>
      </c>
      <c r="AX360" s="31" t="inlineStr">
        <is>
          <t>20 to 40</t>
        </is>
      </c>
      <c r="AY360" s="31">
        <f>IF(AX360="Above 40",20,IF(AX360="20 to 40",10,IF(AX360="0 to 20",-5,0)))</f>
        <v/>
      </c>
      <c r="AZ360" s="31" t="inlineStr">
        <is>
          <t>Between 50 to 75</t>
        </is>
      </c>
      <c r="BA360" s="31">
        <f>IF(AZ360="Between 50 to 75",10,IF(AZ360="Above 75",0,0))</f>
        <v/>
      </c>
      <c r="BB360" s="31" t="inlineStr">
        <is>
          <t>Stage 2</t>
        </is>
      </c>
      <c r="BC360" s="31">
        <f>IF(BB360="Stage 2",20,IF(BB360="Stage 1",0,IF(BB360="Stage 3",5,IF(BB360="Stage 4",-5,0))))</f>
        <v/>
      </c>
      <c r="BD360" s="31" t="inlineStr">
        <is>
          <t>Positive Trend</t>
        </is>
      </c>
      <c r="BE360" s="31">
        <f>IF(BD360="Positive Trend",20,IF(BD360="Negative Trend",-10,0))</f>
        <v/>
      </c>
      <c r="BF360" s="31" t="inlineStr">
        <is>
          <t>Uptrend</t>
        </is>
      </c>
      <c r="BG360" s="31">
        <f>IF(BF360="Uptrend",10,IF(BF360="Sideways",5,0))</f>
        <v/>
      </c>
      <c r="BH360" s="31" t="inlineStr">
        <is>
          <t>Uptrend</t>
        </is>
      </c>
      <c r="BI360" s="31">
        <f>IF(BH360="Uptrend",10,IF(BH360="Sideways",5,0))</f>
        <v/>
      </c>
      <c r="BJ360" s="31" t="inlineStr">
        <is>
          <t>Close to 52 week high or retracement</t>
        </is>
      </c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inlineStr">
        <is>
          <t>Yes</t>
        </is>
      </c>
      <c r="BM360" s="31">
        <f>IF(BL360="Yes",10,0)</f>
        <v/>
      </c>
      <c r="BN360" s="31" t="inlineStr">
        <is>
          <t>More than 20%</t>
        </is>
      </c>
      <c r="BO360" s="31">
        <f>IF(BN360="More than 20%",10,IF(BN360="Between 12 to 20%",5,IF(BN360="Less than 12%",0,0)))</f>
        <v/>
      </c>
      <c r="BP360" s="31" t="inlineStr">
        <is>
          <t>No</t>
        </is>
      </c>
      <c r="BQ360" s="31">
        <f>IF(BP360="No",10,0)</f>
        <v/>
      </c>
      <c r="BR360" s="31" t="inlineStr">
        <is>
          <t>Yes</t>
        </is>
      </c>
      <c r="BS360" s="31">
        <f>IF(BR360="NO",5,0)</f>
        <v/>
      </c>
      <c r="BT360" s="31" t="inlineStr">
        <is>
          <t>Above 2</t>
        </is>
      </c>
      <c r="BU360" s="31">
        <f>IF(BT360="Above 2",0,IF(BT360="Between 1.5 to 2",5,IF(BT360="Less than 1.5",10,0)))</f>
        <v/>
      </c>
      <c r="BV360" s="31" t="inlineStr">
        <is>
          <t>Negative</t>
        </is>
      </c>
      <c r="BW360" s="31">
        <f>IF(BV360="Above 70%",10,IF(BV360="Between 50% to 70%",5,IF(BV360="Less than 50%",0,IF(BV360="Negative",-10,IF(BV360="Less than 50% and Borrowings are increasing",-5,0)))))</f>
        <v/>
      </c>
      <c r="BX360" s="31" t="inlineStr">
        <is>
          <t>Less than 0.7</t>
        </is>
      </c>
      <c r="BY360" s="31">
        <f>IF(BX360="More than 1.2",-10,IF(BX360="Between 0.7 to 1.2",0,IF(BX360="Less than 0.7",10,0)))</f>
        <v/>
      </c>
      <c r="BZ360" s="31" t="inlineStr">
        <is>
          <t>No</t>
        </is>
      </c>
      <c r="CA360" s="31">
        <f>IF(BZ360="Yes",-10,0)</f>
        <v/>
      </c>
      <c r="CB360" s="31" t="inlineStr">
        <is>
          <t>Less than 15%</t>
        </is>
      </c>
      <c r="CC360" s="31">
        <f>IF(CB360="More than 15%",-10,IF(CB360="Less than 15%",10,0))</f>
        <v/>
      </c>
      <c r="CD360" s="31" t="inlineStr">
        <is>
          <t>No</t>
        </is>
      </c>
      <c r="CE360" s="31">
        <f>IF(CD360="Yes, more than 10%",-10,IF(CD360="No",10,0))</f>
        <v/>
      </c>
    </row>
    <row r="361">
      <c r="A361" s="31">
        <f>IF(B361=0,"",RANK(B361,$B$2:$B$370,0))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1" t="inlineStr">
        <is>
          <t>TBOTEK</t>
        </is>
      </c>
      <c r="D361" s="31" t="inlineStr">
        <is>
          <t>TBO Tek Ltd</t>
        </is>
      </c>
      <c r="E361" s="31" t="inlineStr">
        <is>
          <t>i.t</t>
        </is>
      </c>
      <c r="F361" s="31" t="inlineStr">
        <is>
          <t>travel agencies</t>
        </is>
      </c>
      <c r="G361" s="31" t="inlineStr">
        <is>
          <t>midcap</t>
        </is>
      </c>
      <c r="H361" s="32" t="n">
        <v>15635.56</v>
      </c>
      <c r="I361" s="32" t="n">
        <v>1425</v>
      </c>
      <c r="J361" s="32" t="n">
        <v>-1.03</v>
      </c>
      <c r="K361" s="32" t="n">
        <v>79036</v>
      </c>
      <c r="L361" s="31" t="n">
        <v>28</v>
      </c>
      <c r="M361" s="31" t="inlineStr">
        <is>
          <t>Outperforming</t>
        </is>
      </c>
      <c r="N361" s="32">
        <f>IF(M361="Underperforming",-5,IF(L361&gt;=95,15,IF(L361&gt;=90,10,IF(L361&gt;=80,5,0))))</f>
        <v/>
      </c>
      <c r="O361" s="32" t="n">
        <v>56.05</v>
      </c>
      <c r="P361" s="32" t="n">
        <v>15</v>
      </c>
      <c r="Q361" s="32" t="n">
        <v>1138.54</v>
      </c>
      <c r="R361" s="31" t="inlineStr">
        <is>
          <t>Earnings / Momentum Support</t>
        </is>
      </c>
      <c r="S361" s="31" t="inlineStr">
        <is>
          <t>Nifty IT</t>
        </is>
      </c>
      <c r="T361" s="32" t="n">
        <v>-32.85</v>
      </c>
      <c r="U361" s="32" t="n">
        <v>0.31</v>
      </c>
      <c r="V361" s="32" t="n">
        <v>49.39</v>
      </c>
      <c r="W361" s="32" t="n">
        <v>8.59</v>
      </c>
      <c r="X361" s="31" t="inlineStr">
        <is>
          <t>Growing Industry</t>
        </is>
      </c>
      <c r="Y361" s="31">
        <f>IF(X361="Growing Industry",10,IF(X361="Cyclical in an Upturn",5,0))</f>
        <v/>
      </c>
      <c r="Z361" s="31" t="inlineStr">
        <is>
          <t>Too Many Players with High ROCE</t>
        </is>
      </c>
      <c r="AA361" s="31">
        <f>IF(Z361="Monopoly",10,IF(Z361="Oligopoly",5,IF(Z361="Duopoly that cooperate",10,IF(Z361="Duopoly that compete",5,IF(Z361="Too many players with High ROCE",5,0)))))</f>
        <v/>
      </c>
      <c r="AB361" s="31" t="inlineStr">
        <is>
          <t>No</t>
        </is>
      </c>
      <c r="AC361" s="31">
        <f>IF(AB361="No",5,0)</f>
        <v/>
      </c>
      <c r="AD361" s="31" t="inlineStr">
        <is>
          <t>Headwind</t>
        </is>
      </c>
      <c r="AE361" s="31">
        <f>IF(AD361="Tailwind",10,0)</f>
        <v/>
      </c>
      <c r="AF361" s="31" t="inlineStr">
        <is>
          <t>Structural (10 Years Consistency)</t>
        </is>
      </c>
      <c r="AG361" s="31">
        <f>IF(AF361="Structural (10 Years Consistency)",10,IF(AF361="Shallow Cyclical (2 to 3 years growth)",5,0))</f>
        <v/>
      </c>
      <c r="AH361" s="31" t="inlineStr">
        <is>
          <t>No</t>
        </is>
      </c>
      <c r="AI361" s="31">
        <f>IF(AH361="Yes due to Product Mix change or Operating Leverage",10,IF(AH361="Yes, these are peak margins",-5,IF(AH361="No",5,0)))</f>
        <v/>
      </c>
      <c r="AJ361" s="31" t="inlineStr">
        <is>
          <t>Stable</t>
        </is>
      </c>
      <c r="AK361" s="31">
        <f>IF(AJ361="Stable",10,0)</f>
        <v/>
      </c>
      <c r="AL361" s="31" t="inlineStr">
        <is>
          <t>Yes</t>
        </is>
      </c>
      <c r="AM361" s="31">
        <f>IF(AL361="Yes",10,0)</f>
        <v/>
      </c>
      <c r="AN361" s="31" t="inlineStr">
        <is>
          <t>B2B</t>
        </is>
      </c>
      <c r="AO361" s="31">
        <f>IF(AN361="B2C",10,IF(AN361="B2B",5,0))</f>
        <v/>
      </c>
      <c r="AP361" s="31" t="inlineStr">
        <is>
          <t>No</t>
        </is>
      </c>
      <c r="AQ361" s="31">
        <f>IF(AP361="Yes",10,0)</f>
        <v/>
      </c>
      <c r="AR361" s="31" t="inlineStr">
        <is>
          <t>Higher One Time, Lower Annuity</t>
        </is>
      </c>
      <c r="AS361" s="31">
        <f>IF(AR361="Fully Annuity",10,IF(AR361="Higher Annuity, Lower One Time",5,IF(AR361="Higher One Time, Lower Annuity",3,0)))</f>
        <v/>
      </c>
      <c r="AT361" s="31" t="inlineStr">
        <is>
          <t>Good</t>
        </is>
      </c>
      <c r="AU361" s="31">
        <f>IF(AT361="Good",10,0)</f>
        <v/>
      </c>
      <c r="AV361" s="31" t="inlineStr">
        <is>
          <t>Yes for more than 2 years</t>
        </is>
      </c>
      <c r="AW361" s="31">
        <f>IF(AV361="Yes for more than 2 years",10,IF(AV361="Yes only for next 1 to 2 years",5,0))</f>
        <v/>
      </c>
      <c r="AX361" s="31" t="inlineStr">
        <is>
          <t>0 to 20</t>
        </is>
      </c>
      <c r="AY361" s="31">
        <f>IF(AX361="Above 40",20,IF(AX361="20 to 40",10,IF(AX361="0 to 20",-5,0)))</f>
        <v/>
      </c>
      <c r="AZ361" s="31" t="inlineStr">
        <is>
          <t>Between 50 to 75</t>
        </is>
      </c>
      <c r="BA361" s="31">
        <f>IF(AZ361="Between 50 to 75",10,IF(AZ361="Above 75",0,0))</f>
        <v/>
      </c>
      <c r="BB361" s="31" t="inlineStr">
        <is>
          <t>Stage 2</t>
        </is>
      </c>
      <c r="BC361" s="31">
        <f>IF(BB361="Stage 2",20,IF(BB361="Stage 1",0,IF(BB361="Stage 3",5,IF(BB361="Stage 4",-5,0))))</f>
        <v/>
      </c>
      <c r="BD361" s="31" t="inlineStr">
        <is>
          <t>Positive Trend</t>
        </is>
      </c>
      <c r="BE361" s="31">
        <f>IF(BD361="Positive Trend",20,IF(BD361="Negative Trend",-10,0))</f>
        <v/>
      </c>
      <c r="BF361" s="31" t="inlineStr">
        <is>
          <t>Uptrend</t>
        </is>
      </c>
      <c r="BG361" s="31">
        <f>IF(BF361="Uptrend",10,IF(BF361="Sideways",5,0))</f>
        <v/>
      </c>
      <c r="BH361" s="31" t="inlineStr">
        <is>
          <t>Uptrend</t>
        </is>
      </c>
      <c r="BI361" s="31">
        <f>IF(BH361="Uptrend",10,IF(BH361="Sideways",5,0))</f>
        <v/>
      </c>
      <c r="BJ361" s="31" t="inlineStr">
        <is>
          <t>Close to 52 week high or retracement</t>
        </is>
      </c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inlineStr">
        <is>
          <t>Yes</t>
        </is>
      </c>
      <c r="BM361" s="31">
        <f>IF(BL361="Yes",10,0)</f>
        <v/>
      </c>
      <c r="BN361" s="31" t="inlineStr">
        <is>
          <t>Less than 12%</t>
        </is>
      </c>
      <c r="BO361" s="31">
        <f>IF(BN361="More than 20%",10,IF(BN361="Between 12 to 20%",5,IF(BN361="Less than 12%",0,0)))</f>
        <v/>
      </c>
      <c r="BP361" s="31" t="inlineStr">
        <is>
          <t>No</t>
        </is>
      </c>
      <c r="BQ361" s="31">
        <f>IF(BP361="No",10,0)</f>
        <v/>
      </c>
      <c r="BR361" s="31" t="inlineStr">
        <is>
          <t>Yes</t>
        </is>
      </c>
      <c r="BS361" s="31">
        <f>IF(BR361="NO",5,0)</f>
        <v/>
      </c>
      <c r="BT361" s="31" t="inlineStr">
        <is>
          <t>Above 2</t>
        </is>
      </c>
      <c r="BU361" s="31">
        <f>IF(BT361="Above 2",0,IF(BT361="Between 1.5 to 2",5,IF(BT361="Less than 1.5",10,0)))</f>
        <v/>
      </c>
      <c r="BV361" s="31" t="inlineStr">
        <is>
          <t>Negative</t>
        </is>
      </c>
      <c r="BW361" s="31">
        <f>IF(BV361="Above 70%",10,IF(BV361="Between 50% to 70%",5,IF(BV361="Less than 50%",0,IF(BV361="Negative",-10,IF(BV361="Less than 50% and Borrowings are increasing",-5,0)))))</f>
        <v/>
      </c>
      <c r="BX361" s="31" t="inlineStr">
        <is>
          <t>Less than 0.7</t>
        </is>
      </c>
      <c r="BY361" s="31">
        <f>IF(BX361="More than 1.2",-10,IF(BX361="Between 0.7 to 1.2",0,IF(BX361="Less than 0.7",10,0)))</f>
        <v/>
      </c>
      <c r="BZ361" s="31" t="inlineStr">
        <is>
          <t>No</t>
        </is>
      </c>
      <c r="CA361" s="31">
        <f>IF(BZ361="Yes",-10,0)</f>
        <v/>
      </c>
      <c r="CB361" s="31" t="inlineStr">
        <is>
          <t>Less than 15%</t>
        </is>
      </c>
      <c r="CC361" s="31">
        <f>IF(CB361="More than 15%",-10,IF(CB361="Less than 15%",10,0))</f>
        <v/>
      </c>
      <c r="CD361" s="31" t="inlineStr">
        <is>
          <t>No</t>
        </is>
      </c>
      <c r="CE361" s="31">
        <f>IF(CD361="Yes, more than 10%",-10,IF(CD361="No",10,0))</f>
        <v/>
      </c>
    </row>
    <row r="362">
      <c r="A362" s="31">
        <f>IF(B362=0,"",RANK(B362,$B$2:$B$370,0))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1" t="inlineStr">
        <is>
          <t>TI</t>
        </is>
      </c>
      <c r="D362" s="31" t="inlineStr">
        <is>
          <t>Tilaknagar Industries Limited</t>
        </is>
      </c>
      <c r="E362" s="31" t="inlineStr">
        <is>
          <t>fmcg</t>
        </is>
      </c>
      <c r="F362" s="31" t="inlineStr">
        <is>
          <t>breweries &amp; distilleries</t>
        </is>
      </c>
      <c r="G362" s="31" t="inlineStr">
        <is>
          <t>midcap</t>
        </is>
      </c>
      <c r="H362" s="32" t="n">
        <v>11008.99</v>
      </c>
      <c r="I362" s="32" t="n">
        <v>455.15</v>
      </c>
      <c r="J362" s="32" t="n">
        <v>2.19</v>
      </c>
      <c r="K362" s="32" t="n">
        <v>1053056</v>
      </c>
      <c r="L362" s="31" t="n">
        <v>28</v>
      </c>
      <c r="M362" s="31" t="inlineStr">
        <is>
          <t>Outperforming</t>
        </is>
      </c>
      <c r="N362" s="32">
        <f>IF(M362="Underperforming",-5,IF(L362&gt;=95,15,IF(L362&gt;=90,10,IF(L362&gt;=80,5,0))))</f>
        <v/>
      </c>
      <c r="O362" s="32" t="n">
        <v>53.16</v>
      </c>
      <c r="P362" s="32" t="n">
        <v>8.66</v>
      </c>
      <c r="Q362" s="32" t="n">
        <v>372.84</v>
      </c>
      <c r="R362" s="31" t="inlineStr">
        <is>
          <t>Earnings / Momentum Support</t>
        </is>
      </c>
      <c r="S362" s="31" t="inlineStr">
        <is>
          <t>Nifty FMCG</t>
        </is>
      </c>
      <c r="T362" s="32" t="n">
        <v>-10.85</v>
      </c>
      <c r="U362" s="32" t="n">
        <v>33.74</v>
      </c>
      <c r="V362" s="32" t="n">
        <v>50.03</v>
      </c>
      <c r="W362" s="32" t="n">
        <v>8.5</v>
      </c>
      <c r="X362" s="31" t="inlineStr">
        <is>
          <t>Growing Industry</t>
        </is>
      </c>
      <c r="Y362" s="31">
        <f>IF(X362="Growing Industry",10,IF(X362="Cyclical in an Upturn",5,0))</f>
        <v/>
      </c>
      <c r="Z362" s="31" t="inlineStr">
        <is>
          <t>Too Many Players with High ROCE</t>
        </is>
      </c>
      <c r="AA362" s="31">
        <f>IF(Z362="Monopoly",10,IF(Z362="Oligopoly",5,IF(Z362="Duopoly that cooperate",10,IF(Z362="Duopoly that compete",5,IF(Z362="Too many players with High ROCE",5,0)))))</f>
        <v/>
      </c>
      <c r="AB362" s="31" t="inlineStr">
        <is>
          <t>No</t>
        </is>
      </c>
      <c r="AC362" s="31">
        <f>IF(AB362="No",5,0)</f>
        <v/>
      </c>
      <c r="AD362" s="31" t="inlineStr">
        <is>
          <t>Tailwind</t>
        </is>
      </c>
      <c r="AE362" s="31">
        <f>IF(AD362="Tailwind",10,0)</f>
        <v/>
      </c>
      <c r="AF362" s="31" t="inlineStr">
        <is>
          <t>Structural (10 Years Consistency)</t>
        </is>
      </c>
      <c r="AG362" s="31">
        <f>IF(AF362="Structural (10 Years Consistency)",10,IF(AF362="Shallow Cyclical (2 to 3 years growth)",5,0))</f>
        <v/>
      </c>
      <c r="AH362" s="31" t="inlineStr">
        <is>
          <t>No</t>
        </is>
      </c>
      <c r="AI362" s="31">
        <f>IF(AH362="Yes due to Product Mix change or Operating Leverage",10,IF(AH362="Yes, these are peak margins",-5,IF(AH362="No",5,0)))</f>
        <v/>
      </c>
      <c r="AJ362" s="31" t="inlineStr">
        <is>
          <t>Stable</t>
        </is>
      </c>
      <c r="AK362" s="31">
        <f>IF(AJ362="Stable",10,0)</f>
        <v/>
      </c>
      <c r="AL362" s="31" t="inlineStr">
        <is>
          <t>Yes</t>
        </is>
      </c>
      <c r="AM362" s="31">
        <f>IF(AL362="Yes",10,0)</f>
        <v/>
      </c>
      <c r="AN362" s="31" t="inlineStr">
        <is>
          <t>B2C</t>
        </is>
      </c>
      <c r="AO362" s="31">
        <f>IF(AN362="B2C",10,IF(AN362="B2B",5,0))</f>
        <v/>
      </c>
      <c r="AP362" s="31" t="inlineStr">
        <is>
          <t>No</t>
        </is>
      </c>
      <c r="AQ362" s="31">
        <f>IF(AP362="Yes",10,0)</f>
        <v/>
      </c>
      <c r="AR362" s="31" t="inlineStr">
        <is>
          <t>Higher Annuity, Lower One Time</t>
        </is>
      </c>
      <c r="AS362" s="31">
        <f>IF(AR362="Fully Annuity",10,IF(AR362="Higher Annuity, Lower One Time",5,IF(AR362="Higher One Time, Lower Annuity",3,0)))</f>
        <v/>
      </c>
      <c r="AT362" s="31" t="inlineStr">
        <is>
          <t>Good</t>
        </is>
      </c>
      <c r="AU362" s="31">
        <f>IF(AT362="Good",10,0)</f>
        <v/>
      </c>
      <c r="AV362" s="31" t="inlineStr">
        <is>
          <t>Yes for more than 2 years</t>
        </is>
      </c>
      <c r="AW362" s="31">
        <f>IF(AV362="Yes for more than 2 years",10,IF(AV362="Yes only for next 1 to 2 years",5,0))</f>
        <v/>
      </c>
      <c r="AX362" s="31" t="inlineStr">
        <is>
          <t>0 to 20</t>
        </is>
      </c>
      <c r="AY362" s="31">
        <f>IF(AX362="Above 40",20,IF(AX362="20 to 40",10,IF(AX362="0 to 20",-5,0)))</f>
        <v/>
      </c>
      <c r="AZ362" s="31" t="inlineStr">
        <is>
          <t>Between 50 to 75</t>
        </is>
      </c>
      <c r="BA362" s="31">
        <f>IF(AZ362="Between 50 to 75",10,IF(AZ362="Above 75",0,0))</f>
        <v/>
      </c>
      <c r="BB362" s="31" t="inlineStr">
        <is>
          <t>Stage 1</t>
        </is>
      </c>
      <c r="BC362" s="31">
        <f>IF(BB362="Stage 2",20,IF(BB362="Stage 1",0,IF(BB362="Stage 3",5,IF(BB362="Stage 4",-5,0))))</f>
        <v/>
      </c>
      <c r="BD362" s="31" t="inlineStr">
        <is>
          <t>Positive Trend</t>
        </is>
      </c>
      <c r="BE362" s="31">
        <f>IF(BD362="Positive Trend",20,IF(BD362="Negative Trend",-10,0))</f>
        <v/>
      </c>
      <c r="BF362" s="31" t="inlineStr">
        <is>
          <t>Uptrend</t>
        </is>
      </c>
      <c r="BG362" s="31">
        <f>IF(BF362="Uptrend",10,IF(BF362="Sideways",5,0))</f>
        <v/>
      </c>
      <c r="BH362" s="31" t="inlineStr">
        <is>
          <t>Uptrend</t>
        </is>
      </c>
      <c r="BI362" s="31">
        <f>IF(BH362="Uptrend",10,IF(BH362="Sideways",5,0))</f>
        <v/>
      </c>
      <c r="BJ362" s="31" t="inlineStr">
        <is>
          <t>Close to 52 week high or retracement</t>
        </is>
      </c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inlineStr">
        <is>
          <t>Yes</t>
        </is>
      </c>
      <c r="BM362" s="31">
        <f>IF(BL362="Yes",10,0)</f>
        <v/>
      </c>
      <c r="BN362" s="31" t="inlineStr">
        <is>
          <t>More than 20%</t>
        </is>
      </c>
      <c r="BO362" s="31">
        <f>IF(BN362="More than 20%",10,IF(BN362="Between 12 to 20%",5,IF(BN362="Less than 12%",0,0)))</f>
        <v/>
      </c>
      <c r="BP362" s="31" t="inlineStr">
        <is>
          <t>No</t>
        </is>
      </c>
      <c r="BQ362" s="31">
        <f>IF(BP362="No",10,0)</f>
        <v/>
      </c>
      <c r="BR362" s="31" t="inlineStr">
        <is>
          <t>Yes</t>
        </is>
      </c>
      <c r="BS362" s="31">
        <f>IF(BR362="NO",5,0)</f>
        <v/>
      </c>
      <c r="BT362" s="31" t="inlineStr">
        <is>
          <t>Above 2</t>
        </is>
      </c>
      <c r="BU362" s="31">
        <f>IF(BT362="Above 2",0,IF(BT362="Between 1.5 to 2",5,IF(BT362="Less than 1.5",10,0)))</f>
        <v/>
      </c>
      <c r="BV362" s="31" t="inlineStr">
        <is>
          <t>Negative</t>
        </is>
      </c>
      <c r="BW362" s="31">
        <f>IF(BV362="Above 70%",10,IF(BV362="Between 50% to 70%",5,IF(BV362="Less than 50%",0,IF(BV362="Negative",-10,IF(BV362="Less than 50% and Borrowings are increasing",-5,0)))))</f>
        <v/>
      </c>
      <c r="BX362" s="31" t="inlineStr">
        <is>
          <t>Between 0.7 to 1.2</t>
        </is>
      </c>
      <c r="BY362" s="31">
        <f>IF(BX362="More than 1.2",-10,IF(BX362="Between 0.7 to 1.2",0,IF(BX362="Less than 0.7",10,0)))</f>
        <v/>
      </c>
      <c r="BZ362" s="31" t="inlineStr">
        <is>
          <t>No</t>
        </is>
      </c>
      <c r="CA362" s="31">
        <f>IF(BZ362="Yes",-10,0)</f>
        <v/>
      </c>
      <c r="CB362" s="31" t="inlineStr">
        <is>
          <t>Less than 15%</t>
        </is>
      </c>
      <c r="CC362" s="31">
        <f>IF(CB362="More than 15%",-10,IF(CB362="Less than 15%",10,0))</f>
        <v/>
      </c>
      <c r="CD362" s="31" t="inlineStr">
        <is>
          <t>No</t>
        </is>
      </c>
      <c r="CE362" s="31">
        <f>IF(CD362="Yes, more than 10%",-10,IF(CD362="No",10,0))</f>
        <v/>
      </c>
    </row>
    <row r="363">
      <c r="A363" s="31">
        <f>IF(B363=0,"",RANK(B363,$B$2:$B$370,0))</f>
        <v/>
      </c>
      <c r="B363" s="32">
        <f>SUM(N363,Y363,AA363,AC363,AE363,AG363,AI363,AK363,AM363,AO363,AQ363,AS363,AU363,AW363,AY363,BA363,BC363,BE363,BG363,BI363,BK363,BM363,BO363,BQ363,BS363,BU363,BW363,BY363,CA363,CC363,CE363)</f>
        <v/>
      </c>
      <c r="C363" s="33" t="inlineStr">
        <is>
          <t>JTLIND</t>
        </is>
      </c>
      <c r="D363" s="33" t="inlineStr">
        <is>
          <t>JTL Industries Ltd</t>
        </is>
      </c>
      <c r="E363" s="31" t="inlineStr">
        <is>
          <t>metals &amp; mining</t>
        </is>
      </c>
      <c r="F363" s="31" t="inlineStr">
        <is>
          <t>steel - medium / small</t>
        </is>
      </c>
      <c r="G363" s="31" t="inlineStr">
        <is>
          <t>smallcap</t>
        </is>
      </c>
      <c r="H363" s="32" t="n">
        <v>3072.72</v>
      </c>
      <c r="I363" s="32" t="n">
        <v>79.59</v>
      </c>
      <c r="J363" s="32" t="n">
        <v>1.82</v>
      </c>
      <c r="K363" s="32" t="n">
        <v>1891711</v>
      </c>
      <c r="L363" s="31" t="n">
        <v>58</v>
      </c>
      <c r="M363" s="31" t="inlineStr">
        <is>
          <t>Underperforming</t>
        </is>
      </c>
      <c r="N363" s="32">
        <f>IF(M363="Underperforming",-5,IF(L363&gt;=95,15,IF(L363&gt;=90,10,IF(L363&gt;=80,5,0))))</f>
        <v/>
      </c>
      <c r="O363" s="32" t="n">
        <v>58.86</v>
      </c>
      <c r="P363" s="32" t="n">
        <v>12.23</v>
      </c>
      <c r="Q363" s="32" t="n">
        <v>55.9</v>
      </c>
      <c r="R363" s="31" t="inlineStr">
        <is>
          <t>Earnings / Momentum Support</t>
        </is>
      </c>
      <c r="S363" s="31" t="inlineStr">
        <is>
          <t>Nifty Metal</t>
        </is>
      </c>
      <c r="T363" s="32" t="n">
        <v>30.67</v>
      </c>
      <c r="U363" s="32" t="n">
        <v>2.49</v>
      </c>
      <c r="V363" s="32" t="n">
        <v>-21.57</v>
      </c>
      <c r="W363" s="32" t="n">
        <v>15.65</v>
      </c>
      <c r="X363" s="31" t="inlineStr">
        <is>
          <t>Cyclical in an Upturn</t>
        </is>
      </c>
      <c r="Y363" s="31">
        <f>IF(X363="Growing Industry",10,IF(X363="Cyclical in an Upturn",5,0))</f>
        <v/>
      </c>
      <c r="Z363" s="31" t="inlineStr">
        <is>
          <t>Too Many Players with High ROCE</t>
        </is>
      </c>
      <c r="AA363" s="31">
        <f>IF(Z363="Monopoly",10,IF(Z363="Oligopoly",5,IF(Z363="Duopoly that cooperate",10,IF(Z363="Duopoly that compete",5,IF(Z363="Too many players with High ROCE",5,0)))))</f>
        <v/>
      </c>
      <c r="AB363" s="31" t="inlineStr">
        <is>
          <t>No</t>
        </is>
      </c>
      <c r="AC363" s="31">
        <f>IF(AB363="No",5,0)</f>
        <v/>
      </c>
      <c r="AD363" s="31" t="inlineStr">
        <is>
          <t>Tailwind</t>
        </is>
      </c>
      <c r="AE363" s="31">
        <f>IF(AD363="Tailwind",10,0)</f>
        <v/>
      </c>
      <c r="AF363" s="31" t="inlineStr">
        <is>
          <t>Cyclical</t>
        </is>
      </c>
      <c r="AG363" s="31">
        <f>IF(AF363="Structural (10 Years Consistency)",10,IF(AF363="Shallow Cyclical (2 to 3 years growth)",5,0))</f>
        <v/>
      </c>
      <c r="AH363" s="31" t="inlineStr">
        <is>
          <t>No</t>
        </is>
      </c>
      <c r="AI363" s="31">
        <f>IF(AH363="Yes due to Product Mix change or Operating Leverage",10,IF(AH363="Yes, these are peak margins",-5,IF(AH363="No",5,0)))</f>
        <v/>
      </c>
      <c r="AJ363" s="31" t="inlineStr">
        <is>
          <t>Volatile</t>
        </is>
      </c>
      <c r="AK363" s="31">
        <f>IF(AJ363="Stable",10,0)</f>
        <v/>
      </c>
      <c r="AL363" s="31" t="inlineStr">
        <is>
          <t>Yes</t>
        </is>
      </c>
      <c r="AM363" s="31">
        <f>IF(AL363="Yes",10,0)</f>
        <v/>
      </c>
      <c r="AN363" s="31" t="inlineStr">
        <is>
          <t>B2B</t>
        </is>
      </c>
      <c r="AO363" s="31">
        <f>IF(AN363="B2C",10,IF(AN363="B2B",5,0))</f>
        <v/>
      </c>
      <c r="AP363" s="31" t="inlineStr">
        <is>
          <t>No</t>
        </is>
      </c>
      <c r="AQ363" s="31">
        <f>IF(AP363="Yes",10,0)</f>
        <v/>
      </c>
      <c r="AR363" s="31" t="inlineStr">
        <is>
          <t>Higher One Time, Lower Annuity</t>
        </is>
      </c>
      <c r="AS363" s="31">
        <f>IF(AR363="Fully Annuity",10,IF(AR363="Higher Annuity, Lower One Time",5,IF(AR363="Higher One Time, Lower Annuity",3,0)))</f>
        <v/>
      </c>
      <c r="AT363" s="31" t="inlineStr">
        <is>
          <t>Good</t>
        </is>
      </c>
      <c r="AU363" s="31">
        <f>IF(AT363="Good",10,0)</f>
        <v/>
      </c>
      <c r="AV363" s="31" t="inlineStr">
        <is>
          <t>Yes for more than 2 years</t>
        </is>
      </c>
      <c r="AW363" s="31">
        <f>IF(AV363="Yes for more than 2 years",10,IF(AV363="Yes only for next 1 to 2 years",5,0))</f>
        <v/>
      </c>
      <c r="AX363" s="31" t="inlineStr">
        <is>
          <t>0 to 20</t>
        </is>
      </c>
      <c r="AY363" s="31">
        <f>IF(AX363="Above 40",20,IF(AX363="20 to 40",10,IF(AX363="0 to 20",-5,0)))</f>
        <v/>
      </c>
      <c r="AZ363" s="31" t="inlineStr">
        <is>
          <t>Between 50 to 75</t>
        </is>
      </c>
      <c r="BA363" s="31">
        <f>IF(AZ363="Between 50 to 75",10,IF(AZ363="Above 75",0,0))</f>
        <v/>
      </c>
      <c r="BB363" s="31" t="inlineStr">
        <is>
          <t>Stage 2</t>
        </is>
      </c>
      <c r="BC363" s="31">
        <f>IF(BB363="Stage 2",20,IF(BB363="Stage 1",0,IF(BB363="Stage 3",5,IF(BB363="Stage 4",-5,0))))</f>
        <v/>
      </c>
      <c r="BD363" s="31" t="inlineStr">
        <is>
          <t>Positive Trend</t>
        </is>
      </c>
      <c r="BE363" s="31">
        <f>IF(BD363="Positive Trend",20,IF(BD363="Negative Trend",-10,0))</f>
        <v/>
      </c>
      <c r="BF363" s="31" t="inlineStr">
        <is>
          <t>Uptrend</t>
        </is>
      </c>
      <c r="BG363" s="31">
        <f>IF(BF363="Uptrend",10,IF(BF363="Sideways",5,0))</f>
        <v/>
      </c>
      <c r="BH363" s="31" t="inlineStr">
        <is>
          <t>Uptrend</t>
        </is>
      </c>
      <c r="BI363" s="31">
        <f>IF(BH363="Uptrend",10,IF(BH363="Sideways",5,0))</f>
        <v/>
      </c>
      <c r="BJ363" s="31" t="inlineStr">
        <is>
          <t>Close to 52 week high or retracement</t>
        </is>
      </c>
      <c r="BK363" s="31">
        <f>IF(BJ363="Overhead supply in last 2 years in last 2 years",-5,IF(BJ363="Close to 52 week high or retracement",5,IF(BJ363="Blue sky scenario",10,IF(BJ363="Long term Downtrend",-10,0))))</f>
        <v/>
      </c>
      <c r="BL363" s="31" t="inlineStr">
        <is>
          <t>Yes</t>
        </is>
      </c>
      <c r="BM363" s="31">
        <f>IF(BL363="Yes",10,0)</f>
        <v/>
      </c>
      <c r="BN363" s="31" t="inlineStr">
        <is>
          <t>More than 20%</t>
        </is>
      </c>
      <c r="BO363" s="31">
        <f>IF(BN363="More than 20%",10,IF(BN363="Between 12 to 20%",5,IF(BN363="Less than 12%",0,0)))</f>
        <v/>
      </c>
      <c r="BP363" s="31" t="inlineStr">
        <is>
          <t>No</t>
        </is>
      </c>
      <c r="BQ363" s="31">
        <f>IF(BP363="No",10,0)</f>
        <v/>
      </c>
      <c r="BR363" s="31" t="inlineStr">
        <is>
          <t>No</t>
        </is>
      </c>
      <c r="BS363" s="31">
        <f>IF(BR363="NO",5,0)</f>
        <v/>
      </c>
      <c r="BT363" s="31" t="inlineStr">
        <is>
          <t>Above 2</t>
        </is>
      </c>
      <c r="BU363" s="31">
        <f>IF(BT363="Above 2",0,IF(BT363="Between 1.5 to 2",5,IF(BT363="Less than 1.5",10,0)))</f>
        <v/>
      </c>
      <c r="BV363" s="31" t="inlineStr">
        <is>
          <t>Negative</t>
        </is>
      </c>
      <c r="BW363" s="31">
        <f>IF(BV363="Above 70%",10,IF(BV363="Between 50% to 70%",5,IF(BV363="Less than 50%",0,IF(BV363="Negative",-10,IF(BV363="Less than 50% and Borrowings are increasing",-5,0)))))</f>
        <v/>
      </c>
      <c r="BX363" s="31" t="inlineStr">
        <is>
          <t>Less than 0.7</t>
        </is>
      </c>
      <c r="BY363" s="31">
        <f>IF(BX363="More than 1.2",-10,IF(BX363="Between 0.7 to 1.2",0,IF(BX363="Less than 0.7",10,0)))</f>
        <v/>
      </c>
      <c r="BZ363" s="31" t="inlineStr">
        <is>
          <t>No</t>
        </is>
      </c>
      <c r="CA363" s="31">
        <f>IF(BZ363="Yes",-10,0)</f>
        <v/>
      </c>
      <c r="CB363" s="31" t="inlineStr">
        <is>
          <t>Less than 15%</t>
        </is>
      </c>
      <c r="CC363" s="31">
        <f>IF(CB363="More than 15%",-10,IF(CB363="Less than 15%",10,0))</f>
        <v/>
      </c>
      <c r="CD363" s="31" t="inlineStr">
        <is>
          <t>No</t>
        </is>
      </c>
      <c r="CE363" s="31">
        <f>IF(CD363="Yes, more than 10%",-10,IF(CD363="No",10,0))</f>
        <v/>
      </c>
    </row>
    <row r="364">
      <c r="A364" s="31">
        <f>IF(B364=0,"",RANK(B364,$B$2:$B$370,0))</f>
        <v/>
      </c>
      <c r="B364" s="32">
        <f>SUM(N364,Y364,AA364,AC364,AE364,AG364,AI364,AK364,AM364,AO364,AQ364,AS364,AU364,AW364,AY364,BA364,BC364,BE364,BG364,BI364,BK364,BM364,BO364,BQ364,BS364,BU364,BW364,BY364,CA364,CC364,CE364)</f>
        <v/>
      </c>
      <c r="C364" s="31" t="inlineStr">
        <is>
          <t>ATGL</t>
        </is>
      </c>
      <c r="D364" s="31" t="inlineStr">
        <is>
          <t>Adani Total Gas Ltd</t>
        </is>
      </c>
      <c r="E364" s="31" t="inlineStr">
        <is>
          <t>energy</t>
        </is>
      </c>
      <c r="F364" s="31" t="inlineStr">
        <is>
          <t>miscellaneous</t>
        </is>
      </c>
      <c r="G364" s="31" t="inlineStr">
        <is>
          <t>largecap</t>
        </is>
      </c>
      <c r="H364" s="32" t="n">
        <v>80467.60000000001</v>
      </c>
      <c r="I364" s="32" t="n">
        <v>731.55</v>
      </c>
      <c r="J364" s="32" t="n">
        <v>-0.01</v>
      </c>
      <c r="K364" s="32" t="n">
        <v>1994972</v>
      </c>
      <c r="L364" s="31" t="n">
        <v>44</v>
      </c>
      <c r="M364" s="31" t="inlineStr">
        <is>
          <t>Outperforming</t>
        </is>
      </c>
      <c r="N364" s="32">
        <f>IF(M364="Underperforming",-5,IF(L364&gt;=95,15,IF(L364&gt;=90,10,IF(L364&gt;=80,5,0))))</f>
        <v/>
      </c>
      <c r="O364" s="32" t="n">
        <v>64.58</v>
      </c>
      <c r="P364" s="32" t="n">
        <v>52.51</v>
      </c>
      <c r="Q364" s="32" t="n">
        <v>587.37</v>
      </c>
      <c r="R364" s="31" t="inlineStr">
        <is>
          <t>Earnings / Momentum Support</t>
        </is>
      </c>
      <c r="S364" s="31" t="inlineStr">
        <is>
          <t>Nifty Energy</t>
        </is>
      </c>
      <c r="T364" s="32" t="n">
        <v>8.85</v>
      </c>
      <c r="U364" s="32" t="n">
        <v>10.86</v>
      </c>
      <c r="V364" s="32" t="n">
        <v>1.85</v>
      </c>
      <c r="W364" s="32" t="n">
        <v>11.74</v>
      </c>
      <c r="X364" s="31" t="inlineStr">
        <is>
          <t>Cyclical in an Upturn</t>
        </is>
      </c>
      <c r="Y364" s="31">
        <f>IF(X364="Growing Industry",10,IF(X364="Cyclical in an Upturn",5,0))</f>
        <v/>
      </c>
      <c r="Z364" s="31" t="inlineStr">
        <is>
          <t>Oligopoly</t>
        </is>
      </c>
      <c r="AA364" s="31">
        <f>IF(Z364="Monopoly",10,IF(Z364="Oligopoly",5,IF(Z364="Duopoly that cooperate",10,IF(Z364="Duopoly that compete",5,IF(Z364="Too many players with High ROCE",5,0)))))</f>
        <v/>
      </c>
      <c r="AB364" s="31" t="inlineStr">
        <is>
          <t>Yes</t>
        </is>
      </c>
      <c r="AC364" s="31">
        <f>IF(AB364="No",5,0)</f>
        <v/>
      </c>
      <c r="AD364" s="31" t="inlineStr">
        <is>
          <t>Tailwind</t>
        </is>
      </c>
      <c r="AE364" s="31">
        <f>IF(AD364="Tailwind",10,0)</f>
        <v/>
      </c>
      <c r="AF364" s="31" t="inlineStr">
        <is>
          <t>Cyclical</t>
        </is>
      </c>
      <c r="AG364" s="31">
        <f>IF(AF364="Structural (10 Years Consistency)",10,IF(AF364="Shallow Cyclical (2 to 3 years growth)",5,0))</f>
        <v/>
      </c>
      <c r="AH364" s="31" t="inlineStr">
        <is>
          <t>No</t>
        </is>
      </c>
      <c r="AI364" s="31">
        <f>IF(AH364="Yes due to Product Mix change or Operating Leverage",10,IF(AH364="Yes, these are peak margins",-5,IF(AH364="No",5,0)))</f>
        <v/>
      </c>
      <c r="AJ364" s="31" t="inlineStr">
        <is>
          <t>Volatile</t>
        </is>
      </c>
      <c r="AK364" s="31">
        <f>IF(AJ364="Stable",10,0)</f>
        <v/>
      </c>
      <c r="AL364" s="31" t="inlineStr">
        <is>
          <t>Yes</t>
        </is>
      </c>
      <c r="AM364" s="31">
        <f>IF(AL364="Yes",10,0)</f>
        <v/>
      </c>
      <c r="AN364" s="31" t="inlineStr">
        <is>
          <t>B2B</t>
        </is>
      </c>
      <c r="AO364" s="31">
        <f>IF(AN364="B2C",10,IF(AN364="B2B",5,0))</f>
        <v/>
      </c>
      <c r="AP364" s="31" t="inlineStr">
        <is>
          <t>No</t>
        </is>
      </c>
      <c r="AQ364" s="31">
        <f>IF(AP364="Yes",10,0)</f>
        <v/>
      </c>
      <c r="AR364" s="31" t="inlineStr">
        <is>
          <t>Higher One Time, Lower Annuity</t>
        </is>
      </c>
      <c r="AS364" s="31">
        <f>IF(AR364="Fully Annuity",10,IF(AR364="Higher Annuity, Lower One Time",5,IF(AR364="Higher One Time, Lower Annuity",3,0)))</f>
        <v/>
      </c>
      <c r="AT364" s="31" t="inlineStr">
        <is>
          <t>Good</t>
        </is>
      </c>
      <c r="AU364" s="31">
        <f>IF(AT364="Good",10,0)</f>
        <v/>
      </c>
      <c r="AV364" s="31" t="inlineStr">
        <is>
          <t>Yes for more than 2 years</t>
        </is>
      </c>
      <c r="AW364" s="31">
        <f>IF(AV364="Yes for more than 2 years",10,IF(AV364="Yes only for next 1 to 2 years",5,0))</f>
        <v/>
      </c>
      <c r="AX364" s="31" t="inlineStr">
        <is>
          <t>Above 40</t>
        </is>
      </c>
      <c r="AY364" s="31">
        <f>IF(AX364="Above 40",20,IF(AX364="20 to 40",10,IF(AX364="0 to 20",-5,0)))</f>
        <v/>
      </c>
      <c r="AZ364" s="31" t="inlineStr">
        <is>
          <t>Between 50 to 75</t>
        </is>
      </c>
      <c r="BA364" s="31">
        <f>IF(AZ364="Between 50 to 75",10,IF(AZ364="Above 75",0,0))</f>
        <v/>
      </c>
      <c r="BB364" s="31" t="inlineStr">
        <is>
          <t>Stage 2</t>
        </is>
      </c>
      <c r="BC364" s="31">
        <f>IF(BB364="Stage 2",20,IF(BB364="Stage 1",0,IF(BB364="Stage 3",5,IF(BB364="Stage 4",-5,0))))</f>
        <v/>
      </c>
      <c r="BD364" s="31" t="inlineStr">
        <is>
          <t>Negative Trend</t>
        </is>
      </c>
      <c r="BE364" s="31">
        <f>IF(BD364="Positive Trend",20,IF(BD364="Negative Trend",-10,0))</f>
        <v/>
      </c>
      <c r="BF364" s="31" t="inlineStr">
        <is>
          <t>Uptrend</t>
        </is>
      </c>
      <c r="BG364" s="31">
        <f>IF(BF364="Uptrend",10,IF(BF364="Sideways",5,0))</f>
        <v/>
      </c>
      <c r="BH364" s="31" t="inlineStr">
        <is>
          <t>Uptrend</t>
        </is>
      </c>
      <c r="BI364" s="31">
        <f>IF(BH364="Uptrend",10,IF(BH364="Sideways",5,0))</f>
        <v/>
      </c>
      <c r="BJ364" s="31" t="inlineStr">
        <is>
          <t>Close to 52 week high or retracement</t>
        </is>
      </c>
      <c r="BK364" s="31">
        <f>IF(BJ364="Overhead supply in last 2 years in last 2 years",-5,IF(BJ364="Close to 52 week high or retracement",5,IF(BJ364="Blue sky scenario",10,IF(BJ364="Long term Downtrend",-10,0))))</f>
        <v/>
      </c>
      <c r="BL364" s="31" t="inlineStr">
        <is>
          <t>Yes</t>
        </is>
      </c>
      <c r="BM364" s="31">
        <f>IF(BL364="Yes",10,0)</f>
        <v/>
      </c>
      <c r="BN364" s="31" t="inlineStr">
        <is>
          <t>Less than 12%</t>
        </is>
      </c>
      <c r="BO364" s="31">
        <f>IF(BN364="More than 20%",10,IF(BN364="Between 12 to 20%",5,IF(BN364="Less than 12%",0,0)))</f>
        <v/>
      </c>
      <c r="BP364" s="31" t="inlineStr">
        <is>
          <t>No</t>
        </is>
      </c>
      <c r="BQ364" s="31">
        <f>IF(BP364="No",10,0)</f>
        <v/>
      </c>
      <c r="BR364" s="31" t="inlineStr">
        <is>
          <t>Yes</t>
        </is>
      </c>
      <c r="BS364" s="31">
        <f>IF(BR364="NO",5,0)</f>
        <v/>
      </c>
      <c r="BT364" s="31" t="inlineStr">
        <is>
          <t>Above 2</t>
        </is>
      </c>
      <c r="BU364" s="31">
        <f>IF(BT364="Above 2",0,IF(BT364="Between 1.5 to 2",5,IF(BT364="Less than 1.5",10,0)))</f>
        <v/>
      </c>
      <c r="BV364" s="31" t="inlineStr">
        <is>
          <t>Above 70%</t>
        </is>
      </c>
      <c r="BW364" s="31">
        <f>IF(BV364="Above 70%",10,IF(BV364="Between 50% to 70%",5,IF(BV364="Less than 50%",0,IF(BV364="Negative",-10,IF(BV364="Less than 50% and Borrowings are increasing",-5,0)))))</f>
        <v/>
      </c>
      <c r="BX364" s="31" t="inlineStr">
        <is>
          <t>Less than 0.7</t>
        </is>
      </c>
      <c r="BY364" s="31">
        <f>IF(BX364="More than 1.2",-10,IF(BX364="Between 0.7 to 1.2",0,IF(BX364="Less than 0.7",10,0)))</f>
        <v/>
      </c>
      <c r="BZ364" s="31" t="inlineStr">
        <is>
          <t>No</t>
        </is>
      </c>
      <c r="CA364" s="31">
        <f>IF(BZ364="Yes",-10,0)</f>
        <v/>
      </c>
      <c r="CB364" s="31" t="inlineStr">
        <is>
          <t>Less than 15%</t>
        </is>
      </c>
      <c r="CC364" s="31">
        <f>IF(CB364="More than 15%",-10,IF(CB364="Less than 15%",10,0))</f>
        <v/>
      </c>
      <c r="CD364" s="31" t="inlineStr">
        <is>
          <t>No</t>
        </is>
      </c>
      <c r="CE364" s="31">
        <f>IF(CD364="Yes, more than 10%",-10,IF(CD364="No",10,0))</f>
        <v/>
      </c>
    </row>
    <row r="365">
      <c r="A365" s="31">
        <f>IF(B365=0,"",RANK(B365,$B$2:$B$370,0))</f>
        <v/>
      </c>
      <c r="B365" s="32">
        <f>SUM(N365,Y365,AA365,AC365,AE365,AG365,AI365,AK365,AM365,AO365,AQ365,AS365,AU365,AW365,AY365,BA365,BC365,BE365,BG365,BI365,BK365,BM365,BO365,BQ365,BS365,BU365,BW365,BY365,CA365,CC365,CE365)</f>
        <v/>
      </c>
      <c r="C365" s="33" t="inlineStr">
        <is>
          <t>ENTERO</t>
        </is>
      </c>
      <c r="D365" s="33" t="inlineStr">
        <is>
          <t>Entero Healthcare Solutions Ltd</t>
        </is>
      </c>
      <c r="E365" s="31" t="inlineStr">
        <is>
          <t>healthcare</t>
        </is>
      </c>
      <c r="F365" s="31" t="inlineStr">
        <is>
          <t>trading</t>
        </is>
      </c>
      <c r="G365" s="31" t="inlineStr">
        <is>
          <t>midcap</t>
        </is>
      </c>
      <c r="H365" s="32" t="n">
        <v>5221.75</v>
      </c>
      <c r="I365" s="32" t="n">
        <v>1189</v>
      </c>
      <c r="J365" s="32" t="n">
        <v>-0.92</v>
      </c>
      <c r="K365" s="32" t="n">
        <v>56892</v>
      </c>
      <c r="L365" s="31" t="n">
        <v>1</v>
      </c>
      <c r="M365" s="31" t="inlineStr">
        <is>
          <t>Underperforming</t>
        </is>
      </c>
      <c r="N365" s="32">
        <f>IF(M365="Underperforming",-5,IF(L365&gt;=95,15,IF(L365&gt;=90,10,IF(L365&gt;=80,5,0))))</f>
        <v/>
      </c>
      <c r="O365" s="32" t="n">
        <v>51.57</v>
      </c>
      <c r="P365" s="32" t="n">
        <v>17.7</v>
      </c>
      <c r="Q365" s="32" t="n">
        <v>1023.29</v>
      </c>
      <c r="R365" s="31" t="inlineStr">
        <is>
          <t>Earnings / Momentum Support</t>
        </is>
      </c>
      <c r="S365" s="31" t="inlineStr">
        <is>
          <t>Nifty Pharma</t>
        </is>
      </c>
      <c r="T365" s="32" t="n">
        <v>13.14</v>
      </c>
      <c r="U365" s="32" t="n">
        <v>-3.47</v>
      </c>
      <c r="V365" s="32" t="n">
        <v>-14.68</v>
      </c>
      <c r="W365" s="32" t="n">
        <v>-1.37</v>
      </c>
      <c r="X365" s="31" t="inlineStr">
        <is>
          <t>Growing Industry</t>
        </is>
      </c>
      <c r="Y365" s="31">
        <f>IF(X365="Growing Industry",10,IF(X365="Cyclical in an Upturn",5,0))</f>
        <v/>
      </c>
      <c r="Z365" s="31" t="inlineStr">
        <is>
          <t>Too Many Players with High ROCE</t>
        </is>
      </c>
      <c r="AA365" s="31">
        <f>IF(Z365="Monopoly",10,IF(Z365="Oligopoly",5,IF(Z365="Duopoly that cooperate",10,IF(Z365="Duopoly that compete",5,IF(Z365="Too many players with High ROCE",5,0)))))</f>
        <v/>
      </c>
      <c r="AB365" s="31" t="inlineStr">
        <is>
          <t>Yes</t>
        </is>
      </c>
      <c r="AC365" s="31">
        <f>IF(AB365="No",5,0)</f>
        <v/>
      </c>
      <c r="AD365" s="31" t="inlineStr">
        <is>
          <t>Tailwind</t>
        </is>
      </c>
      <c r="AE365" s="31">
        <f>IF(AD365="Tailwind",10,0)</f>
        <v/>
      </c>
      <c r="AF365" s="31" t="inlineStr">
        <is>
          <t>Structural (10 Years Consistency)</t>
        </is>
      </c>
      <c r="AG365" s="31">
        <f>IF(AF365="Structural (10 Years Consistency)",10,IF(AF365="Shallow Cyclical (2 to 3 years growth)",5,0))</f>
        <v/>
      </c>
      <c r="AH365" s="31" t="inlineStr">
        <is>
          <t>No</t>
        </is>
      </c>
      <c r="AI365" s="31">
        <f>IF(AH365="Yes due to Product Mix change or Operating Leverage",10,IF(AH365="Yes, these are peak margins",-5,IF(AH365="No",5,0)))</f>
        <v/>
      </c>
      <c r="AJ365" s="31" t="inlineStr">
        <is>
          <t>Stable</t>
        </is>
      </c>
      <c r="AK365" s="31">
        <f>IF(AJ365="Stable",10,0)</f>
        <v/>
      </c>
      <c r="AL365" s="31" t="inlineStr">
        <is>
          <t>Yes</t>
        </is>
      </c>
      <c r="AM365" s="31">
        <f>IF(AL365="Yes",10,0)</f>
        <v/>
      </c>
      <c r="AN365" s="31" t="inlineStr">
        <is>
          <t>B2B</t>
        </is>
      </c>
      <c r="AO365" s="31">
        <f>IF(AN365="B2C",10,IF(AN365="B2B",5,0))</f>
        <v/>
      </c>
      <c r="AP365" s="31" t="inlineStr">
        <is>
          <t>No</t>
        </is>
      </c>
      <c r="AQ365" s="31">
        <f>IF(AP365="Yes",10,0)</f>
        <v/>
      </c>
      <c r="AR365" s="31" t="inlineStr">
        <is>
          <t>Higher Annuity, Lower One Time</t>
        </is>
      </c>
      <c r="AS365" s="31">
        <f>IF(AR365="Fully Annuity",10,IF(AR365="Higher Annuity, Lower One Time",5,IF(AR365="Higher One Time, Lower Annuity",3,0)))</f>
        <v/>
      </c>
      <c r="AT365" s="31" t="inlineStr">
        <is>
          <t>Good</t>
        </is>
      </c>
      <c r="AU365" s="31">
        <f>IF(AT365="Good",10,0)</f>
        <v/>
      </c>
      <c r="AV365" s="31" t="inlineStr">
        <is>
          <t>Yes for more than 2 years</t>
        </is>
      </c>
      <c r="AW365" s="31">
        <f>IF(AV365="Yes for more than 2 years",10,IF(AV365="Yes only for next 1 to 2 years",5,0))</f>
        <v/>
      </c>
      <c r="AX365" s="31" t="inlineStr">
        <is>
          <t>0 to 20</t>
        </is>
      </c>
      <c r="AY365" s="31">
        <f>IF(AX365="Above 40",20,IF(AX365="20 to 40",10,IF(AX365="0 to 20",-5,0)))</f>
        <v/>
      </c>
      <c r="AZ365" s="31" t="inlineStr">
        <is>
          <t>Between 50 to 75</t>
        </is>
      </c>
      <c r="BA365" s="31">
        <f>IF(AZ365="Between 50 to 75",10,IF(AZ365="Above 75",0,0))</f>
        <v/>
      </c>
      <c r="BB365" s="31" t="inlineStr">
        <is>
          <t>Stage 1</t>
        </is>
      </c>
      <c r="BC365" s="31">
        <f>IF(BB365="Stage 2",20,IF(BB365="Stage 1",0,IF(BB365="Stage 3",5,IF(BB365="Stage 4",-5,0))))</f>
        <v/>
      </c>
      <c r="BD365" s="31" t="inlineStr">
        <is>
          <t>Positive Trend</t>
        </is>
      </c>
      <c r="BE365" s="31">
        <f>IF(BD365="Positive Trend",20,IF(BD365="Negative Trend",-10,0))</f>
        <v/>
      </c>
      <c r="BF365" s="31" t="inlineStr">
        <is>
          <t>Uptrend</t>
        </is>
      </c>
      <c r="BG365" s="31">
        <f>IF(BF365="Uptrend",10,IF(BF365="Sideways",5,0))</f>
        <v/>
      </c>
      <c r="BH365" s="31" t="inlineStr">
        <is>
          <t>Uptrend</t>
        </is>
      </c>
      <c r="BI365" s="31">
        <f>IF(BH365="Uptrend",10,IF(BH365="Sideways",5,0))</f>
        <v/>
      </c>
      <c r="BJ365" s="31" t="inlineStr">
        <is>
          <t>Close to 52 week high or retracement</t>
        </is>
      </c>
      <c r="BK365" s="31">
        <f>IF(BJ365="Overhead supply in last 2 years in last 2 years",-5,IF(BJ365="Close to 52 week high or retracement",5,IF(BJ365="Blue sky scenario",10,IF(BJ365="Long term Downtrend",-10,0))))</f>
        <v/>
      </c>
      <c r="BL365" s="31" t="inlineStr">
        <is>
          <t>Yes</t>
        </is>
      </c>
      <c r="BM365" s="31">
        <f>IF(BL365="Yes",10,0)</f>
        <v/>
      </c>
      <c r="BN365" s="31" t="inlineStr">
        <is>
          <t>Less than 12%</t>
        </is>
      </c>
      <c r="BO365" s="31">
        <f>IF(BN365="More than 20%",10,IF(BN365="Between 12 to 20%",5,IF(BN365="Less than 12%",0,0)))</f>
        <v/>
      </c>
      <c r="BP365" s="31" t="inlineStr">
        <is>
          <t>No</t>
        </is>
      </c>
      <c r="BQ365" s="31">
        <f>IF(BP365="No",10,0)</f>
        <v/>
      </c>
      <c r="BR365" s="31" t="inlineStr">
        <is>
          <t>Yes</t>
        </is>
      </c>
      <c r="BS365" s="31">
        <f>IF(BR365="NO",5,0)</f>
        <v/>
      </c>
      <c r="BT365" s="31" t="inlineStr">
        <is>
          <t>Above 2</t>
        </is>
      </c>
      <c r="BU365" s="31">
        <f>IF(BT365="Above 2",0,IF(BT365="Between 1.5 to 2",5,IF(BT365="Less than 1.5",10,0)))</f>
        <v/>
      </c>
      <c r="BV365" s="31" t="inlineStr">
        <is>
          <t>Less than 50%</t>
        </is>
      </c>
      <c r="BW365" s="31">
        <f>IF(BV365="Above 70%",10,IF(BV365="Between 50% to 70%",5,IF(BV365="Less than 50%",0,IF(BV365="Negative",-10,IF(BV365="Less than 50% and Borrowings are increasing",-5,0)))))</f>
        <v/>
      </c>
      <c r="BX365" s="31" t="inlineStr">
        <is>
          <t>Less than 0.7</t>
        </is>
      </c>
      <c r="BY365" s="31">
        <f>IF(BX365="More than 1.2",-10,IF(BX365="Between 0.7 to 1.2",0,IF(BX365="Less than 0.7",10,0)))</f>
        <v/>
      </c>
      <c r="BZ365" s="31" t="inlineStr">
        <is>
          <t>No</t>
        </is>
      </c>
      <c r="CA365" s="31">
        <f>IF(BZ365="Yes",-10,0)</f>
        <v/>
      </c>
      <c r="CB365" s="31" t="inlineStr">
        <is>
          <t>Less than 15%</t>
        </is>
      </c>
      <c r="CC365" s="31">
        <f>IF(CB365="More than 15%",-10,IF(CB365="Less than 15%",10,0))</f>
        <v/>
      </c>
      <c r="CD365" s="31" t="inlineStr">
        <is>
          <t>No</t>
        </is>
      </c>
      <c r="CE365" s="31">
        <f>IF(CD365="Yes, more than 10%",-10,IF(CD365="No",10,0))</f>
        <v/>
      </c>
    </row>
    <row r="366">
      <c r="A366" s="31">
        <f>IF(B366=0,"",RANK(B366,$B$2:$B$370,0))</f>
        <v/>
      </c>
      <c r="B366" s="32">
        <f>SUM(N366,Y366,AA366,AC366,AE366,AG366,AI366,AK366,AM366,AO366,AQ366,AS366,AU366,AW366,AY366,BA366,BC366,BE366,BG366,BI366,BK366,BM366,BO366,BQ366,BS366,BU366,BW366,BY366,CA366,CC366,CE366)</f>
        <v/>
      </c>
      <c r="C366" s="31" t="inlineStr">
        <is>
          <t>PAYTM</t>
        </is>
      </c>
      <c r="D366" s="31" t="inlineStr">
        <is>
          <t>One 97 Communications Ltd</t>
        </is>
      </c>
      <c r="E366" s="31" t="inlineStr">
        <is>
          <t>i.t</t>
        </is>
      </c>
      <c r="F366" s="31" t="inlineStr">
        <is>
          <t>miscellaneous</t>
        </is>
      </c>
      <c r="G366" s="31" t="inlineStr">
        <is>
          <t>largecap</t>
        </is>
      </c>
      <c r="H366" s="32" t="n">
        <v>72523.58</v>
      </c>
      <c r="I366" s="32" t="n">
        <v>1141.5</v>
      </c>
      <c r="J366" s="32" t="n">
        <v>0.74</v>
      </c>
      <c r="K366" s="32" t="n">
        <v>2478029</v>
      </c>
      <c r="L366" s="31" t="n">
        <v>27</v>
      </c>
      <c r="M366" s="31" t="inlineStr">
        <is>
          <t>Outperforming</t>
        </is>
      </c>
      <c r="N366" s="32">
        <f>IF(M366="Underperforming",-5,IF(L366&gt;=95,15,IF(L366&gt;=90,10,IF(L366&gt;=80,5,0))))</f>
        <v/>
      </c>
      <c r="O366" s="32" t="n">
        <v>51.56</v>
      </c>
      <c r="P366" s="32" t="n">
        <v>18.89</v>
      </c>
      <c r="Q366" s="32" t="n">
        <v>925.13</v>
      </c>
      <c r="R366" s="31" t="inlineStr">
        <is>
          <t>Earnings / Momentum Support</t>
        </is>
      </c>
      <c r="S366" s="31" t="inlineStr">
        <is>
          <t>Nifty IT</t>
        </is>
      </c>
      <c r="T366" s="32" t="n">
        <v>-32.85</v>
      </c>
      <c r="U366" s="32" t="n">
        <v>22.63</v>
      </c>
      <c r="V366" s="32" t="n">
        <v>82.63</v>
      </c>
      <c r="W366" s="32" t="n">
        <v>8.449999999999999</v>
      </c>
      <c r="X366" s="31" t="inlineStr">
        <is>
          <t>Growing Industry</t>
        </is>
      </c>
      <c r="Y366" s="31">
        <f>IF(X366="Growing Industry",10,IF(X366="Cyclical in an Upturn",5,0))</f>
        <v/>
      </c>
      <c r="Z366" s="31" t="inlineStr">
        <is>
          <t>Too Many Players with High ROCE</t>
        </is>
      </c>
      <c r="AA366" s="31">
        <f>IF(Z366="Monopoly",10,IF(Z366="Oligopoly",5,IF(Z366="Duopoly that cooperate",10,IF(Z366="Duopoly that compete",5,IF(Z366="Too many players with High ROCE",5,0)))))</f>
        <v/>
      </c>
      <c r="AB366" s="31" t="inlineStr">
        <is>
          <t>No</t>
        </is>
      </c>
      <c r="AC366" s="31">
        <f>IF(AB366="No",5,0)</f>
        <v/>
      </c>
      <c r="AD366" s="31" t="inlineStr">
        <is>
          <t>Headwind</t>
        </is>
      </c>
      <c r="AE366" s="31">
        <f>IF(AD366="Tailwind",10,0)</f>
        <v/>
      </c>
      <c r="AF366" s="31" t="inlineStr">
        <is>
          <t>Structural (10 Years Consistency)</t>
        </is>
      </c>
      <c r="AG366" s="31">
        <f>IF(AF366="Structural (10 Years Consistency)",10,IF(AF366="Shallow Cyclical (2 to 3 years growth)",5,0))</f>
        <v/>
      </c>
      <c r="AH366" s="31" t="inlineStr">
        <is>
          <t>No</t>
        </is>
      </c>
      <c r="AI366" s="31">
        <f>IF(AH366="Yes due to Product Mix change or Operating Leverage",10,IF(AH366="Yes, these are peak margins",-5,IF(AH366="No",5,0)))</f>
        <v/>
      </c>
      <c r="AJ366" s="31" t="inlineStr">
        <is>
          <t>Stable</t>
        </is>
      </c>
      <c r="AK366" s="31">
        <f>IF(AJ366="Stable",10,0)</f>
        <v/>
      </c>
      <c r="AL366" s="31" t="inlineStr">
        <is>
          <t>Yes</t>
        </is>
      </c>
      <c r="AM366" s="31">
        <f>IF(AL366="Yes",10,0)</f>
        <v/>
      </c>
      <c r="AN366" s="31" t="inlineStr">
        <is>
          <t>B2B</t>
        </is>
      </c>
      <c r="AO366" s="31">
        <f>IF(AN366="B2C",10,IF(AN366="B2B",5,0))</f>
        <v/>
      </c>
      <c r="AP366" s="31" t="inlineStr">
        <is>
          <t>No</t>
        </is>
      </c>
      <c r="AQ366" s="31">
        <f>IF(AP366="Yes",10,0)</f>
        <v/>
      </c>
      <c r="AR366" s="31" t="inlineStr">
        <is>
          <t>Higher One Time, Lower Annuity</t>
        </is>
      </c>
      <c r="AS366" s="31">
        <f>IF(AR366="Fully Annuity",10,IF(AR366="Higher Annuity, Lower One Time",5,IF(AR366="Higher One Time, Lower Annuity",3,0)))</f>
        <v/>
      </c>
      <c r="AT366" s="31" t="inlineStr">
        <is>
          <t>Good</t>
        </is>
      </c>
      <c r="AU366" s="31">
        <f>IF(AT366="Good",10,0)</f>
        <v/>
      </c>
      <c r="AV366" s="31" t="inlineStr">
        <is>
          <t>Yes for more than 2 years</t>
        </is>
      </c>
      <c r="AW366" s="31">
        <f>IF(AV366="Yes for more than 2 years",10,IF(AV366="Yes only for next 1 to 2 years",5,0))</f>
        <v/>
      </c>
      <c r="AX366" s="31" t="inlineStr">
        <is>
          <t>0 to 20</t>
        </is>
      </c>
      <c r="AY366" s="31">
        <f>IF(AX366="Above 40",20,IF(AX366="20 to 40",10,IF(AX366="0 to 20",-5,0)))</f>
        <v/>
      </c>
      <c r="AZ366" s="31" t="inlineStr">
        <is>
          <t>Between 50 to 75</t>
        </is>
      </c>
      <c r="BA366" s="31">
        <f>IF(AZ366="Between 50 to 75",10,IF(AZ366="Above 75",0,0))</f>
        <v/>
      </c>
      <c r="BB366" s="31" t="inlineStr">
        <is>
          <t>Stage 1</t>
        </is>
      </c>
      <c r="BC366" s="31">
        <f>IF(BB366="Stage 2",20,IF(BB366="Stage 1",0,IF(BB366="Stage 3",5,IF(BB366="Stage 4",-5,0))))</f>
        <v/>
      </c>
      <c r="BD366" s="31" t="inlineStr">
        <is>
          <t>Positive Trend</t>
        </is>
      </c>
      <c r="BE366" s="31">
        <f>IF(BD366="Positive Trend",20,IF(BD366="Negative Trend",-10,0))</f>
        <v/>
      </c>
      <c r="BF366" s="31" t="inlineStr">
        <is>
          <t>Uptrend</t>
        </is>
      </c>
      <c r="BG366" s="31">
        <f>IF(BF366="Uptrend",10,IF(BF366="Sideways",5,0))</f>
        <v/>
      </c>
      <c r="BH366" s="31" t="inlineStr">
        <is>
          <t>Uptrend</t>
        </is>
      </c>
      <c r="BI366" s="31">
        <f>IF(BH366="Uptrend",10,IF(BH366="Sideways",5,0))</f>
        <v/>
      </c>
      <c r="BJ366" s="31" t="inlineStr">
        <is>
          <t>Close to 52 week high or retracement</t>
        </is>
      </c>
      <c r="BK366" s="31">
        <f>IF(BJ366="Overhead supply in last 2 years in last 2 years",-5,IF(BJ366="Close to 52 week high or retracement",5,IF(BJ366="Blue sky scenario",10,IF(BJ366="Long term Downtrend",-10,0))))</f>
        <v/>
      </c>
      <c r="BL366" s="31" t="inlineStr">
        <is>
          <t>Yes</t>
        </is>
      </c>
      <c r="BM366" s="31">
        <f>IF(BL366="Yes",10,0)</f>
        <v/>
      </c>
      <c r="BN366" s="31" t="inlineStr">
        <is>
          <t>More than 20%</t>
        </is>
      </c>
      <c r="BO366" s="31">
        <f>IF(BN366="More than 20%",10,IF(BN366="Between 12 to 20%",5,IF(BN366="Less than 12%",0,0)))</f>
        <v/>
      </c>
      <c r="BP366" s="31" t="inlineStr">
        <is>
          <t>No</t>
        </is>
      </c>
      <c r="BQ366" s="31">
        <f>IF(BP366="No",10,0)</f>
        <v/>
      </c>
      <c r="BR366" s="31" t="inlineStr">
        <is>
          <t>Yes</t>
        </is>
      </c>
      <c r="BS366" s="31">
        <f>IF(BR366="NO",5,0)</f>
        <v/>
      </c>
      <c r="BT366" s="31" t="inlineStr">
        <is>
          <t>Above 2</t>
        </is>
      </c>
      <c r="BU366" s="31">
        <f>IF(BT366="Above 2",0,IF(BT366="Between 1.5 to 2",5,IF(BT366="Less than 1.5",10,0)))</f>
        <v/>
      </c>
      <c r="BV366" s="31" t="inlineStr">
        <is>
          <t>Negative</t>
        </is>
      </c>
      <c r="BW366" s="31">
        <f>IF(BV366="Above 70%",10,IF(BV366="Between 50% to 70%",5,IF(BV366="Less than 50%",0,IF(BV366="Negative",-10,IF(BV366="Less than 50% and Borrowings are increasing",-5,0)))))</f>
        <v/>
      </c>
      <c r="BX366" s="31" t="inlineStr">
        <is>
          <t>Less than 0.7</t>
        </is>
      </c>
      <c r="BY366" s="31">
        <f>IF(BX366="More than 1.2",-10,IF(BX366="Between 0.7 to 1.2",0,IF(BX366="Less than 0.7",10,0)))</f>
        <v/>
      </c>
      <c r="BZ366" s="31" t="inlineStr">
        <is>
          <t>No</t>
        </is>
      </c>
      <c r="CA366" s="31">
        <f>IF(BZ366="Yes",-10,0)</f>
        <v/>
      </c>
      <c r="CB366" s="31" t="inlineStr">
        <is>
          <t>Less than 15%</t>
        </is>
      </c>
      <c r="CC366" s="31">
        <f>IF(CB366="More than 15%",-10,IF(CB366="Less than 15%",10,0))</f>
        <v/>
      </c>
      <c r="CD366" s="31" t="inlineStr">
        <is>
          <t>No</t>
        </is>
      </c>
      <c r="CE366" s="31">
        <f>IF(CD366="Yes, more than 10%",-10,IF(CD366="No",10,0))</f>
        <v/>
      </c>
    </row>
    <row r="367">
      <c r="A367" s="31">
        <f>IF(B367=0,"",RANK(B367,$B$2:$B$370,0))</f>
        <v/>
      </c>
      <c r="B367" s="32">
        <f>SUM(N367,Y367,AA367,AC367,AE367,AG367,AI367,AK367,AM367,AO367,AQ367,AS367,AU367,AW367,AY367,BA367,BC367,BE367,BG367,BI367,BK367,BM367,BO367,BQ367,BS367,BU367,BW367,BY367,CA367,CC367,CE367)</f>
        <v/>
      </c>
      <c r="C367" s="31" t="inlineStr">
        <is>
          <t>FLUOROCHEM</t>
        </is>
      </c>
      <c r="D367" s="31" t="inlineStr">
        <is>
          <t>Gujarat Fluorochemicals Ltd</t>
        </is>
      </c>
      <c r="E367" s="31" t="inlineStr">
        <is>
          <t>chemicals</t>
        </is>
      </c>
      <c r="F367" s="31" t="inlineStr">
        <is>
          <t>chemicals</t>
        </is>
      </c>
      <c r="G367" s="31" t="inlineStr">
        <is>
          <t>largecap</t>
        </is>
      </c>
      <c r="H367" s="32" t="n">
        <v>42537.22</v>
      </c>
      <c r="I367" s="32" t="n">
        <v>3964</v>
      </c>
      <c r="J367" s="32" t="n">
        <v>2.37</v>
      </c>
      <c r="K367" s="32" t="n">
        <v>157857</v>
      </c>
      <c r="L367" s="31" t="n">
        <v>26</v>
      </c>
      <c r="M367" s="31" t="inlineStr">
        <is>
          <t>Outperforming</t>
        </is>
      </c>
      <c r="N367" s="32">
        <f>IF(M367="Underperforming",-5,IF(L367&gt;=95,15,IF(L367&gt;=90,10,IF(L367&gt;=80,5,0))))</f>
        <v/>
      </c>
      <c r="O367" s="32" t="n">
        <v>62.97</v>
      </c>
      <c r="P367" s="32" t="n">
        <v>15.93</v>
      </c>
      <c r="Q367" s="32" t="n">
        <v>3253.96</v>
      </c>
      <c r="R367" s="31" t="inlineStr">
        <is>
          <t>Near 52W High Breakout</t>
        </is>
      </c>
      <c r="S367" s="31" t="inlineStr">
        <is>
          <t>Nifty 50</t>
        </is>
      </c>
      <c r="T367" s="32" t="n">
        <v>-6.27</v>
      </c>
      <c r="U367" s="32" t="n">
        <v>12.65</v>
      </c>
      <c r="V367" s="32" t="n">
        <v>20.18</v>
      </c>
      <c r="W367" s="32" t="n">
        <v>7.81</v>
      </c>
      <c r="X367" s="31" t="inlineStr">
        <is>
          <t>Growing Industry</t>
        </is>
      </c>
      <c r="Y367" s="31">
        <f>IF(X367="Growing Industry",10,IF(X367="Cyclical in an Upturn",5,0))</f>
        <v/>
      </c>
      <c r="Z367" s="31" t="inlineStr">
        <is>
          <t>Oligopoly</t>
        </is>
      </c>
      <c r="AA367" s="31">
        <f>IF(Z367="Monopoly",10,IF(Z367="Oligopoly",5,IF(Z367="Duopoly that cooperate",10,IF(Z367="Duopoly that compete",5,IF(Z367="Too many players with High ROCE",5,0)))))</f>
        <v/>
      </c>
      <c r="AB367" s="31" t="inlineStr">
        <is>
          <t>No</t>
        </is>
      </c>
      <c r="AC367" s="31">
        <f>IF(AB367="No",5,0)</f>
        <v/>
      </c>
      <c r="AD367" s="31" t="inlineStr">
        <is>
          <t>Tailwind</t>
        </is>
      </c>
      <c r="AE367" s="31">
        <f>IF(AD367="Tailwind",10,0)</f>
        <v/>
      </c>
      <c r="AF367" s="31" t="inlineStr">
        <is>
          <t>Shallow Cyclical (2 to 3 Years Growth)</t>
        </is>
      </c>
      <c r="AG367" s="31">
        <f>IF(AF367="Structural (10 Years Consistency)",10,IF(AF367="Shallow Cyclical (2 to 3 years growth)",5,0))</f>
        <v/>
      </c>
      <c r="AH367" s="31" t="inlineStr">
        <is>
          <t>Yes due to Product Mix change or Operating Leverage</t>
        </is>
      </c>
      <c r="AI367" s="31">
        <f>IF(AH367="Yes due to Product Mix change or Operating Leverage",10,IF(AH367="Yes, these are peak margins",-5,IF(AH367="No",5,0)))</f>
        <v/>
      </c>
      <c r="AJ367" s="31" t="inlineStr">
        <is>
          <t>Volatile</t>
        </is>
      </c>
      <c r="AK367" s="31">
        <f>IF(AJ367="Stable",10,0)</f>
        <v/>
      </c>
      <c r="AL367" s="31" t="inlineStr">
        <is>
          <t>Yes</t>
        </is>
      </c>
      <c r="AM367" s="31">
        <f>IF(AL367="Yes",10,0)</f>
        <v/>
      </c>
      <c r="AN367" s="31" t="inlineStr">
        <is>
          <t>B2B</t>
        </is>
      </c>
      <c r="AO367" s="31">
        <f>IF(AN367="B2C",10,IF(AN367="B2B",5,0))</f>
        <v/>
      </c>
      <c r="AP367" s="31" t="inlineStr">
        <is>
          <t>Yes</t>
        </is>
      </c>
      <c r="AQ367" s="31">
        <f>IF(AP367="Yes",10,0)</f>
        <v/>
      </c>
      <c r="AR367" s="31" t="inlineStr">
        <is>
          <t>Higher One Time, Lower Annuity</t>
        </is>
      </c>
      <c r="AS367" s="31">
        <f>IF(AR367="Fully Annuity",10,IF(AR367="Higher Annuity, Lower One Time",5,IF(AR367="Higher One Time, Lower Annuity",3,0)))</f>
        <v/>
      </c>
      <c r="AT367" s="31" t="inlineStr">
        <is>
          <t>Allocated capital in Non-core Areas</t>
        </is>
      </c>
      <c r="AU367" s="31">
        <f>IF(AT367="Good",10,0)</f>
        <v/>
      </c>
      <c r="AV367" s="31" t="inlineStr">
        <is>
          <t>Yes for more than 2 years</t>
        </is>
      </c>
      <c r="AW367" s="31">
        <f>IF(AV367="Yes for more than 2 years",10,IF(AV367="Yes only for next 1 to 2 years",5,0))</f>
        <v/>
      </c>
      <c r="AX367" s="31" t="inlineStr">
        <is>
          <t>Above 40</t>
        </is>
      </c>
      <c r="AY367" s="31">
        <f>IF(AX367="Above 40",20,IF(AX367="20 to 40",10,IF(AX367="0 to 20",-5,0)))</f>
        <v/>
      </c>
      <c r="AZ367" s="31" t="inlineStr">
        <is>
          <t>Between 50 to 75</t>
        </is>
      </c>
      <c r="BA367" s="31">
        <f>IF(AZ367="Between 50 to 75",10,IF(AZ367="Above 75",0,0))</f>
        <v/>
      </c>
      <c r="BB367" s="31" t="inlineStr">
        <is>
          <t>Stage 3</t>
        </is>
      </c>
      <c r="BC367" s="31">
        <f>IF(BB367="Stage 2",20,IF(BB367="Stage 1",0,IF(BB367="Stage 3",5,IF(BB367="Stage 4",-5,0))))</f>
        <v/>
      </c>
      <c r="BD367" s="31" t="inlineStr">
        <is>
          <t>Negative Trend</t>
        </is>
      </c>
      <c r="BE367" s="31">
        <f>IF(BD367="Positive Trend",20,IF(BD367="Negative Trend",-10,0))</f>
        <v/>
      </c>
      <c r="BF367" s="31" t="inlineStr">
        <is>
          <t>Sideways</t>
        </is>
      </c>
      <c r="BG367" s="31">
        <f>IF(BF367="Uptrend",10,IF(BF367="Sideways",5,0))</f>
        <v/>
      </c>
      <c r="BH367" s="31" t="inlineStr">
        <is>
          <t>Uptrend</t>
        </is>
      </c>
      <c r="BI367" s="31">
        <f>IF(BH367="Uptrend",10,IF(BH367="Sideways",5,0))</f>
        <v/>
      </c>
      <c r="BJ367" s="31" t="inlineStr">
        <is>
          <t>Overhead supply in last 2 years in last 2 years</t>
        </is>
      </c>
      <c r="BK367" s="31">
        <f>IF(BJ367="Overhead supply in last 2 years in last 2 years",-5,IF(BJ367="Close to 52 week high or retracement",5,IF(BJ367="Blue sky scenario",10,IF(BJ367="Long term Downtrend",-10,0))))</f>
        <v/>
      </c>
      <c r="BL367" s="31" t="inlineStr">
        <is>
          <t>Yes</t>
        </is>
      </c>
      <c r="BM367" s="31">
        <f>IF(BL367="Yes",10,0)</f>
        <v/>
      </c>
      <c r="BN367" s="31" t="inlineStr">
        <is>
          <t>More than 20%</t>
        </is>
      </c>
      <c r="BO367" s="31">
        <f>IF(BN367="More than 20%",10,IF(BN367="Between 12 to 20%",5,IF(BN367="Less than 12%",0,0)))</f>
        <v/>
      </c>
      <c r="BP367" s="31" t="inlineStr">
        <is>
          <t>No</t>
        </is>
      </c>
      <c r="BQ367" s="31">
        <f>IF(BP367="No",10,0)</f>
        <v/>
      </c>
      <c r="BR367" s="31" t="inlineStr">
        <is>
          <t>No</t>
        </is>
      </c>
      <c r="BS367" s="31">
        <f>IF(BR367="NO",5,0)</f>
        <v/>
      </c>
      <c r="BT367" s="31" t="inlineStr">
        <is>
          <t>Less than 1.5</t>
        </is>
      </c>
      <c r="BU367" s="31">
        <f>IF(BT367="Above 2",0,IF(BT367="Between 1.5 to 2",5,IF(BT367="Less than 1.5",10,0)))</f>
        <v/>
      </c>
      <c r="BV367" s="31" t="inlineStr">
        <is>
          <t>Above 70%</t>
        </is>
      </c>
      <c r="BW367" s="31">
        <f>IF(BV367="Above 70%",10,IF(BV367="Between 50% to 70%",5,IF(BV367="Less than 50%",0,IF(BV367="Negative",-10,IF(BV367="Less than 50% and Borrowings are increasing",-5,0)))))</f>
        <v/>
      </c>
      <c r="BX367" s="31" t="inlineStr">
        <is>
          <t>Less than 0.7</t>
        </is>
      </c>
      <c r="BY367" s="31">
        <f>IF(BX367="More than 1.2",-10,IF(BX367="Between 0.7 to 1.2",0,IF(BX367="Less than 0.7",10,0)))</f>
        <v/>
      </c>
      <c r="BZ367" s="31" t="inlineStr">
        <is>
          <t>No</t>
        </is>
      </c>
      <c r="CA367" s="31">
        <f>IF(BZ367="Yes",-10,0)</f>
        <v/>
      </c>
      <c r="CB367" s="31" t="inlineStr">
        <is>
          <t>More than 15%</t>
        </is>
      </c>
      <c r="CC367" s="31">
        <f>IF(CB367="More than 15%",-10,IF(CB367="Less than 15%",10,0))</f>
        <v/>
      </c>
      <c r="CD367" s="31" t="inlineStr">
        <is>
          <t>Yes Upto 10%</t>
        </is>
      </c>
      <c r="CE367" s="31">
        <f>IF(CD367="Yes, more than 10%",-10,IF(CD367="No",10,0))</f>
        <v/>
      </c>
    </row>
    <row r="368">
      <c r="A368" s="31">
        <f>IF(B368=0,"",RANK(B368,$B$2:$B$370,0))</f>
        <v/>
      </c>
      <c r="B368" s="32">
        <f>SUM(N368,Y368,AA368,AC368,AE368,AG368,AI368,AK368,AM368,AO368,AQ368,AS368,AU368,AW368,AY368,BA368,BC368,BE368,BG368,BI368,BK368,BM368,BO368,BQ368,BS368,BU368,BW368,BY368,CA368,CC368,CE368)</f>
        <v/>
      </c>
      <c r="C368" s="31" t="inlineStr">
        <is>
          <t>GAEL</t>
        </is>
      </c>
      <c r="D368" s="31" t="inlineStr">
        <is>
          <t>Gujarat Ambuja Exports Limited</t>
        </is>
      </c>
      <c r="E368" s="31" t="inlineStr">
        <is>
          <t>fmcg</t>
        </is>
      </c>
      <c r="F368" s="31" t="inlineStr">
        <is>
          <t>miscellaneous</t>
        </is>
      </c>
      <c r="G368" s="31" t="inlineStr">
        <is>
          <t>midcap</t>
        </is>
      </c>
      <c r="H368" s="32" t="n">
        <v>7424.5</v>
      </c>
      <c r="I368" s="32" t="n">
        <v>165.33</v>
      </c>
      <c r="J368" s="32" t="n">
        <v>2.14</v>
      </c>
      <c r="K368" s="32" t="n">
        <v>1067023</v>
      </c>
      <c r="L368" s="31" t="n">
        <v>48</v>
      </c>
      <c r="M368" s="31" t="inlineStr">
        <is>
          <t>Outperforming</t>
        </is>
      </c>
      <c r="N368" s="32">
        <f>IF(M368="Underperforming",-5,IF(L368&gt;=95,15,IF(L368&gt;=90,10,IF(L368&gt;=80,5,0))))</f>
        <v/>
      </c>
      <c r="O368" s="32" t="n">
        <v>65.28</v>
      </c>
      <c r="P368" s="32" t="n">
        <v>41.01</v>
      </c>
      <c r="Q368" s="32" t="n">
        <v>134.59</v>
      </c>
      <c r="R368" s="31" t="inlineStr">
        <is>
          <t>Near 52W High Breakout</t>
        </is>
      </c>
      <c r="S368" s="31" t="inlineStr">
        <is>
          <t>Nifty FMCG</t>
        </is>
      </c>
      <c r="T368" s="32" t="n">
        <v>-10.85</v>
      </c>
      <c r="U368" s="32" t="n">
        <v>48.7</v>
      </c>
      <c r="V368" s="32" t="n">
        <v>66.8</v>
      </c>
      <c r="W368" s="32" t="n">
        <v>12.5</v>
      </c>
      <c r="X368" s="31" t="inlineStr">
        <is>
          <t>Growing Industry</t>
        </is>
      </c>
      <c r="Y368" s="31">
        <f>IF(X368="Growing Industry",10,IF(X368="Cyclical in an Upturn",5,0))</f>
        <v/>
      </c>
      <c r="Z368" s="31" t="inlineStr">
        <is>
          <t>Oligopoly</t>
        </is>
      </c>
      <c r="AA368" s="31">
        <f>IF(Z368="Monopoly",10,IF(Z368="Oligopoly",5,IF(Z368="Duopoly that cooperate",10,IF(Z368="Duopoly that compete",5,IF(Z368="Too many players with High ROCE",5,0)))))</f>
        <v/>
      </c>
      <c r="AB368" s="31" t="inlineStr">
        <is>
          <t>No</t>
        </is>
      </c>
      <c r="AC368" s="31">
        <f>IF(AB368="No",5,0)</f>
        <v/>
      </c>
      <c r="AD368" s="31" t="inlineStr">
        <is>
          <t>Tailwind</t>
        </is>
      </c>
      <c r="AE368" s="31">
        <f>IF(AD368="Tailwind",10,0)</f>
        <v/>
      </c>
      <c r="AF368" s="31" t="inlineStr">
        <is>
          <t>Shallow Cyclical (2 to 3 Years Growth)</t>
        </is>
      </c>
      <c r="AG368" s="31">
        <f>IF(AF368="Structural (10 Years Consistency)",10,IF(AF368="Shallow Cyclical (2 to 3 years growth)",5,0))</f>
        <v/>
      </c>
      <c r="AH368" s="31" t="inlineStr">
        <is>
          <t>Yes due to Product Mix change or Operating Leverage</t>
        </is>
      </c>
      <c r="AI368" s="31">
        <f>IF(AH368="Yes due to Product Mix change or Operating Leverage",10,IF(AH368="Yes, these are peak margins",-5,IF(AH368="No",5,0)))</f>
        <v/>
      </c>
      <c r="AJ368" s="31" t="inlineStr">
        <is>
          <t>Volatile</t>
        </is>
      </c>
      <c r="AK368" s="31">
        <f>IF(AJ368="Stable",10,0)</f>
        <v/>
      </c>
      <c r="AL368" s="31" t="inlineStr">
        <is>
          <t>Yes</t>
        </is>
      </c>
      <c r="AM368" s="31">
        <f>IF(AL368="Yes",10,0)</f>
        <v/>
      </c>
      <c r="AN368" s="31" t="inlineStr">
        <is>
          <t>B2B</t>
        </is>
      </c>
      <c r="AO368" s="31">
        <f>IF(AN368="B2C",10,IF(AN368="B2B",5,0))</f>
        <v/>
      </c>
      <c r="AP368" s="31" t="inlineStr">
        <is>
          <t>Yes</t>
        </is>
      </c>
      <c r="AQ368" s="31">
        <f>IF(AP368="Yes",10,0)</f>
        <v/>
      </c>
      <c r="AR368" s="31" t="inlineStr">
        <is>
          <t>Higher One Time, Lower Annuity</t>
        </is>
      </c>
      <c r="AS368" s="31">
        <f>IF(AR368="Fully Annuity",10,IF(AR368="Higher Annuity, Lower One Time",5,IF(AR368="Higher One Time, Lower Annuity",3,0)))</f>
        <v/>
      </c>
      <c r="AT368" s="31" t="inlineStr">
        <is>
          <t>Allocated capital in Non-core Areas</t>
        </is>
      </c>
      <c r="AU368" s="31">
        <f>IF(AT368="Good",10,0)</f>
        <v/>
      </c>
      <c r="AV368" s="31" t="inlineStr">
        <is>
          <t>Yes for more than 2 years</t>
        </is>
      </c>
      <c r="AW368" s="31">
        <f>IF(AV368="Yes for more than 2 years",10,IF(AV368="Yes only for next 1 to 2 years",5,0))</f>
        <v/>
      </c>
      <c r="AX368" s="31" t="inlineStr">
        <is>
          <t>Above 40</t>
        </is>
      </c>
      <c r="AY368" s="31">
        <f>IF(AX368="Above 40",20,IF(AX368="20 to 40",10,IF(AX368="0 to 20",-5,0)))</f>
        <v/>
      </c>
      <c r="AZ368" s="31" t="inlineStr">
        <is>
          <t>Between 50 to 75</t>
        </is>
      </c>
      <c r="BA368" s="31">
        <f>IF(AZ368="Between 50 to 75",10,IF(AZ368="Above 75",0,0))</f>
        <v/>
      </c>
      <c r="BB368" s="31" t="inlineStr">
        <is>
          <t>Stage 3</t>
        </is>
      </c>
      <c r="BC368" s="31">
        <f>IF(BB368="Stage 2",20,IF(BB368="Stage 1",0,IF(BB368="Stage 3",5,IF(BB368="Stage 4",-5,0))))</f>
        <v/>
      </c>
      <c r="BD368" s="31" t="inlineStr">
        <is>
          <t>Negative Trend</t>
        </is>
      </c>
      <c r="BE368" s="31">
        <f>IF(BD368="Positive Trend",20,IF(BD368="Negative Trend",-10,0))</f>
        <v/>
      </c>
      <c r="BF368" s="31" t="inlineStr">
        <is>
          <t>Sideways</t>
        </is>
      </c>
      <c r="BG368" s="31">
        <f>IF(BF368="Uptrend",10,IF(BF368="Sideways",5,0))</f>
        <v/>
      </c>
      <c r="BH368" s="31" t="inlineStr">
        <is>
          <t>Uptrend</t>
        </is>
      </c>
      <c r="BI368" s="31">
        <f>IF(BH368="Uptrend",10,IF(BH368="Sideways",5,0))</f>
        <v/>
      </c>
      <c r="BJ368" s="31" t="inlineStr">
        <is>
          <t>Overhead supply in last 2 years in last 2 years</t>
        </is>
      </c>
      <c r="BK368" s="31">
        <f>IF(BJ368="Overhead supply in last 2 years in last 2 years",-5,IF(BJ368="Close to 52 week high or retracement",5,IF(BJ368="Blue sky scenario",10,IF(BJ368="Long term Downtrend",-10,0))))</f>
        <v/>
      </c>
      <c r="BL368" s="31" t="inlineStr">
        <is>
          <t>Yes</t>
        </is>
      </c>
      <c r="BM368" s="31">
        <f>IF(BL368="Yes",10,0)</f>
        <v/>
      </c>
      <c r="BN368" s="31" t="inlineStr">
        <is>
          <t>More than 20%</t>
        </is>
      </c>
      <c r="BO368" s="31">
        <f>IF(BN368="More than 20%",10,IF(BN368="Between 12 to 20%",5,IF(BN368="Less than 12%",0,0)))</f>
        <v/>
      </c>
      <c r="BP368" s="31" t="inlineStr">
        <is>
          <t>No</t>
        </is>
      </c>
      <c r="BQ368" s="31">
        <f>IF(BP368="No",10,0)</f>
        <v/>
      </c>
      <c r="BR368" s="31" t="inlineStr">
        <is>
          <t>No</t>
        </is>
      </c>
      <c r="BS368" s="31">
        <f>IF(BR368="NO",5,0)</f>
        <v/>
      </c>
      <c r="BT368" s="31" t="inlineStr">
        <is>
          <t>Less than 1.5</t>
        </is>
      </c>
      <c r="BU368" s="31">
        <f>IF(BT368="Above 2",0,IF(BT368="Between 1.5 to 2",5,IF(BT368="Less than 1.5",10,0)))</f>
        <v/>
      </c>
      <c r="BV368" s="31" t="inlineStr">
        <is>
          <t>Above 70%</t>
        </is>
      </c>
      <c r="BW368" s="31">
        <f>IF(BV368="Above 70%",10,IF(BV368="Between 50% to 70%",5,IF(BV368="Less than 50%",0,IF(BV368="Negative",-10,IF(BV368="Less than 50% and Borrowings are increasing",-5,0)))))</f>
        <v/>
      </c>
      <c r="BX368" s="31" t="inlineStr">
        <is>
          <t>Less than 0.7</t>
        </is>
      </c>
      <c r="BY368" s="31">
        <f>IF(BX368="More than 1.2",-10,IF(BX368="Between 0.7 to 1.2",0,IF(BX368="Less than 0.7",10,0)))</f>
        <v/>
      </c>
      <c r="BZ368" s="31" t="inlineStr">
        <is>
          <t>No</t>
        </is>
      </c>
      <c r="CA368" s="31">
        <f>IF(BZ368="Yes",-10,0)</f>
        <v/>
      </c>
      <c r="CB368" s="31" t="inlineStr">
        <is>
          <t>More than 15%</t>
        </is>
      </c>
      <c r="CC368" s="31">
        <f>IF(CB368="More than 15%",-10,IF(CB368="Less than 15%",10,0))</f>
        <v/>
      </c>
      <c r="CD368" s="31" t="inlineStr">
        <is>
          <t>Yes Upto 10%</t>
        </is>
      </c>
      <c r="CE368" s="31">
        <f>IF(CD368="Yes, more than 10%",-10,IF(CD368="No",10,0))</f>
        <v/>
      </c>
    </row>
    <row r="369">
      <c r="A369" s="31">
        <f>IF(B369=0,"",RANK(B369,$B$2:$B$370,0))</f>
        <v/>
      </c>
      <c r="B369" s="32">
        <f>SUM(N369,Y369,AA369,AC369,AE369,AG369,AI369,AK369,AM369,AO369,AQ369,AS369,AU369,AW369,AY369,BA369,BC369,BE369,BG369,BI369,BK369,BM369,BO369,BQ369,BS369,BU369,BW369,BY369,CA369,CC369,CE369)</f>
        <v/>
      </c>
      <c r="C369" s="31" t="inlineStr">
        <is>
          <t>GNFC</t>
        </is>
      </c>
      <c r="D369" s="31" t="inlineStr">
        <is>
          <t>Gujarat Narmada Valley Fertilizers And Chemicals Limited</t>
        </is>
      </c>
      <c r="E369" s="31" t="inlineStr">
        <is>
          <t>chemicals</t>
        </is>
      </c>
      <c r="F369" s="31" t="inlineStr">
        <is>
          <t>chemicals</t>
        </is>
      </c>
      <c r="G369" s="31" t="inlineStr">
        <is>
          <t>midcap</t>
        </is>
      </c>
      <c r="H369" s="32" t="n">
        <v>8029.57</v>
      </c>
      <c r="I369" s="32" t="n">
        <v>543.4</v>
      </c>
      <c r="J369" s="32" t="n">
        <v>-0.5600000000000001</v>
      </c>
      <c r="K369" s="32" t="n">
        <v>252370</v>
      </c>
      <c r="L369" s="31" t="n">
        <v>31</v>
      </c>
      <c r="M369" s="31" t="inlineStr">
        <is>
          <t>Outperforming</t>
        </is>
      </c>
      <c r="N369" s="32">
        <f>IF(M369="Underperforming",-5,IF(L369&gt;=95,15,IF(L369&gt;=90,10,IF(L369&gt;=80,5,0))))</f>
        <v/>
      </c>
      <c r="O369" s="32" t="n">
        <v>62.28</v>
      </c>
      <c r="P369" s="32" t="n">
        <v>28.53</v>
      </c>
      <c r="Q369" s="32" t="n">
        <v>457.53</v>
      </c>
      <c r="R369" s="31" t="inlineStr">
        <is>
          <t>Near 52W High Breakout</t>
        </is>
      </c>
      <c r="S369" s="31" t="inlineStr">
        <is>
          <t>Nifty 50</t>
        </is>
      </c>
      <c r="T369" s="32" t="n">
        <v>-6.27</v>
      </c>
      <c r="U369" s="32" t="n">
        <v>0.6899999999999999</v>
      </c>
      <c r="V369" s="32" t="n">
        <v>7.43</v>
      </c>
      <c r="W369" s="32" t="n">
        <v>8.94</v>
      </c>
      <c r="X369" s="31" t="inlineStr">
        <is>
          <t>Growing Industry</t>
        </is>
      </c>
      <c r="Y369" s="31">
        <f>IF(X369="Growing Industry",10,IF(X369="Cyclical in an Upturn",5,0))</f>
        <v/>
      </c>
      <c r="Z369" s="31" t="inlineStr">
        <is>
          <t>Oligopoly</t>
        </is>
      </c>
      <c r="AA369" s="31">
        <f>IF(Z369="Monopoly",10,IF(Z369="Oligopoly",5,IF(Z369="Duopoly that cooperate",10,IF(Z369="Duopoly that compete",5,IF(Z369="Too many players with High ROCE",5,0)))))</f>
        <v/>
      </c>
      <c r="AB369" s="31" t="inlineStr">
        <is>
          <t>No</t>
        </is>
      </c>
      <c r="AC369" s="31">
        <f>IF(AB369="No",5,0)</f>
        <v/>
      </c>
      <c r="AD369" s="31" t="inlineStr">
        <is>
          <t>Tailwind</t>
        </is>
      </c>
      <c r="AE369" s="31">
        <f>IF(AD369="Tailwind",10,0)</f>
        <v/>
      </c>
      <c r="AF369" s="31" t="inlineStr">
        <is>
          <t>Shallow Cyclical (2 to 3 Years Growth)</t>
        </is>
      </c>
      <c r="AG369" s="31">
        <f>IF(AF369="Structural (10 Years Consistency)",10,IF(AF369="Shallow Cyclical (2 to 3 years growth)",5,0))</f>
        <v/>
      </c>
      <c r="AH369" s="31" t="inlineStr">
        <is>
          <t>Yes due to Product Mix change or Operating Leverage</t>
        </is>
      </c>
      <c r="AI369" s="31">
        <f>IF(AH369="Yes due to Product Mix change or Operating Leverage",10,IF(AH369="Yes, these are peak margins",-5,IF(AH369="No",5,0)))</f>
        <v/>
      </c>
      <c r="AJ369" s="31" t="inlineStr">
        <is>
          <t>Volatile</t>
        </is>
      </c>
      <c r="AK369" s="31">
        <f>IF(AJ369="Stable",10,0)</f>
        <v/>
      </c>
      <c r="AL369" s="31" t="inlineStr">
        <is>
          <t>Yes</t>
        </is>
      </c>
      <c r="AM369" s="31">
        <f>IF(AL369="Yes",10,0)</f>
        <v/>
      </c>
      <c r="AN369" s="31" t="inlineStr">
        <is>
          <t>B2B</t>
        </is>
      </c>
      <c r="AO369" s="31">
        <f>IF(AN369="B2C",10,IF(AN369="B2B",5,0))</f>
        <v/>
      </c>
      <c r="AP369" s="31" t="inlineStr">
        <is>
          <t>Yes</t>
        </is>
      </c>
      <c r="AQ369" s="31">
        <f>IF(AP369="Yes",10,0)</f>
        <v/>
      </c>
      <c r="AR369" s="31" t="inlineStr">
        <is>
          <t>Higher One Time, Lower Annuity</t>
        </is>
      </c>
      <c r="AS369" s="31">
        <f>IF(AR369="Fully Annuity",10,IF(AR369="Higher Annuity, Lower One Time",5,IF(AR369="Higher One Time, Lower Annuity",3,0)))</f>
        <v/>
      </c>
      <c r="AT369" s="31" t="inlineStr">
        <is>
          <t>Allocated capital in Non-core Areas</t>
        </is>
      </c>
      <c r="AU369" s="31">
        <f>IF(AT369="Good",10,0)</f>
        <v/>
      </c>
      <c r="AV369" s="31" t="inlineStr">
        <is>
          <t>Yes for more than 2 years</t>
        </is>
      </c>
      <c r="AW369" s="31">
        <f>IF(AV369="Yes for more than 2 years",10,IF(AV369="Yes only for next 1 to 2 years",5,0))</f>
        <v/>
      </c>
      <c r="AX369" s="31" t="inlineStr">
        <is>
          <t>Above 40</t>
        </is>
      </c>
      <c r="AY369" s="31">
        <f>IF(AX369="Above 40",20,IF(AX369="20 to 40",10,IF(AX369="0 to 20",-5,0)))</f>
        <v/>
      </c>
      <c r="AZ369" s="31" t="inlineStr">
        <is>
          <t>Between 50 to 75</t>
        </is>
      </c>
      <c r="BA369" s="31">
        <f>IF(AZ369="Between 50 to 75",10,IF(AZ369="Above 75",0,0))</f>
        <v/>
      </c>
      <c r="BB369" s="31" t="inlineStr">
        <is>
          <t>Stage 3</t>
        </is>
      </c>
      <c r="BC369" s="31">
        <f>IF(BB369="Stage 2",20,IF(BB369="Stage 1",0,IF(BB369="Stage 3",5,IF(BB369="Stage 4",-5,0))))</f>
        <v/>
      </c>
      <c r="BD369" s="31" t="inlineStr">
        <is>
          <t>Negative Trend</t>
        </is>
      </c>
      <c r="BE369" s="31">
        <f>IF(BD369="Positive Trend",20,IF(BD369="Negative Trend",-10,0))</f>
        <v/>
      </c>
      <c r="BF369" s="31" t="inlineStr">
        <is>
          <t>Sideways</t>
        </is>
      </c>
      <c r="BG369" s="31">
        <f>IF(BF369="Uptrend",10,IF(BF369="Sideways",5,0))</f>
        <v/>
      </c>
      <c r="BH369" s="31" t="inlineStr">
        <is>
          <t>Uptrend</t>
        </is>
      </c>
      <c r="BI369" s="31">
        <f>IF(BH369="Uptrend",10,IF(BH369="Sideways",5,0))</f>
        <v/>
      </c>
      <c r="BJ369" s="31" t="inlineStr">
        <is>
          <t>Overhead supply in last 2 years in last 2 years</t>
        </is>
      </c>
      <c r="BK369" s="31">
        <f>IF(BJ369="Overhead supply in last 2 years in last 2 years",-5,IF(BJ369="Close to 52 week high or retracement",5,IF(BJ369="Blue sky scenario",10,IF(BJ369="Long term Downtrend",-10,0))))</f>
        <v/>
      </c>
      <c r="BL369" s="31" t="inlineStr">
        <is>
          <t>Yes</t>
        </is>
      </c>
      <c r="BM369" s="31">
        <f>IF(BL369="Yes",10,0)</f>
        <v/>
      </c>
      <c r="BN369" s="31" t="inlineStr">
        <is>
          <t>More than 20%</t>
        </is>
      </c>
      <c r="BO369" s="31">
        <f>IF(BN369="More than 20%",10,IF(BN369="Between 12 to 20%",5,IF(BN369="Less than 12%",0,0)))</f>
        <v/>
      </c>
      <c r="BP369" s="31" t="inlineStr">
        <is>
          <t>No</t>
        </is>
      </c>
      <c r="BQ369" s="31">
        <f>IF(BP369="No",10,0)</f>
        <v/>
      </c>
      <c r="BR369" s="31" t="inlineStr">
        <is>
          <t>No</t>
        </is>
      </c>
      <c r="BS369" s="31">
        <f>IF(BR369="NO",5,0)</f>
        <v/>
      </c>
      <c r="BT369" s="31" t="inlineStr">
        <is>
          <t>Less than 1.5</t>
        </is>
      </c>
      <c r="BU369" s="31">
        <f>IF(BT369="Above 2",0,IF(BT369="Between 1.5 to 2",5,IF(BT369="Less than 1.5",10,0)))</f>
        <v/>
      </c>
      <c r="BV369" s="31" t="inlineStr">
        <is>
          <t>Above 70%</t>
        </is>
      </c>
      <c r="BW369" s="31">
        <f>IF(BV369="Above 70%",10,IF(BV369="Between 50% to 70%",5,IF(BV369="Less than 50%",0,IF(BV369="Negative",-10,IF(BV369="Less than 50% and Borrowings are increasing",-5,0)))))</f>
        <v/>
      </c>
      <c r="BX369" s="31" t="inlineStr">
        <is>
          <t>Less than 0.7</t>
        </is>
      </c>
      <c r="BY369" s="31">
        <f>IF(BX369="More than 1.2",-10,IF(BX369="Between 0.7 to 1.2",0,IF(BX369="Less than 0.7",10,0)))</f>
        <v/>
      </c>
      <c r="BZ369" s="31" t="inlineStr">
        <is>
          <t>No</t>
        </is>
      </c>
      <c r="CA369" s="31">
        <f>IF(BZ369="Yes",-10,0)</f>
        <v/>
      </c>
      <c r="CB369" s="31" t="inlineStr">
        <is>
          <t>More than 15%</t>
        </is>
      </c>
      <c r="CC369" s="31">
        <f>IF(CB369="More than 15%",-10,IF(CB369="Less than 15%",10,0))</f>
        <v/>
      </c>
      <c r="CD369" s="31" t="inlineStr">
        <is>
          <t>Yes Upto 10%</t>
        </is>
      </c>
      <c r="CE369" s="31">
        <f>IF(CD369="Yes, more than 10%",-10,IF(CD369="No",10,0))</f>
        <v/>
      </c>
    </row>
    <row r="370">
      <c r="A370" s="31">
        <f>IF(B370=0,"",RANK(B370,$B$2:$B$370,0))</f>
        <v/>
      </c>
      <c r="B370" s="32">
        <f>SUM(N370,Y370,AA370,AC370,AE370,AG370,AI370,AK370,AM370,AO370,AQ370,AS370,AU370,AW370,AY370,BA370,BC370,BE370,BG370,BI370,BK370,BM370,BO370,BQ370,BS370,BU370,BW370,BY370,CA370,CC370,CE370)</f>
        <v/>
      </c>
      <c r="C370" s="31" t="inlineStr">
        <is>
          <t>ICEMAKE</t>
        </is>
      </c>
      <c r="D370" s="31" t="inlineStr">
        <is>
          <t>ICE Make Refrigeration Ltd</t>
        </is>
      </c>
      <c r="E370" s="31" t="inlineStr">
        <is>
          <t>industrials</t>
        </is>
      </c>
      <c r="F370" s="31" t="inlineStr">
        <is>
          <t>engineering</t>
        </is>
      </c>
      <c r="G370" s="31" t="inlineStr">
        <is>
          <t>smallcap</t>
        </is>
      </c>
      <c r="H370" s="32" t="n">
        <v>1201.15</v>
      </c>
      <c r="I370" s="32" t="n">
        <v>798.8</v>
      </c>
      <c r="J370" s="32" t="n">
        <v>4.94</v>
      </c>
      <c r="K370" s="32" t="n">
        <v>68507</v>
      </c>
      <c r="L370" s="31" t="n">
        <v>7</v>
      </c>
      <c r="M370" s="31" t="inlineStr">
        <is>
          <t>Outperforming</t>
        </is>
      </c>
      <c r="N370" s="32">
        <f>IF(M370="Underperforming",-5,IF(L370&gt;=95,15,IF(L370&gt;=90,10,IF(L370&gt;=80,5,0))))</f>
        <v/>
      </c>
      <c r="O370" s="32" t="n">
        <v>52.54</v>
      </c>
      <c r="P370" s="32" t="n">
        <v>15.46</v>
      </c>
      <c r="Q370" s="32" t="n">
        <v>639.3200000000001</v>
      </c>
      <c r="R370" s="31" t="inlineStr">
        <is>
          <t>Earnings / Momentum Support</t>
        </is>
      </c>
      <c r="S370" s="31" t="inlineStr">
        <is>
          <t>Nifty 50</t>
        </is>
      </c>
      <c r="T370" s="32" t="n">
        <v>-6.27</v>
      </c>
      <c r="U370" s="32" t="n">
        <v>0.5</v>
      </c>
      <c r="V370" s="32" t="n">
        <v>7.22</v>
      </c>
      <c r="W370" s="32" t="n">
        <v>2.94</v>
      </c>
      <c r="X370" s="31" t="inlineStr">
        <is>
          <t>Cyclical in an Upturn</t>
        </is>
      </c>
      <c r="Y370" s="31">
        <f>IF(X370="Growing Industry",10,IF(X370="Cyclical in an Upturn",5,0))</f>
        <v/>
      </c>
      <c r="Z370" s="31" t="inlineStr">
        <is>
          <t>Too Many Players with High ROCE</t>
        </is>
      </c>
      <c r="AA370" s="31">
        <f>IF(Z370="Monopoly",10,IF(Z370="Oligopoly",5,IF(Z370="Duopoly that cooperate",10,IF(Z370="Duopoly that compete",5,IF(Z370="Too many players with High ROCE",5,0)))))</f>
        <v/>
      </c>
      <c r="AB370" s="31" t="inlineStr">
        <is>
          <t>No</t>
        </is>
      </c>
      <c r="AC370" s="31">
        <f>IF(AB370="No",5,0)</f>
        <v/>
      </c>
      <c r="AD370" s="31" t="inlineStr">
        <is>
          <t>Tailwind</t>
        </is>
      </c>
      <c r="AE370" s="31">
        <f>IF(AD370="Tailwind",10,0)</f>
        <v/>
      </c>
      <c r="AF370" s="31" t="inlineStr">
        <is>
          <t>Structural (10 Years Consistency)</t>
        </is>
      </c>
      <c r="AG370" s="31">
        <f>IF(AF370="Structural (10 Years Consistency)",10,IF(AF370="Shallow Cyclical (2 to 3 years growth)",5,0))</f>
        <v/>
      </c>
      <c r="AH370" s="31" t="inlineStr">
        <is>
          <t>No</t>
        </is>
      </c>
      <c r="AI370" s="31">
        <f>IF(AH370="Yes due to Product Mix change or Operating Leverage",10,IF(AH370="Yes, these are peak margins",-5,IF(AH370="No",5,0)))</f>
        <v/>
      </c>
      <c r="AJ370" s="31" t="inlineStr">
        <is>
          <t>Stable</t>
        </is>
      </c>
      <c r="AK370" s="31">
        <f>IF(AJ370="Stable",10,0)</f>
        <v/>
      </c>
      <c r="AL370" s="31" t="inlineStr">
        <is>
          <t>Yes</t>
        </is>
      </c>
      <c r="AM370" s="31">
        <f>IF(AL370="Yes",10,0)</f>
        <v/>
      </c>
      <c r="AN370" s="31" t="inlineStr">
        <is>
          <t>B2B</t>
        </is>
      </c>
      <c r="AO370" s="31">
        <f>IF(AN370="B2C",10,IF(AN370="B2B",5,0))</f>
        <v/>
      </c>
      <c r="AP370" s="31" t="inlineStr">
        <is>
          <t>No</t>
        </is>
      </c>
      <c r="AQ370" s="31">
        <f>IF(AP370="Yes",10,0)</f>
        <v/>
      </c>
      <c r="AR370" s="31" t="inlineStr">
        <is>
          <t>Higher One Time, Lower Annuity</t>
        </is>
      </c>
      <c r="AS370" s="31">
        <f>IF(AR370="Fully Annuity",10,IF(AR370="Higher Annuity, Lower One Time",5,IF(AR370="Higher One Time, Lower Annuity",3,0)))</f>
        <v/>
      </c>
      <c r="AT370" s="31" t="inlineStr">
        <is>
          <t>Good</t>
        </is>
      </c>
      <c r="AU370" s="31">
        <f>IF(AT370="Good",10,0)</f>
        <v/>
      </c>
      <c r="AV370" s="31" t="inlineStr">
        <is>
          <t>Yes for more than 2 years</t>
        </is>
      </c>
      <c r="AW370" s="31">
        <f>IF(AV370="Yes for more than 2 years",10,IF(AV370="Yes only for next 1 to 2 years",5,0))</f>
        <v/>
      </c>
      <c r="AX370" s="31" t="inlineStr">
        <is>
          <t>0 to 20</t>
        </is>
      </c>
      <c r="AY370" s="31">
        <f>IF(AX370="Above 40",20,IF(AX370="20 to 40",10,IF(AX370="0 to 20",-5,0)))</f>
        <v/>
      </c>
      <c r="AZ370" s="31" t="inlineStr">
        <is>
          <t>Between 50 to 75</t>
        </is>
      </c>
      <c r="BA370" s="31">
        <f>IF(AZ370="Between 50 to 75",10,IF(AZ370="Above 75",0,0))</f>
        <v/>
      </c>
      <c r="BB370" s="31" t="inlineStr">
        <is>
          <t>Stage 1</t>
        </is>
      </c>
      <c r="BC370" s="31">
        <f>IF(BB370="Stage 2",20,IF(BB370="Stage 1",0,IF(BB370="Stage 3",5,IF(BB370="Stage 4",-5,0))))</f>
        <v/>
      </c>
      <c r="BD370" s="31" t="inlineStr">
        <is>
          <t>Positive Trend</t>
        </is>
      </c>
      <c r="BE370" s="31">
        <f>IF(BD370="Positive Trend",20,IF(BD370="Negative Trend",-10,0))</f>
        <v/>
      </c>
      <c r="BF370" s="31" t="inlineStr">
        <is>
          <t>Uptrend</t>
        </is>
      </c>
      <c r="BG370" s="31">
        <f>IF(BF370="Uptrend",10,IF(BF370="Sideways",5,0))</f>
        <v/>
      </c>
      <c r="BH370" s="31" t="inlineStr">
        <is>
          <t>Uptrend</t>
        </is>
      </c>
      <c r="BI370" s="31">
        <f>IF(BH370="Uptrend",10,IF(BH370="Sideways",5,0))</f>
        <v/>
      </c>
      <c r="BJ370" s="31" t="inlineStr">
        <is>
          <t>Close to 52 week high or retracement</t>
        </is>
      </c>
      <c r="BK370" s="31">
        <f>IF(BJ370="Overhead supply in last 2 years in last 2 years",-5,IF(BJ370="Close to 52 week high or retracement",5,IF(BJ370="Blue sky scenario",10,IF(BJ370="Long term Downtrend",-10,0))))</f>
        <v/>
      </c>
      <c r="BL370" s="31" t="inlineStr">
        <is>
          <t>Yes</t>
        </is>
      </c>
      <c r="BM370" s="31">
        <f>IF(BL370="Yes",10,0)</f>
        <v/>
      </c>
      <c r="BN370" s="31" t="inlineStr">
        <is>
          <t>Less than 12%</t>
        </is>
      </c>
      <c r="BO370" s="31">
        <f>IF(BN370="More than 20%",10,IF(BN370="Between 12 to 20%",5,IF(BN370="Less than 12%",0,0)))</f>
        <v/>
      </c>
      <c r="BP370" s="31" t="inlineStr">
        <is>
          <t>No</t>
        </is>
      </c>
      <c r="BQ370" s="31">
        <f>IF(BP370="No",10,0)</f>
        <v/>
      </c>
      <c r="BR370" s="31" t="inlineStr">
        <is>
          <t>Yes</t>
        </is>
      </c>
      <c r="BS370" s="31">
        <f>IF(BR370="NO",5,0)</f>
        <v/>
      </c>
      <c r="BT370" s="31" t="inlineStr">
        <is>
          <t>Above 2</t>
        </is>
      </c>
      <c r="BU370" s="31">
        <f>IF(BT370="Above 2",0,IF(BT370="Between 1.5 to 2",5,IF(BT370="Less than 1.5",10,0)))</f>
        <v/>
      </c>
      <c r="BV370" s="31" t="inlineStr">
        <is>
          <t>Negative</t>
        </is>
      </c>
      <c r="BW370" s="31">
        <f>IF(BV370="Above 70%",10,IF(BV370="Between 50% to 70%",5,IF(BV370="Less than 50%",0,IF(BV370="Negative",-10,IF(BV370="Less than 50% and Borrowings are increasing",-5,0)))))</f>
        <v/>
      </c>
      <c r="BX370" s="31" t="inlineStr">
        <is>
          <t>Between 0.7 to 1.2</t>
        </is>
      </c>
      <c r="BY370" s="31">
        <f>IF(BX370="More than 1.2",-10,IF(BX370="Between 0.7 to 1.2",0,IF(BX370="Less than 0.7",10,0)))</f>
        <v/>
      </c>
      <c r="BZ370" s="31" t="inlineStr">
        <is>
          <t>No</t>
        </is>
      </c>
      <c r="CA370" s="31">
        <f>IF(BZ370="Yes",-10,0)</f>
        <v/>
      </c>
      <c r="CB370" s="31" t="inlineStr">
        <is>
          <t>Less than 15%</t>
        </is>
      </c>
      <c r="CC370" s="31">
        <f>IF(CB370="More than 15%",-10,IF(CB370="Less than 15%",10,0))</f>
        <v/>
      </c>
      <c r="CD370" s="31" t="inlineStr">
        <is>
          <t>No</t>
        </is>
      </c>
      <c r="CE370" s="31">
        <f>IF(CD370="Yes, more than 10%",-10,IF(CD370="No",10,0))</f>
        <v/>
      </c>
    </row>
  </sheetData>
  <autoFilter ref="A1:CE370"/>
  <conditionalFormatting sqref="B2:B37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7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7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7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7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7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7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7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7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7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7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7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7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7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7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7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7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7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7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7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7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7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7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7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7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7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7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7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7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7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7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70">
    <cfRule type="cellIs" priority="36" operator="equal" dxfId="3" stopIfTrue="1">
      <formula>"Underperforming"</formula>
    </cfRule>
  </conditionalFormatting>
  <conditionalFormatting sqref="N2:N370">
    <cfRule type="cellIs" priority="37" operator="equal" dxfId="3" stopIfTrue="1">
      <formula>-5</formula>
    </cfRule>
  </conditionalFormatting>
  <conditionalFormatting sqref="Q2:Q370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70" showDropDown="0" showInputMessage="0" showErrorMessage="0" allowBlank="1" type="list">
      <formula1>"Growing Industry,Stagnant Industry,Cyclical in an Upturn"</formula1>
    </dataValidation>
    <dataValidation sqref="Z2:Z37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70" showDropDown="0" showInputMessage="0" showErrorMessage="0" allowBlank="1" type="list">
      <formula1>"Yes,No"</formula1>
    </dataValidation>
    <dataValidation sqref="AD2:AD370" showDropDown="0" showInputMessage="0" showErrorMessage="0" allowBlank="1" type="list">
      <formula1>"Tailwind,Headwind"</formula1>
    </dataValidation>
    <dataValidation sqref="AF2:AF370" showDropDown="0" showInputMessage="0" showErrorMessage="0" allowBlank="1" type="list">
      <formula1>"Structural (10 Years Consistency),Shallow Cyclical (2 to 3 Years Growth),Cyclical"</formula1>
    </dataValidation>
    <dataValidation sqref="AH2:AH370" showDropDown="0" showInputMessage="0" showErrorMessage="0" allowBlank="1" type="list">
      <formula1>"Yes due to Product Mix change or Operating Leverage,Yes, these are peak margins,No"</formula1>
    </dataValidation>
    <dataValidation sqref="AJ2:AJ370" showDropDown="0" showInputMessage="0" showErrorMessage="0" allowBlank="1" type="list">
      <formula1>"Stable,Volatile"</formula1>
    </dataValidation>
    <dataValidation sqref="AL2:AL370" showDropDown="0" showInputMessage="0" showErrorMessage="0" allowBlank="1" type="list">
      <formula1>"Yes,No"</formula1>
    </dataValidation>
    <dataValidation sqref="AN2:AN370" showDropDown="0" showInputMessage="0" showErrorMessage="0" allowBlank="1" type="list">
      <formula1>"B2C,B2B,B2G"</formula1>
    </dataValidation>
    <dataValidation sqref="AP2:AP370" showDropDown="0" showInputMessage="0" showErrorMessage="0" allowBlank="1" type="list">
      <formula1>"Yes,No"</formula1>
    </dataValidation>
    <dataValidation sqref="AR2:AR370" showDropDown="0" showInputMessage="0" showErrorMessage="0" allowBlank="1" type="list">
      <formula1>"Fully Annuity,Higher Annuity, Lower One time,Higher One Time, Lower Annuity,Fully One Time"</formula1>
    </dataValidation>
    <dataValidation sqref="AT2:AT370" showDropDown="0" showInputMessage="0" showErrorMessage="0" allowBlank="1" type="list">
      <formula1>"Good,Allocated capital in Non-core Areas"</formula1>
    </dataValidation>
    <dataValidation sqref="AV2:AV370" showDropDown="0" showInputMessage="0" showErrorMessage="0" allowBlank="1" type="list">
      <formula1>"Yes for more than 2 years,Yes only for next 1 to 2 years,No"</formula1>
    </dataValidation>
    <dataValidation sqref="AX2:AX370" showDropDown="0" showInputMessage="0" showErrorMessage="0" allowBlank="1" type="list">
      <formula1>"Above 40,20 to 40,0 to 20"</formula1>
    </dataValidation>
    <dataValidation sqref="AZ2:AZ370" showDropDown="0" showInputMessage="0" showErrorMessage="0" allowBlank="1" type="list">
      <formula1>"Between 50 to 75,Above 75,Below 45"</formula1>
    </dataValidation>
    <dataValidation sqref="BB2:BB370" showDropDown="0" showInputMessage="0" showErrorMessage="0" allowBlank="1" type="list">
      <formula1>"Stage 1,Stage 2,Stage 3,Stage 4"</formula1>
    </dataValidation>
    <dataValidation sqref="BD2:BD370" showDropDown="0" showInputMessage="0" showErrorMessage="0" allowBlank="1" type="list">
      <formula1>"Positive Trend,Negative Trend"</formula1>
    </dataValidation>
    <dataValidation sqref="BF2:BF370" showDropDown="0" showInputMessage="0" showErrorMessage="0" allowBlank="1" type="list">
      <formula1>"Uptrend,Sideways,Downtrend"</formula1>
    </dataValidation>
    <dataValidation sqref="BH2:BH370" showDropDown="0" showInputMessage="0" showErrorMessage="0" allowBlank="1" type="list">
      <formula1>"Uptrend,Sideways,Downtrend"</formula1>
    </dataValidation>
    <dataValidation sqref="BJ2:BJ37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70" showDropDown="0" showInputMessage="0" showErrorMessage="0" allowBlank="1" type="list">
      <formula1>"Yes,No"</formula1>
    </dataValidation>
    <dataValidation sqref="BN2:BN370" showDropDown="0" showInputMessage="0" showErrorMessage="0" allowBlank="1" type="list">
      <formula1>"More than 20%,Between 12 to 20%,Less than 12%"</formula1>
    </dataValidation>
    <dataValidation sqref="BP2:BP370" showDropDown="0" showInputMessage="0" showErrorMessage="0" allowBlank="1" type="list">
      <formula1>"Yes,No"</formula1>
    </dataValidation>
    <dataValidation sqref="BR2:BR370" showDropDown="0" showInputMessage="0" showErrorMessage="0" allowBlank="1" type="list">
      <formula1>"Yes,No"</formula1>
    </dataValidation>
    <dataValidation sqref="BT2:BT370" showDropDown="0" showInputMessage="0" showErrorMessage="0" allowBlank="1" type="list">
      <formula1>"Above 2,Between 1.5 to 2,Less than 1.5"</formula1>
    </dataValidation>
    <dataValidation sqref="BV2:BV370" showDropDown="0" showInputMessage="0" showErrorMessage="0" allowBlank="1" type="list">
      <formula1>"Above 70%,Between 50% to 70%,Less than 50%,Less than 50% and Borrowings are increasing,Negative"</formula1>
    </dataValidation>
    <dataValidation sqref="BX2:BX370" showDropDown="0" showInputMessage="0" showErrorMessage="0" allowBlank="1" type="list">
      <formula1>"More than 1.2,Between 0.7 to 1.2,Less than 0.7"</formula1>
    </dataValidation>
    <dataValidation sqref="BZ2:BZ370" showDropDown="0" showInputMessage="0" showErrorMessage="0" allowBlank="1" type="list">
      <formula1>"Yes,No"</formula1>
    </dataValidation>
    <dataValidation sqref="CB2:CB370" showDropDown="0" showInputMessage="0" showErrorMessage="0" allowBlank="1" type="list">
      <formula1>"More than 15%,Less than 15%"</formula1>
    </dataValidation>
    <dataValidation sqref="CD2:CD37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5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IF(B2=0,"",RANK(B2,$B$2:$B$57,0))</f>
        <v/>
      </c>
      <c r="B2" s="32">
        <f>SUM(N2,Y2,AA2,AC2,AE2,AG2,AI2,AK2,AM2,AO2,AQ2,AS2,AU2,AW2,AY2,BA2,BC2,BE2,BG2,BI2,BK2,BM2,BO2,BQ2,BS2,BU2,BW2,BY2,CA2)</f>
        <v/>
      </c>
      <c r="C2" s="31" t="inlineStr">
        <is>
          <t>SATIN</t>
        </is>
      </c>
      <c r="D2" s="31" t="inlineStr">
        <is>
          <t>Satin Creditcare Network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2605.9</v>
      </c>
      <c r="I2" s="32" t="n">
        <v>245.9</v>
      </c>
      <c r="J2" s="32" t="n">
        <v>4.24</v>
      </c>
      <c r="K2" s="32" t="n">
        <v>870050</v>
      </c>
      <c r="L2" s="31" t="n">
        <v>79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71.79000000000001</v>
      </c>
      <c r="P2" s="32" t="n">
        <v>55.52</v>
      </c>
      <c r="Q2" s="32" t="n">
        <v>192.13</v>
      </c>
      <c r="R2" s="31" t="inlineStr">
        <is>
          <t>Near 52W High Breakout</t>
        </is>
      </c>
      <c r="S2" s="31" t="inlineStr">
        <is>
          <t>Nifty Bank</t>
        </is>
      </c>
      <c r="T2" s="32" t="n">
        <v>0.9</v>
      </c>
      <c r="U2" s="32" t="n">
        <v>42.41</v>
      </c>
      <c r="V2" s="32" t="n">
        <v>41.15</v>
      </c>
      <c r="W2" s="32" t="n">
        <v>24.33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IF(B3=0,"",RANK(B3,$B$2:$B$57,0))</f>
        <v/>
      </c>
      <c r="B3" s="32">
        <f>SUM(N3,Y3,AA3,AC3,AE3,AG3,AI3,AK3,AM3,AO3,AQ3,AS3,AU3,AW3,AY3,BA3,BC3,BE3,BG3,BI3,BK3,BM3,BO3,BQ3,BS3,BU3,BW3,BY3,CA3)</f>
        <v/>
      </c>
      <c r="C3" s="31" t="inlineStr">
        <is>
          <t>KTKBANK</t>
        </is>
      </c>
      <c r="D3" s="31" t="inlineStr">
        <is>
          <t>The Karnataka Bank Limited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10156.85</v>
      </c>
      <c r="I3" s="32" t="n">
        <v>273.4</v>
      </c>
      <c r="J3" s="32" t="n">
        <v>1.79</v>
      </c>
      <c r="K3" s="32" t="n">
        <v>1411536</v>
      </c>
      <c r="L3" s="31" t="n">
        <v>47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65.70999999999999</v>
      </c>
      <c r="P3" s="32" t="n">
        <v>53.02</v>
      </c>
      <c r="Q3" s="32" t="n">
        <v>223.31</v>
      </c>
      <c r="R3" s="31" t="inlineStr">
        <is>
          <t>Near 52W High Breakout</t>
        </is>
      </c>
      <c r="S3" s="31" t="inlineStr">
        <is>
          <t>Nifty Bank</t>
        </is>
      </c>
      <c r="T3" s="32" t="n">
        <v>0.9</v>
      </c>
      <c r="U3" s="32" t="n">
        <v>45.14</v>
      </c>
      <c r="V3" s="32" t="n">
        <v>43.85</v>
      </c>
      <c r="W3" s="32" t="n">
        <v>12.29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IF(B4=0,"",RANK(B4,$B$2:$B$57,0))</f>
        <v/>
      </c>
      <c r="B4" s="32">
        <f>SUM(N4,Y4,AA4,AC4,AE4,AG4,AI4,AK4,AM4,AO4,AQ4,AS4,AU4,AW4,AY4,BA4,BC4,BE4,BG4,BI4,BK4,BM4,BO4,BQ4,BS4,BU4,BW4,BY4,CA4)</f>
        <v/>
      </c>
      <c r="C4" s="31" t="inlineStr">
        <is>
          <t>MAHABANK</t>
        </is>
      </c>
      <c r="D4" s="31" t="inlineStr">
        <is>
          <t>Bank Of Maharashtra Ltd</t>
        </is>
      </c>
      <c r="E4" s="31" t="inlineStr">
        <is>
          <t>bank</t>
        </is>
      </c>
      <c r="F4" s="31" t="inlineStr">
        <is>
          <t>banks - public sector</t>
        </is>
      </c>
      <c r="G4" s="31" t="inlineStr">
        <is>
          <t>largecap</t>
        </is>
      </c>
      <c r="H4" s="32" t="n">
        <v>72185.24000000001</v>
      </c>
      <c r="I4" s="32" t="n">
        <v>91.44</v>
      </c>
      <c r="J4" s="32" t="n">
        <v>-2.57</v>
      </c>
      <c r="K4" s="32" t="n">
        <v>18306519</v>
      </c>
      <c r="L4" s="31" t="n">
        <v>72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72.61</v>
      </c>
      <c r="P4" s="32" t="n">
        <v>50.39</v>
      </c>
      <c r="Q4" s="32" t="n">
        <v>75.29000000000001</v>
      </c>
      <c r="R4" s="31" t="inlineStr">
        <is>
          <t>Near 52W High Breakout</t>
        </is>
      </c>
      <c r="S4" s="31" t="inlineStr">
        <is>
          <t>Nifty Bank</t>
        </is>
      </c>
      <c r="T4" s="32" t="n">
        <v>0.9</v>
      </c>
      <c r="U4" s="32" t="n">
        <v>63.93</v>
      </c>
      <c r="V4" s="32" t="n">
        <v>62.48</v>
      </c>
      <c r="W4" s="32" t="n">
        <v>20.7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IF(B5=0,"",RANK(B5,$B$2:$B$57,0))</f>
        <v/>
      </c>
      <c r="B5" s="32">
        <f>SUM(N5,Y5,AA5,AC5,AE5,AG5,AI5,AK5,AM5,AO5,AQ5,AS5,AU5,AW5,AY5,BA5,BC5,BE5,BG5,BI5,BK5,BM5,BO5,BQ5,BS5,BU5,BW5,BY5,CA5)</f>
        <v/>
      </c>
      <c r="C5" s="31" t="inlineStr">
        <is>
          <t>NORTHARC</t>
        </is>
      </c>
      <c r="D5" s="31" t="inlineStr">
        <is>
          <t>Northern ARC Capital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smallcap</t>
        </is>
      </c>
      <c r="H5" s="32" t="n">
        <v>4727.59</v>
      </c>
      <c r="I5" s="32" t="n">
        <v>298.1</v>
      </c>
      <c r="J5" s="32" t="n">
        <v>1.88</v>
      </c>
      <c r="K5" s="32" t="n">
        <v>536097</v>
      </c>
      <c r="L5" s="31" t="n">
        <v>43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62.95</v>
      </c>
      <c r="P5" s="32" t="n">
        <v>28.56</v>
      </c>
      <c r="Q5" s="32" t="n">
        <v>230.83</v>
      </c>
      <c r="R5" s="31" t="inlineStr">
        <is>
          <t>Near 52W High Breakout</t>
        </is>
      </c>
      <c r="S5" s="31" t="inlineStr">
        <is>
          <t>Nifty Bank</t>
        </is>
      </c>
      <c r="T5" s="32" t="n">
        <v>0.9</v>
      </c>
      <c r="U5" s="32" t="n">
        <v>15.98</v>
      </c>
      <c r="V5" s="32" t="n">
        <v>14.95</v>
      </c>
      <c r="W5" s="32" t="n">
        <v>11.55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IF(B6=0,"",RANK(B6,$B$2:$B$57,0))</f>
        <v/>
      </c>
      <c r="B6" s="32">
        <f>SUM(N6,Y6,AA6,AC6,AE6,AG6,AI6,AK6,AM6,AO6,AQ6,AS6,AU6,AW6,AY6,BA6,BC6,BE6,BG6,BI6,BK6,BM6,BO6,BQ6,BS6,BU6,BW6,BY6,CA6)</f>
        <v/>
      </c>
      <c r="C6" s="31" t="inlineStr">
        <is>
          <t>FEDERALBNK</t>
        </is>
      </c>
      <c r="D6" s="31" t="inlineStr">
        <is>
          <t>The Federal Bank 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largecap</t>
        </is>
      </c>
      <c r="H6" s="32" t="n">
        <v>79855.07000000001</v>
      </c>
      <c r="I6" s="32" t="n">
        <v>330.05</v>
      </c>
      <c r="J6" s="32" t="n">
        <v>1.85</v>
      </c>
      <c r="K6" s="32" t="n">
        <v>15572787</v>
      </c>
      <c r="L6" s="31" t="n">
        <v>57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71.84</v>
      </c>
      <c r="P6" s="32" t="n">
        <v>23.35</v>
      </c>
      <c r="Q6" s="32" t="n">
        <v>286.19</v>
      </c>
      <c r="R6" s="31" t="inlineStr">
        <is>
          <t>Near 52W High Breakout</t>
        </is>
      </c>
      <c r="S6" s="31" t="inlineStr">
        <is>
          <t>Nifty Bank</t>
        </is>
      </c>
      <c r="T6" s="32" t="n">
        <v>0.9</v>
      </c>
      <c r="U6" s="32" t="n">
        <v>54.21</v>
      </c>
      <c r="V6" s="32" t="n">
        <v>52.84</v>
      </c>
      <c r="W6" s="32" t="n">
        <v>15.34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IF(B7=0,"",RANK(B7,$B$2:$B$57,0))</f>
        <v/>
      </c>
      <c r="B7" s="32">
        <f>SUM(N7,Y7,AA7,AC7,AE7,AG7,AI7,AK7,AM7,AO7,AQ7,AS7,AU7,AW7,AY7,BA7,BC7,BE7,BG7,BI7,BK7,BM7,BO7,BQ7,BS7,BU7,BW7,BY7,CA7)</f>
        <v/>
      </c>
      <c r="C7" s="31" t="inlineStr">
        <is>
          <t>RBLBANK</t>
        </is>
      </c>
      <c r="D7" s="31" t="inlineStr">
        <is>
          <t>Rbl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largecap</t>
        </is>
      </c>
      <c r="H7" s="32" t="n">
        <v>56336.54</v>
      </c>
      <c r="I7" s="32" t="n">
        <v>369.05</v>
      </c>
      <c r="J7" s="32" t="n">
        <v>1.44</v>
      </c>
      <c r="K7" s="32" t="n">
        <v>4031488</v>
      </c>
      <c r="L7" s="31" t="n">
        <v>49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66.81999999999999</v>
      </c>
      <c r="P7" s="32" t="n">
        <v>36.71</v>
      </c>
      <c r="Q7" s="32" t="n">
        <v>321.22</v>
      </c>
      <c r="R7" s="31" t="inlineStr">
        <is>
          <t>Near 52W High Breakout</t>
        </is>
      </c>
      <c r="S7" s="31" t="inlineStr">
        <is>
          <t>Nifty Bank</t>
        </is>
      </c>
      <c r="T7" s="32" t="n">
        <v>0.9</v>
      </c>
      <c r="U7" s="32" t="n">
        <v>45.92</v>
      </c>
      <c r="V7" s="32" t="n">
        <v>44.62</v>
      </c>
      <c r="W7" s="32" t="n">
        <v>12.88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IF(B8=0,"",RANK(B8,$B$2:$B$57,0))</f>
        <v/>
      </c>
      <c r="B8" s="32">
        <f>SUM(N8,Y8,AA8,AC8,AE8,AG8,AI8,AK8,AM8,AO8,AQ8,AS8,AU8,AW8,AY8,BA8,BC8,BE8,BG8,BI8,BK8,BM8,BO8,BQ8,BS8,BU8,BW8,BY8,CA8)</f>
        <v/>
      </c>
      <c r="C8" s="31" t="inlineStr">
        <is>
          <t>SURYODAY</t>
        </is>
      </c>
      <c r="D8" s="31" t="inlineStr">
        <is>
          <t>Suryoday Small Finance Bank Ltd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smallcap</t>
        </is>
      </c>
      <c r="H8" s="32" t="n">
        <v>1844.66</v>
      </c>
      <c r="I8" s="32" t="n">
        <v>175.61</v>
      </c>
      <c r="J8" s="32" t="n">
        <v>1.19</v>
      </c>
      <c r="K8" s="32" t="n">
        <v>379141</v>
      </c>
      <c r="L8" s="31" t="n">
        <v>51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63.88</v>
      </c>
      <c r="P8" s="32" t="n">
        <v>33.47</v>
      </c>
      <c r="Q8" s="32" t="n">
        <v>140.93</v>
      </c>
      <c r="R8" s="31" t="inlineStr">
        <is>
          <t>Near 52W High Breakout</t>
        </is>
      </c>
      <c r="S8" s="31" t="inlineStr">
        <is>
          <t>Nifty Bank</t>
        </is>
      </c>
      <c r="T8" s="32" t="n">
        <v>0.9</v>
      </c>
      <c r="U8" s="32" t="n">
        <v>24.4</v>
      </c>
      <c r="V8" s="32" t="n">
        <v>23.29</v>
      </c>
      <c r="W8" s="32" t="n">
        <v>13.76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IF(B9=0,"",RANK(B9,$B$2:$B$57,0))</f>
        <v/>
      </c>
      <c r="B9" s="32">
        <f>SUM(N9,Y9,AA9,AC9,AE9,AG9,AI9,AK9,AM9,AO9,AQ9,AS9,AU9,AW9,AY9,BA9,BC9,BE9,BG9,BI9,BK9,BM9,BO9,BQ9,BS9,BU9,BW9,BY9,CA9)</f>
        <v/>
      </c>
      <c r="C9" s="31" t="inlineStr">
        <is>
          <t>RANEHOLDIN</t>
        </is>
      </c>
      <c r="D9" s="31" t="inlineStr">
        <is>
          <t>Rane Holdings Limited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2438.65</v>
      </c>
      <c r="I9" s="32" t="n">
        <v>1666.2</v>
      </c>
      <c r="J9" s="32" t="n">
        <v>-2.45</v>
      </c>
      <c r="K9" s="32" t="n">
        <v>35352</v>
      </c>
      <c r="L9" s="31" t="n">
        <v>67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68.54000000000001</v>
      </c>
      <c r="P9" s="32" t="n">
        <v>30.26</v>
      </c>
      <c r="Q9" s="32" t="n">
        <v>1251.45</v>
      </c>
      <c r="R9" s="31" t="inlineStr">
        <is>
          <t>Near 52W High Breakout</t>
        </is>
      </c>
      <c r="S9" s="31" t="inlineStr">
        <is>
          <t>Nifty Bank</t>
        </is>
      </c>
      <c r="T9" s="32" t="n">
        <v>0.9</v>
      </c>
      <c r="U9" s="32" t="n">
        <v>8.300000000000001</v>
      </c>
      <c r="V9" s="32" t="n">
        <v>7.34</v>
      </c>
      <c r="W9" s="32" t="n">
        <v>18.57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IF(B10=0,"",RANK(B10,$B$2:$B$57,0))</f>
        <v/>
      </c>
      <c r="B10" s="32">
        <f>SUM(N10,Y10,AA10,AC10,AE10,AG10,AI10,AK10,AM10,AO10,AQ10,AS10,AU10,AW10,AY10,BA10,BC10,BE10,BG10,BI10,BK10,BM10,BO10,BQ10,BS10,BU10,BW10,BY10,CA10)</f>
        <v/>
      </c>
      <c r="C10" s="33" t="inlineStr">
        <is>
          <t>MANBA</t>
        </is>
      </c>
      <c r="D10" s="33" t="inlineStr">
        <is>
          <t>Manba Finance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662.46</v>
      </c>
      <c r="I10" s="32" t="n">
        <v>138.63</v>
      </c>
      <c r="J10" s="32" t="n">
        <v>5.13</v>
      </c>
      <c r="K10" s="32" t="n">
        <v>147845</v>
      </c>
      <c r="L10" s="31" t="n">
        <v>22</v>
      </c>
      <c r="M10" s="31" t="inlineStr">
        <is>
          <t>Underperforming</t>
        </is>
      </c>
      <c r="N10" s="32">
        <f>IF(M10="Underperforming",-5,IF(L10&gt;=95,15,IF(L10&gt;=90,10,IF(L10&gt;=80,5,0))))</f>
        <v/>
      </c>
      <c r="O10" s="32" t="n">
        <v>63.19</v>
      </c>
      <c r="P10" s="32" t="n">
        <v>25.75</v>
      </c>
      <c r="Q10" s="32" t="n">
        <v>108.5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0.9</v>
      </c>
      <c r="U10" s="32" t="n">
        <v>-2.98</v>
      </c>
      <c r="V10" s="32" t="n">
        <v>-3.84</v>
      </c>
      <c r="W10" s="32" t="n">
        <v>6.91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IF(B11=0,"",RANK(B11,$B$2:$B$57,0))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MUFIN</t>
        </is>
      </c>
      <c r="D11" s="31" t="inlineStr">
        <is>
          <t>Mufin Green Finance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2523.99</v>
      </c>
      <c r="I11" s="32" t="n">
        <v>133.86</v>
      </c>
      <c r="J11" s="32" t="n">
        <v>5.1</v>
      </c>
      <c r="K11" s="32" t="n">
        <v>3909353</v>
      </c>
      <c r="L11" s="31" t="n">
        <v>65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68.05</v>
      </c>
      <c r="P11" s="32" t="n">
        <v>23.05</v>
      </c>
      <c r="Q11" s="32" t="n">
        <v>108.63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0.9</v>
      </c>
      <c r="U11" s="32" t="n">
        <v>55.06</v>
      </c>
      <c r="V11" s="32" t="n">
        <v>53.68</v>
      </c>
      <c r="W11" s="32" t="n">
        <v>17.75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IF(B12=0,"",RANK(B12,$B$2:$B$57,0))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CGCL</t>
        </is>
      </c>
      <c r="D12" s="31" t="inlineStr">
        <is>
          <t>Capri Global Capital Limited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largecap</t>
        </is>
      </c>
      <c r="H12" s="32" t="n">
        <v>20842.18</v>
      </c>
      <c r="I12" s="32" t="n">
        <v>227.66</v>
      </c>
      <c r="J12" s="32" t="n">
        <v>5.1</v>
      </c>
      <c r="K12" s="32" t="n">
        <v>18630315</v>
      </c>
      <c r="L12" s="31" t="n">
        <v>56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71.3</v>
      </c>
      <c r="P12" s="32" t="n">
        <v>23.57</v>
      </c>
      <c r="Q12" s="32" t="n">
        <v>187.23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0.9</v>
      </c>
      <c r="U12" s="32" t="n">
        <v>37.25</v>
      </c>
      <c r="V12" s="32" t="n">
        <v>36.03</v>
      </c>
      <c r="W12" s="32" t="n">
        <v>15.1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IF(B13=0,"",RANK(B13,$B$2:$B$57,0))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CREDITACC</t>
        </is>
      </c>
      <c r="D13" s="31" t="inlineStr">
        <is>
          <t>CreditAccess Grameen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largecap</t>
        </is>
      </c>
      <c r="H13" s="32" t="n">
        <v>22935.27</v>
      </c>
      <c r="I13" s="32" t="n">
        <v>1489.5</v>
      </c>
      <c r="J13" s="32" t="n">
        <v>4.04</v>
      </c>
      <c r="K13" s="32" t="n">
        <v>509667</v>
      </c>
      <c r="L13" s="31" t="n">
        <v>31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62.56</v>
      </c>
      <c r="P13" s="32" t="n">
        <v>35.15</v>
      </c>
      <c r="Q13" s="32" t="n">
        <v>1175.02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0.9</v>
      </c>
      <c r="U13" s="32" t="n">
        <v>15.42</v>
      </c>
      <c r="V13" s="32" t="n">
        <v>14.4</v>
      </c>
      <c r="W13" s="32" t="n">
        <v>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IF(B14=0,"",RANK(B14,$B$2:$B$57,0))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AUBANK</t>
        </is>
      </c>
      <c r="D14" s="31" t="inlineStr">
        <is>
          <t>AU Small Finance Bank Ltd</t>
        </is>
      </c>
      <c r="E14" s="31" t="inlineStr">
        <is>
          <t>bank</t>
        </is>
      </c>
      <c r="F14" s="31" t="inlineStr">
        <is>
          <t>banks - private sector</t>
        </is>
      </c>
      <c r="G14" s="31" t="inlineStr">
        <is>
          <t>largecap</t>
        </is>
      </c>
      <c r="H14" s="32" t="n">
        <v>77105.19</v>
      </c>
      <c r="I14" s="32" t="n">
        <v>1037.05</v>
      </c>
      <c r="J14" s="32" t="n">
        <v>0.64</v>
      </c>
      <c r="K14" s="32" t="n">
        <v>1997809</v>
      </c>
      <c r="L14" s="31" t="n">
        <v>36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59.09</v>
      </c>
      <c r="P14" s="32" t="n">
        <v>25.73</v>
      </c>
      <c r="Q14" s="32" t="n">
        <v>891.4400000000001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0.9</v>
      </c>
      <c r="U14" s="32" t="n">
        <v>26.7</v>
      </c>
      <c r="V14" s="32" t="n">
        <v>25.58</v>
      </c>
      <c r="W14" s="32" t="n">
        <v>10.22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IF(B15=0,"",RANK(B15,$B$2:$B$57,0))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AADHARHFC</t>
        </is>
      </c>
      <c r="D15" s="31" t="inlineStr">
        <is>
          <t>Aadhar Housing Finance Ltd</t>
        </is>
      </c>
      <c r="E15" s="31" t="inlineStr">
        <is>
          <t>financials</t>
        </is>
      </c>
      <c r="F15" s="31" t="inlineStr">
        <is>
          <t>finance - housing</t>
        </is>
      </c>
      <c r="G15" s="31" t="inlineStr">
        <is>
          <t>largecap</t>
        </is>
      </c>
      <c r="H15" s="32" t="n">
        <v>22602.13</v>
      </c>
      <c r="I15" s="32" t="n">
        <v>515</v>
      </c>
      <c r="J15" s="32" t="n">
        <v>-0.72</v>
      </c>
      <c r="K15" s="32" t="n">
        <v>249335</v>
      </c>
      <c r="L15" s="31" t="n">
        <v>19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59.74</v>
      </c>
      <c r="P15" s="32" t="n">
        <v>23.38</v>
      </c>
      <c r="Q15" s="32" t="n">
        <v>423.54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0.9</v>
      </c>
      <c r="U15" s="32" t="n">
        <v>12.03</v>
      </c>
      <c r="V15" s="32" t="n">
        <v>11.03</v>
      </c>
      <c r="W15" s="32" t="n">
        <v>6.3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IF(B16=0,"",RANK(B16,$B$2:$B$57,0))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PAISALO</t>
        </is>
      </c>
      <c r="D16" s="31" t="inlineStr">
        <is>
          <t>Paisalo Digital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midcap</t>
        </is>
      </c>
      <c r="H16" s="32" t="n">
        <v>5486.24</v>
      </c>
      <c r="I16" s="32" t="n">
        <v>59.1</v>
      </c>
      <c r="J16" s="32" t="n">
        <v>-2.02</v>
      </c>
      <c r="K16" s="32" t="n">
        <v>13140263</v>
      </c>
      <c r="L16" s="31" t="n">
        <v>85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75.88</v>
      </c>
      <c r="P16" s="32" t="n">
        <v>42.97</v>
      </c>
      <c r="Q16" s="32" t="n">
        <v>47.63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0.9</v>
      </c>
      <c r="U16" s="32" t="n">
        <v>94.2</v>
      </c>
      <c r="V16" s="32" t="n">
        <v>92.48</v>
      </c>
      <c r="W16" s="32" t="n">
        <v>29.83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Above 40</t>
        </is>
      </c>
      <c r="BM16" s="31">
        <f>IF(BL16="Above 40",20,IF(BL16="20 to 40",10,IF(BL16="0 to 20",-5,0)))</f>
        <v/>
      </c>
      <c r="BN16" s="31" t="inlineStr">
        <is>
          <t>Above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IF(B17=0,"",RANK(B17,$B$2:$B$57,0))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MANAPPURAM</t>
        </is>
      </c>
      <c r="D17" s="31" t="inlineStr">
        <is>
          <t>Manappuram Finance Limited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29631.36</v>
      </c>
      <c r="I17" s="32" t="n">
        <v>324.2</v>
      </c>
      <c r="J17" s="32" t="n">
        <v>2.77</v>
      </c>
      <c r="K17" s="32" t="n">
        <v>2694677</v>
      </c>
      <c r="L17" s="31" t="n">
        <v>34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61.04</v>
      </c>
      <c r="P17" s="32" t="n">
        <v>15.74</v>
      </c>
      <c r="Q17" s="32" t="n">
        <v>260.99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0.9</v>
      </c>
      <c r="U17" s="32" t="n">
        <v>18.02</v>
      </c>
      <c r="V17" s="32" t="n">
        <v>16.97</v>
      </c>
      <c r="W17" s="32" t="n">
        <v>9.76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IF(B18=0,"",RANK(B18,$B$2:$B$57,0))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STARHEALTH</t>
        </is>
      </c>
      <c r="D18" s="31" t="inlineStr">
        <is>
          <t>Star Health &amp; Allied Insurance Company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largecap</t>
        </is>
      </c>
      <c r="H18" s="32" t="n">
        <v>34406.89</v>
      </c>
      <c r="I18" s="32" t="n">
        <v>589</v>
      </c>
      <c r="J18" s="32" t="n">
        <v>0.73</v>
      </c>
      <c r="K18" s="32" t="n">
        <v>455954</v>
      </c>
      <c r="L18" s="31" t="n">
        <v>47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72.02</v>
      </c>
      <c r="P18" s="32" t="n">
        <v>35.76</v>
      </c>
      <c r="Q18" s="32" t="n">
        <v>491.82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0.9</v>
      </c>
      <c r="U18" s="32" t="n">
        <v>39.15</v>
      </c>
      <c r="V18" s="32" t="n">
        <v>37.91</v>
      </c>
      <c r="W18" s="32" t="n">
        <v>12.29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IF(B19=0,"",RANK(B19,$B$2:$B$57,0))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ABSLAMC</t>
        </is>
      </c>
      <c r="D19" s="31" t="inlineStr">
        <is>
          <t>Aditya Birla Sun Life AMC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largecap</t>
        </is>
      </c>
      <c r="H19" s="32" t="n">
        <v>33813.43</v>
      </c>
      <c r="I19" s="32" t="n">
        <v>1154.7</v>
      </c>
      <c r="J19" s="32" t="n">
        <v>-1.38</v>
      </c>
      <c r="K19" s="32" t="n">
        <v>342084</v>
      </c>
      <c r="L19" s="31" t="n">
        <v>51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66.95999999999999</v>
      </c>
      <c r="P19" s="32" t="n">
        <v>45.03</v>
      </c>
      <c r="Q19" s="32" t="n">
        <v>943.88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0.9</v>
      </c>
      <c r="U19" s="32" t="n">
        <v>47.62</v>
      </c>
      <c r="V19" s="32" t="n">
        <v>46.31</v>
      </c>
      <c r="W19" s="32" t="n">
        <v>13.66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above 5x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Above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IF(B20=0,"",RANK(B20,$B$2:$B$57,0))</f>
        <v/>
      </c>
      <c r="B20" s="32">
        <f>SUM(N20,Y20,AA20,AC20,AE20,AG20,AI20,AK20,AM20,AO20,AQ20,AS20,AU20,AW20,AY20,BA20,BC20,BE20,BG20,BI20,BK20,BM20,BO20,BQ20,BS20,BU20,BW20,BY20,CA20)</f>
        <v/>
      </c>
      <c r="C20" s="33" t="inlineStr">
        <is>
          <t>GEECEE</t>
        </is>
      </c>
      <c r="D20" s="33" t="inlineStr">
        <is>
          <t>Geecee Ventures Limited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smallcap</t>
        </is>
      </c>
      <c r="H20" s="32" t="n">
        <v>694.79</v>
      </c>
      <c r="I20" s="32" t="n">
        <v>349.2</v>
      </c>
      <c r="J20" s="32" t="n">
        <v>5.1</v>
      </c>
      <c r="K20" s="32" t="n">
        <v>3719</v>
      </c>
      <c r="L20" s="31" t="n">
        <v>30</v>
      </c>
      <c r="M20" s="31" t="inlineStr">
        <is>
          <t>Underperforming</t>
        </is>
      </c>
      <c r="N20" s="32">
        <f>IF(M20="Underperforming",-5,IF(L20&gt;=95,15,IF(L20&gt;=90,10,IF(L20&gt;=80,5,0))))</f>
        <v/>
      </c>
      <c r="O20" s="32" t="n">
        <v>58.31</v>
      </c>
      <c r="P20" s="32" t="n">
        <v>21.91</v>
      </c>
      <c r="Q20" s="32" t="n">
        <v>268.13</v>
      </c>
      <c r="R20" s="31" t="inlineStr">
        <is>
          <t>Earnings / Momentum Support</t>
        </is>
      </c>
      <c r="S20" s="31" t="inlineStr">
        <is>
          <t>Nifty Bank</t>
        </is>
      </c>
      <c r="T20" s="32" t="n">
        <v>0.9</v>
      </c>
      <c r="U20" s="32" t="n">
        <v>-9.699999999999999</v>
      </c>
      <c r="V20" s="32" t="n">
        <v>-10.5</v>
      </c>
      <c r="W20" s="32" t="n">
        <v>8.85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IF(B21=0,"",RANK(B21,$B$2:$B$57,0))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MUTHOOTMF</t>
        </is>
      </c>
      <c r="D21" s="31" t="inlineStr">
        <is>
          <t>Muthoot Microfin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smallcap</t>
        </is>
      </c>
      <c r="H21" s="32" t="n">
        <v>3540.61</v>
      </c>
      <c r="I21" s="32" t="n">
        <v>214.37</v>
      </c>
      <c r="J21" s="32" t="n">
        <v>3.23</v>
      </c>
      <c r="K21" s="32" t="n">
        <v>437078</v>
      </c>
      <c r="L21" s="31" t="n">
        <v>60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66.94</v>
      </c>
      <c r="P21" s="32" t="n">
        <v>29.38</v>
      </c>
      <c r="Q21" s="32" t="n">
        <v>164.58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0.9</v>
      </c>
      <c r="U21" s="32" t="n">
        <v>39.23</v>
      </c>
      <c r="V21" s="32" t="n">
        <v>37.99</v>
      </c>
      <c r="W21" s="32" t="n">
        <v>16.25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less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IF(B22=0,"",RANK(B22,$B$2:$B$57,0))</f>
        <v/>
      </c>
      <c r="B22" s="32">
        <f>SUM(N22,Y22,AA22,AC22,AE22,AG22,AI22,AK22,AM22,AO22,AQ22,AS22,AU22,AW22,AY22,BA22,BC22,BE22,BG22,BI22,BK22,BM22,BO22,BQ22,BS22,BU22,BW22,BY22,CA22)</f>
        <v/>
      </c>
      <c r="C22" s="33" t="inlineStr">
        <is>
          <t>ESAFSFB</t>
        </is>
      </c>
      <c r="D22" s="33" t="inlineStr">
        <is>
          <t>ESAF Small Finance Bank Ltd</t>
        </is>
      </c>
      <c r="E22" s="31" t="inlineStr">
        <is>
          <t>bank</t>
        </is>
      </c>
      <c r="F22" s="31" t="inlineStr">
        <is>
          <t>banks - private sector</t>
        </is>
      </c>
      <c r="G22" s="31" t="inlineStr">
        <is>
          <t>smallcap</t>
        </is>
      </c>
      <c r="H22" s="32" t="n">
        <v>1677.97</v>
      </c>
      <c r="I22" s="32" t="n">
        <v>33.5</v>
      </c>
      <c r="J22" s="32" t="n">
        <v>2.95</v>
      </c>
      <c r="K22" s="32" t="n">
        <v>624301</v>
      </c>
      <c r="L22" s="31" t="n">
        <v>33</v>
      </c>
      <c r="M22" s="31" t="inlineStr">
        <is>
          <t>Underperforming</t>
        </is>
      </c>
      <c r="N22" s="32">
        <f>IF(M22="Underperforming",-5,IF(L22&gt;=95,15,IF(L22&gt;=90,10,IF(L22&gt;=80,5,0))))</f>
        <v/>
      </c>
      <c r="O22" s="32" t="n">
        <v>61.91</v>
      </c>
      <c r="P22" s="32" t="n">
        <v>25.99</v>
      </c>
      <c r="Q22" s="32" t="n">
        <v>27.81</v>
      </c>
      <c r="R22" s="31" t="inlineStr">
        <is>
          <t>Earnings / Momentum Support</t>
        </is>
      </c>
      <c r="S22" s="31" t="inlineStr">
        <is>
          <t>Nifty Bank</t>
        </is>
      </c>
      <c r="T22" s="32" t="n">
        <v>0.9</v>
      </c>
      <c r="U22" s="32" t="n">
        <v>-4.18</v>
      </c>
      <c r="V22" s="32" t="n">
        <v>-5.03</v>
      </c>
      <c r="W22" s="32" t="n">
        <v>9.609999999999999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IF(B23=0,"",RANK(B23,$B$2:$B$57,0))</f>
        <v/>
      </c>
      <c r="B23" s="32">
        <f>SUM(N23,Y23,AA23,AC23,AE23,AG23,AI23,AK23,AM23,AO23,AQ23,AS23,AU23,AW23,AY23,BA23,BC23,BE23,BG23,BI23,BK23,BM23,BO23,BQ23,BS23,BU23,BW23,BY23,CA23)</f>
        <v/>
      </c>
      <c r="C23" s="33" t="inlineStr">
        <is>
          <t>FUSION</t>
        </is>
      </c>
      <c r="D23" s="33" t="inlineStr">
        <is>
          <t>Fusion Micro Finance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smallcap</t>
        </is>
      </c>
      <c r="H23" s="32" t="n">
        <v>3010.52</v>
      </c>
      <c r="I23" s="32" t="n">
        <v>190.2</v>
      </c>
      <c r="J23" s="32" t="n">
        <v>2.4</v>
      </c>
      <c r="K23" s="32" t="n">
        <v>953117</v>
      </c>
      <c r="L23" s="31" t="n">
        <v>20</v>
      </c>
      <c r="M23" s="31" t="inlineStr">
        <is>
          <t>Underperforming</t>
        </is>
      </c>
      <c r="N23" s="32">
        <f>IF(M23="Underperforming",-5,IF(L23&gt;=95,15,IF(L23&gt;=90,10,IF(L23&gt;=80,5,0))))</f>
        <v/>
      </c>
      <c r="O23" s="32" t="n">
        <v>55.02</v>
      </c>
      <c r="P23" s="32" t="n">
        <v>20.22</v>
      </c>
      <c r="Q23" s="32" t="n">
        <v>163.65</v>
      </c>
      <c r="R23" s="31" t="inlineStr">
        <is>
          <t>Earnings / Momentum Support</t>
        </is>
      </c>
      <c r="S23" s="31" t="inlineStr">
        <is>
          <t>Nifty Bank</t>
        </is>
      </c>
      <c r="T23" s="32" t="n">
        <v>0.9</v>
      </c>
      <c r="U23" s="32" t="n">
        <v>-2.3</v>
      </c>
      <c r="V23" s="32" t="n">
        <v>-3.17</v>
      </c>
      <c r="W23" s="32" t="n">
        <v>6.39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IF(B24=0,"",RANK(B24,$B$2:$B$57,0))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MANCREDIT</t>
        </is>
      </c>
      <c r="D24" s="31" t="inlineStr">
        <is>
          <t>Mangal Credit &amp; Fincorp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smallcap</t>
        </is>
      </c>
      <c r="H24" s="32" t="n">
        <v>507.03</v>
      </c>
      <c r="I24" s="32" t="n">
        <v>242.73</v>
      </c>
      <c r="J24" s="32" t="n">
        <v>1.08</v>
      </c>
      <c r="K24" s="32" t="n">
        <v>394542</v>
      </c>
      <c r="L24" s="31" t="n">
        <v>58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78.62</v>
      </c>
      <c r="P24" s="32" t="n">
        <v>28.1</v>
      </c>
      <c r="Q24" s="32" t="n">
        <v>193.68</v>
      </c>
      <c r="R24" s="31" t="inlineStr">
        <is>
          <t>Near 52W High Breakout</t>
        </is>
      </c>
      <c r="S24" s="31" t="inlineStr">
        <is>
          <t>Nifty Bank</t>
        </is>
      </c>
      <c r="T24" s="32" t="n">
        <v>0.9</v>
      </c>
      <c r="U24" s="32" t="n">
        <v>28.9</v>
      </c>
      <c r="V24" s="32" t="n">
        <v>27.75</v>
      </c>
      <c r="W24" s="32" t="n">
        <v>15.46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Above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Blue sky scenario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IF(B25=0,"",RANK(B25,$B$2:$B$57,0))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LTF</t>
        </is>
      </c>
      <c r="D25" s="31" t="inlineStr">
        <is>
          <t>L&amp;T Finance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largecap</t>
        </is>
      </c>
      <c r="H25" s="32" t="n">
        <v>74893.66</v>
      </c>
      <c r="I25" s="32" t="n">
        <v>310.75</v>
      </c>
      <c r="J25" s="32" t="n">
        <v>3.91</v>
      </c>
      <c r="K25" s="32" t="n">
        <v>10810310</v>
      </c>
      <c r="L25" s="31" t="n">
        <v>63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60.15</v>
      </c>
      <c r="P25" s="32" t="n">
        <v>17.26</v>
      </c>
      <c r="Q25" s="32" t="n">
        <v>248.1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0.9</v>
      </c>
      <c r="U25" s="32" t="n">
        <v>52.68</v>
      </c>
      <c r="V25" s="32" t="n">
        <v>51.32</v>
      </c>
      <c r="W25" s="32" t="n">
        <v>17.17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between 2.5x to 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Blue sky scenario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IF(B26=0,"",RANK(B26,$B$2:$B$57,0))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CUB</t>
        </is>
      </c>
      <c r="D26" s="31" t="inlineStr">
        <is>
          <t>City Union Bank Limited</t>
        </is>
      </c>
      <c r="E26" s="31" t="inlineStr">
        <is>
          <t>bank</t>
        </is>
      </c>
      <c r="F26" s="31" t="inlineStr">
        <is>
          <t>banks - private sector</t>
        </is>
      </c>
      <c r="G26" s="31" t="inlineStr">
        <is>
          <t>midcap</t>
        </is>
      </c>
      <c r="H26" s="32" t="n">
        <v>14972.4</v>
      </c>
      <c r="I26" s="32" t="n">
        <v>208.6</v>
      </c>
      <c r="J26" s="32" t="n">
        <v>3.52</v>
      </c>
      <c r="K26" s="32" t="n">
        <v>3818715</v>
      </c>
      <c r="L26" s="31" t="n">
        <v>33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58.11</v>
      </c>
      <c r="P26" s="32" t="n">
        <v>13.67</v>
      </c>
      <c r="Q26" s="32" t="n">
        <v>163.51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0.9</v>
      </c>
      <c r="U26" s="32" t="n">
        <v>29.22</v>
      </c>
      <c r="V26" s="32" t="n">
        <v>28.07</v>
      </c>
      <c r="W26" s="32" t="n">
        <v>9.74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IF(B27=0,"",RANK(B27,$B$2:$B$57,0))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NUVAMA</t>
        </is>
      </c>
      <c r="D27" s="31" t="inlineStr">
        <is>
          <t>Nuvama Wealth Management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largecap</t>
        </is>
      </c>
      <c r="H27" s="32" t="n">
        <v>32243.19</v>
      </c>
      <c r="I27" s="32" t="n">
        <v>1806.4</v>
      </c>
      <c r="J27" s="32" t="n">
        <v>1.99</v>
      </c>
      <c r="K27" s="32" t="n">
        <v>966967</v>
      </c>
      <c r="L27" s="31" t="n">
        <v>71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68.78</v>
      </c>
      <c r="P27" s="32" t="n">
        <v>30.24</v>
      </c>
      <c r="Q27" s="32" t="n">
        <v>1454.7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0.9</v>
      </c>
      <c r="U27" s="32" t="n">
        <v>26.77</v>
      </c>
      <c r="V27" s="32" t="n">
        <v>25.64</v>
      </c>
      <c r="W27" s="32" t="n">
        <v>19.95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above 5x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Blue sky scenario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IF(B28=0,"",RANK(B28,$B$2:$B$57,0))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ABCAPITAL</t>
        </is>
      </c>
      <c r="D28" s="31" t="inlineStr">
        <is>
          <t>Aditya Birla Capital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largecap</t>
        </is>
      </c>
      <c r="H28" s="32" t="n">
        <v>105348.97</v>
      </c>
      <c r="I28" s="32" t="n">
        <v>391.95</v>
      </c>
      <c r="J28" s="32" t="n">
        <v>1.73</v>
      </c>
      <c r="K28" s="32" t="n">
        <v>4754334</v>
      </c>
      <c r="L28" s="31" t="n">
        <v>55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69.03</v>
      </c>
      <c r="P28" s="32" t="n">
        <v>19.88</v>
      </c>
      <c r="Q28" s="32" t="n">
        <v>325.18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0.9</v>
      </c>
      <c r="U28" s="32" t="n">
        <v>42.5</v>
      </c>
      <c r="V28" s="32" t="n">
        <v>41.24</v>
      </c>
      <c r="W28" s="32" t="n">
        <v>14.95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between 2.5x to 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Blue sky scenario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IF(B29=0,"",RANK(B29,$B$2:$B$57,0))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SHRIRAMFIN</t>
        </is>
      </c>
      <c r="D29" s="31" t="inlineStr">
        <is>
          <t>Shriram Finance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largecap</t>
        </is>
      </c>
      <c r="H29" s="32" t="n">
        <v>242950.16</v>
      </c>
      <c r="I29" s="32" t="n">
        <v>1042.15</v>
      </c>
      <c r="J29" s="32" t="n">
        <v>0.92</v>
      </c>
      <c r="K29" s="32" t="n">
        <v>5218792</v>
      </c>
      <c r="L29" s="31" t="n">
        <v>56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60.23</v>
      </c>
      <c r="P29" s="32" t="n">
        <v>11.37</v>
      </c>
      <c r="Q29" s="32" t="n">
        <v>837.84</v>
      </c>
      <c r="R29" s="31" t="inlineStr">
        <is>
          <t>Near 52W High Breakout</t>
        </is>
      </c>
      <c r="S29" s="31" t="inlineStr">
        <is>
          <t>Nifty Bank</t>
        </is>
      </c>
      <c r="T29" s="32" t="n">
        <v>0.9</v>
      </c>
      <c r="U29" s="32" t="n">
        <v>55.76</v>
      </c>
      <c r="V29" s="32" t="n">
        <v>54.38</v>
      </c>
      <c r="W29" s="32" t="n">
        <v>15.07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between 2.5x to 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Blue sky scenario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IF(B30=0,"",RANK(B30,$B$2:$B$57,0))</f>
        <v/>
      </c>
      <c r="B30" s="32">
        <f>SUM(N30,Y30,AA30,AC30,AE30,AG30,AI30,AK30,AM30,AO30,AQ30,AS30,AU30,AW30,AY30,BA30,BC30,BE30,BG30,BI30,BK30,BM30,BO30,BQ30,BS30,BU30,BW30,BY30,CA30)</f>
        <v/>
      </c>
      <c r="C30" s="33" t="inlineStr">
        <is>
          <t>PNBHOUSING</t>
        </is>
      </c>
      <c r="D30" s="33" t="inlineStr">
        <is>
          <t>Pnb Housing Finance Limited</t>
        </is>
      </c>
      <c r="E30" s="31" t="inlineStr">
        <is>
          <t>financials</t>
        </is>
      </c>
      <c r="F30" s="31" t="inlineStr">
        <is>
          <t>finance - housing</t>
        </is>
      </c>
      <c r="G30" s="31" t="inlineStr">
        <is>
          <t>largecap</t>
        </is>
      </c>
      <c r="H30" s="32" t="n">
        <v>26936.59</v>
      </c>
      <c r="I30" s="32" t="n">
        <v>1038.4</v>
      </c>
      <c r="J30" s="32" t="n">
        <v>0.43</v>
      </c>
      <c r="K30" s="32" t="n">
        <v>1494876</v>
      </c>
      <c r="L30" s="31" t="n">
        <v>25</v>
      </c>
      <c r="M30" s="31" t="inlineStr">
        <is>
          <t>Underperforming</t>
        </is>
      </c>
      <c r="N30" s="32">
        <f>IF(M30="Underperforming",-5,IF(L30&gt;=95,15,IF(L30&gt;=90,10,IF(L30&gt;=80,5,0))))</f>
        <v/>
      </c>
      <c r="O30" s="32" t="n">
        <v>60.41</v>
      </c>
      <c r="P30" s="32" t="n">
        <v>27.45</v>
      </c>
      <c r="Q30" s="32" t="n">
        <v>896.0700000000001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0.9</v>
      </c>
      <c r="U30" s="32" t="n">
        <v>-3.45</v>
      </c>
      <c r="V30" s="32" t="n">
        <v>-4.31</v>
      </c>
      <c r="W30" s="32" t="n">
        <v>7.66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less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20 to 40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IF(B31=0,"",RANK(B31,$B$2:$B$57,0))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NAM-INDIA</t>
        </is>
      </c>
      <c r="D31" s="31" t="inlineStr">
        <is>
          <t>Nippon Life India Asset Management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largecap</t>
        </is>
      </c>
      <c r="H31" s="32" t="n">
        <v>74487.28</v>
      </c>
      <c r="I31" s="32" t="n">
        <v>1162</v>
      </c>
      <c r="J31" s="32" t="n">
        <v>-0.45</v>
      </c>
      <c r="K31" s="32" t="n">
        <v>854960</v>
      </c>
      <c r="L31" s="31" t="n">
        <v>67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67.22</v>
      </c>
      <c r="P31" s="32" t="n">
        <v>36.67</v>
      </c>
      <c r="Q31" s="32" t="n">
        <v>942.77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0.9</v>
      </c>
      <c r="U31" s="32" t="n">
        <v>52.18</v>
      </c>
      <c r="V31" s="32" t="n">
        <v>50.83</v>
      </c>
      <c r="W31" s="32" t="n">
        <v>18.29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above 5x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20 to 40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Blue sky scenario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IF(B32=0,"",RANK(B32,$B$2:$B$57,0))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ANANDRATHI</t>
        </is>
      </c>
      <c r="D32" s="31" t="inlineStr">
        <is>
          <t>Anand Rathi Wealth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largecap</t>
        </is>
      </c>
      <c r="H32" s="32" t="n">
        <v>33020.63</v>
      </c>
      <c r="I32" s="32" t="n">
        <v>1976.7</v>
      </c>
      <c r="J32" s="32" t="n">
        <v>-0.6</v>
      </c>
      <c r="K32" s="32" t="n">
        <v>549720</v>
      </c>
      <c r="L32" s="31" t="n">
        <v>68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75.14</v>
      </c>
      <c r="P32" s="32" t="n">
        <v>42.71</v>
      </c>
      <c r="Q32" s="32" t="n">
        <v>1683.68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0.9</v>
      </c>
      <c r="U32" s="32" t="n">
        <v>88.25</v>
      </c>
      <c r="V32" s="32" t="n">
        <v>86.58</v>
      </c>
      <c r="W32" s="32" t="n">
        <v>18.96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above 5x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Above 40</t>
        </is>
      </c>
      <c r="BM32" s="31">
        <f>IF(BL32="Above 40",20,IF(BL32="20 to 40",10,IF(BL32="0 to 20",-5,0)))</f>
        <v/>
      </c>
      <c r="BN32" s="31" t="inlineStr">
        <is>
          <t>Above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Blue sky scenario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IF(B33=0,"",RANK(B33,$B$2:$B$57,0))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OFSS</t>
        </is>
      </c>
      <c r="D33" s="31" t="inlineStr">
        <is>
          <t>Oracle Financial Services Software Limited</t>
        </is>
      </c>
      <c r="E33" s="31" t="inlineStr">
        <is>
          <t>i.t</t>
        </is>
      </c>
      <c r="F33" s="31" t="inlineStr">
        <is>
          <t>computers - software - large</t>
        </is>
      </c>
      <c r="G33" s="31" t="inlineStr">
        <is>
          <t>largecap</t>
        </is>
      </c>
      <c r="H33" s="32" t="n">
        <v>94646.36</v>
      </c>
      <c r="I33" s="32" t="n">
        <v>10775.5</v>
      </c>
      <c r="J33" s="32" t="n">
        <v>-0.91</v>
      </c>
      <c r="K33" s="32" t="n">
        <v>264316</v>
      </c>
      <c r="L33" s="31" t="n">
        <v>68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70.36</v>
      </c>
      <c r="P33" s="32" t="n">
        <v>31.85</v>
      </c>
      <c r="Q33" s="32" t="n">
        <v>8886.41</v>
      </c>
      <c r="R33" s="31" t="inlineStr">
        <is>
          <t>Near 52W High Breakout</t>
        </is>
      </c>
      <c r="S33" s="31" t="inlineStr">
        <is>
          <t>Nifty IT</t>
        </is>
      </c>
      <c r="T33" s="32" t="n">
        <v>-32.85</v>
      </c>
      <c r="U33" s="32" t="n">
        <v>23.57</v>
      </c>
      <c r="V33" s="32" t="n">
        <v>84.03</v>
      </c>
      <c r="W33" s="32" t="n">
        <v>18.69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above 5x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IF(B34=0,"",RANK(B34,$B$2:$B$57,0))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PRUDENT</t>
        </is>
      </c>
      <c r="D34" s="31" t="inlineStr">
        <is>
          <t>Prudent Corporate Advisory Services Ltd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midcap</t>
        </is>
      </c>
      <c r="H34" s="32" t="n">
        <v>12235.67</v>
      </c>
      <c r="I34" s="32" t="n">
        <v>3001</v>
      </c>
      <c r="J34" s="32" t="n">
        <v>1.56</v>
      </c>
      <c r="K34" s="32" t="n">
        <v>17349</v>
      </c>
      <c r="L34" s="31" t="n">
        <v>36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63.32</v>
      </c>
      <c r="P34" s="32" t="n">
        <v>25.5</v>
      </c>
      <c r="Q34" s="32" t="n">
        <v>2414.45</v>
      </c>
      <c r="R34" s="31" t="inlineStr">
        <is>
          <t>Near 52W High Breakout</t>
        </is>
      </c>
      <c r="S34" s="31" t="inlineStr">
        <is>
          <t>Nifty Bank</t>
        </is>
      </c>
      <c r="T34" s="32" t="n">
        <v>0.9</v>
      </c>
      <c r="U34" s="32" t="n">
        <v>12.74</v>
      </c>
      <c r="V34" s="32" t="n">
        <v>11.74</v>
      </c>
      <c r="W34" s="32" t="n">
        <v>10.28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above 5x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20 to 40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IF(B35=0,"",RANK(B35,$B$2:$B$57,0))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EQUITASBNK</t>
        </is>
      </c>
      <c r="D35" s="31" t="inlineStr">
        <is>
          <t>Equitas Small Finance Bank Ltd</t>
        </is>
      </c>
      <c r="E35" s="31" t="inlineStr">
        <is>
          <t>bank</t>
        </is>
      </c>
      <c r="F35" s="31" t="inlineStr">
        <is>
          <t>banks - private sector</t>
        </is>
      </c>
      <c r="G35" s="31" t="inlineStr">
        <is>
          <t>midcap</t>
        </is>
      </c>
      <c r="H35" s="32" t="n">
        <v>8512.18</v>
      </c>
      <c r="I35" s="32" t="n">
        <v>75.41</v>
      </c>
      <c r="J35" s="32" t="n">
        <v>1.09</v>
      </c>
      <c r="K35" s="32" t="n">
        <v>2756353</v>
      </c>
      <c r="L35" s="31" t="n">
        <v>44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62.06</v>
      </c>
      <c r="P35" s="32" t="n">
        <v>25.05</v>
      </c>
      <c r="Q35" s="32" t="n">
        <v>62.06</v>
      </c>
      <c r="R35" s="31" t="inlineStr">
        <is>
          <t>Near 52W High Breakout</t>
        </is>
      </c>
      <c r="S35" s="31" t="inlineStr">
        <is>
          <t>Nifty Bank</t>
        </is>
      </c>
      <c r="T35" s="32" t="n">
        <v>0.9</v>
      </c>
      <c r="U35" s="32" t="n">
        <v>11.01</v>
      </c>
      <c r="V35" s="32" t="n">
        <v>10.03</v>
      </c>
      <c r="W35" s="32" t="n">
        <v>11.77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Cyclical in an Uptick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inlineStr">
        <is>
          <t>Yes</t>
        </is>
      </c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No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No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more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20 to 40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IF(B36=0,"",RANK(B36,$B$2:$B$57,0))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KICL</t>
        </is>
      </c>
      <c r="D36" s="31" t="inlineStr">
        <is>
          <t>Kalyani Investment Company Limited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smallcap</t>
        </is>
      </c>
      <c r="H36" s="32" t="n">
        <v>2299.64</v>
      </c>
      <c r="I36" s="32" t="n">
        <v>5305</v>
      </c>
      <c r="J36" s="32" t="n">
        <v>0.7</v>
      </c>
      <c r="K36" s="32" t="n">
        <v>1684</v>
      </c>
      <c r="L36" s="31" t="n">
        <v>20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59.9</v>
      </c>
      <c r="P36" s="32" t="n">
        <v>21.03</v>
      </c>
      <c r="Q36" s="32" t="n">
        <v>4408.85</v>
      </c>
      <c r="R36" s="31" t="inlineStr">
        <is>
          <t>Earnings / Momentum Support</t>
        </is>
      </c>
      <c r="S36" s="31" t="inlineStr">
        <is>
          <t>Nifty Bank</t>
        </is>
      </c>
      <c r="T36" s="32" t="n">
        <v>0.9</v>
      </c>
      <c r="U36" s="32" t="n">
        <v>3.47</v>
      </c>
      <c r="V36" s="32" t="n">
        <v>2.56</v>
      </c>
      <c r="W36" s="32" t="n">
        <v>6.54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less than 2.5x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20 to 40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IF(B37=0,"",RANK(B37,$B$2:$B$57,0))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STEL</t>
        </is>
      </c>
      <c r="D37" s="31" t="inlineStr">
        <is>
          <t>Stel Holdings Limited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smallcap</t>
        </is>
      </c>
      <c r="H37" s="32" t="n">
        <v>1056.85</v>
      </c>
      <c r="I37" s="32" t="n">
        <v>572.95</v>
      </c>
      <c r="J37" s="32" t="n">
        <v>0.05</v>
      </c>
      <c r="K37" s="32" t="n">
        <v>4395</v>
      </c>
      <c r="L37" s="31" t="n">
        <v>50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62.05</v>
      </c>
      <c r="P37" s="32" t="n">
        <v>14.32</v>
      </c>
      <c r="Q37" s="32" t="n">
        <v>430.95</v>
      </c>
      <c r="R37" s="31" t="inlineStr">
        <is>
          <t>Near 52W High Breakout</t>
        </is>
      </c>
      <c r="S37" s="31" t="inlineStr">
        <is>
          <t>Nifty Bank</t>
        </is>
      </c>
      <c r="T37" s="32" t="n">
        <v>0.9</v>
      </c>
      <c r="U37" s="32" t="n">
        <v>38.79</v>
      </c>
      <c r="V37" s="32" t="n">
        <v>37.56</v>
      </c>
      <c r="W37" s="32" t="n">
        <v>13.5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less than 2.5x and Growth less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Blue sky scenario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IF(B38=0,"",RANK(B38,$B$2:$B$57,0))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AXISBANK</t>
        </is>
      </c>
      <c r="D38" s="31" t="inlineStr">
        <is>
          <t>Axis Bank Limited</t>
        </is>
      </c>
      <c r="E38" s="31" t="inlineStr">
        <is>
          <t>bank</t>
        </is>
      </c>
      <c r="F38" s="31" t="inlineStr">
        <is>
          <t>banks - private sector</t>
        </is>
      </c>
      <c r="G38" s="31" t="inlineStr">
        <is>
          <t>largecap</t>
        </is>
      </c>
      <c r="H38" s="32" t="n">
        <v>421716.86</v>
      </c>
      <c r="I38" s="32" t="n">
        <v>1345.7</v>
      </c>
      <c r="J38" s="32" t="n">
        <v>-0.82</v>
      </c>
      <c r="K38" s="32" t="n">
        <v>7781221</v>
      </c>
      <c r="L38" s="31" t="n">
        <v>16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56.54</v>
      </c>
      <c r="P38" s="32" t="n">
        <v>9.73</v>
      </c>
      <c r="Q38" s="32" t="n">
        <v>1188</v>
      </c>
      <c r="R38" s="31" t="inlineStr">
        <is>
          <t>Near 52W High Breakout</t>
        </is>
      </c>
      <c r="S38" s="31" t="inlineStr">
        <is>
          <t>Nifty Bank</t>
        </is>
      </c>
      <c r="T38" s="32" t="n">
        <v>0.9</v>
      </c>
      <c r="U38" s="32" t="n">
        <v>14.37</v>
      </c>
      <c r="V38" s="32" t="n">
        <v>13.36</v>
      </c>
      <c r="W38" s="32" t="n">
        <v>5.38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less than 2.5x and Growth less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Blue sky scenario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IF(B39=0,"",RANK(B39,$B$2:$B$57,0))</f>
        <v/>
      </c>
      <c r="B39" s="32">
        <f>SUM(N39,Y39,AA39,AC39,AE39,AG39,AI39,AK39,AM39,AO39,AQ39,AS39,AU39,AW39,AY39,BA39,BC39,BE39,BG39,BI39,BK39,BM39,BO39,BQ39,BS39,BU39,BW39,BY39,CA39)</f>
        <v/>
      </c>
      <c r="C39" s="33" t="inlineStr">
        <is>
          <t>SPANDANA</t>
        </is>
      </c>
      <c r="D39" s="33" t="inlineStr">
        <is>
          <t>Spandana Sphoorty Financial Ltd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smallcap</t>
        </is>
      </c>
      <c r="H39" s="32" t="n">
        <v>2335.65</v>
      </c>
      <c r="I39" s="32" t="n">
        <v>268.6</v>
      </c>
      <c r="J39" s="32" t="n">
        <v>1.94</v>
      </c>
      <c r="K39" s="32" t="n">
        <v>245119</v>
      </c>
      <c r="L39" s="31" t="n">
        <v>24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55.68</v>
      </c>
      <c r="P39" s="32" t="n">
        <v>15.31</v>
      </c>
      <c r="Q39" s="32" t="n">
        <v>211.55</v>
      </c>
      <c r="R39" s="31" t="inlineStr">
        <is>
          <t>Earnings / Momentum Support</t>
        </is>
      </c>
      <c r="S39" s="31" t="inlineStr">
        <is>
          <t>Nifty Bank</t>
        </is>
      </c>
      <c r="T39" s="32" t="n">
        <v>0.9</v>
      </c>
      <c r="U39" s="32" t="n">
        <v>-6.69</v>
      </c>
      <c r="V39" s="32" t="n">
        <v>-7.52</v>
      </c>
      <c r="W39" s="32" t="n">
        <v>7.06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less than 2.5x and Growth more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IF(B40=0,"",RANK(B40,$B$2:$B$57,0))</f>
        <v/>
      </c>
      <c r="B40" s="32">
        <f>SUM(N40,Y40,AA40,AC40,AE40,AG40,AI40,AK40,AM40,AO40,AQ40,AS40,AU40,AW40,AY40,BA40,BC40,BE40,BG40,BI40,BK40,BM40,BO40,BQ40,BS40,BU40,BW40,BY40,CA40)</f>
        <v/>
      </c>
      <c r="C40" s="33" t="inlineStr">
        <is>
          <t>LICI</t>
        </is>
      </c>
      <c r="D40" s="33" t="inlineStr">
        <is>
          <t>Life Insurance Corporation of India Ltd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largecap</t>
        </is>
      </c>
      <c r="H40" s="32" t="n">
        <v>545531.05</v>
      </c>
      <c r="I40" s="32" t="n">
        <v>431.65</v>
      </c>
      <c r="J40" s="32" t="n">
        <v>0.09</v>
      </c>
      <c r="K40" s="32" t="n">
        <v>4056931</v>
      </c>
      <c r="L40" s="31" t="n">
        <v>11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57.82</v>
      </c>
      <c r="P40" s="32" t="n">
        <v>11.92</v>
      </c>
      <c r="Q40" s="32" t="n">
        <v>362.29</v>
      </c>
      <c r="R40" s="31" t="inlineStr">
        <is>
          <t>Near 52W High Breakout</t>
        </is>
      </c>
      <c r="S40" s="31" t="inlineStr">
        <is>
          <t>Nifty Bank</t>
        </is>
      </c>
      <c r="T40" s="32" t="n">
        <v>0.9</v>
      </c>
      <c r="U40" s="32" t="n">
        <v>-4.83</v>
      </c>
      <c r="V40" s="32" t="n">
        <v>-5.68</v>
      </c>
      <c r="W40" s="32" t="n">
        <v>3.69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between 2.5x to 5x and Growth more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IF(B41=0,"",RANK(B41,$B$2:$B$57,0))</f>
        <v/>
      </c>
      <c r="B41" s="32">
        <f>SUM(N41,Y41,AA41,AC41,AE41,AG41,AI41,AK41,AM41,AO41,AQ41,AS41,AU41,AW41,AY41,BA41,BC41,BE41,BG41,BI41,BK41,BM41,BO41,BQ41,BS41,BU41,BW41,BY41,CA41)</f>
        <v/>
      </c>
      <c r="C41" s="33" t="inlineStr">
        <is>
          <t>KIRLOSIND</t>
        </is>
      </c>
      <c r="D41" s="33" t="inlineStr">
        <is>
          <t>Kirloskar Industries Limited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smallcap</t>
        </is>
      </c>
      <c r="H41" s="32" t="n">
        <v>4213.52</v>
      </c>
      <c r="I41" s="32" t="n">
        <v>3915.1</v>
      </c>
      <c r="J41" s="32" t="n">
        <v>-2.35</v>
      </c>
      <c r="K41" s="32" t="n">
        <v>16275</v>
      </c>
      <c r="L41" s="31" t="n">
        <v>31</v>
      </c>
      <c r="M41" s="31" t="inlineStr">
        <is>
          <t>Underperforming</t>
        </is>
      </c>
      <c r="N41" s="32">
        <f>IF(M41="Underperforming",-5,IF(L41&gt;=95,15,IF(L41&gt;=90,10,IF(L41&gt;=80,5,0))))</f>
        <v/>
      </c>
      <c r="O41" s="32" t="n">
        <v>65.86</v>
      </c>
      <c r="P41" s="32" t="n">
        <v>21.69</v>
      </c>
      <c r="Q41" s="32" t="n">
        <v>2893.19</v>
      </c>
      <c r="R41" s="31" t="inlineStr">
        <is>
          <t>Earnings / Momentum Support</t>
        </is>
      </c>
      <c r="S41" s="31" t="inlineStr">
        <is>
          <t>Nifty Bank</t>
        </is>
      </c>
      <c r="T41" s="32" t="n">
        <v>0.9</v>
      </c>
      <c r="U41" s="32" t="n">
        <v>-7.55</v>
      </c>
      <c r="V41" s="32" t="n">
        <v>-8.369999999999999</v>
      </c>
      <c r="W41" s="32" t="n">
        <v>8.960000000000001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less than 2.5x and Growth less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20 to 40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IF(B42=0,"",RANK(B42,$B$2:$B$57,0))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UJJIVANSFB</t>
        </is>
      </c>
      <c r="D42" s="31" t="inlineStr">
        <is>
          <t>Ujjivan Small Finance Bank Ltd</t>
        </is>
      </c>
      <c r="E42" s="31" t="inlineStr">
        <is>
          <t>bank</t>
        </is>
      </c>
      <c r="F42" s="31" t="inlineStr">
        <is>
          <t>banks - private sector</t>
        </is>
      </c>
      <c r="G42" s="31" t="inlineStr">
        <is>
          <t>midcap</t>
        </is>
      </c>
      <c r="H42" s="32" t="n">
        <v>11055.99</v>
      </c>
      <c r="I42" s="32" t="n">
        <v>59.05</v>
      </c>
      <c r="J42" s="32" t="n">
        <v>3.76</v>
      </c>
      <c r="K42" s="32" t="n">
        <v>29595540</v>
      </c>
      <c r="L42" s="31" t="n">
        <v>17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55.48</v>
      </c>
      <c r="P42" s="32" t="n">
        <v>19.59</v>
      </c>
      <c r="Q42" s="32" t="n">
        <v>49.1</v>
      </c>
      <c r="R42" s="31" t="inlineStr">
        <is>
          <t>Earnings / Momentum Support</t>
        </is>
      </c>
      <c r="S42" s="31" t="inlineStr">
        <is>
          <t>Nifty Bank</t>
        </is>
      </c>
      <c r="T42" s="32" t="n">
        <v>0.9</v>
      </c>
      <c r="U42" s="32" t="n">
        <v>21.6</v>
      </c>
      <c r="V42" s="32" t="n">
        <v>20.52</v>
      </c>
      <c r="W42" s="32" t="n">
        <v>5.47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less than 2.5x and Growth more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2</t>
        </is>
      </c>
      <c r="BQ42" s="31">
        <f>IF(BP42="Stage 2",20,IF(BP42="Stage 1",0,IF(BP42="Stage 3",5,IF(BP42="Stage 4",-5,0))))</f>
        <v/>
      </c>
      <c r="BR42" s="31" t="inlineStr">
        <is>
          <t>Positive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IF(B43=0,"",RANK(B43,$B$2:$B$57,0))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TFCILTD</t>
        </is>
      </c>
      <c r="D43" s="31" t="inlineStr">
        <is>
          <t>Tourism Finance Corporation Of India Limited</t>
        </is>
      </c>
      <c r="E43" s="31" t="inlineStr">
        <is>
          <t>financials</t>
        </is>
      </c>
      <c r="F43" s="31" t="inlineStr">
        <is>
          <t>finance - term-lending institutions</t>
        </is>
      </c>
      <c r="G43" s="31" t="inlineStr">
        <is>
          <t>smallcap</t>
        </is>
      </c>
      <c r="H43" s="32" t="n">
        <v>3497.33</v>
      </c>
      <c r="I43" s="32" t="n">
        <v>77.06999999999999</v>
      </c>
      <c r="J43" s="32" t="n">
        <v>2.03</v>
      </c>
      <c r="K43" s="32" t="n">
        <v>2900615</v>
      </c>
      <c r="L43" s="31" t="n">
        <v>53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57.52</v>
      </c>
      <c r="P43" s="32" t="n">
        <v>31.27</v>
      </c>
      <c r="Q43" s="32" t="n">
        <v>63.5</v>
      </c>
      <c r="R43" s="31" t="inlineStr">
        <is>
          <t>Earnings / Momentum Support</t>
        </is>
      </c>
      <c r="S43" s="31" t="inlineStr">
        <is>
          <t>Nifty Bank</t>
        </is>
      </c>
      <c r="T43" s="32" t="n">
        <v>0.9</v>
      </c>
      <c r="U43" s="32" t="n">
        <v>48.2</v>
      </c>
      <c r="V43" s="32" t="n">
        <v>46.88</v>
      </c>
      <c r="W43" s="32" t="n">
        <v>14.47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between 2.5x to 5x and Growth less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20 to 40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2</t>
        </is>
      </c>
      <c r="BQ43" s="31">
        <f>IF(BP43="Stage 2",20,IF(BP43="Stage 1",0,IF(BP43="Stage 3",5,IF(BP43="Stage 4",-5,0))))</f>
        <v/>
      </c>
      <c r="BR43" s="31" t="inlineStr">
        <is>
          <t>Positive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IF(B44=0,"",RANK(B44,$B$2:$B$57,0))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IDFCFIRSTB</t>
        </is>
      </c>
      <c r="D44" s="31" t="inlineStr">
        <is>
          <t>IDFC First Bank Ltd</t>
        </is>
      </c>
      <c r="E44" s="31" t="inlineStr">
        <is>
          <t>bank</t>
        </is>
      </c>
      <c r="F44" s="31" t="inlineStr">
        <is>
          <t>banks - private sector</t>
        </is>
      </c>
      <c r="G44" s="31" t="inlineStr">
        <is>
          <t>largecap</t>
        </is>
      </c>
      <c r="H44" s="32" t="n">
        <v>67265.28999999999</v>
      </c>
      <c r="I44" s="32" t="n">
        <v>79.48999999999999</v>
      </c>
      <c r="J44" s="32" t="n">
        <v>1.65</v>
      </c>
      <c r="K44" s="32" t="n">
        <v>30193040</v>
      </c>
      <c r="L44" s="31" t="n">
        <v>33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60.19</v>
      </c>
      <c r="P44" s="32" t="n">
        <v>22.09</v>
      </c>
      <c r="Q44" s="32" t="n">
        <v>66.86</v>
      </c>
      <c r="R44" s="31" t="inlineStr">
        <is>
          <t>Earnings / Momentum Support</t>
        </is>
      </c>
      <c r="S44" s="31" t="inlineStr">
        <is>
          <t>Nifty Bank</t>
        </is>
      </c>
      <c r="T44" s="32" t="n">
        <v>0.9</v>
      </c>
      <c r="U44" s="32" t="n">
        <v>2.4</v>
      </c>
      <c r="V44" s="32" t="n">
        <v>1.49</v>
      </c>
      <c r="W44" s="32" t="n">
        <v>9.5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No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less than 2.5x and Growth less than 20%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20 to 40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2</t>
        </is>
      </c>
      <c r="BQ44" s="31">
        <f>IF(BP44="Stage 2",20,IF(BP44="Stage 1",0,IF(BP44="Stage 3",5,IF(BP44="Stage 4",-5,0))))</f>
        <v/>
      </c>
      <c r="BR44" s="31" t="inlineStr">
        <is>
          <t>Positive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IF(B45=0,"",RANK(B45,$B$2:$B$57,0))</f>
        <v/>
      </c>
      <c r="B45" s="32">
        <f>SUM(N45,Y45,AA45,AC45,AE45,AG45,AI45,AK45,AM45,AO45,AQ45,AS45,AU45,AW45,AY45,BA45,BC45,BE45,BG45,BI45,BK45,BM45,BO45,BQ45,BS45,BU45,BW45,BY45,CA45)</f>
        <v/>
      </c>
      <c r="C45" s="31" t="inlineStr">
        <is>
          <t>CHOLAFIN</t>
        </is>
      </c>
      <c r="D45" s="31" t="inlineStr">
        <is>
          <t>Cholamandalam Investment And Finance Company Limited</t>
        </is>
      </c>
      <c r="E45" s="31" t="inlineStr">
        <is>
          <t>financials</t>
        </is>
      </c>
      <c r="F45" s="31" t="inlineStr">
        <is>
          <t>finance &amp; investments</t>
        </is>
      </c>
      <c r="G45" s="31" t="inlineStr">
        <is>
          <t>largecap</t>
        </is>
      </c>
      <c r="H45" s="32" t="n">
        <v>151151.39</v>
      </c>
      <c r="I45" s="32" t="n">
        <v>1789.8</v>
      </c>
      <c r="J45" s="32" t="n">
        <v>0.89</v>
      </c>
      <c r="K45" s="32" t="n">
        <v>1364987</v>
      </c>
      <c r="L45" s="31" t="n">
        <v>41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61</v>
      </c>
      <c r="P45" s="32" t="n">
        <v>11.3</v>
      </c>
      <c r="Q45" s="32" t="n">
        <v>1458.14</v>
      </c>
      <c r="R45" s="31" t="inlineStr">
        <is>
          <t>Near 52W High Breakout</t>
        </is>
      </c>
      <c r="S45" s="31" t="inlineStr">
        <is>
          <t>Nifty Bank</t>
        </is>
      </c>
      <c r="T45" s="32" t="n">
        <v>0.9</v>
      </c>
      <c r="U45" s="32" t="n">
        <v>17.37</v>
      </c>
      <c r="V45" s="32" t="n">
        <v>16.33</v>
      </c>
      <c r="W45" s="32" t="n">
        <v>11.29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above 5x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0 to 20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2</t>
        </is>
      </c>
      <c r="BQ45" s="31">
        <f>IF(BP45="Stage 2",20,IF(BP45="Stage 1",0,IF(BP45="Stage 3",5,IF(BP45="Stage 4",-5,0))))</f>
        <v/>
      </c>
      <c r="BR45" s="31" t="inlineStr">
        <is>
          <t>Positive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Blue sky scenario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IF(B46=0,"",RANK(B46,$B$2:$B$57,0))</f>
        <v/>
      </c>
      <c r="B46" s="32">
        <f>SUM(N46,Y46,AA46,AC46,AE46,AG46,AI46,AK46,AM46,AO46,AQ46,AS46,AU46,AW46,AY46,BA46,BC46,BE46,BG46,BI46,BK46,BM46,BO46,BQ46,BS46,BU46,BW46,BY46,CA46)</f>
        <v/>
      </c>
      <c r="C46" s="31" t="inlineStr">
        <is>
          <t>MOTILALOFS</t>
        </is>
      </c>
      <c r="D46" s="31" t="inlineStr">
        <is>
          <t>Motilal Oswal Financial Services Limited</t>
        </is>
      </c>
      <c r="E46" s="31" t="inlineStr">
        <is>
          <t>financials</t>
        </is>
      </c>
      <c r="F46" s="31" t="inlineStr">
        <is>
          <t>finance &amp; investments</t>
        </is>
      </c>
      <c r="G46" s="31" t="inlineStr">
        <is>
          <t>largecap</t>
        </is>
      </c>
      <c r="H46" s="32" t="n">
        <v>57035.27</v>
      </c>
      <c r="I46" s="32" t="n">
        <v>951.3</v>
      </c>
      <c r="J46" s="32" t="n">
        <v>0.39</v>
      </c>
      <c r="K46" s="32" t="n">
        <v>409066</v>
      </c>
      <c r="L46" s="31" t="n">
        <v>37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63.16</v>
      </c>
      <c r="P46" s="32" t="n">
        <v>18.41</v>
      </c>
      <c r="Q46" s="32" t="n">
        <v>771.29</v>
      </c>
      <c r="R46" s="31" t="inlineStr">
        <is>
          <t>Earnings / Momentum Support</t>
        </is>
      </c>
      <c r="S46" s="31" t="inlineStr">
        <is>
          <t>Nifty Bank</t>
        </is>
      </c>
      <c r="T46" s="32" t="n">
        <v>0.9</v>
      </c>
      <c r="U46" s="32" t="n">
        <v>4.46</v>
      </c>
      <c r="V46" s="32" t="n">
        <v>3.53</v>
      </c>
      <c r="W46" s="32" t="n">
        <v>10.36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No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between 2.5x to 5x and Growth more than 20%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2</t>
        </is>
      </c>
      <c r="BQ46" s="31">
        <f>IF(BP46="Stage 2",20,IF(BP46="Stage 1",0,IF(BP46="Stage 3",5,IF(BP46="Stage 4",-5,0))))</f>
        <v/>
      </c>
      <c r="BR46" s="31" t="inlineStr">
        <is>
          <t>Positive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IF(B47=0,"",RANK(B47,$B$2:$B$57,0))</f>
        <v/>
      </c>
      <c r="B47" s="32">
        <f>SUM(N47,Y47,AA47,AC47,AE47,AG47,AI47,AK47,AM47,AO47,AQ47,AS47,AU47,AW47,AY47,BA47,BC47,BE47,BG47,BI47,BK47,BM47,BO47,BQ47,BS47,BU47,BW47,BY47,CA47)</f>
        <v/>
      </c>
      <c r="C47" s="33" t="inlineStr">
        <is>
          <t>GEOJITFSL</t>
        </is>
      </c>
      <c r="D47" s="33" t="inlineStr">
        <is>
          <t>Geojit Financial Services Ltd</t>
        </is>
      </c>
      <c r="E47" s="31" t="inlineStr">
        <is>
          <t>financials</t>
        </is>
      </c>
      <c r="F47" s="31" t="inlineStr">
        <is>
          <t>finance &amp; investments</t>
        </is>
      </c>
      <c r="G47" s="31" t="inlineStr">
        <is>
          <t>smallcap</t>
        </is>
      </c>
      <c r="H47" s="32" t="n">
        <v>2153.99</v>
      </c>
      <c r="I47" s="32" t="n">
        <v>77</v>
      </c>
      <c r="J47" s="32" t="n">
        <v>-0.22</v>
      </c>
      <c r="K47" s="32" t="n">
        <v>171518</v>
      </c>
      <c r="L47" s="31" t="n">
        <v>23</v>
      </c>
      <c r="M47" s="31" t="inlineStr">
        <is>
          <t>Underperforming</t>
        </is>
      </c>
      <c r="N47" s="32">
        <f>IF(M47="Underperforming",-5,IF(L47&gt;=95,15,IF(L47&gt;=90,10,IF(L47&gt;=80,5,0))))</f>
        <v/>
      </c>
      <c r="O47" s="32" t="n">
        <v>59.38</v>
      </c>
      <c r="P47" s="32" t="n">
        <v>14.74</v>
      </c>
      <c r="Q47" s="32" t="n">
        <v>62.07</v>
      </c>
      <c r="R47" s="31" t="inlineStr">
        <is>
          <t>Near 52W High Breakout</t>
        </is>
      </c>
      <c r="S47" s="31" t="inlineStr">
        <is>
          <t>Nifty Bank</t>
        </is>
      </c>
      <c r="T47" s="32" t="n">
        <v>0.9</v>
      </c>
      <c r="U47" s="32" t="n">
        <v>-8.06</v>
      </c>
      <c r="V47" s="32" t="n">
        <v>-8.880000000000001</v>
      </c>
      <c r="W47" s="32" t="n">
        <v>6.98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less than 2.5x and Growth less than 20%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2</t>
        </is>
      </c>
      <c r="BQ47" s="31">
        <f>IF(BP47="Stage 2",20,IF(BP47="Stage 1",0,IF(BP47="Stage 3",5,IF(BP47="Stage 4",-5,0))))</f>
        <v/>
      </c>
      <c r="BR47" s="31" t="inlineStr">
        <is>
          <t>Positive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Close to 52 week high or retracement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  <row r="48">
      <c r="A48" s="31">
        <f>IF(B48=0,"",RANK(B48,$B$2:$B$57,0))</f>
        <v/>
      </c>
      <c r="B48" s="32">
        <f>SUM(N48,Y48,AA48,AC48,AE48,AG48,AI48,AK48,AM48,AO48,AQ48,AS48,AU48,AW48,AY48,BA48,BC48,BE48,BG48,BI48,BK48,BM48,BO48,BQ48,BS48,BU48,BW48,BY48,CA48)</f>
        <v/>
      </c>
      <c r="C48" s="33" t="inlineStr">
        <is>
          <t>RECLTD</t>
        </is>
      </c>
      <c r="D48" s="33" t="inlineStr">
        <is>
          <t>REC Ltd</t>
        </is>
      </c>
      <c r="E48" s="31" t="inlineStr">
        <is>
          <t>financials</t>
        </is>
      </c>
      <c r="F48" s="31" t="inlineStr">
        <is>
          <t>finance - term-lending institutions</t>
        </is>
      </c>
      <c r="G48" s="31" t="inlineStr">
        <is>
          <t>largecap</t>
        </is>
      </c>
      <c r="H48" s="32" t="n">
        <v>96099.50999999999</v>
      </c>
      <c r="I48" s="32" t="n">
        <v>363.8</v>
      </c>
      <c r="J48" s="32" t="n">
        <v>-0.32</v>
      </c>
      <c r="K48" s="32" t="n">
        <v>10341586</v>
      </c>
      <c r="L48" s="31" t="n">
        <v>4</v>
      </c>
      <c r="M48" s="31" t="inlineStr">
        <is>
          <t>Underperforming</t>
        </is>
      </c>
      <c r="N48" s="32">
        <f>IF(M48="Underperforming",-5,IF(L48&gt;=95,15,IF(L48&gt;=90,10,IF(L48&gt;=80,5,0))))</f>
        <v/>
      </c>
      <c r="O48" s="32" t="n">
        <v>55.5</v>
      </c>
      <c r="P48" s="32" t="n">
        <v>11.07</v>
      </c>
      <c r="Q48" s="32" t="n">
        <v>313.48</v>
      </c>
      <c r="R48" s="31" t="inlineStr">
        <is>
          <t>Near 52W High Breakout</t>
        </is>
      </c>
      <c r="S48" s="31" t="inlineStr">
        <is>
          <t>Nifty Bank</t>
        </is>
      </c>
      <c r="T48" s="32" t="n">
        <v>0.9</v>
      </c>
      <c r="U48" s="32" t="n">
        <v>-2.59</v>
      </c>
      <c r="V48" s="32" t="n">
        <v>-3.45</v>
      </c>
      <c r="W48" s="32" t="n">
        <v>2.19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Fragmented with High ROE</t>
        </is>
      </c>
      <c r="AA48" s="31">
        <f>IF(Z48="Fragmented with Low ROE",-5,IF(Z48="Fragmented with High ROE",10,IF(Z48= "highly cyclical",5,0)))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Consistency)",15,IF(AF48="Shallow Cyclical (2 to 3 years growth)",10,IF(AF48 = "Cyclical in an Uptick",5,IF(AF48 = "Cyclical in an Downtick",-10,0))))</f>
        <v/>
      </c>
      <c r="AH48" s="31" t="inlineStr">
        <is>
          <t>Yes</t>
        </is>
      </c>
      <c r="AI48" s="31">
        <f>IF(AH48="Yes",10,0)</f>
        <v/>
      </c>
      <c r="AJ48" s="31" t="inlineStr">
        <is>
          <t>Yes</t>
        </is>
      </c>
      <c r="AK48" s="31">
        <f>IF(AJ48="Yes",10,0)</f>
        <v/>
      </c>
      <c r="AL48" s="31" t="n"/>
      <c r="AM48" s="31">
        <f>IF(AL48="No",10,0)</f>
        <v/>
      </c>
      <c r="AN48" s="31" t="inlineStr">
        <is>
          <t>Yes</t>
        </is>
      </c>
      <c r="AO48" s="31">
        <f>IF(AN48="Yes",10,0)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Yes</t>
        </is>
      </c>
      <c r="AS48" s="31">
        <f>IF(AR48="Yes",5,0)</f>
        <v/>
      </c>
      <c r="AT48" s="31" t="inlineStr">
        <is>
          <t>No</t>
        </is>
      </c>
      <c r="AU48" s="31">
        <f>IF(AT48="No",10,IF(AT48="Yes",-10,0))</f>
        <v/>
      </c>
      <c r="AV48" s="31" t="inlineStr">
        <is>
          <t>No</t>
        </is>
      </c>
      <c r="AW48" s="31">
        <f>IF(AV48="No",10,0)</f>
        <v/>
      </c>
      <c r="AX48" s="31" t="inlineStr">
        <is>
          <t>No</t>
        </is>
      </c>
      <c r="AY48" s="31">
        <f>IF(AX48="No",10,IF(AX48= "Yes CEO Resignation",-5,0))</f>
        <v/>
      </c>
      <c r="AZ48" s="31" t="inlineStr">
        <is>
          <t>No</t>
        </is>
      </c>
      <c r="BA48" s="31">
        <f>IF(AZ48="No",10,IF(AZ48="Yes",-5,0))</f>
        <v/>
      </c>
      <c r="BB48" s="31" t="inlineStr">
        <is>
          <t>No</t>
        </is>
      </c>
      <c r="BC48" s="31">
        <f>IF(BB48="No",5,IF(BB48="Yes",-5,0))</f>
        <v/>
      </c>
      <c r="BD48" s="31" t="inlineStr">
        <is>
          <t>Yes</t>
        </is>
      </c>
      <c r="BE48" s="31">
        <f>IF(BD48="Yes",10,0)</f>
        <v/>
      </c>
      <c r="BF48" s="31" t="inlineStr">
        <is>
          <t>Yes</t>
        </is>
      </c>
      <c r="BG48" s="31">
        <f>IF(BF48="Yes",10,0)</f>
        <v/>
      </c>
      <c r="BH48" s="31" t="inlineStr">
        <is>
          <t>Yes</t>
        </is>
      </c>
      <c r="BI48" s="31">
        <f>IF(BH48="Yes",10,0)</f>
        <v/>
      </c>
      <c r="BJ48" s="31" t="inlineStr">
        <is>
          <t>P/BV less than 2.5x and Growth less than 20%</t>
        </is>
      </c>
      <c r="BK48" s="31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1" t="inlineStr">
        <is>
          <t>0 to 20</t>
        </is>
      </c>
      <c r="BM48" s="31">
        <f>IF(BL48="Above 40",20,IF(BL48="20 to 40",10,IF(BL48="0 to 20",-5,0)))</f>
        <v/>
      </c>
      <c r="BN48" s="31" t="inlineStr">
        <is>
          <t>Between 50 to 75</t>
        </is>
      </c>
      <c r="BO48" s="31">
        <f>IF(BN48="Between 50 to 75",10,IF(BN48="Above 75",0,0))</f>
        <v/>
      </c>
      <c r="BP48" s="31" t="inlineStr">
        <is>
          <t>Stage 2</t>
        </is>
      </c>
      <c r="BQ48" s="31">
        <f>IF(BP48="Stage 2",20,IF(BP48="Stage 1",0,IF(BP48="Stage 3",5,IF(BP48="Stage 4",-5,0))))</f>
        <v/>
      </c>
      <c r="BR48" s="31" t="inlineStr">
        <is>
          <t>Positive Trend</t>
        </is>
      </c>
      <c r="BS48" s="31">
        <f>IF(BR48="Positive Trend",20,IF(BR48="Negative Trend",-10,0))</f>
        <v/>
      </c>
      <c r="BT48" s="31" t="inlineStr">
        <is>
          <t>Uptrend</t>
        </is>
      </c>
      <c r="BU48" s="31">
        <f>IF(BT48="Uptrend",10,IF(BT48="Sideways",5,0))</f>
        <v/>
      </c>
      <c r="BV48" s="31" t="inlineStr">
        <is>
          <t>Uptrend</t>
        </is>
      </c>
      <c r="BW48" s="31">
        <f>IF(BV48="Uptrend",10,IF(BV48="Sideways",5,0))</f>
        <v/>
      </c>
      <c r="BX48" s="31" t="inlineStr">
        <is>
          <t>Close to 52 week high or retracement</t>
        </is>
      </c>
      <c r="BY48" s="31">
        <f>IF(BX48="Overhead supply in last 2 years in last 2 years",-5,IF(BX48="Close to 52 week high or retracement",5,IF(BX48="Blue sky scenario",10,IF(BX48="Long term Downtrend",-10,0))))</f>
        <v/>
      </c>
      <c r="BZ48" s="31" t="inlineStr">
        <is>
          <t>Yes</t>
        </is>
      </c>
      <c r="CA48" s="31">
        <f>IF(BZ48="Yes",10,0)</f>
        <v/>
      </c>
    </row>
    <row r="49">
      <c r="A49" s="31">
        <f>IF(B49=0,"",RANK(B49,$B$2:$B$57,0))</f>
        <v/>
      </c>
      <c r="B49" s="32">
        <f>SUM(N49,Y49,AA49,AC49,AE49,AG49,AI49,AK49,AM49,AO49,AQ49,AS49,AU49,AW49,AY49,BA49,BC49,BE49,BG49,BI49,BK49,BM49,BO49,BQ49,BS49,BU49,BW49,BY49,CA49)</f>
        <v/>
      </c>
      <c r="C49" s="33" t="inlineStr">
        <is>
          <t>REPCOHOME</t>
        </is>
      </c>
      <c r="D49" s="33" t="inlineStr">
        <is>
          <t>Repco Home Finance Limited</t>
        </is>
      </c>
      <c r="E49" s="31" t="inlineStr">
        <is>
          <t>financials</t>
        </is>
      </c>
      <c r="F49" s="31" t="inlineStr">
        <is>
          <t>finance - housing</t>
        </is>
      </c>
      <c r="G49" s="31" t="inlineStr">
        <is>
          <t>smallcap</t>
        </is>
      </c>
      <c r="H49" s="32" t="n">
        <v>2636.65</v>
      </c>
      <c r="I49" s="32" t="n">
        <v>417.75</v>
      </c>
      <c r="J49" s="32" t="n">
        <v>-0.88</v>
      </c>
      <c r="K49" s="32" t="n">
        <v>135934</v>
      </c>
      <c r="L49" s="31" t="n">
        <v>11</v>
      </c>
      <c r="M49" s="31" t="inlineStr">
        <is>
          <t>Underperforming</t>
        </is>
      </c>
      <c r="N49" s="32">
        <f>IF(M49="Underperforming",-5,IF(L49&gt;=95,15,IF(L49&gt;=90,10,IF(L49&gt;=80,5,0))))</f>
        <v/>
      </c>
      <c r="O49" s="32" t="n">
        <v>58.37</v>
      </c>
      <c r="P49" s="32" t="n">
        <v>10.63</v>
      </c>
      <c r="Q49" s="32" t="n">
        <v>335.54</v>
      </c>
      <c r="R49" s="31" t="inlineStr">
        <is>
          <t>Near 52W High Breakout</t>
        </is>
      </c>
      <c r="S49" s="31" t="inlineStr">
        <is>
          <t>Nifty Bank</t>
        </is>
      </c>
      <c r="T49" s="32" t="n">
        <v>0.9</v>
      </c>
      <c r="U49" s="32" t="n">
        <v>-0.7</v>
      </c>
      <c r="V49" s="32" t="n">
        <v>-1.58</v>
      </c>
      <c r="W49" s="32" t="n">
        <v>3.85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Fragmented with High ROE</t>
        </is>
      </c>
      <c r="AA49" s="31">
        <f>IF(Z49="Fragmented with Low ROE",-5,IF(Z49="Fragmented with High ROE",10,IF(Z49= "highly cyclical",5,0)))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Consistency)",15,IF(AF49="Shallow Cyclical (2 to 3 years growth)",10,IF(AF49 = "Cyclical in an Uptick",5,IF(AF49 = "Cyclical in an Downtick",-10,0))))</f>
        <v/>
      </c>
      <c r="AH49" s="31" t="inlineStr">
        <is>
          <t>Yes</t>
        </is>
      </c>
      <c r="AI49" s="31">
        <f>IF(AH49="Yes",10,0)</f>
        <v/>
      </c>
      <c r="AJ49" s="31" t="inlineStr">
        <is>
          <t>Yes</t>
        </is>
      </c>
      <c r="AK49" s="31">
        <f>IF(AJ49="Yes",10,0)</f>
        <v/>
      </c>
      <c r="AL49" s="31" t="n"/>
      <c r="AM49" s="31">
        <f>IF(AL49="No",10,0)</f>
        <v/>
      </c>
      <c r="AN49" s="31" t="inlineStr">
        <is>
          <t>Yes</t>
        </is>
      </c>
      <c r="AO49" s="31">
        <f>IF(AN49="Yes",10,0)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Yes</t>
        </is>
      </c>
      <c r="AS49" s="31">
        <f>IF(AR49="Yes",5,0)</f>
        <v/>
      </c>
      <c r="AT49" s="31" t="inlineStr">
        <is>
          <t>No</t>
        </is>
      </c>
      <c r="AU49" s="31">
        <f>IF(AT49="No",10,IF(AT49="Yes",-10,0))</f>
        <v/>
      </c>
      <c r="AV49" s="31" t="inlineStr">
        <is>
          <t>No</t>
        </is>
      </c>
      <c r="AW49" s="31">
        <f>IF(AV49="No",10,0)</f>
        <v/>
      </c>
      <c r="AX49" s="31" t="inlineStr">
        <is>
          <t>No</t>
        </is>
      </c>
      <c r="AY49" s="31">
        <f>IF(AX49="No",10,IF(AX49= "Yes CEO Resignation",-5,0))</f>
        <v/>
      </c>
      <c r="AZ49" s="31" t="inlineStr">
        <is>
          <t>No</t>
        </is>
      </c>
      <c r="BA49" s="31">
        <f>IF(AZ49="No",10,IF(AZ49="Yes",-5,0))</f>
        <v/>
      </c>
      <c r="BB49" s="31" t="inlineStr">
        <is>
          <t>No</t>
        </is>
      </c>
      <c r="BC49" s="31">
        <f>IF(BB49="No",5,IF(BB49="Yes",-5,0))</f>
        <v/>
      </c>
      <c r="BD49" s="31" t="inlineStr">
        <is>
          <t>Yes</t>
        </is>
      </c>
      <c r="BE49" s="31">
        <f>IF(BD49="Yes",10,0)</f>
        <v/>
      </c>
      <c r="BF49" s="31" t="inlineStr">
        <is>
          <t>Yes</t>
        </is>
      </c>
      <c r="BG49" s="31">
        <f>IF(BF49="Yes",10,0)</f>
        <v/>
      </c>
      <c r="BH49" s="31" t="inlineStr">
        <is>
          <t>Yes</t>
        </is>
      </c>
      <c r="BI49" s="31">
        <f>IF(BH49="Yes",10,0)</f>
        <v/>
      </c>
      <c r="BJ49" s="31" t="inlineStr">
        <is>
          <t>P/BV less than 2.5x and Growth less than 20%</t>
        </is>
      </c>
      <c r="BK49" s="31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1" t="inlineStr">
        <is>
          <t>0 to 20</t>
        </is>
      </c>
      <c r="BM49" s="31">
        <f>IF(BL49="Above 40",20,IF(BL49="20 to 40",10,IF(BL49="0 to 20",-5,0)))</f>
        <v/>
      </c>
      <c r="BN49" s="31" t="inlineStr">
        <is>
          <t>Between 50 to 75</t>
        </is>
      </c>
      <c r="BO49" s="31">
        <f>IF(BN49="Between 50 to 75",10,IF(BN49="Above 75",0,0))</f>
        <v/>
      </c>
      <c r="BP49" s="31" t="inlineStr">
        <is>
          <t>Stage 2</t>
        </is>
      </c>
      <c r="BQ49" s="31">
        <f>IF(BP49="Stage 2",20,IF(BP49="Stage 1",0,IF(BP49="Stage 3",5,IF(BP49="Stage 4",-5,0))))</f>
        <v/>
      </c>
      <c r="BR49" s="31" t="inlineStr">
        <is>
          <t>Positive Trend</t>
        </is>
      </c>
      <c r="BS49" s="31">
        <f>IF(BR49="Positive Trend",20,IF(BR49="Negative Trend",-10,0))</f>
        <v/>
      </c>
      <c r="BT49" s="31" t="inlineStr">
        <is>
          <t>Uptrend</t>
        </is>
      </c>
      <c r="BU49" s="31">
        <f>IF(BT49="Uptrend",10,IF(BT49="Sideways",5,0))</f>
        <v/>
      </c>
      <c r="BV49" s="31" t="inlineStr">
        <is>
          <t>Uptrend</t>
        </is>
      </c>
      <c r="BW49" s="31">
        <f>IF(BV49="Uptrend",10,IF(BV49="Sideways",5,0))</f>
        <v/>
      </c>
      <c r="BX49" s="31" t="inlineStr">
        <is>
          <t>Close to 52 week high or retracement</t>
        </is>
      </c>
      <c r="BY49" s="31">
        <f>IF(BX49="Overhead supply in last 2 years in last 2 years",-5,IF(BX49="Close to 52 week high or retracement",5,IF(BX49="Blue sky scenario",10,IF(BX49="Long term Downtrend",-10,0))))</f>
        <v/>
      </c>
      <c r="BZ49" s="31" t="inlineStr">
        <is>
          <t>Yes</t>
        </is>
      </c>
      <c r="CA49" s="31">
        <f>IF(BZ49="Yes",10,0)</f>
        <v/>
      </c>
    </row>
    <row r="50">
      <c r="A50" s="31">
        <f>IF(B50=0,"",RANK(B50,$B$2:$B$57,0))</f>
        <v/>
      </c>
      <c r="B50" s="32">
        <f>SUM(N50,Y50,AA50,AC50,AE50,AG50,AI50,AK50,AM50,AO50,AQ50,AS50,AU50,AW50,AY50,BA50,BC50,BE50,BG50,BI50,BK50,BM50,BO50,BQ50,BS50,BU50,BW50,BY50,CA50)</f>
        <v/>
      </c>
      <c r="C50" s="31" t="inlineStr">
        <is>
          <t>SOUTHBANK</t>
        </is>
      </c>
      <c r="D50" s="31" t="inlineStr">
        <is>
          <t>The South Indian Bank Limited</t>
        </is>
      </c>
      <c r="E50" s="31" t="inlineStr">
        <is>
          <t>bank</t>
        </is>
      </c>
      <c r="F50" s="31" t="inlineStr">
        <is>
          <t>banks - private sector</t>
        </is>
      </c>
      <c r="G50" s="31" t="inlineStr">
        <is>
          <t>midcap</t>
        </is>
      </c>
      <c r="H50" s="32" t="n">
        <v>11998.93</v>
      </c>
      <c r="I50" s="32" t="n">
        <v>45.63</v>
      </c>
      <c r="J50" s="32" t="n">
        <v>-0.46</v>
      </c>
      <c r="K50" s="32" t="n">
        <v>13306571</v>
      </c>
      <c r="L50" s="31" t="n">
        <v>53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61.7</v>
      </c>
      <c r="P50" s="32" t="n">
        <v>17.99</v>
      </c>
      <c r="Q50" s="32" t="n">
        <v>38.86</v>
      </c>
      <c r="R50" s="31" t="inlineStr">
        <is>
          <t>Earnings / Momentum Support</t>
        </is>
      </c>
      <c r="S50" s="31" t="inlineStr">
        <is>
          <t>Nifty Bank</t>
        </is>
      </c>
      <c r="T50" s="32" t="n">
        <v>0.9</v>
      </c>
      <c r="U50" s="32" t="n">
        <v>50.75</v>
      </c>
      <c r="V50" s="32" t="n">
        <v>49.41</v>
      </c>
      <c r="W50" s="32" t="n">
        <v>14.32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Fragmented with High ROE</t>
        </is>
      </c>
      <c r="AA50" s="31">
        <f>IF(Z50="Fragmented with Low ROE",-5,IF(Z50="Fragmented with High ROE",10,IF(Z50= "highly cyclical",5,0)))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Consistency)",15,IF(AF50="Shallow Cyclical (2 to 3 years growth)",10,IF(AF50 = "Cyclical in an Uptick",5,IF(AF50 = "Cyclical in an Downtick",-10,0))))</f>
        <v/>
      </c>
      <c r="AH50" s="31" t="inlineStr">
        <is>
          <t>Yes</t>
        </is>
      </c>
      <c r="AI50" s="31">
        <f>IF(AH50="Yes",10,0)</f>
        <v/>
      </c>
      <c r="AJ50" s="31" t="inlineStr">
        <is>
          <t>Yes</t>
        </is>
      </c>
      <c r="AK50" s="31">
        <f>IF(AJ50="Yes",10,0)</f>
        <v/>
      </c>
      <c r="AL50" s="31" t="n"/>
      <c r="AM50" s="31">
        <f>IF(AL50="No",10,0)</f>
        <v/>
      </c>
      <c r="AN50" s="31" t="inlineStr">
        <is>
          <t>Yes</t>
        </is>
      </c>
      <c r="AO50" s="31">
        <f>IF(AN50="Yes",10,0)</f>
        <v/>
      </c>
      <c r="AP50" s="31" t="inlineStr">
        <is>
          <t>No</t>
        </is>
      </c>
      <c r="AQ50" s="31">
        <f>IF(AP50="Yes",10,0)</f>
        <v/>
      </c>
      <c r="AR50" s="31" t="inlineStr">
        <is>
          <t>Yes</t>
        </is>
      </c>
      <c r="AS50" s="31">
        <f>IF(AR50="Yes",5,0)</f>
        <v/>
      </c>
      <c r="AT50" s="31" t="inlineStr">
        <is>
          <t>No</t>
        </is>
      </c>
      <c r="AU50" s="31">
        <f>IF(AT50="No",10,IF(AT50="Yes",-10,0))</f>
        <v/>
      </c>
      <c r="AV50" s="31" t="inlineStr">
        <is>
          <t>No</t>
        </is>
      </c>
      <c r="AW50" s="31">
        <f>IF(AV50="No",10,0)</f>
        <v/>
      </c>
      <c r="AX50" s="31" t="inlineStr">
        <is>
          <t>No</t>
        </is>
      </c>
      <c r="AY50" s="31">
        <f>IF(AX50="No",10,IF(AX50= "Yes CEO Resignation",-5,0))</f>
        <v/>
      </c>
      <c r="AZ50" s="31" t="inlineStr">
        <is>
          <t>No</t>
        </is>
      </c>
      <c r="BA50" s="31">
        <f>IF(AZ50="No",10,IF(AZ50="Yes",-5,0))</f>
        <v/>
      </c>
      <c r="BB50" s="31" t="inlineStr">
        <is>
          <t>No</t>
        </is>
      </c>
      <c r="BC50" s="31">
        <f>IF(BB50="No",5,IF(BB50="Yes",-5,0))</f>
        <v/>
      </c>
      <c r="BD50" s="31" t="inlineStr">
        <is>
          <t>Yes</t>
        </is>
      </c>
      <c r="BE50" s="31">
        <f>IF(BD50="Yes",10,0)</f>
        <v/>
      </c>
      <c r="BF50" s="31" t="inlineStr">
        <is>
          <t>Yes</t>
        </is>
      </c>
      <c r="BG50" s="31">
        <f>IF(BF50="Yes",10,0)</f>
        <v/>
      </c>
      <c r="BH50" s="31" t="inlineStr">
        <is>
          <t>Yes</t>
        </is>
      </c>
      <c r="BI50" s="31">
        <f>IF(BH50="Yes",10,0)</f>
        <v/>
      </c>
      <c r="BJ50" s="31" t="inlineStr">
        <is>
          <t>P/BV less than 2.5x and Growth less than 20%</t>
        </is>
      </c>
      <c r="BK50" s="31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1" t="inlineStr">
        <is>
          <t>0 to 20</t>
        </is>
      </c>
      <c r="BM50" s="31">
        <f>IF(BL50="Above 40",20,IF(BL50="20 to 40",10,IF(BL50="0 to 20",-5,0)))</f>
        <v/>
      </c>
      <c r="BN50" s="31" t="inlineStr">
        <is>
          <t>Between 50 to 75</t>
        </is>
      </c>
      <c r="BO50" s="31">
        <f>IF(BN50="Between 50 to 75",10,IF(BN50="Above 75",0,0))</f>
        <v/>
      </c>
      <c r="BP50" s="31" t="inlineStr">
        <is>
          <t>Stage 2</t>
        </is>
      </c>
      <c r="BQ50" s="31">
        <f>IF(BP50="Stage 2",20,IF(BP50="Stage 1",0,IF(BP50="Stage 3",5,IF(BP50="Stage 4",-5,0))))</f>
        <v/>
      </c>
      <c r="BR50" s="31" t="inlineStr">
        <is>
          <t>Positive Trend</t>
        </is>
      </c>
      <c r="BS50" s="31">
        <f>IF(BR50="Positive Trend",20,IF(BR50="Negative Trend",-10,0))</f>
        <v/>
      </c>
      <c r="BT50" s="31" t="inlineStr">
        <is>
          <t>Uptrend</t>
        </is>
      </c>
      <c r="BU50" s="31">
        <f>IF(BT50="Uptrend",10,IF(BT50="Sideways",5,0))</f>
        <v/>
      </c>
      <c r="BV50" s="31" t="inlineStr">
        <is>
          <t>Uptrend</t>
        </is>
      </c>
      <c r="BW50" s="31">
        <f>IF(BV50="Uptrend",10,IF(BV50="Sideways",5,0))</f>
        <v/>
      </c>
      <c r="BX50" s="31" t="inlineStr">
        <is>
          <t>Close to 52 week high or retracement</t>
        </is>
      </c>
      <c r="BY50" s="31">
        <f>IF(BX50="Overhead supply in last 2 years in last 2 years",-5,IF(BX50="Close to 52 week high or retracement",5,IF(BX50="Blue sky scenario",10,IF(BX50="Long term Downtrend",-10,0))))</f>
        <v/>
      </c>
      <c r="BZ50" s="31" t="inlineStr">
        <is>
          <t>Yes</t>
        </is>
      </c>
      <c r="CA50" s="31">
        <f>IF(BZ50="Yes",10,0)</f>
        <v/>
      </c>
    </row>
    <row r="51">
      <c r="A51" s="31">
        <f>IF(B51=0,"",RANK(B51,$B$2:$B$57,0))</f>
        <v/>
      </c>
      <c r="B51" s="32">
        <f>SUM(N51,Y51,AA51,AC51,AE51,AG51,AI51,AK51,AM51,AO51,AQ51,AS51,AU51,AW51,AY51,BA51,BC51,BE51,BG51,BI51,BK51,BM51,BO51,BQ51,BS51,BU51,BW51,BY51,CA51)</f>
        <v/>
      </c>
      <c r="C51" s="31" t="inlineStr">
        <is>
          <t>RELIGARE</t>
        </is>
      </c>
      <c r="D51" s="31" t="inlineStr">
        <is>
          <t>Religare Enterprises Limited</t>
        </is>
      </c>
      <c r="E51" s="31" t="inlineStr">
        <is>
          <t>financials</t>
        </is>
      </c>
      <c r="F51" s="31" t="inlineStr">
        <is>
          <t>finance &amp; investments</t>
        </is>
      </c>
      <c r="G51" s="31" t="inlineStr">
        <is>
          <t>midcap</t>
        </is>
      </c>
      <c r="H51" s="32" t="n">
        <v>9212.969999999999</v>
      </c>
      <c r="I51" s="32" t="n">
        <v>268.01</v>
      </c>
      <c r="J51" s="32" t="n">
        <v>-0.73</v>
      </c>
      <c r="K51" s="32" t="n">
        <v>605185</v>
      </c>
      <c r="L51" s="31" t="n">
        <v>30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65.56999999999999</v>
      </c>
      <c r="P51" s="32" t="n">
        <v>13.15</v>
      </c>
      <c r="Q51" s="32" t="n">
        <v>220.49</v>
      </c>
      <c r="R51" s="31" t="inlineStr">
        <is>
          <t>Near 52W High Breakout</t>
        </is>
      </c>
      <c r="S51" s="31" t="inlineStr">
        <is>
          <t>Nifty Bank</t>
        </is>
      </c>
      <c r="T51" s="32" t="n">
        <v>0.9</v>
      </c>
      <c r="U51" s="32" t="n">
        <v>21.6</v>
      </c>
      <c r="V51" s="32" t="n">
        <v>20.52</v>
      </c>
      <c r="W51" s="32" t="n">
        <v>8.710000000000001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Fragmented with High ROE</t>
        </is>
      </c>
      <c r="AA51" s="31">
        <f>IF(Z51="Fragmented with Low ROE",-5,IF(Z51="Fragmented with High ROE",10,IF(Z51= "highly cyclical",5,0)))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Consistency)",15,IF(AF51="Shallow Cyclical (2 to 3 years growth)",10,IF(AF51 = "Cyclical in an Uptick",5,IF(AF51 = "Cyclical in an Downtick",-10,0))))</f>
        <v/>
      </c>
      <c r="AH51" s="31" t="inlineStr">
        <is>
          <t>Yes</t>
        </is>
      </c>
      <c r="AI51" s="31">
        <f>IF(AH51="Yes",10,0)</f>
        <v/>
      </c>
      <c r="AJ51" s="31" t="inlineStr">
        <is>
          <t>Yes</t>
        </is>
      </c>
      <c r="AK51" s="31">
        <f>IF(AJ51="Yes",10,0)</f>
        <v/>
      </c>
      <c r="AL51" s="31" t="n"/>
      <c r="AM51" s="31">
        <f>IF(AL51="No",10,0)</f>
        <v/>
      </c>
      <c r="AN51" s="31" t="inlineStr">
        <is>
          <t>Yes</t>
        </is>
      </c>
      <c r="AO51" s="31">
        <f>IF(AN51="Yes",10,0)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Yes</t>
        </is>
      </c>
      <c r="AS51" s="31">
        <f>IF(AR51="Yes",5,0)</f>
        <v/>
      </c>
      <c r="AT51" s="31" t="inlineStr">
        <is>
          <t>No</t>
        </is>
      </c>
      <c r="AU51" s="31">
        <f>IF(AT51="No",10,IF(AT51="Yes",-10,0))</f>
        <v/>
      </c>
      <c r="AV51" s="31" t="inlineStr">
        <is>
          <t>No</t>
        </is>
      </c>
      <c r="AW51" s="31">
        <f>IF(AV51="No",10,0)</f>
        <v/>
      </c>
      <c r="AX51" s="31" t="inlineStr">
        <is>
          <t>No</t>
        </is>
      </c>
      <c r="AY51" s="31">
        <f>IF(AX51="No",10,IF(AX51= "Yes CEO Resignation",-5,0))</f>
        <v/>
      </c>
      <c r="AZ51" s="31" t="inlineStr">
        <is>
          <t>No</t>
        </is>
      </c>
      <c r="BA51" s="31">
        <f>IF(AZ51="No",10,IF(AZ51="Yes",-5,0))</f>
        <v/>
      </c>
      <c r="BB51" s="31" t="inlineStr">
        <is>
          <t>No</t>
        </is>
      </c>
      <c r="BC51" s="31">
        <f>IF(BB51="No",5,IF(BB51="Yes",-5,0))</f>
        <v/>
      </c>
      <c r="BD51" s="31" t="inlineStr">
        <is>
          <t>Yes</t>
        </is>
      </c>
      <c r="BE51" s="31">
        <f>IF(BD51="Yes",10,0)</f>
        <v/>
      </c>
      <c r="BF51" s="31" t="inlineStr">
        <is>
          <t>Yes</t>
        </is>
      </c>
      <c r="BG51" s="31">
        <f>IF(BF51="Yes",10,0)</f>
        <v/>
      </c>
      <c r="BH51" s="31" t="inlineStr">
        <is>
          <t>Yes</t>
        </is>
      </c>
      <c r="BI51" s="31">
        <f>IF(BH51="Yes",10,0)</f>
        <v/>
      </c>
      <c r="BJ51" s="31" t="inlineStr">
        <is>
          <t>P/BV between 2.5x to 5x and Growth less than 20%</t>
        </is>
      </c>
      <c r="BK51" s="31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1" t="inlineStr">
        <is>
          <t>0 to 20</t>
        </is>
      </c>
      <c r="BM51" s="31">
        <f>IF(BL51="Above 40",20,IF(BL51="20 to 40",10,IF(BL51="0 to 20",-5,0)))</f>
        <v/>
      </c>
      <c r="BN51" s="31" t="inlineStr">
        <is>
          <t>Between 50 to 75</t>
        </is>
      </c>
      <c r="BO51" s="31">
        <f>IF(BN51="Between 50 to 75",10,IF(BN51="Above 75",0,0))</f>
        <v/>
      </c>
      <c r="BP51" s="31" t="inlineStr">
        <is>
          <t>Stage 2</t>
        </is>
      </c>
      <c r="BQ51" s="31">
        <f>IF(BP51="Stage 2",20,IF(BP51="Stage 1",0,IF(BP51="Stage 3",5,IF(BP51="Stage 4",-5,0))))</f>
        <v/>
      </c>
      <c r="BR51" s="31" t="inlineStr">
        <is>
          <t>Positive Trend</t>
        </is>
      </c>
      <c r="BS51" s="31">
        <f>IF(BR51="Positive Trend",20,IF(BR51="Negative Trend",-10,0))</f>
        <v/>
      </c>
      <c r="BT51" s="31" t="inlineStr">
        <is>
          <t>Uptrend</t>
        </is>
      </c>
      <c r="BU51" s="31">
        <f>IF(BT51="Uptrend",10,IF(BT51="Sideways",5,0))</f>
        <v/>
      </c>
      <c r="BV51" s="31" t="inlineStr">
        <is>
          <t>Uptrend</t>
        </is>
      </c>
      <c r="BW51" s="31">
        <f>IF(BV51="Uptrend",10,IF(BV51="Sideways",5,0))</f>
        <v/>
      </c>
      <c r="BX51" s="31" t="inlineStr">
        <is>
          <t>Close to 52 week high or retracement</t>
        </is>
      </c>
      <c r="BY51" s="31">
        <f>IF(BX51="Overhead supply in last 2 years in last 2 years",-5,IF(BX51="Close to 52 week high or retracement",5,IF(BX51="Blue sky scenario",10,IF(BX51="Long term Downtrend",-10,0))))</f>
        <v/>
      </c>
      <c r="BZ51" s="31" t="inlineStr">
        <is>
          <t>Yes</t>
        </is>
      </c>
      <c r="CA51" s="31">
        <f>IF(BZ51="Yes",10,0)</f>
        <v/>
      </c>
    </row>
    <row r="52">
      <c r="A52" s="31">
        <f>IF(B52=0,"",RANK(B52,$B$2:$B$57,0))</f>
        <v/>
      </c>
      <c r="B52" s="32">
        <f>SUM(N52,Y52,AA52,AC52,AE52,AG52,AI52,AK52,AM52,AO52,AQ52,AS52,AU52,AW52,AY52,BA52,BC52,BE52,BG52,BI52,BK52,BM52,BO52,BQ52,BS52,BU52,BW52,BY52,CA52)</f>
        <v/>
      </c>
      <c r="C52" s="33" t="inlineStr">
        <is>
          <t>LICHSGFIN</t>
        </is>
      </c>
      <c r="D52" s="33" t="inlineStr">
        <is>
          <t>Lic Housing Finance Limited</t>
        </is>
      </c>
      <c r="E52" s="31" t="inlineStr">
        <is>
          <t>financials</t>
        </is>
      </c>
      <c r="F52" s="31" t="inlineStr">
        <is>
          <t>finance - housing</t>
        </is>
      </c>
      <c r="G52" s="31" t="inlineStr">
        <is>
          <t>largecap</t>
        </is>
      </c>
      <c r="H52" s="32" t="n">
        <v>30844.78</v>
      </c>
      <c r="I52" s="32" t="n">
        <v>564</v>
      </c>
      <c r="J52" s="32" t="n">
        <v>0.58</v>
      </c>
      <c r="K52" s="32" t="n">
        <v>2564111</v>
      </c>
      <c r="L52" s="31" t="n">
        <v>2</v>
      </c>
      <c r="M52" s="31" t="inlineStr">
        <is>
          <t>Underperforming</t>
        </is>
      </c>
      <c r="N52" s="32">
        <f>IF(M52="Underperforming",-5,IF(L52&gt;=95,15,IF(L52&gt;=90,10,IF(L52&gt;=80,5,0))))</f>
        <v/>
      </c>
      <c r="O52" s="32" t="n">
        <v>56.51</v>
      </c>
      <c r="P52" s="32" t="n">
        <v>14.75</v>
      </c>
      <c r="Q52" s="32" t="n">
        <v>494.73</v>
      </c>
      <c r="R52" s="31" t="inlineStr">
        <is>
          <t>Earnings / Momentum Support</t>
        </is>
      </c>
      <c r="S52" s="31" t="inlineStr">
        <is>
          <t>Nifty Bank</t>
        </is>
      </c>
      <c r="T52" s="32" t="n">
        <v>0.9</v>
      </c>
      <c r="U52" s="32" t="n">
        <v>-6.04</v>
      </c>
      <c r="V52" s="32" t="n">
        <v>-6.87</v>
      </c>
      <c r="W52" s="32" t="n">
        <v>0.71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Fragmented with High ROE</t>
        </is>
      </c>
      <c r="AA52" s="31">
        <f>IF(Z52="Fragmented with Low ROE",-5,IF(Z52="Fragmented with High ROE",10,IF(Z52= "highly cyclical",5,0)))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Consistency)",15,IF(AF52="Shallow Cyclical (2 to 3 years growth)",10,IF(AF52 = "Cyclical in an Uptick",5,IF(AF52 = "Cyclical in an Downtick",-10,0))))</f>
        <v/>
      </c>
      <c r="AH52" s="31" t="inlineStr">
        <is>
          <t>Yes</t>
        </is>
      </c>
      <c r="AI52" s="31">
        <f>IF(AH52="Yes",10,0)</f>
        <v/>
      </c>
      <c r="AJ52" s="31" t="inlineStr">
        <is>
          <t>Yes</t>
        </is>
      </c>
      <c r="AK52" s="31">
        <f>IF(AJ52="Yes",10,0)</f>
        <v/>
      </c>
      <c r="AL52" s="31" t="n"/>
      <c r="AM52" s="31">
        <f>IF(AL52="No",10,0)</f>
        <v/>
      </c>
      <c r="AN52" s="31" t="inlineStr">
        <is>
          <t>Yes</t>
        </is>
      </c>
      <c r="AO52" s="31">
        <f>IF(AN52="Yes",10,0)</f>
        <v/>
      </c>
      <c r="AP52" s="31" t="inlineStr">
        <is>
          <t>No</t>
        </is>
      </c>
      <c r="AQ52" s="31">
        <f>IF(AP52="Yes",10,0)</f>
        <v/>
      </c>
      <c r="AR52" s="31" t="inlineStr">
        <is>
          <t>Yes</t>
        </is>
      </c>
      <c r="AS52" s="31">
        <f>IF(AR52="Yes",5,0)</f>
        <v/>
      </c>
      <c r="AT52" s="31" t="inlineStr">
        <is>
          <t>No</t>
        </is>
      </c>
      <c r="AU52" s="31">
        <f>IF(AT52="No",10,IF(AT52="Yes",-10,0))</f>
        <v/>
      </c>
      <c r="AV52" s="31" t="inlineStr">
        <is>
          <t>No</t>
        </is>
      </c>
      <c r="AW52" s="31">
        <f>IF(AV52="No",10,0)</f>
        <v/>
      </c>
      <c r="AX52" s="31" t="inlineStr">
        <is>
          <t>No</t>
        </is>
      </c>
      <c r="AY52" s="31">
        <f>IF(AX52="No",10,IF(AX52= "Yes CEO Resignation",-5,0))</f>
        <v/>
      </c>
      <c r="AZ52" s="31" t="inlineStr">
        <is>
          <t>No</t>
        </is>
      </c>
      <c r="BA52" s="31">
        <f>IF(AZ52="No",10,IF(AZ52="Yes",-5,0))</f>
        <v/>
      </c>
      <c r="BB52" s="31" t="inlineStr">
        <is>
          <t>No</t>
        </is>
      </c>
      <c r="BC52" s="31">
        <f>IF(BB52="No",5,IF(BB52="Yes",-5,0))</f>
        <v/>
      </c>
      <c r="BD52" s="31" t="inlineStr">
        <is>
          <t>Yes</t>
        </is>
      </c>
      <c r="BE52" s="31">
        <f>IF(BD52="Yes",10,0)</f>
        <v/>
      </c>
      <c r="BF52" s="31" t="inlineStr">
        <is>
          <t>Yes</t>
        </is>
      </c>
      <c r="BG52" s="31">
        <f>IF(BF52="Yes",10,0)</f>
        <v/>
      </c>
      <c r="BH52" s="31" t="inlineStr">
        <is>
          <t>Yes</t>
        </is>
      </c>
      <c r="BI52" s="31">
        <f>IF(BH52="Yes",10,0)</f>
        <v/>
      </c>
      <c r="BJ52" s="31" t="inlineStr">
        <is>
          <t>P/BV less than 2.5x and Growth less than 20%</t>
        </is>
      </c>
      <c r="BK52" s="31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1" t="inlineStr">
        <is>
          <t>0 to 20</t>
        </is>
      </c>
      <c r="BM52" s="31">
        <f>IF(BL52="Above 40",20,IF(BL52="20 to 40",10,IF(BL52="0 to 20",-5,0)))</f>
        <v/>
      </c>
      <c r="BN52" s="31" t="inlineStr">
        <is>
          <t>Between 50 to 75</t>
        </is>
      </c>
      <c r="BO52" s="31">
        <f>IF(BN52="Between 50 to 75",10,IF(BN52="Above 75",0,0))</f>
        <v/>
      </c>
      <c r="BP52" s="31" t="inlineStr">
        <is>
          <t>Stage 2</t>
        </is>
      </c>
      <c r="BQ52" s="31">
        <f>IF(BP52="Stage 2",20,IF(BP52="Stage 1",0,IF(BP52="Stage 3",5,IF(BP52="Stage 4",-5,0))))</f>
        <v/>
      </c>
      <c r="BR52" s="31" t="inlineStr">
        <is>
          <t>Positive Trend</t>
        </is>
      </c>
      <c r="BS52" s="31">
        <f>IF(BR52="Positive Trend",20,IF(BR52="Negative Trend",-10,0))</f>
        <v/>
      </c>
      <c r="BT52" s="31" t="inlineStr">
        <is>
          <t>Uptrend</t>
        </is>
      </c>
      <c r="BU52" s="31">
        <f>IF(BT52="Uptrend",10,IF(BT52="Sideways",5,0))</f>
        <v/>
      </c>
      <c r="BV52" s="31" t="inlineStr">
        <is>
          <t>Uptrend</t>
        </is>
      </c>
      <c r="BW52" s="31">
        <f>IF(BV52="Uptrend",10,IF(BV52="Sideways",5,0))</f>
        <v/>
      </c>
      <c r="BX52" s="31" t="inlineStr">
        <is>
          <t>Close to 52 week high or retracement</t>
        </is>
      </c>
      <c r="BY52" s="31">
        <f>IF(BX52="Overhead supply in last 2 years in last 2 years",-5,IF(BX52="Close to 52 week high or retracement",5,IF(BX52="Blue sky scenario",10,IF(BX52="Long term Downtrend",-10,0))))</f>
        <v/>
      </c>
      <c r="BZ52" s="31" t="inlineStr">
        <is>
          <t>Yes</t>
        </is>
      </c>
      <c r="CA52" s="31">
        <f>IF(BZ52="Yes",10,0)</f>
        <v/>
      </c>
    </row>
    <row r="53">
      <c r="A53" s="31">
        <f>IF(B53=0,"",RANK(B53,$B$2:$B$57,0))</f>
        <v/>
      </c>
      <c r="B53" s="32">
        <f>SUM(N53,Y53,AA53,AC53,AE53,AG53,AI53,AK53,AM53,AO53,AQ53,AS53,AU53,AW53,AY53,BA53,BC53,BE53,BG53,BI53,BK53,BM53,BO53,BQ53,BS53,BU53,BW53,BY53,CA53)</f>
        <v/>
      </c>
      <c r="C53" s="31" t="inlineStr">
        <is>
          <t>BAJFINANCE</t>
        </is>
      </c>
      <c r="D53" s="31" t="inlineStr">
        <is>
          <t>Bajaj Finance Limited</t>
        </is>
      </c>
      <c r="E53" s="31" t="inlineStr">
        <is>
          <t>financials</t>
        </is>
      </c>
      <c r="F53" s="31" t="inlineStr">
        <is>
          <t>finance &amp; investments</t>
        </is>
      </c>
      <c r="G53" s="31" t="inlineStr">
        <is>
          <t>largecap</t>
        </is>
      </c>
      <c r="H53" s="32" t="n">
        <v>611078.83</v>
      </c>
      <c r="I53" s="32" t="n">
        <v>1004.75</v>
      </c>
      <c r="J53" s="32" t="n">
        <v>2.31</v>
      </c>
      <c r="K53" s="32" t="n">
        <v>12445420</v>
      </c>
      <c r="L53" s="31" t="n">
        <v>24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59.72</v>
      </c>
      <c r="P53" s="32" t="n">
        <v>10.47</v>
      </c>
      <c r="Q53" s="32" t="n">
        <v>834.9</v>
      </c>
      <c r="R53" s="31" t="inlineStr">
        <is>
          <t>Earnings / Momentum Support</t>
        </is>
      </c>
      <c r="S53" s="31" t="inlineStr">
        <is>
          <t>Nifty Bank</t>
        </is>
      </c>
      <c r="T53" s="32" t="n">
        <v>0.9</v>
      </c>
      <c r="U53" s="32" t="n">
        <v>9.25</v>
      </c>
      <c r="V53" s="32" t="n">
        <v>8.279999999999999</v>
      </c>
      <c r="W53" s="32" t="n">
        <v>7.01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Fragmented with High ROE</t>
        </is>
      </c>
      <c r="AA53" s="31">
        <f>IF(Z53="Fragmented with Low ROE",-5,IF(Z53="Fragmented with High ROE",10,IF(Z53= "highly cyclical",5,0)))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Consistency)",15,IF(AF53="Shallow Cyclical (2 to 3 years growth)",10,IF(AF53 = "Cyclical in an Uptick",5,IF(AF53 = "Cyclical in an Downtick",-10,0))))</f>
        <v/>
      </c>
      <c r="AH53" s="31" t="inlineStr">
        <is>
          <t>Yes</t>
        </is>
      </c>
      <c r="AI53" s="31">
        <f>IF(AH53="Yes",10,0)</f>
        <v/>
      </c>
      <c r="AJ53" s="31" t="inlineStr">
        <is>
          <t>Yes</t>
        </is>
      </c>
      <c r="AK53" s="31">
        <f>IF(AJ53="Yes",10,0)</f>
        <v/>
      </c>
      <c r="AL53" s="31" t="n"/>
      <c r="AM53" s="31">
        <f>IF(AL53="No",10,0)</f>
        <v/>
      </c>
      <c r="AN53" s="31" t="inlineStr">
        <is>
          <t>Yes</t>
        </is>
      </c>
      <c r="AO53" s="31">
        <f>IF(AN53="Yes",10,0)</f>
        <v/>
      </c>
      <c r="AP53" s="31" t="inlineStr">
        <is>
          <t>No</t>
        </is>
      </c>
      <c r="AQ53" s="31">
        <f>IF(AP53="Yes",10,0)</f>
        <v/>
      </c>
      <c r="AR53" s="31" t="inlineStr">
        <is>
          <t>Yes</t>
        </is>
      </c>
      <c r="AS53" s="31">
        <f>IF(AR53="Yes",5,0)</f>
        <v/>
      </c>
      <c r="AT53" s="31" t="inlineStr">
        <is>
          <t>No</t>
        </is>
      </c>
      <c r="AU53" s="31">
        <f>IF(AT53="No",10,IF(AT53="Yes",-10,0))</f>
        <v/>
      </c>
      <c r="AV53" s="31" t="inlineStr">
        <is>
          <t>No</t>
        </is>
      </c>
      <c r="AW53" s="31">
        <f>IF(AV53="No",10,0)</f>
        <v/>
      </c>
      <c r="AX53" s="31" t="inlineStr">
        <is>
          <t>No</t>
        </is>
      </c>
      <c r="AY53" s="31">
        <f>IF(AX53="No",10,IF(AX53= "Yes CEO Resignation",-5,0))</f>
        <v/>
      </c>
      <c r="AZ53" s="31" t="inlineStr">
        <is>
          <t>No</t>
        </is>
      </c>
      <c r="BA53" s="31">
        <f>IF(AZ53="No",10,IF(AZ53="Yes",-5,0))</f>
        <v/>
      </c>
      <c r="BB53" s="31" t="inlineStr">
        <is>
          <t>No</t>
        </is>
      </c>
      <c r="BC53" s="31">
        <f>IF(BB53="No",5,IF(BB53="Yes",-5,0))</f>
        <v/>
      </c>
      <c r="BD53" s="31" t="inlineStr">
        <is>
          <t>Yes</t>
        </is>
      </c>
      <c r="BE53" s="31">
        <f>IF(BD53="Yes",10,0)</f>
        <v/>
      </c>
      <c r="BF53" s="31" t="inlineStr">
        <is>
          <t>Yes</t>
        </is>
      </c>
      <c r="BG53" s="31">
        <f>IF(BF53="Yes",10,0)</f>
        <v/>
      </c>
      <c r="BH53" s="31" t="inlineStr">
        <is>
          <t>Yes</t>
        </is>
      </c>
      <c r="BI53" s="31">
        <f>IF(BH53="Yes",10,0)</f>
        <v/>
      </c>
      <c r="BJ53" s="31" t="inlineStr">
        <is>
          <t>P/BV above 5x</t>
        </is>
      </c>
      <c r="BK53" s="31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1" t="inlineStr">
        <is>
          <t>0 to 20</t>
        </is>
      </c>
      <c r="BM53" s="31">
        <f>IF(BL53="Above 40",20,IF(BL53="20 to 40",10,IF(BL53="0 to 20",-5,0)))</f>
        <v/>
      </c>
      <c r="BN53" s="31" t="inlineStr">
        <is>
          <t>Between 50 to 75</t>
        </is>
      </c>
      <c r="BO53" s="31">
        <f>IF(BN53="Between 50 to 75",10,IF(BN53="Above 75",0,0))</f>
        <v/>
      </c>
      <c r="BP53" s="31" t="inlineStr">
        <is>
          <t>Stage 2</t>
        </is>
      </c>
      <c r="BQ53" s="31">
        <f>IF(BP53="Stage 2",20,IF(BP53="Stage 1",0,IF(BP53="Stage 3",5,IF(BP53="Stage 4",-5,0))))</f>
        <v/>
      </c>
      <c r="BR53" s="31" t="inlineStr">
        <is>
          <t>Positive Trend</t>
        </is>
      </c>
      <c r="BS53" s="31">
        <f>IF(BR53="Positive Trend",20,IF(BR53="Negative Trend",-10,0))</f>
        <v/>
      </c>
      <c r="BT53" s="31" t="inlineStr">
        <is>
          <t>Uptrend</t>
        </is>
      </c>
      <c r="BU53" s="31">
        <f>IF(BT53="Uptrend",10,IF(BT53="Sideways",5,0))</f>
        <v/>
      </c>
      <c r="BV53" s="31" t="inlineStr">
        <is>
          <t>Uptrend</t>
        </is>
      </c>
      <c r="BW53" s="31">
        <f>IF(BV53="Uptrend",10,IF(BV53="Sideways",5,0))</f>
        <v/>
      </c>
      <c r="BX53" s="31" t="inlineStr">
        <is>
          <t>Close to 52 week high or retracement</t>
        </is>
      </c>
      <c r="BY53" s="31">
        <f>IF(BX53="Overhead supply in last 2 years in last 2 years",-5,IF(BX53="Close to 52 week high or retracement",5,IF(BX53="Blue sky scenario",10,IF(BX53="Long term Downtrend",-10,0))))</f>
        <v/>
      </c>
      <c r="BZ53" s="31" t="inlineStr">
        <is>
          <t>Yes</t>
        </is>
      </c>
      <c r="CA53" s="31">
        <f>IF(BZ53="Yes",10,0)</f>
        <v/>
      </c>
    </row>
    <row r="54">
      <c r="A54" s="31">
        <f>IF(B54=0,"",RANK(B54,$B$2:$B$57,0))</f>
        <v/>
      </c>
      <c r="B54" s="32">
        <f>SUM(N54,Y54,AA54,AC54,AE54,AG54,AI54,AK54,AM54,AO54,AQ54,AS54,AU54,AW54,AY54,BA54,BC54,BE54,BG54,BI54,BK54,BM54,BO54,BQ54,BS54,BU54,BW54,BY54,CA54)</f>
        <v/>
      </c>
      <c r="C54" s="33" t="inlineStr">
        <is>
          <t>ARMANFIN</t>
        </is>
      </c>
      <c r="D54" s="33" t="inlineStr">
        <is>
          <t>Arman Financial Services Limited</t>
        </is>
      </c>
      <c r="E54" s="31" t="inlineStr">
        <is>
          <t>financials</t>
        </is>
      </c>
      <c r="F54" s="31" t="inlineStr">
        <is>
          <t>finance &amp; investments</t>
        </is>
      </c>
      <c r="G54" s="31" t="inlineStr">
        <is>
          <t>smallcap</t>
        </is>
      </c>
      <c r="H54" s="32" t="n">
        <v>1757.87</v>
      </c>
      <c r="I54" s="32" t="n">
        <v>1694</v>
      </c>
      <c r="J54" s="32" t="n">
        <v>1.31</v>
      </c>
      <c r="K54" s="32" t="n">
        <v>18239</v>
      </c>
      <c r="L54" s="31" t="n">
        <v>4</v>
      </c>
      <c r="M54" s="31" t="inlineStr">
        <is>
          <t>Underperforming</t>
        </is>
      </c>
      <c r="N54" s="32">
        <f>IF(M54="Underperforming",-5,IF(L54&gt;=95,15,IF(L54&gt;=90,10,IF(L54&gt;=80,5,0))))</f>
        <v/>
      </c>
      <c r="O54" s="32" t="n">
        <v>54.96</v>
      </c>
      <c r="P54" s="32" t="n">
        <v>12.28</v>
      </c>
      <c r="Q54" s="32" t="n">
        <v>1343.03</v>
      </c>
      <c r="R54" s="31" t="inlineStr">
        <is>
          <t>Earnings / Momentum Support</t>
        </is>
      </c>
      <c r="S54" s="31" t="inlineStr">
        <is>
          <t>Nifty Bank</t>
        </is>
      </c>
      <c r="T54" s="32" t="n">
        <v>0.9</v>
      </c>
      <c r="U54" s="32" t="n">
        <v>-5.92</v>
      </c>
      <c r="V54" s="32" t="n">
        <v>-6.75</v>
      </c>
      <c r="W54" s="32" t="n">
        <v>2.23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Fragmented with High ROE</t>
        </is>
      </c>
      <c r="AA54" s="31">
        <f>IF(Z54="Fragmented with Low ROE",-5,IF(Z54="Fragmented with High ROE",10,IF(Z54= "highly cyclical",5,0)))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Cyclical in an Uptick</t>
        </is>
      </c>
      <c r="AG54" s="31">
        <f>IF(AF54="Structural (10 Years Consistency)",15,IF(AF54="Shallow Cyclical (2 to 3 years growth)",10,IF(AF54 = "Cyclical in an Uptick",5,IF(AF54 = "Cyclical in an Downtick",-10,0))))</f>
        <v/>
      </c>
      <c r="AH54" s="31" t="inlineStr">
        <is>
          <t>Yes</t>
        </is>
      </c>
      <c r="AI54" s="31">
        <f>IF(AH54="Yes",10,0)</f>
        <v/>
      </c>
      <c r="AJ54" s="31" t="inlineStr">
        <is>
          <t>Not Applicable</t>
        </is>
      </c>
      <c r="AK54" s="31">
        <f>IF(AJ54="Yes",10,0)</f>
        <v/>
      </c>
      <c r="AL54" s="31" t="inlineStr">
        <is>
          <t>Yes</t>
        </is>
      </c>
      <c r="AM54" s="31">
        <f>IF(AL54="No",10,0)</f>
        <v/>
      </c>
      <c r="AN54" s="31" t="inlineStr">
        <is>
          <t>Yes</t>
        </is>
      </c>
      <c r="AO54" s="31">
        <f>IF(AN54="Yes",10,0)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Yes</t>
        </is>
      </c>
      <c r="AS54" s="31">
        <f>IF(AR54="Yes",5,0)</f>
        <v/>
      </c>
      <c r="AT54" s="31" t="inlineStr">
        <is>
          <t>Not Applicable</t>
        </is>
      </c>
      <c r="AU54" s="31">
        <f>IF(AT54="No",10,IF(AT54="Yes",-10,0))</f>
        <v/>
      </c>
      <c r="AV54" s="31" t="inlineStr">
        <is>
          <t>No</t>
        </is>
      </c>
      <c r="AW54" s="31">
        <f>IF(AV54="No",10,0)</f>
        <v/>
      </c>
      <c r="AX54" s="31" t="inlineStr">
        <is>
          <t>No</t>
        </is>
      </c>
      <c r="AY54" s="31">
        <f>IF(AX54="No",10,IF(AX54= "Yes CEO Resignation",-5,0))</f>
        <v/>
      </c>
      <c r="AZ54" s="31" t="inlineStr">
        <is>
          <t>No</t>
        </is>
      </c>
      <c r="BA54" s="31">
        <f>IF(AZ54="No",10,IF(AZ54="Yes",-5,0))</f>
        <v/>
      </c>
      <c r="BB54" s="31" t="inlineStr">
        <is>
          <t>No</t>
        </is>
      </c>
      <c r="BC54" s="31">
        <f>IF(BB54="No",5,IF(BB54="Yes",-5,0))</f>
        <v/>
      </c>
      <c r="BD54" s="31" t="inlineStr">
        <is>
          <t>Yes</t>
        </is>
      </c>
      <c r="BE54" s="31">
        <f>IF(BD54="Yes",10,0)</f>
        <v/>
      </c>
      <c r="BF54" s="31" t="inlineStr">
        <is>
          <t>Yes</t>
        </is>
      </c>
      <c r="BG54" s="31">
        <f>IF(BF54="Yes",10,0)</f>
        <v/>
      </c>
      <c r="BH54" s="31" t="inlineStr">
        <is>
          <t>Yes</t>
        </is>
      </c>
      <c r="BI54" s="31">
        <f>IF(BH54="Yes",10,0)</f>
        <v/>
      </c>
      <c r="BJ54" s="31" t="inlineStr">
        <is>
          <t>P/BV between 2.5x to 5x and Growth more than 20%</t>
        </is>
      </c>
      <c r="BK54" s="31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1" t="inlineStr">
        <is>
          <t>20 to 40</t>
        </is>
      </c>
      <c r="BM54" s="31">
        <f>IF(BL54="Above 40",20,IF(BL54="20 to 40",10,IF(BL54="0 to 20",-5,0)))</f>
        <v/>
      </c>
      <c r="BN54" s="31" t="inlineStr">
        <is>
          <t>Between 50 to 75</t>
        </is>
      </c>
      <c r="BO54" s="31">
        <f>IF(BN54="Between 50 to 75",10,IF(BN54="Above 75",0,0))</f>
        <v/>
      </c>
      <c r="BP54" s="31" t="inlineStr">
        <is>
          <t>Stage 2</t>
        </is>
      </c>
      <c r="BQ54" s="31">
        <f>IF(BP54="Stage 2",20,IF(BP54="Stage 1",0,IF(BP54="Stage 3",5,IF(BP54="Stage 4",-5,0))))</f>
        <v/>
      </c>
      <c r="BR54" s="31" t="inlineStr">
        <is>
          <t>Positive Trend</t>
        </is>
      </c>
      <c r="BS54" s="31">
        <f>IF(BR54="Positive Trend",20,IF(BR54="Negative Trend",-10,0))</f>
        <v/>
      </c>
      <c r="BT54" s="31" t="inlineStr">
        <is>
          <t>Sideways</t>
        </is>
      </c>
      <c r="BU54" s="31">
        <f>IF(BT54="Uptrend",10,IF(BT54="Sideways",5,0))</f>
        <v/>
      </c>
      <c r="BV54" s="31" t="inlineStr">
        <is>
          <t>Uptrend</t>
        </is>
      </c>
      <c r="BW54" s="31">
        <f>IF(BV54="Uptrend",10,IF(BV54="Sideways",5,0))</f>
        <v/>
      </c>
      <c r="BX54" s="31" t="inlineStr">
        <is>
          <t>Close to 52 week high or retracement</t>
        </is>
      </c>
      <c r="BY54" s="31">
        <f>IF(BX54="Overhead supply in last 2 years in last 2 years",-5,IF(BX54="Close to 52 week high or retracement",5,IF(BX54="Blue sky scenario",10,IF(BX54="Long term Downtrend",-10,0))))</f>
        <v/>
      </c>
      <c r="BZ54" s="31" t="inlineStr">
        <is>
          <t>Yes</t>
        </is>
      </c>
      <c r="CA54" s="31">
        <f>IF(BZ54="Yes",10,0)</f>
        <v/>
      </c>
    </row>
    <row r="55">
      <c r="A55" s="31">
        <f>IF(B55=0,"",RANK(B55,$B$2:$B$57,0))</f>
        <v/>
      </c>
      <c r="B55" s="32">
        <f>SUM(N55,Y55,AA55,AC55,AE55,AG55,AI55,AK55,AM55,AO55,AQ55,AS55,AU55,AW55,AY55,BA55,BC55,BE55,BG55,BI55,BK55,BM55,BO55,BQ55,BS55,BU55,BW55,BY55,CA55)</f>
        <v/>
      </c>
      <c r="C55" s="33" t="inlineStr">
        <is>
          <t>5PAISA</t>
        </is>
      </c>
      <c r="D55" s="33" t="inlineStr">
        <is>
          <t>5Paisa Capital Ltd</t>
        </is>
      </c>
      <c r="E55" s="31" t="inlineStr">
        <is>
          <t>financials</t>
        </is>
      </c>
      <c r="F55" s="31" t="inlineStr">
        <is>
          <t>finance &amp; investments</t>
        </is>
      </c>
      <c r="G55" s="31" t="inlineStr">
        <is>
          <t>smallcap</t>
        </is>
      </c>
      <c r="H55" s="32" t="n">
        <v>1645.8</v>
      </c>
      <c r="I55" s="32" t="n">
        <v>355.95</v>
      </c>
      <c r="J55" s="32" t="n">
        <v>1.4</v>
      </c>
      <c r="K55" s="32" t="n">
        <v>34116</v>
      </c>
      <c r="L55" s="31" t="n">
        <v>9</v>
      </c>
      <c r="M55" s="31" t="inlineStr">
        <is>
          <t>Underperforming</t>
        </is>
      </c>
      <c r="N55" s="32">
        <f>IF(M55="Underperforming",-5,IF(L55&gt;=95,15,IF(L55&gt;=90,10,IF(L55&gt;=80,5,0))))</f>
        <v/>
      </c>
      <c r="O55" s="32" t="n">
        <v>58.63</v>
      </c>
      <c r="P55" s="32" t="n">
        <v>11.45</v>
      </c>
      <c r="Q55" s="32" t="n">
        <v>267.14</v>
      </c>
      <c r="R55" s="31" t="inlineStr">
        <is>
          <t>Earnings / Momentum Support</t>
        </is>
      </c>
      <c r="S55" s="31" t="inlineStr">
        <is>
          <t>Nifty Bank</t>
        </is>
      </c>
      <c r="T55" s="32" t="n">
        <v>0.9</v>
      </c>
      <c r="U55" s="32" t="n">
        <v>-13.94</v>
      </c>
      <c r="V55" s="32" t="n">
        <v>-14.7</v>
      </c>
      <c r="W55" s="32" t="n">
        <v>3.3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Fragmented with High ROE</t>
        </is>
      </c>
      <c r="AA55" s="31">
        <f>IF(Z55="Fragmented with Low ROE",-5,IF(Z55="Fragmented with High ROE",10,IF(Z55= "highly cyclical",5,0)))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Consistency)",15,IF(AF55="Shallow Cyclical (2 to 3 years growth)",10,IF(AF55 = "Cyclical in an Uptick",5,IF(AF55 = "Cyclical in an Downtick",-10,0))))</f>
        <v/>
      </c>
      <c r="AH55" s="31" t="inlineStr">
        <is>
          <t>Yes</t>
        </is>
      </c>
      <c r="AI55" s="31">
        <f>IF(AH55="Yes",10,0)</f>
        <v/>
      </c>
      <c r="AJ55" s="31" t="inlineStr">
        <is>
          <t>Yes</t>
        </is>
      </c>
      <c r="AK55" s="31">
        <f>IF(AJ55="Yes",10,0)</f>
        <v/>
      </c>
      <c r="AL55" s="31" t="n"/>
      <c r="AM55" s="31">
        <f>IF(AL55="No",10,0)</f>
        <v/>
      </c>
      <c r="AN55" s="31" t="inlineStr">
        <is>
          <t>Yes</t>
        </is>
      </c>
      <c r="AO55" s="31">
        <f>IF(AN55="Yes",10,0)</f>
        <v/>
      </c>
      <c r="AP55" s="31" t="inlineStr">
        <is>
          <t>No</t>
        </is>
      </c>
      <c r="AQ55" s="31">
        <f>IF(AP55="Yes",10,0)</f>
        <v/>
      </c>
      <c r="AR55" s="31" t="inlineStr">
        <is>
          <t>Yes</t>
        </is>
      </c>
      <c r="AS55" s="31">
        <f>IF(AR55="Yes",5,0)</f>
        <v/>
      </c>
      <c r="AT55" s="31" t="inlineStr">
        <is>
          <t>No</t>
        </is>
      </c>
      <c r="AU55" s="31">
        <f>IF(AT55="No",10,IF(AT55="Yes",-10,0))</f>
        <v/>
      </c>
      <c r="AV55" s="31" t="inlineStr">
        <is>
          <t>No</t>
        </is>
      </c>
      <c r="AW55" s="31">
        <f>IF(AV55="No",10,0)</f>
        <v/>
      </c>
      <c r="AX55" s="31" t="inlineStr">
        <is>
          <t>No</t>
        </is>
      </c>
      <c r="AY55" s="31">
        <f>IF(AX55="No",10,IF(AX55= "Yes CEO Resignation",-5,0))</f>
        <v/>
      </c>
      <c r="AZ55" s="31" t="inlineStr">
        <is>
          <t>No</t>
        </is>
      </c>
      <c r="BA55" s="31">
        <f>IF(AZ55="No",10,IF(AZ55="Yes",-5,0))</f>
        <v/>
      </c>
      <c r="BB55" s="31" t="inlineStr">
        <is>
          <t>No</t>
        </is>
      </c>
      <c r="BC55" s="31">
        <f>IF(BB55="No",5,IF(BB55="Yes",-5,0))</f>
        <v/>
      </c>
      <c r="BD55" s="31" t="inlineStr">
        <is>
          <t>Yes</t>
        </is>
      </c>
      <c r="BE55" s="31">
        <f>IF(BD55="Yes",10,0)</f>
        <v/>
      </c>
      <c r="BF55" s="31" t="inlineStr">
        <is>
          <t>Yes</t>
        </is>
      </c>
      <c r="BG55" s="31">
        <f>IF(BF55="Yes",10,0)</f>
        <v/>
      </c>
      <c r="BH55" s="31" t="inlineStr">
        <is>
          <t>Yes</t>
        </is>
      </c>
      <c r="BI55" s="31">
        <f>IF(BH55="Yes",10,0)</f>
        <v/>
      </c>
      <c r="BJ55" s="31" t="inlineStr">
        <is>
          <t>P/BV less than 2.5x and Growth less than 20%</t>
        </is>
      </c>
      <c r="BK55" s="31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1" t="inlineStr">
        <is>
          <t>0 to 20</t>
        </is>
      </c>
      <c r="BM55" s="31">
        <f>IF(BL55="Above 40",20,IF(BL55="20 to 40",10,IF(BL55="0 to 20",-5,0)))</f>
        <v/>
      </c>
      <c r="BN55" s="31" t="inlineStr">
        <is>
          <t>Between 50 to 75</t>
        </is>
      </c>
      <c r="BO55" s="31">
        <f>IF(BN55="Between 50 to 75",10,IF(BN55="Above 75",0,0))</f>
        <v/>
      </c>
      <c r="BP55" s="31" t="inlineStr">
        <is>
          <t>Stage 2</t>
        </is>
      </c>
      <c r="BQ55" s="31">
        <f>IF(BP55="Stage 2",20,IF(BP55="Stage 1",0,IF(BP55="Stage 3",5,IF(BP55="Stage 4",-5,0))))</f>
        <v/>
      </c>
      <c r="BR55" s="31" t="inlineStr">
        <is>
          <t>Positive Trend</t>
        </is>
      </c>
      <c r="BS55" s="31">
        <f>IF(BR55="Positive Trend",20,IF(BR55="Negative Trend",-10,0))</f>
        <v/>
      </c>
      <c r="BT55" s="31" t="inlineStr">
        <is>
          <t>Uptrend</t>
        </is>
      </c>
      <c r="BU55" s="31">
        <f>IF(BT55="Uptrend",10,IF(BT55="Sideways",5,0))</f>
        <v/>
      </c>
      <c r="BV55" s="31" t="inlineStr">
        <is>
          <t>Uptrend</t>
        </is>
      </c>
      <c r="BW55" s="31">
        <f>IF(BV55="Uptrend",10,IF(BV55="Sideways",5,0))</f>
        <v/>
      </c>
      <c r="BX55" s="31" t="inlineStr">
        <is>
          <t>Close to 52 week high or retracement</t>
        </is>
      </c>
      <c r="BY55" s="31">
        <f>IF(BX55="Overhead supply in last 2 years in last 2 years",-5,IF(BX55="Close to 52 week high or retracement",5,IF(BX55="Blue sky scenario",10,IF(BX55="Long term Downtrend",-10,0))))</f>
        <v/>
      </c>
      <c r="BZ55" s="31" t="inlineStr">
        <is>
          <t>Yes</t>
        </is>
      </c>
      <c r="CA55" s="31">
        <f>IF(BZ55="Yes",10,0)</f>
        <v/>
      </c>
    </row>
    <row r="56">
      <c r="A56" s="31">
        <f>IF(B56=0,"",RANK(B56,$B$2:$B$57,0))</f>
        <v/>
      </c>
      <c r="B56" s="32">
        <f>SUM(N56,Y56,AA56,AC56,AE56,AG56,AI56,AK56,AM56,AO56,AQ56,AS56,AU56,AW56,AY56,BA56,BC56,BE56,BG56,BI56,BK56,BM56,BO56,BQ56,BS56,BU56,BW56,BY56,CA56)</f>
        <v/>
      </c>
      <c r="C56" s="31" t="inlineStr">
        <is>
          <t>CHOICEIN</t>
        </is>
      </c>
      <c r="D56" s="31" t="inlineStr">
        <is>
          <t>Choice International Ltd</t>
        </is>
      </c>
      <c r="E56" s="31" t="inlineStr">
        <is>
          <t>financials</t>
        </is>
      </c>
      <c r="F56" s="31" t="inlineStr">
        <is>
          <t>finance &amp; investments</t>
        </is>
      </c>
      <c r="G56" s="31" t="inlineStr">
        <is>
          <t>midcap</t>
        </is>
      </c>
      <c r="H56" s="32" t="n">
        <v>16601.3</v>
      </c>
      <c r="I56" s="32" t="n">
        <v>753.2</v>
      </c>
      <c r="J56" s="32" t="n">
        <v>1.07</v>
      </c>
      <c r="K56" s="32" t="n">
        <v>904814</v>
      </c>
      <c r="L56" s="31" t="n">
        <v>16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56.67</v>
      </c>
      <c r="P56" s="32" t="n">
        <v>20.17</v>
      </c>
      <c r="Q56" s="32" t="n">
        <v>609.85</v>
      </c>
      <c r="R56" s="31" t="inlineStr">
        <is>
          <t>Earnings / Momentum Support</t>
        </is>
      </c>
      <c r="S56" s="31" t="inlineStr">
        <is>
          <t>Nifty Bank</t>
        </is>
      </c>
      <c r="T56" s="32" t="n">
        <v>0.9</v>
      </c>
      <c r="U56" s="32" t="n">
        <v>2.56</v>
      </c>
      <c r="V56" s="32" t="n">
        <v>1.65</v>
      </c>
      <c r="W56" s="32" t="n">
        <v>5.46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Fragmented with High ROE</t>
        </is>
      </c>
      <c r="AA56" s="31">
        <f>IF(Z56="Fragmented with Low ROE",-5,IF(Z56="Fragmented with High ROE",10,IF(Z56= "highly cyclical",5,0)))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Consistency)",15,IF(AF56="Shallow Cyclical (2 to 3 years growth)",10,IF(AF56 = "Cyclical in an Uptick",5,IF(AF56 = "Cyclical in an Downtick",-10,0))))</f>
        <v/>
      </c>
      <c r="AH56" s="31" t="inlineStr">
        <is>
          <t>Yes</t>
        </is>
      </c>
      <c r="AI56" s="31">
        <f>IF(AH56="Yes",10,0)</f>
        <v/>
      </c>
      <c r="AJ56" s="31" t="inlineStr">
        <is>
          <t>Yes</t>
        </is>
      </c>
      <c r="AK56" s="31">
        <f>IF(AJ56="Yes",10,0)</f>
        <v/>
      </c>
      <c r="AL56" s="31" t="n"/>
      <c r="AM56" s="31">
        <f>IF(AL56="No",10,0)</f>
        <v/>
      </c>
      <c r="AN56" s="31" t="inlineStr">
        <is>
          <t>Yes</t>
        </is>
      </c>
      <c r="AO56" s="31">
        <f>IF(AN56="Yes",10,0)</f>
        <v/>
      </c>
      <c r="AP56" s="31" t="inlineStr">
        <is>
          <t>No</t>
        </is>
      </c>
      <c r="AQ56" s="31">
        <f>IF(AP56="Yes",10,0)</f>
        <v/>
      </c>
      <c r="AR56" s="31" t="inlineStr">
        <is>
          <t>Yes</t>
        </is>
      </c>
      <c r="AS56" s="31">
        <f>IF(AR56="Yes",5,0)</f>
        <v/>
      </c>
      <c r="AT56" s="31" t="inlineStr">
        <is>
          <t>No</t>
        </is>
      </c>
      <c r="AU56" s="31">
        <f>IF(AT56="No",10,IF(AT56="Yes",-10,0))</f>
        <v/>
      </c>
      <c r="AV56" s="31" t="inlineStr">
        <is>
          <t>No</t>
        </is>
      </c>
      <c r="AW56" s="31">
        <f>IF(AV56="No",10,0)</f>
        <v/>
      </c>
      <c r="AX56" s="31" t="inlineStr">
        <is>
          <t>No</t>
        </is>
      </c>
      <c r="AY56" s="31">
        <f>IF(AX56="No",10,IF(AX56= "Yes CEO Resignation",-5,0))</f>
        <v/>
      </c>
      <c r="AZ56" s="31" t="inlineStr">
        <is>
          <t>No</t>
        </is>
      </c>
      <c r="BA56" s="31">
        <f>IF(AZ56="No",10,IF(AZ56="Yes",-5,0))</f>
        <v/>
      </c>
      <c r="BB56" s="31" t="inlineStr">
        <is>
          <t>No</t>
        </is>
      </c>
      <c r="BC56" s="31">
        <f>IF(BB56="No",5,IF(BB56="Yes",-5,0))</f>
        <v/>
      </c>
      <c r="BD56" s="31" t="inlineStr">
        <is>
          <t>Yes</t>
        </is>
      </c>
      <c r="BE56" s="31">
        <f>IF(BD56="Yes",10,0)</f>
        <v/>
      </c>
      <c r="BF56" s="31" t="inlineStr">
        <is>
          <t>Yes</t>
        </is>
      </c>
      <c r="BG56" s="31">
        <f>IF(BF56="Yes",10,0)</f>
        <v/>
      </c>
      <c r="BH56" s="31" t="inlineStr">
        <is>
          <t>Yes</t>
        </is>
      </c>
      <c r="BI56" s="31">
        <f>IF(BH56="Yes",10,0)</f>
        <v/>
      </c>
      <c r="BJ56" s="31" t="inlineStr">
        <is>
          <t>P/BV above 5x</t>
        </is>
      </c>
      <c r="BK56" s="31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1" t="inlineStr">
        <is>
          <t>20 to 40</t>
        </is>
      </c>
      <c r="BM56" s="31">
        <f>IF(BL56="Above 40",20,IF(BL56="20 to 40",10,IF(BL56="0 to 20",-5,0)))</f>
        <v/>
      </c>
      <c r="BN56" s="31" t="inlineStr">
        <is>
          <t>Between 50 to 75</t>
        </is>
      </c>
      <c r="BO56" s="31">
        <f>IF(BN56="Between 50 to 75",10,IF(BN56="Above 75",0,0))</f>
        <v/>
      </c>
      <c r="BP56" s="31" t="inlineStr">
        <is>
          <t>Stage 1</t>
        </is>
      </c>
      <c r="BQ56" s="31">
        <f>IF(BP56="Stage 2",20,IF(BP56="Stage 1",0,IF(BP56="Stage 3",5,IF(BP56="Stage 4",-5,0))))</f>
        <v/>
      </c>
      <c r="BR56" s="31" t="inlineStr">
        <is>
          <t>Positive Trend</t>
        </is>
      </c>
      <c r="BS56" s="31">
        <f>IF(BR56="Positive Trend",20,IF(BR56="Negative Trend",-10,0))</f>
        <v/>
      </c>
      <c r="BT56" s="31" t="inlineStr">
        <is>
          <t>Uptrend</t>
        </is>
      </c>
      <c r="BU56" s="31">
        <f>IF(BT56="Uptrend",10,IF(BT56="Sideways",5,0))</f>
        <v/>
      </c>
      <c r="BV56" s="31" t="inlineStr">
        <is>
          <t>Uptrend</t>
        </is>
      </c>
      <c r="BW56" s="31">
        <f>IF(BV56="Uptrend",10,IF(BV56="Sideways",5,0))</f>
        <v/>
      </c>
      <c r="BX56" s="31" t="inlineStr">
        <is>
          <t>Close to 52 week high or retracement</t>
        </is>
      </c>
      <c r="BY56" s="31">
        <f>IF(BX56="Overhead supply in last 2 years in last 2 years",-5,IF(BX56="Close to 52 week high or retracement",5,IF(BX56="Blue sky scenario",10,IF(BX56="Long term Downtrend",-10,0))))</f>
        <v/>
      </c>
      <c r="BZ56" s="31" t="inlineStr">
        <is>
          <t>Yes</t>
        </is>
      </c>
      <c r="CA56" s="31">
        <f>IF(BZ56="Yes",10,0)</f>
        <v/>
      </c>
    </row>
    <row r="57">
      <c r="A57" s="31">
        <f>IF(B57=0,"",RANK(B57,$B$2:$B$57,0))</f>
        <v/>
      </c>
      <c r="B57" s="32">
        <f>SUM(N57,Y57,AA57,AC57,AE57,AG57,AI57,AK57,AM57,AO57,AQ57,AS57,AU57,AW57,AY57,BA57,BC57,BE57,BG57,BI57,BK57,BM57,BO57,BQ57,BS57,BU57,BW57,BY57,CA57)</f>
        <v/>
      </c>
      <c r="C57" s="33" t="inlineStr">
        <is>
          <t>ICICIBANK</t>
        </is>
      </c>
      <c r="D57" s="33" t="inlineStr">
        <is>
          <t>Icici Bank Limited</t>
        </is>
      </c>
      <c r="E57" s="31" t="inlineStr">
        <is>
          <t>bank</t>
        </is>
      </c>
      <c r="F57" s="31" t="inlineStr">
        <is>
          <t>banks - private sector</t>
        </is>
      </c>
      <c r="G57" s="31" t="inlineStr">
        <is>
          <t>largecap</t>
        </is>
      </c>
      <c r="H57" s="32" t="n">
        <v>993537.22</v>
      </c>
      <c r="I57" s="32" t="n">
        <v>1375.2</v>
      </c>
      <c r="J57" s="32" t="n">
        <v>-0.89</v>
      </c>
      <c r="K57" s="32" t="n">
        <v>18398097</v>
      </c>
      <c r="L57" s="31" t="n">
        <v>3</v>
      </c>
      <c r="M57" s="31" t="inlineStr">
        <is>
          <t>Underperforming</t>
        </is>
      </c>
      <c r="N57" s="32">
        <f>IF(M57="Underperforming",-5,IF(L57&gt;=95,15,IF(L57&gt;=90,10,IF(L57&gt;=80,5,0))))</f>
        <v/>
      </c>
      <c r="O57" s="32" t="n">
        <v>57.1</v>
      </c>
      <c r="P57" s="32" t="n">
        <v>12.78</v>
      </c>
      <c r="Q57" s="32" t="n">
        <v>1215.1</v>
      </c>
      <c r="R57" s="31" t="inlineStr">
        <is>
          <t>Earnings / Momentum Support</t>
        </is>
      </c>
      <c r="S57" s="31" t="inlineStr">
        <is>
          <t>Nifty Bank</t>
        </is>
      </c>
      <c r="T57" s="32" t="n">
        <v>0.9</v>
      </c>
      <c r="U57" s="32" t="n">
        <v>-3.95</v>
      </c>
      <c r="V57" s="32" t="n">
        <v>-4.8</v>
      </c>
      <c r="W57" s="32" t="n">
        <v>2.11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Fragmented with High ROE</t>
        </is>
      </c>
      <c r="AA57" s="31">
        <f>IF(Z57="Fragmented with Low ROE",-5,IF(Z57="Fragmented with High ROE",10,IF(Z57= "highly cyclical",5,0)))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Consistency)",15,IF(AF57="Shallow Cyclical (2 to 3 years growth)",10,IF(AF57 = "Cyclical in an Uptick",5,IF(AF57 = "Cyclical in an Downtick",-10,0))))</f>
        <v/>
      </c>
      <c r="AH57" s="31" t="inlineStr">
        <is>
          <t>Yes</t>
        </is>
      </c>
      <c r="AI57" s="31">
        <f>IF(AH57="Yes",10,0)</f>
        <v/>
      </c>
      <c r="AJ57" s="31" t="inlineStr">
        <is>
          <t>Yes</t>
        </is>
      </c>
      <c r="AK57" s="31">
        <f>IF(AJ57="Yes",10,0)</f>
        <v/>
      </c>
      <c r="AL57" s="31" t="n"/>
      <c r="AM57" s="31">
        <f>IF(AL57="No",10,0)</f>
        <v/>
      </c>
      <c r="AN57" s="31" t="inlineStr">
        <is>
          <t>Yes</t>
        </is>
      </c>
      <c r="AO57" s="31">
        <f>IF(AN57="Yes",10,0)</f>
        <v/>
      </c>
      <c r="AP57" s="31" t="inlineStr">
        <is>
          <t>No</t>
        </is>
      </c>
      <c r="AQ57" s="31">
        <f>IF(AP57="Yes",10,0)</f>
        <v/>
      </c>
      <c r="AR57" s="31" t="inlineStr">
        <is>
          <t>Yes</t>
        </is>
      </c>
      <c r="AS57" s="31">
        <f>IF(AR57="Yes",5,0)</f>
        <v/>
      </c>
      <c r="AT57" s="31" t="inlineStr">
        <is>
          <t>No</t>
        </is>
      </c>
      <c r="AU57" s="31">
        <f>IF(AT57="No",10,IF(AT57="Yes",-10,0))</f>
        <v/>
      </c>
      <c r="AV57" s="31" t="inlineStr">
        <is>
          <t>No</t>
        </is>
      </c>
      <c r="AW57" s="31">
        <f>IF(AV57="No",10,0)</f>
        <v/>
      </c>
      <c r="AX57" s="31" t="inlineStr">
        <is>
          <t>No</t>
        </is>
      </c>
      <c r="AY57" s="31">
        <f>IF(AX57="No",10,IF(AX57= "Yes CEO Resignation",-5,0))</f>
        <v/>
      </c>
      <c r="AZ57" s="31" t="inlineStr">
        <is>
          <t>No</t>
        </is>
      </c>
      <c r="BA57" s="31">
        <f>IF(AZ57="No",10,IF(AZ57="Yes",-5,0))</f>
        <v/>
      </c>
      <c r="BB57" s="31" t="inlineStr">
        <is>
          <t>No</t>
        </is>
      </c>
      <c r="BC57" s="31">
        <f>IF(BB57="No",5,IF(BB57="Yes",-5,0))</f>
        <v/>
      </c>
      <c r="BD57" s="31" t="inlineStr">
        <is>
          <t>Yes</t>
        </is>
      </c>
      <c r="BE57" s="31">
        <f>IF(BD57="Yes",10,0)</f>
        <v/>
      </c>
      <c r="BF57" s="31" t="inlineStr">
        <is>
          <t>Yes</t>
        </is>
      </c>
      <c r="BG57" s="31">
        <f>IF(BF57="Yes",10,0)</f>
        <v/>
      </c>
      <c r="BH57" s="31" t="inlineStr">
        <is>
          <t>Yes</t>
        </is>
      </c>
      <c r="BI57" s="31">
        <f>IF(BH57="Yes",10,0)</f>
        <v/>
      </c>
      <c r="BJ57" s="31" t="inlineStr">
        <is>
          <t>P/BV between 2.5x to 5x and Growth less than 20%</t>
        </is>
      </c>
      <c r="BK57" s="31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1" t="inlineStr">
        <is>
          <t>0 to 20</t>
        </is>
      </c>
      <c r="BM57" s="31">
        <f>IF(BL57="Above 40",20,IF(BL57="20 to 40",10,IF(BL57="0 to 20",-5,0)))</f>
        <v/>
      </c>
      <c r="BN57" s="31" t="inlineStr">
        <is>
          <t>Between 50 to 75</t>
        </is>
      </c>
      <c r="BO57" s="31">
        <f>IF(BN57="Between 50 to 75",10,IF(BN57="Above 75",0,0))</f>
        <v/>
      </c>
      <c r="BP57" s="31" t="inlineStr">
        <is>
          <t>Stage 2</t>
        </is>
      </c>
      <c r="BQ57" s="31">
        <f>IF(BP57="Stage 2",20,IF(BP57="Stage 1",0,IF(BP57="Stage 3",5,IF(BP57="Stage 4",-5,0))))</f>
        <v/>
      </c>
      <c r="BR57" s="31" t="inlineStr">
        <is>
          <t>Positive Trend</t>
        </is>
      </c>
      <c r="BS57" s="31">
        <f>IF(BR57="Positive Trend",20,IF(BR57="Negative Trend",-10,0))</f>
        <v/>
      </c>
      <c r="BT57" s="31" t="inlineStr">
        <is>
          <t>Uptrend</t>
        </is>
      </c>
      <c r="BU57" s="31">
        <f>IF(BT57="Uptrend",10,IF(BT57="Sideways",5,0))</f>
        <v/>
      </c>
      <c r="BV57" s="31" t="inlineStr">
        <is>
          <t>Uptrend</t>
        </is>
      </c>
      <c r="BW57" s="31">
        <f>IF(BV57="Uptrend",10,IF(BV57="Sideways",5,0))</f>
        <v/>
      </c>
      <c r="BX57" s="31" t="inlineStr">
        <is>
          <t>Close to 52 week high or retracement</t>
        </is>
      </c>
      <c r="BY57" s="31">
        <f>IF(BX57="Overhead supply in last 2 years in last 2 years",-5,IF(BX57="Close to 52 week high or retracement",5,IF(BX57="Blue sky scenario",10,IF(BX57="Long term Downtrend",-10,0))))</f>
        <v/>
      </c>
      <c r="BZ57" s="31" t="inlineStr">
        <is>
          <t>Yes</t>
        </is>
      </c>
      <c r="CA57" s="31">
        <f>IF(BZ57="Yes",10,0)</f>
        <v/>
      </c>
    </row>
  </sheetData>
  <autoFilter ref="A1:CA57"/>
  <conditionalFormatting sqref="B2:B5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57">
    <cfRule type="cellIs" priority="34" operator="equal" dxfId="3" stopIfTrue="1">
      <formula>"Underperforming"</formula>
    </cfRule>
  </conditionalFormatting>
  <conditionalFormatting sqref="N2:N57">
    <cfRule type="cellIs" priority="35" operator="equal" dxfId="3" stopIfTrue="1">
      <formula>-5</formula>
    </cfRule>
  </conditionalFormatting>
  <conditionalFormatting sqref="Q2:Q57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57" showDropDown="0" showInputMessage="0" showErrorMessage="0" allowBlank="1" type="list">
      <formula1>"Growing Industry,Stagnant Industry,Cyclical in an Upturn"</formula1>
    </dataValidation>
    <dataValidation sqref="Z2:Z57" showDropDown="0" showInputMessage="0" showErrorMessage="0" allowBlank="1" type="list">
      <formula1>"Fragmented with Low ROE,Fragmented with High ROE,Highly Cyclical"</formula1>
    </dataValidation>
    <dataValidation sqref="AB2:AB57" showDropDown="0" showInputMessage="0" showErrorMessage="0" allowBlank="1" type="list">
      <formula1>"Yes,No"</formula1>
    </dataValidation>
    <dataValidation sqref="AD2:AD57" showDropDown="0" showInputMessage="0" showErrorMessage="0" allowBlank="1" type="list">
      <formula1>"Tailwind,Headwind"</formula1>
    </dataValidation>
    <dataValidation sqref="AF2:AF5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7" showDropDown="0" showInputMessage="0" showErrorMessage="0" allowBlank="1" type="list">
      <formula1>"Yes,No"</formula1>
    </dataValidation>
    <dataValidation sqref="AJ2:AJ57" showDropDown="0" showInputMessage="0" showErrorMessage="0" allowBlank="1" type="list">
      <formula1>"Yes,No,Not Applicable"</formula1>
    </dataValidation>
    <dataValidation sqref="AL2:AL57" showDropDown="0" showInputMessage="0" showErrorMessage="0" allowBlank="1" type="list">
      <formula1>"Yes,No"</formula1>
    </dataValidation>
    <dataValidation sqref="AN2:AN57" showDropDown="0" showInputMessage="0" showErrorMessage="0" allowBlank="1" type="list">
      <formula1>"Yes,No"</formula1>
    </dataValidation>
    <dataValidation sqref="AP2:AP57" showDropDown="0" showInputMessage="0" showErrorMessage="0" allowBlank="1" type="list">
      <formula1>"Yes,No"</formula1>
    </dataValidation>
    <dataValidation sqref="AR2:AR57" showDropDown="0" showInputMessage="0" showErrorMessage="0" allowBlank="1" type="list">
      <formula1>"Yes,No"</formula1>
    </dataValidation>
    <dataValidation sqref="AT2:AT57" showDropDown="0" showInputMessage="0" showErrorMessage="0" allowBlank="1" type="list">
      <formula1>"No,Yes"</formula1>
    </dataValidation>
    <dataValidation sqref="AV2:AV57" showDropDown="0" showInputMessage="0" showErrorMessage="0" allowBlank="1" type="list">
      <formula1>"No,Yes"</formula1>
    </dataValidation>
    <dataValidation sqref="AX2:AX57" showDropDown="0" showInputMessage="0" showErrorMessage="0" allowBlank="1" type="list">
      <formula1>"No,Yes CEO Resignation,Yes CEO Retirement"</formula1>
    </dataValidation>
    <dataValidation sqref="AZ2:AZ57" showDropDown="0" showInputMessage="0" showErrorMessage="0" allowBlank="1" type="list">
      <formula1>"No,Yes"</formula1>
    </dataValidation>
    <dataValidation sqref="BB2:BB57" showDropDown="0" showInputMessage="0" showErrorMessage="0" allowBlank="1" type="list">
      <formula1>"No,Yes"</formula1>
    </dataValidation>
    <dataValidation sqref="BD2:BD57" showDropDown="0" showInputMessage="0" showErrorMessage="0" allowBlank="1" type="list">
      <formula1>"Yes,No"</formula1>
    </dataValidation>
    <dataValidation sqref="BF2:BF57" showDropDown="0" showInputMessage="0" showErrorMessage="0" allowBlank="1" type="list">
      <formula1>"Yes,No"</formula1>
    </dataValidation>
    <dataValidation sqref="BH2:BH57" showDropDown="0" showInputMessage="0" showErrorMessage="0" allowBlank="1" type="list">
      <formula1>"Yes,No"</formula1>
    </dataValidation>
    <dataValidation sqref="BJ2:BJ5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7" showDropDown="0" showInputMessage="0" showErrorMessage="0" allowBlank="1" type="list">
      <formula1>"Above 40,20 to 40,0 to 20"</formula1>
    </dataValidation>
    <dataValidation sqref="BN2:BN57" showDropDown="0" showInputMessage="0" showErrorMessage="0" allowBlank="1" type="list">
      <formula1>"Between 50 to 75,Above 75,Below 45"</formula1>
    </dataValidation>
    <dataValidation sqref="BP2:BP57" showDropDown="0" showInputMessage="0" showErrorMessage="0" allowBlank="1" type="list">
      <formula1>"Stage 1,Stage 2,Stage 3,Stage 4"</formula1>
    </dataValidation>
    <dataValidation sqref="BR2:BR57" showDropDown="0" showInputMessage="0" showErrorMessage="0" allowBlank="1" type="list">
      <formula1>"Positive Trend,Negative Trend"</formula1>
    </dataValidation>
    <dataValidation sqref="BT2:BT57" showDropDown="0" showInputMessage="0" showErrorMessage="0" allowBlank="1" type="list">
      <formula1>"Uptrend,Sideways,Downtrend"</formula1>
    </dataValidation>
    <dataValidation sqref="BV2:BV57" showDropDown="0" showInputMessage="0" showErrorMessage="0" allowBlank="1" type="list">
      <formula1>"Uptrend,Sideways,Downtrend"</formula1>
    </dataValidation>
    <dataValidation sqref="BX2:BX5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139.5</v>
      </c>
      <c r="E2" s="32" t="inlineStr">
        <is>
          <t>5%</t>
        </is>
      </c>
      <c r="F2" s="32" t="n">
        <v>50000</v>
      </c>
      <c r="G2" s="32" t="n">
        <v>61</v>
      </c>
      <c r="H2" s="31" t="inlineStr">
        <is>
          <t>GRANULES</t>
        </is>
      </c>
      <c r="I2" s="31" t="inlineStr">
        <is>
          <t>Granules India Limited</t>
        </is>
      </c>
      <c r="J2" s="31" t="inlineStr">
        <is>
          <t>healthcare</t>
        </is>
      </c>
      <c r="K2" s="31" t="inlineStr">
        <is>
          <t>pharmaceuticals - indian - bulk drugs &amp; formln</t>
        </is>
      </c>
      <c r="L2" s="31" t="inlineStr">
        <is>
          <t>midcap</t>
        </is>
      </c>
      <c r="M2" s="32" t="n">
        <v>19694.9</v>
      </c>
      <c r="N2" s="32" t="n">
        <v>813.25</v>
      </c>
      <c r="O2" s="32" t="n">
        <v>2.32</v>
      </c>
      <c r="P2" s="32" t="n">
        <v>1560172</v>
      </c>
      <c r="Q2" s="31" t="n">
        <v>65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72.65000000000001</v>
      </c>
      <c r="U2" s="32" t="n">
        <v>40.69</v>
      </c>
      <c r="V2" s="32" t="n">
        <v>677.96</v>
      </c>
      <c r="W2" s="31" t="inlineStr">
        <is>
          <t>Near 52W High Breakout</t>
        </is>
      </c>
      <c r="X2" s="31" t="inlineStr">
        <is>
          <t>Nifty Pharma</t>
        </is>
      </c>
      <c r="Y2" s="32" t="n">
        <v>13.14</v>
      </c>
      <c r="Z2" s="32" t="n">
        <v>65.59999999999999</v>
      </c>
      <c r="AA2" s="32" t="n">
        <v>46.36</v>
      </c>
      <c r="AB2" s="32" t="n">
        <v>17.74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Between 50% to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139.3</v>
      </c>
      <c r="E3" s="32" t="inlineStr">
        <is>
          <t>5%</t>
        </is>
      </c>
      <c r="F3" s="32" t="n">
        <v>50000</v>
      </c>
      <c r="G3" s="32" t="n">
        <v>12</v>
      </c>
      <c r="H3" s="31" t="inlineStr">
        <is>
          <t>RADICO</t>
        </is>
      </c>
      <c r="I3" s="31" t="inlineStr">
        <is>
          <t>Radico Khaitan Limited</t>
        </is>
      </c>
      <c r="J3" s="31" t="inlineStr">
        <is>
          <t>fmcg</t>
        </is>
      </c>
      <c r="K3" s="31" t="inlineStr">
        <is>
          <t>breweries &amp; distilleries</t>
        </is>
      </c>
      <c r="L3" s="31" t="inlineStr">
        <is>
          <t>largecap</t>
        </is>
      </c>
      <c r="M3" s="32" t="n">
        <v>51910.89</v>
      </c>
      <c r="N3" s="32" t="n">
        <v>3945.5</v>
      </c>
      <c r="O3" s="32" t="n">
        <v>1.77</v>
      </c>
      <c r="P3" s="32" t="n">
        <v>691278</v>
      </c>
      <c r="Q3" s="31" t="n">
        <v>72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77.31</v>
      </c>
      <c r="U3" s="32" t="n">
        <v>43.34</v>
      </c>
      <c r="V3" s="32" t="n">
        <v>3306.18</v>
      </c>
      <c r="W3" s="31" t="inlineStr">
        <is>
          <t>Near 52W High Breakout</t>
        </is>
      </c>
      <c r="X3" s="31" t="inlineStr">
        <is>
          <t>Nifty FMCG</t>
        </is>
      </c>
      <c r="Y3" s="32" t="n">
        <v>-10.85</v>
      </c>
      <c r="Z3" s="32" t="n">
        <v>50.19</v>
      </c>
      <c r="AA3" s="32" t="n">
        <v>68.47</v>
      </c>
      <c r="AB3" s="32" t="n">
        <v>20.56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B2C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139.4</v>
      </c>
      <c r="E4" s="32" t="inlineStr">
        <is>
          <t>5%</t>
        </is>
      </c>
      <c r="F4" s="32" t="n">
        <v>50000</v>
      </c>
      <c r="G4" s="32" t="n">
        <v>43</v>
      </c>
      <c r="H4" s="31" t="inlineStr">
        <is>
          <t>ATHERENERG</t>
        </is>
      </c>
      <c r="I4" s="31" t="inlineStr">
        <is>
          <t>Ather Energy Ltd</t>
        </is>
      </c>
      <c r="J4" s="31" t="inlineStr">
        <is>
          <t>auto</t>
        </is>
      </c>
      <c r="K4" s="31" t="inlineStr">
        <is>
          <t>automobiles - scooters and 3 - wheelers</t>
        </is>
      </c>
      <c r="L4" s="31" t="inlineStr">
        <is>
          <t>largecap</t>
        </is>
      </c>
      <c r="M4" s="32" t="n">
        <v>41472.2</v>
      </c>
      <c r="N4" s="32" t="n">
        <v>1140.55</v>
      </c>
      <c r="O4" s="32" t="n">
        <v>5.24</v>
      </c>
      <c r="P4" s="32" t="n">
        <v>11196926</v>
      </c>
      <c r="Q4" s="31" t="n">
        <v>93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74.45</v>
      </c>
      <c r="U4" s="32" t="n">
        <v>51.03</v>
      </c>
      <c r="V4" s="32" t="n">
        <v>876.5599999999999</v>
      </c>
      <c r="W4" s="31" t="inlineStr">
        <is>
          <t>Near 52W High Breakout</t>
        </is>
      </c>
      <c r="X4" s="31" t="inlineStr">
        <is>
          <t>Nifty Auto</t>
        </is>
      </c>
      <c r="Y4" s="32" t="n">
        <v>10.42</v>
      </c>
      <c r="Z4" s="32" t="n">
        <v>247.46</v>
      </c>
      <c r="AA4" s="32" t="n">
        <v>214.67</v>
      </c>
      <c r="AB4" s="32" t="n">
        <v>41.56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Negative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138.8</v>
      </c>
      <c r="E5" s="32" t="inlineStr">
        <is>
          <t>5%</t>
        </is>
      </c>
      <c r="F5" s="32" t="n">
        <v>50000</v>
      </c>
      <c r="G5" s="32" t="n">
        <v>27</v>
      </c>
      <c r="H5" s="31" t="inlineStr">
        <is>
          <t>WHEELS</t>
        </is>
      </c>
      <c r="I5" s="31" t="inlineStr">
        <is>
          <t>Wheels India Limited</t>
        </is>
      </c>
      <c r="J5" s="31" t="inlineStr">
        <is>
          <t>auto</t>
        </is>
      </c>
      <c r="K5" s="31" t="inlineStr">
        <is>
          <t>auto ancillaries</t>
        </is>
      </c>
      <c r="L5" s="31" t="inlineStr">
        <is>
          <t>smallcap</t>
        </is>
      </c>
      <c r="M5" s="32" t="n">
        <v>4329.53</v>
      </c>
      <c r="N5" s="32" t="n">
        <v>1786</v>
      </c>
      <c r="O5" s="32" t="n">
        <v>0.79</v>
      </c>
      <c r="P5" s="32" t="n">
        <v>232975</v>
      </c>
      <c r="Q5" s="31" t="n">
        <v>92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74.31999999999999</v>
      </c>
      <c r="U5" s="32" t="n">
        <v>57.51</v>
      </c>
      <c r="V5" s="32" t="n">
        <v>1360.87</v>
      </c>
      <c r="W5" s="31" t="inlineStr">
        <is>
          <t>Near 52W High Breakout</t>
        </is>
      </c>
      <c r="X5" s="31" t="inlineStr">
        <is>
          <t>Nifty Auto</t>
        </is>
      </c>
      <c r="Y5" s="32" t="n">
        <v>10.42</v>
      </c>
      <c r="Z5" s="32" t="n">
        <v>121.9</v>
      </c>
      <c r="AA5" s="32" t="n">
        <v>100.96</v>
      </c>
      <c r="AB5" s="32" t="n">
        <v>37.62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Less than 12%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139.4</v>
      </c>
      <c r="E6" s="32" t="inlineStr">
        <is>
          <t>5%</t>
        </is>
      </c>
      <c r="F6" s="32" t="n">
        <v>50000</v>
      </c>
      <c r="G6" s="32" t="n">
        <v>263</v>
      </c>
      <c r="H6" s="31" t="inlineStr">
        <is>
          <t>CUPID</t>
        </is>
      </c>
      <c r="I6" s="31" t="inlineStr">
        <is>
          <t>Cupid Limited</t>
        </is>
      </c>
      <c r="J6" s="31" t="inlineStr">
        <is>
          <t>fmcg</t>
        </is>
      </c>
      <c r="K6" s="31" t="inlineStr">
        <is>
          <t>personal care - indian</t>
        </is>
      </c>
      <c r="L6" s="31" t="inlineStr">
        <is>
          <t>largecap</t>
        </is>
      </c>
      <c r="M6" s="32" t="n">
        <v>25333.41</v>
      </c>
      <c r="N6" s="32" t="n">
        <v>189.93</v>
      </c>
      <c r="O6" s="32" t="n">
        <v>0.8100000000000001</v>
      </c>
      <c r="P6" s="32" t="n">
        <v>21761025</v>
      </c>
      <c r="Q6" s="31" t="n">
        <v>98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86.19</v>
      </c>
      <c r="U6" s="32" t="n">
        <v>56.1</v>
      </c>
      <c r="V6" s="32" t="n">
        <v>152.86</v>
      </c>
      <c r="W6" s="31" t="inlineStr">
        <is>
          <t>Near 52W High Breakout</t>
        </is>
      </c>
      <c r="X6" s="31" t="inlineStr">
        <is>
          <t>Nifty FMCG</t>
        </is>
      </c>
      <c r="Y6" s="32" t="n">
        <v>-10.85</v>
      </c>
      <c r="Z6" s="32" t="n">
        <v>772.6799999999999</v>
      </c>
      <c r="AA6" s="32" t="n">
        <v>878.9400000000001</v>
      </c>
      <c r="AB6" s="32" t="n">
        <v>86.20999999999999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B2C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Less than 50%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</v>
      </c>
      <c r="E7" s="32" t="inlineStr">
        <is>
          <t>5%</t>
        </is>
      </c>
      <c r="F7" s="32" t="n">
        <v>50000</v>
      </c>
      <c r="G7" s="32" t="n">
        <v>7</v>
      </c>
      <c r="H7" s="31" t="inlineStr">
        <is>
          <t>THANGAMAYL</t>
        </is>
      </c>
      <c r="I7" s="31" t="inlineStr">
        <is>
          <t>Thangamayil Jewellery Limited</t>
        </is>
      </c>
      <c r="J7" s="31" t="inlineStr">
        <is>
          <t>consumer discretionary</t>
        </is>
      </c>
      <c r="K7" s="31" t="inlineStr">
        <is>
          <t>diamond cutting / jewellery</t>
        </is>
      </c>
      <c r="L7" s="31" t="inlineStr">
        <is>
          <t>midcap</t>
        </is>
      </c>
      <c r="M7" s="32" t="n">
        <v>18261</v>
      </c>
      <c r="N7" s="32" t="n">
        <v>6398.2</v>
      </c>
      <c r="O7" s="32" t="n">
        <v>8.9</v>
      </c>
      <c r="P7" s="32" t="n">
        <v>443898</v>
      </c>
      <c r="Q7" s="31" t="n">
        <v>95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77</v>
      </c>
      <c r="U7" s="32" t="n">
        <v>43.28</v>
      </c>
      <c r="V7" s="32" t="n">
        <v>4851.09</v>
      </c>
      <c r="W7" s="31" t="inlineStr">
        <is>
          <t>Near 52W High Breakout</t>
        </is>
      </c>
      <c r="X7" s="31" t="inlineStr">
        <is>
          <t>Nifty 50</t>
        </is>
      </c>
      <c r="Y7" s="32" t="n">
        <v>-6.27</v>
      </c>
      <c r="Z7" s="32" t="n">
        <v>239.11</v>
      </c>
      <c r="AA7" s="32" t="n">
        <v>261.78</v>
      </c>
      <c r="AB7" s="32" t="n">
        <v>47.24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Between 50% to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139.9</v>
      </c>
      <c r="E8" s="32" t="inlineStr">
        <is>
          <t>5%</t>
        </is>
      </c>
      <c r="F8" s="32" t="n">
        <v>50000</v>
      </c>
      <c r="G8" s="32" t="n">
        <v>115</v>
      </c>
      <c r="H8" s="31" t="inlineStr">
        <is>
          <t>BHAGYANGR</t>
        </is>
      </c>
      <c r="I8" s="31" t="inlineStr">
        <is>
          <t>Bhagyanagar India</t>
        </is>
      </c>
      <c r="J8" s="31" t="inlineStr">
        <is>
          <t>power &amp; utilities</t>
        </is>
      </c>
      <c r="K8" s="31" t="inlineStr">
        <is>
          <t>power generation and supply</t>
        </is>
      </c>
      <c r="L8" s="31" t="inlineStr">
        <is>
          <t>smallcap</t>
        </is>
      </c>
      <c r="M8" s="32" t="n">
        <v>1317.39</v>
      </c>
      <c r="N8" s="32" t="n">
        <v>431.85</v>
      </c>
      <c r="O8" s="32" t="n">
        <v>4.88</v>
      </c>
      <c r="P8" s="32" t="n">
        <v>179911</v>
      </c>
      <c r="Q8" s="31" t="n">
        <v>98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85.05</v>
      </c>
      <c r="U8" s="32" t="n">
        <v>66.38</v>
      </c>
      <c r="V8" s="32" t="n">
        <v>317.38</v>
      </c>
      <c r="W8" s="31" t="inlineStr">
        <is>
          <t>Near 52W High Breakout</t>
        </is>
      </c>
      <c r="X8" s="31" t="inlineStr">
        <is>
          <t>Nifty IT</t>
        </is>
      </c>
      <c r="Y8" s="32" t="n">
        <v>-32.85</v>
      </c>
      <c r="Z8" s="32" t="n">
        <v>444.99</v>
      </c>
      <c r="AA8" s="32" t="n">
        <v>711.64</v>
      </c>
      <c r="AB8" s="32" t="n">
        <v>90.31999999999999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Between 50% to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Between 0.7 to 1.2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139.4</v>
      </c>
      <c r="E9" s="32" t="inlineStr">
        <is>
          <t>5%</t>
        </is>
      </c>
      <c r="F9" s="32" t="n">
        <v>50000</v>
      </c>
      <c r="G9" s="32" t="n">
        <v>31</v>
      </c>
      <c r="H9" s="31" t="inlineStr">
        <is>
          <t>AUROPHARMA</t>
        </is>
      </c>
      <c r="I9" s="31" t="inlineStr">
        <is>
          <t>Aurobindo Pharma Limited</t>
        </is>
      </c>
      <c r="J9" s="31" t="inlineStr">
        <is>
          <t>healthcare</t>
        </is>
      </c>
      <c r="K9" s="31" t="inlineStr">
        <is>
          <t>pharmaceuticals - indian - bulk drugs &amp; formln</t>
        </is>
      </c>
      <c r="L9" s="31" t="inlineStr">
        <is>
          <t>largecap</t>
        </is>
      </c>
      <c r="M9" s="32" t="n">
        <v>89879.05</v>
      </c>
      <c r="N9" s="32" t="n">
        <v>1578.7</v>
      </c>
      <c r="O9" s="32" t="n">
        <v>2.02</v>
      </c>
      <c r="P9" s="32" t="n">
        <v>3230878</v>
      </c>
      <c r="Q9" s="31" t="n">
        <v>35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73.88</v>
      </c>
      <c r="U9" s="32" t="n">
        <v>45.3</v>
      </c>
      <c r="V9" s="32" t="n">
        <v>1346.61</v>
      </c>
      <c r="W9" s="31" t="inlineStr">
        <is>
          <t>Near 52W High Breakout</t>
        </is>
      </c>
      <c r="X9" s="31" t="inlineStr">
        <is>
          <t>Nifty Pharma</t>
        </is>
      </c>
      <c r="Y9" s="32" t="n">
        <v>13.14</v>
      </c>
      <c r="Z9" s="32" t="n">
        <v>33.02</v>
      </c>
      <c r="AA9" s="32" t="n">
        <v>17.57</v>
      </c>
      <c r="AB9" s="32" t="n">
        <v>9.949999999999999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Less than 12%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139.4</v>
      </c>
      <c r="E10" s="32" t="inlineStr">
        <is>
          <t>5%</t>
        </is>
      </c>
      <c r="F10" s="32" t="n">
        <v>50000</v>
      </c>
      <c r="G10" s="32" t="n">
        <v>71</v>
      </c>
      <c r="H10" s="31" t="inlineStr">
        <is>
          <t>MINDACORP</t>
        </is>
      </c>
      <c r="I10" s="31" t="inlineStr">
        <is>
          <t>Minda Corporation Limited</t>
        </is>
      </c>
      <c r="J10" s="31" t="inlineStr">
        <is>
          <t>auto</t>
        </is>
      </c>
      <c r="K10" s="31" t="inlineStr">
        <is>
          <t>auto ancillaries</t>
        </is>
      </c>
      <c r="L10" s="31" t="inlineStr">
        <is>
          <t>midcap</t>
        </is>
      </c>
      <c r="M10" s="32" t="n">
        <v>16075.7</v>
      </c>
      <c r="N10" s="32" t="n">
        <v>696.8</v>
      </c>
      <c r="O10" s="32" t="n">
        <v>3.63</v>
      </c>
      <c r="P10" s="32" t="n">
        <v>913293</v>
      </c>
      <c r="Q10" s="31" t="n">
        <v>57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71.13</v>
      </c>
      <c r="U10" s="32" t="n">
        <v>21.58</v>
      </c>
      <c r="V10" s="32" t="n">
        <v>568.09</v>
      </c>
      <c r="W10" s="31" t="inlineStr">
        <is>
          <t>Near 52W High Breakout</t>
        </is>
      </c>
      <c r="X10" s="31" t="inlineStr">
        <is>
          <t>Nifty Auto</t>
        </is>
      </c>
      <c r="Y10" s="32" t="n">
        <v>10.42</v>
      </c>
      <c r="Z10" s="32" t="n">
        <v>34.21</v>
      </c>
      <c r="AA10" s="32" t="n">
        <v>21.55</v>
      </c>
      <c r="AB10" s="32" t="n">
        <v>15.37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139.7</v>
      </c>
      <c r="E11" s="32" t="inlineStr">
        <is>
          <t>5%</t>
        </is>
      </c>
      <c r="F11" s="32" t="n">
        <v>50000</v>
      </c>
      <c r="G11" s="32" t="n">
        <v>55</v>
      </c>
      <c r="H11" s="31" t="inlineStr">
        <is>
          <t>RATEGAIN</t>
        </is>
      </c>
      <c r="I11" s="31" t="inlineStr">
        <is>
          <t>Rategain Travel Technologies Ltd</t>
        </is>
      </c>
      <c r="J11" s="31" t="inlineStr">
        <is>
          <t>i.t</t>
        </is>
      </c>
      <c r="K11" s="31" t="inlineStr">
        <is>
          <t>computers - software - medium / small</t>
        </is>
      </c>
      <c r="L11" s="31" t="inlineStr">
        <is>
          <t>midcap</t>
        </is>
      </c>
      <c r="M11" s="32" t="n">
        <v>10214.22</v>
      </c>
      <c r="N11" s="32" t="n">
        <v>899.15</v>
      </c>
      <c r="O11" s="32" t="n">
        <v>4.02</v>
      </c>
      <c r="P11" s="32" t="n">
        <v>762540</v>
      </c>
      <c r="Q11" s="31" t="n">
        <v>91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76.36</v>
      </c>
      <c r="U11" s="32" t="n">
        <v>28.81</v>
      </c>
      <c r="V11" s="32" t="n">
        <v>703.7</v>
      </c>
      <c r="W11" s="31" t="inlineStr">
        <is>
          <t>Near 52W High Breakout</t>
        </is>
      </c>
      <c r="X11" s="31" t="inlineStr">
        <is>
          <t>Nifty IT</t>
        </is>
      </c>
      <c r="Y11" s="32" t="n">
        <v>-32.85</v>
      </c>
      <c r="Z11" s="32" t="n">
        <v>94.56</v>
      </c>
      <c r="AA11" s="32" t="n">
        <v>189.75</v>
      </c>
      <c r="AB11" s="32" t="n">
        <v>37.33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Between 50% to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139.2</v>
      </c>
      <c r="E12" s="32" t="inlineStr">
        <is>
          <t>5%</t>
        </is>
      </c>
      <c r="F12" s="32" t="n">
        <v>50000</v>
      </c>
      <c r="G12" s="32" t="n">
        <v>86</v>
      </c>
      <c r="H12" s="31" t="inlineStr">
        <is>
          <t>ZYDUSWELL</t>
        </is>
      </c>
      <c r="I12" s="31" t="inlineStr">
        <is>
          <t>Zydus Wellness Limited</t>
        </is>
      </c>
      <c r="J12" s="31" t="inlineStr">
        <is>
          <t>fmcg</t>
        </is>
      </c>
      <c r="K12" s="31" t="inlineStr">
        <is>
          <t>food - processing - indian</t>
        </is>
      </c>
      <c r="L12" s="31" t="inlineStr">
        <is>
          <t>midcap</t>
        </is>
      </c>
      <c r="M12" s="32" t="n">
        <v>18117.66</v>
      </c>
      <c r="N12" s="32" t="n">
        <v>575.4</v>
      </c>
      <c r="O12" s="32" t="n">
        <v>1.04</v>
      </c>
      <c r="P12" s="32" t="n">
        <v>2240118</v>
      </c>
      <c r="Q12" s="31" t="n">
        <v>53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72.54000000000001</v>
      </c>
      <c r="U12" s="32" t="n">
        <v>46.27</v>
      </c>
      <c r="V12" s="32" t="n">
        <v>454.05</v>
      </c>
      <c r="W12" s="31" t="inlineStr">
        <is>
          <t>Volume Spike &amp; Near 52W High Breakout</t>
        </is>
      </c>
      <c r="X12" s="31" t="inlineStr">
        <is>
          <t>Nifty FMCG</t>
        </is>
      </c>
      <c r="Y12" s="32" t="n">
        <v>-10.85</v>
      </c>
      <c r="Z12" s="32" t="n">
        <v>44.63</v>
      </c>
      <c r="AA12" s="32" t="n">
        <v>62.24</v>
      </c>
      <c r="AB12" s="32" t="n">
        <v>14.39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B2C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Annuity, Lower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Less than 12%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Less than 50%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139.1</v>
      </c>
      <c r="E13" s="32" t="inlineStr">
        <is>
          <t>5%</t>
        </is>
      </c>
      <c r="F13" s="32" t="n">
        <v>50000</v>
      </c>
      <c r="G13" s="32" t="n">
        <v>32</v>
      </c>
      <c r="H13" s="31" t="inlineStr">
        <is>
          <t>LAURUSLABS</t>
        </is>
      </c>
      <c r="I13" s="31" t="inlineStr">
        <is>
          <t>Laurus Labs Limited</t>
        </is>
      </c>
      <c r="J13" s="31" t="inlineStr">
        <is>
          <t>healthcare</t>
        </is>
      </c>
      <c r="K13" s="31" t="inlineStr">
        <is>
          <t>pharmaceuticals - indian - bulk drugs &amp; formln</t>
        </is>
      </c>
      <c r="L13" s="31" t="inlineStr">
        <is>
          <t>largecap</t>
        </is>
      </c>
      <c r="M13" s="32" t="n">
        <v>80994.67999999999</v>
      </c>
      <c r="N13" s="32" t="n">
        <v>1517.4</v>
      </c>
      <c r="O13" s="32" t="n">
        <v>1.14</v>
      </c>
      <c r="P13" s="32" t="n">
        <v>3274623</v>
      </c>
      <c r="Q13" s="31" t="n">
        <v>81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78.25</v>
      </c>
      <c r="U13" s="32" t="n">
        <v>44.49</v>
      </c>
      <c r="V13" s="32" t="n">
        <v>1289.01</v>
      </c>
      <c r="W13" s="31" t="inlineStr">
        <is>
          <t>Near 52W High Breakout</t>
        </is>
      </c>
      <c r="X13" s="31" t="inlineStr">
        <is>
          <t>Nifty Pharma</t>
        </is>
      </c>
      <c r="Y13" s="32" t="n">
        <v>13.14</v>
      </c>
      <c r="Z13" s="32" t="n">
        <v>95.90000000000001</v>
      </c>
      <c r="AA13" s="32" t="n">
        <v>73.14</v>
      </c>
      <c r="AB13" s="32" t="n">
        <v>25.01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Between 12 to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139.8</v>
      </c>
      <c r="E14" s="32" t="inlineStr">
        <is>
          <t>5%</t>
        </is>
      </c>
      <c r="F14" s="32" t="n">
        <v>50000</v>
      </c>
      <c r="G14" s="32" t="n">
        <v>32</v>
      </c>
      <c r="H14" s="31" t="inlineStr">
        <is>
          <t>WELCORP</t>
        </is>
      </c>
      <c r="I14" s="31" t="inlineStr">
        <is>
          <t>Welspun Corp Limited</t>
        </is>
      </c>
      <c r="J14" s="31" t="inlineStr">
        <is>
          <t>industrials</t>
        </is>
      </c>
      <c r="K14" s="31" t="inlineStr">
        <is>
          <t>steel - large</t>
        </is>
      </c>
      <c r="L14" s="31" t="inlineStr">
        <is>
          <t>largecap</t>
        </is>
      </c>
      <c r="M14" s="32" t="n">
        <v>39853.49</v>
      </c>
      <c r="N14" s="32" t="n">
        <v>1521.9</v>
      </c>
      <c r="O14" s="32" t="n">
        <v>0.73</v>
      </c>
      <c r="P14" s="32" t="n">
        <v>521584</v>
      </c>
      <c r="Q14" s="31" t="n">
        <v>85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85.84</v>
      </c>
      <c r="U14" s="32" t="n">
        <v>60.07</v>
      </c>
      <c r="V14" s="32" t="n">
        <v>1272.95</v>
      </c>
      <c r="W14" s="31" t="inlineStr">
        <is>
          <t>Near 52W High Breakout</t>
        </is>
      </c>
      <c r="X14" s="31" t="inlineStr">
        <is>
          <t>Nifty Metal</t>
        </is>
      </c>
      <c r="Y14" s="32" t="n">
        <v>30.67</v>
      </c>
      <c r="Z14" s="32" t="n">
        <v>64.84999999999999</v>
      </c>
      <c r="AA14" s="32" t="n">
        <v>26.16</v>
      </c>
      <c r="AB14" s="32" t="n">
        <v>30.45</v>
      </c>
      <c r="AC14" s="31" t="inlineStr">
        <is>
          <t>Cyclical in an Upturn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Less than 12%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139.3</v>
      </c>
      <c r="E15" s="32" t="inlineStr">
        <is>
          <t>5%</t>
        </is>
      </c>
      <c r="F15" s="32" t="n">
        <v>50000</v>
      </c>
      <c r="G15" s="32" t="n">
        <v>11</v>
      </c>
      <c r="H15" s="31" t="inlineStr">
        <is>
          <t>SHRIPISTON</t>
        </is>
      </c>
      <c r="I15" s="31" t="inlineStr">
        <is>
          <t>Shriram Pistons &amp; Rings Limited</t>
        </is>
      </c>
      <c r="J15" s="31" t="inlineStr">
        <is>
          <t>auto</t>
        </is>
      </c>
      <c r="K15" s="31" t="inlineStr">
        <is>
          <t>auto ancillaries</t>
        </is>
      </c>
      <c r="L15" s="31" t="inlineStr">
        <is>
          <t>midcap</t>
        </is>
      </c>
      <c r="M15" s="32" t="n">
        <v>17659.13</v>
      </c>
      <c r="N15" s="32" t="n">
        <v>4180</v>
      </c>
      <c r="O15" s="32" t="n">
        <v>4.27</v>
      </c>
      <c r="P15" s="32" t="n">
        <v>152799</v>
      </c>
      <c r="Q15" s="31" t="n">
        <v>71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70.18000000000001</v>
      </c>
      <c r="U15" s="32" t="n">
        <v>33.03</v>
      </c>
      <c r="V15" s="32" t="n">
        <v>3339.1</v>
      </c>
      <c r="W15" s="31" t="inlineStr">
        <is>
          <t>Near 52W High Breakout</t>
        </is>
      </c>
      <c r="X15" s="31" t="inlineStr">
        <is>
          <t>Nifty Auto</t>
        </is>
      </c>
      <c r="Y15" s="32" t="n">
        <v>10.42</v>
      </c>
      <c r="Z15" s="32" t="n">
        <v>63.42</v>
      </c>
      <c r="AA15" s="32" t="n">
        <v>47.99</v>
      </c>
      <c r="AB15" s="32" t="n">
        <v>20.41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No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139.3</v>
      </c>
      <c r="E16" s="32" t="inlineStr">
        <is>
          <t>5%</t>
        </is>
      </c>
      <c r="F16" s="32" t="n">
        <v>50000</v>
      </c>
      <c r="G16" s="32" t="n">
        <v>160</v>
      </c>
      <c r="H16" s="31" t="inlineStr">
        <is>
          <t>NYKAA</t>
        </is>
      </c>
      <c r="I16" s="31" t="inlineStr">
        <is>
          <t>FSN E-Commerce Ventures Ltd</t>
        </is>
      </c>
      <c r="J16" s="31" t="inlineStr">
        <is>
          <t>i.t</t>
        </is>
      </c>
      <c r="K16" s="31" t="inlineStr">
        <is>
          <t>trading</t>
        </is>
      </c>
      <c r="L16" s="31" t="inlineStr">
        <is>
          <t>largecap</t>
        </is>
      </c>
      <c r="M16" s="32" t="n">
        <v>86483.78</v>
      </c>
      <c r="N16" s="32" t="n">
        <v>310.85</v>
      </c>
      <c r="O16" s="32" t="n">
        <v>2.91</v>
      </c>
      <c r="P16" s="32" t="n">
        <v>10077069</v>
      </c>
      <c r="Q16" s="31" t="n">
        <v>58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69.51000000000001</v>
      </c>
      <c r="U16" s="32" t="n">
        <v>25.92</v>
      </c>
      <c r="V16" s="32" t="n">
        <v>260.57</v>
      </c>
      <c r="W16" s="31" t="inlineStr">
        <is>
          <t>Near 52W High Breakout</t>
        </is>
      </c>
      <c r="X16" s="31" t="inlineStr">
        <is>
          <t>Nifty IT</t>
        </is>
      </c>
      <c r="Y16" s="32" t="n">
        <v>-32.85</v>
      </c>
      <c r="Z16" s="32" t="n">
        <v>56.81</v>
      </c>
      <c r="AA16" s="32" t="n">
        <v>133.54</v>
      </c>
      <c r="AB16" s="32" t="n">
        <v>15.41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Between 0.7 to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139.2</v>
      </c>
      <c r="E17" s="32" t="inlineStr">
        <is>
          <t>5%</t>
        </is>
      </c>
      <c r="F17" s="32" t="n">
        <v>50000</v>
      </c>
      <c r="G17" s="32" t="n">
        <v>180</v>
      </c>
      <c r="H17" s="31" t="inlineStr">
        <is>
          <t>VIYASH</t>
        </is>
      </c>
      <c r="I17" s="31" t="inlineStr">
        <is>
          <t>Viyash Scientific Ltd</t>
        </is>
      </c>
      <c r="J17" s="31" t="inlineStr">
        <is>
          <t>healthcare</t>
        </is>
      </c>
      <c r="K17" s="31" t="inlineStr">
        <is>
          <t>pharmaceuticals - indian - bulk drugs &amp; formln</t>
        </is>
      </c>
      <c r="L17" s="31" t="inlineStr">
        <is>
          <t>midcap</t>
        </is>
      </c>
      <c r="M17" s="32" t="n">
        <v>11786.23</v>
      </c>
      <c r="N17" s="32" t="n">
        <v>276.75</v>
      </c>
      <c r="O17" s="32" t="n">
        <v>2.58</v>
      </c>
      <c r="P17" s="32" t="n">
        <v>3017717</v>
      </c>
      <c r="Q17" s="31" t="n">
        <v>67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72.59</v>
      </c>
      <c r="U17" s="32" t="n">
        <v>37.85</v>
      </c>
      <c r="V17" s="32" t="n">
        <v>214.59</v>
      </c>
      <c r="W17" s="31" t="inlineStr">
        <is>
          <t>Near 52W High Breakout</t>
        </is>
      </c>
      <c r="X17" s="31" t="inlineStr">
        <is>
          <t>Nifty Pharma</t>
        </is>
      </c>
      <c r="Y17" s="32" t="n">
        <v>13.14</v>
      </c>
      <c r="Z17" s="32" t="n">
        <v>46.91</v>
      </c>
      <c r="AA17" s="32" t="n">
        <v>29.85</v>
      </c>
      <c r="AB17" s="32" t="n">
        <v>18.23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Yes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Annuity, Lower One Time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Less than 50%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138.9</v>
      </c>
      <c r="E18" s="32" t="inlineStr">
        <is>
          <t>5%</t>
        </is>
      </c>
      <c r="F18" s="32" t="n">
        <v>50000</v>
      </c>
      <c r="G18" s="32" t="n">
        <v>446</v>
      </c>
      <c r="H18" s="31" t="inlineStr">
        <is>
          <t>GMRAIRPORT</t>
        </is>
      </c>
      <c r="I18" s="31" t="inlineStr">
        <is>
          <t>GMR Airports Ltd</t>
        </is>
      </c>
      <c r="J18" s="31" t="inlineStr">
        <is>
          <t>miscellaneous</t>
        </is>
      </c>
      <c r="K18" s="31" t="inlineStr">
        <is>
          <t>miscellaneous</t>
        </is>
      </c>
      <c r="L18" s="31" t="inlineStr">
        <is>
          <t>largecap</t>
        </is>
      </c>
      <c r="M18" s="32" t="n">
        <v>115536.31</v>
      </c>
      <c r="N18" s="32" t="n">
        <v>112.09</v>
      </c>
      <c r="O18" s="32" t="n">
        <v>2.44</v>
      </c>
      <c r="P18" s="32" t="n">
        <v>37519820</v>
      </c>
      <c r="Q18" s="31" t="n">
        <v>39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66.42</v>
      </c>
      <c r="U18" s="32" t="n">
        <v>16.45</v>
      </c>
      <c r="V18" s="32" t="n">
        <v>93.16</v>
      </c>
      <c r="W18" s="31" t="inlineStr">
        <is>
          <t>Near 52W High Breakout</t>
        </is>
      </c>
      <c r="X18" s="31" t="inlineStr">
        <is>
          <t>Nifty 500</t>
        </is>
      </c>
      <c r="Y18" s="32" t="n">
        <v>-2.41</v>
      </c>
      <c r="Z18" s="32" t="n">
        <v>24.67</v>
      </c>
      <c r="AA18" s="32" t="n">
        <v>27.74</v>
      </c>
      <c r="AB18" s="32" t="n">
        <v>10.81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0 to 20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139</v>
      </c>
      <c r="E19" s="32" t="inlineStr">
        <is>
          <t>5%</t>
        </is>
      </c>
      <c r="F19" s="32" t="n">
        <v>50000</v>
      </c>
      <c r="G19" s="32" t="n">
        <v>5</v>
      </c>
      <c r="H19" s="31" t="inlineStr">
        <is>
          <t>APOLLOHOSP</t>
        </is>
      </c>
      <c r="I19" s="31" t="inlineStr">
        <is>
          <t>Apollo Hospitals Enterprise Limited</t>
        </is>
      </c>
      <c r="J19" s="31" t="inlineStr">
        <is>
          <t>healthcare</t>
        </is>
      </c>
      <c r="K19" s="31" t="inlineStr">
        <is>
          <t>healthcare</t>
        </is>
      </c>
      <c r="L19" s="31" t="inlineStr">
        <is>
          <t>largecap</t>
        </is>
      </c>
      <c r="M19" s="32" t="n">
        <v>124445.62</v>
      </c>
      <c r="N19" s="32" t="n">
        <v>8682</v>
      </c>
      <c r="O19" s="32" t="n">
        <v>0.31</v>
      </c>
      <c r="P19" s="32" t="n">
        <v>491231</v>
      </c>
      <c r="Q19" s="31" t="n">
        <v>22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69.25</v>
      </c>
      <c r="U19" s="32" t="n">
        <v>18.08</v>
      </c>
      <c r="V19" s="32" t="n">
        <v>7670.61</v>
      </c>
      <c r="W19" s="31" t="inlineStr">
        <is>
          <t>Near 52W High Breakout</t>
        </is>
      </c>
      <c r="X19" s="31" t="inlineStr">
        <is>
          <t>Nifty Pharma</t>
        </is>
      </c>
      <c r="Y19" s="32" t="n">
        <v>13.14</v>
      </c>
      <c r="Z19" s="32" t="n">
        <v>15.24</v>
      </c>
      <c r="AA19" s="32" t="n">
        <v>1.85</v>
      </c>
      <c r="AB19" s="32" t="n">
        <v>6.9</v>
      </c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Oligopoly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Cyclical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B2C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Fully One Time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Above 40</t>
        </is>
      </c>
      <c r="BD19" s="31">
        <f>IF(BC19="Above 40",20,IF(BC19="20 to 40",10,IF(BC19="0 to 20",-5,0)))</f>
        <v/>
      </c>
      <c r="BE19" s="31" t="inlineStr">
        <is>
          <t>Above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Close to 52 week high or retracement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Yes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Between 1.5 to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140</v>
      </c>
      <c r="E20" s="32" t="inlineStr">
        <is>
          <t>5%</t>
        </is>
      </c>
      <c r="F20" s="32" t="n">
        <v>50000</v>
      </c>
      <c r="G20" s="32" t="n">
        <v>194</v>
      </c>
      <c r="H20" s="31" t="inlineStr">
        <is>
          <t>SETL</t>
        </is>
      </c>
      <c r="I20" s="31" t="inlineStr">
        <is>
          <t>Standard Enginnering Technology Ltd</t>
        </is>
      </c>
      <c r="J20" s="31" t="inlineStr">
        <is>
          <t>industrials</t>
        </is>
      </c>
      <c r="K20" s="31" t="inlineStr">
        <is>
          <t>engineering</t>
        </is>
      </c>
      <c r="L20" s="31" t="inlineStr">
        <is>
          <t>smallcap</t>
        </is>
      </c>
      <c r="M20" s="32" t="n">
        <v>4656.73</v>
      </c>
      <c r="N20" s="32" t="n">
        <v>256.77</v>
      </c>
      <c r="O20" s="32" t="n">
        <v>10</v>
      </c>
      <c r="P20" s="32" t="n">
        <v>1644928</v>
      </c>
      <c r="Q20" s="31" t="n">
        <v>90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83.78</v>
      </c>
      <c r="U20" s="32" t="n">
        <v>19.59</v>
      </c>
      <c r="V20" s="32" t="n">
        <v>198.48</v>
      </c>
      <c r="W20" s="31" t="inlineStr">
        <is>
          <t>Near 52W High Breakout</t>
        </is>
      </c>
      <c r="X20" s="31" t="inlineStr">
        <is>
          <t>Nifty Infra</t>
        </is>
      </c>
      <c r="Y20" s="32" t="n">
        <v>-0.44</v>
      </c>
      <c r="Z20" s="32" t="n">
        <v>51.34</v>
      </c>
      <c r="AA20" s="32" t="n">
        <v>52.02</v>
      </c>
      <c r="AB20" s="32" t="n">
        <v>35.94</v>
      </c>
      <c r="AC20" s="31" t="inlineStr">
        <is>
          <t>Cyclical in an Upturn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0 to 20</t>
        </is>
      </c>
      <c r="BD20" s="31">
        <f>IF(BC20="Above 40",20,IF(BC20="20 to 40",10,IF(BC20="0 to 20",-5,0)))</f>
        <v/>
      </c>
      <c r="BE20" s="31" t="inlineStr">
        <is>
          <t>Above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Less than 50%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139</v>
      </c>
      <c r="E21" s="32" t="inlineStr">
        <is>
          <t>5%</t>
        </is>
      </c>
      <c r="F21" s="32" t="n">
        <v>50000</v>
      </c>
      <c r="G21" s="32" t="n">
        <v>131</v>
      </c>
      <c r="H21" s="31" t="inlineStr">
        <is>
          <t>ACMESOLAR</t>
        </is>
      </c>
      <c r="I21" s="31" t="inlineStr">
        <is>
          <t>ACME Solar Holdings Ltd</t>
        </is>
      </c>
      <c r="J21" s="31" t="inlineStr">
        <is>
          <t>realty</t>
        </is>
      </c>
      <c r="K21" s="31" t="inlineStr">
        <is>
          <t>engineering - turnkey services</t>
        </is>
      </c>
      <c r="L21" s="31" t="inlineStr">
        <is>
          <t>largecap</t>
        </is>
      </c>
      <c r="M21" s="32" t="n">
        <v>26780.77</v>
      </c>
      <c r="N21" s="32" t="n">
        <v>380.55</v>
      </c>
      <c r="O21" s="32" t="n">
        <v>0.34</v>
      </c>
      <c r="P21" s="32" t="n">
        <v>1925905</v>
      </c>
      <c r="Q21" s="31" t="n">
        <v>65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72</v>
      </c>
      <c r="U21" s="32" t="n">
        <v>27.38</v>
      </c>
      <c r="V21" s="32" t="n">
        <v>298.38</v>
      </c>
      <c r="W21" s="31" t="inlineStr">
        <is>
          <t>Near 52W High Breakout</t>
        </is>
      </c>
      <c r="X21" s="31" t="inlineStr">
        <is>
          <t>Nifty Realty</t>
        </is>
      </c>
      <c r="Y21" s="32" t="n">
        <v>-14.65</v>
      </c>
      <c r="Z21" s="32" t="n">
        <v>52.62</v>
      </c>
      <c r="AA21" s="32" t="n">
        <v>78.81</v>
      </c>
      <c r="AB21" s="32" t="n">
        <v>18.03</v>
      </c>
      <c r="AC21" s="31" t="inlineStr">
        <is>
          <t>Growing Industry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20 to 40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Less than 12%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Between 50% to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More than 1.2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EMA Crossover</t>
        </is>
      </c>
      <c r="D22" s="32" t="n">
        <v>141.3</v>
      </c>
      <c r="E22" s="32" t="inlineStr">
        <is>
          <t>7%</t>
        </is>
      </c>
      <c r="F22" s="32" t="n">
        <v>70000</v>
      </c>
      <c r="G22" s="32" t="n">
        <v>4</v>
      </c>
      <c r="H22" s="31" t="inlineStr">
        <is>
          <t>MARUTI</t>
        </is>
      </c>
      <c r="I22" s="31" t="inlineStr">
        <is>
          <t>Maruti Suzuki India Limited</t>
        </is>
      </c>
      <c r="J22" s="31" t="inlineStr">
        <is>
          <t>auto</t>
        </is>
      </c>
      <c r="K22" s="31" t="inlineStr">
        <is>
          <t>automobiles - passenger cars</t>
        </is>
      </c>
      <c r="L22" s="31" t="inlineStr">
        <is>
          <t>largecap</t>
        </is>
      </c>
      <c r="M22" s="32" t="n">
        <v>421676.73</v>
      </c>
      <c r="N22" s="32" t="n">
        <v>14115</v>
      </c>
      <c r="O22" s="32" t="n">
        <v>5.24</v>
      </c>
      <c r="P22" s="32" t="n">
        <v>1511415</v>
      </c>
      <c r="Q22" s="31" t="n">
        <v>19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53.11</v>
      </c>
      <c r="U22" s="32" t="n">
        <v>17.29</v>
      </c>
      <c r="V22" s="32" t="n">
        <v>12002.55</v>
      </c>
      <c r="W22" s="31" t="inlineStr">
        <is>
          <t>Earnings / Momentum Support</t>
        </is>
      </c>
      <c r="X22" s="31" t="inlineStr">
        <is>
          <t>Nifty Auto</t>
        </is>
      </c>
      <c r="Y22" s="32" t="n">
        <v>10.42</v>
      </c>
      <c r="Z22" s="32" t="n">
        <v>12.82</v>
      </c>
      <c r="AA22" s="32" t="n">
        <v>2.18</v>
      </c>
      <c r="AB22" s="32" t="n">
        <v>6.32</v>
      </c>
      <c r="AC22" s="31" t="inlineStr">
        <is>
          <t>Growing Industry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Headwind</t>
        </is>
      </c>
      <c r="AJ22" s="31">
        <f>IF(AI22="Tailwind",10,0)</f>
        <v/>
      </c>
      <c r="AK22" s="31" t="inlineStr">
        <is>
          <t>Structural (10 Years Consistency)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Stable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No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0 to 20</t>
        </is>
      </c>
      <c r="BD22" s="31">
        <f>IF(BC22="Above 40",20,IF(BC22="20 to 40",10,IF(BC22="0 to 20",-5,0)))</f>
        <v/>
      </c>
      <c r="BE22" s="31" t="inlineStr">
        <is>
          <t>Between 50 to 75</t>
        </is>
      </c>
      <c r="BF22" s="31">
        <f>IF(BE22="Between 50 to 75",10,IF(BE22="Above 75",0,0))</f>
        <v/>
      </c>
      <c r="BG22" s="31" t="inlineStr">
        <is>
          <t>Stage 1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Close to 52 week high or retracement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Less than 12%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No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Less than 0.7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139.5</v>
      </c>
      <c r="E2" s="32" t="inlineStr">
        <is>
          <t>5%</t>
        </is>
      </c>
      <c r="F2" s="32" t="n">
        <v>50000</v>
      </c>
      <c r="G2" s="32" t="n">
        <v>151</v>
      </c>
      <c r="H2" s="31" t="inlineStr">
        <is>
          <t>FEDERALBNK</t>
        </is>
      </c>
      <c r="I2" s="31" t="inlineStr">
        <is>
          <t>The Federal Bank  Limited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largecap</t>
        </is>
      </c>
      <c r="M2" s="32" t="n">
        <v>79855.07000000001</v>
      </c>
      <c r="N2" s="32" t="n">
        <v>330.05</v>
      </c>
      <c r="O2" s="32" t="n">
        <v>1.85</v>
      </c>
      <c r="P2" s="32" t="n">
        <v>15572787</v>
      </c>
      <c r="Q2" s="31" t="n">
        <v>57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71.84</v>
      </c>
      <c r="U2" s="32" t="n">
        <v>23.35</v>
      </c>
      <c r="V2" s="32" t="n">
        <v>286.19</v>
      </c>
      <c r="W2" s="31" t="inlineStr">
        <is>
          <t>Near 52W High Breakout</t>
        </is>
      </c>
      <c r="X2" s="31" t="inlineStr">
        <is>
          <t>Nifty Bank</t>
        </is>
      </c>
      <c r="Y2" s="32" t="n">
        <v>0.9</v>
      </c>
      <c r="Z2" s="32" t="n">
        <v>54.21</v>
      </c>
      <c r="AA2" s="32" t="n">
        <v>52.84</v>
      </c>
      <c r="AB2" s="32" t="n">
        <v>15.34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IF(B2=0,"",RANK(B2,$B$2:$B$93,0))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VMARCIND</t>
        </is>
      </c>
      <c r="D2" s="31" t="inlineStr">
        <is>
          <t>V-Marc India Ltd</t>
        </is>
      </c>
      <c r="E2" s="31" t="inlineStr">
        <is>
          <t>unknown</t>
        </is>
      </c>
      <c r="F2" s="31" t="inlineStr">
        <is>
          <t>Cables - Power</t>
        </is>
      </c>
      <c r="G2" s="31" t="inlineStr">
        <is>
          <t>smallcap</t>
        </is>
      </c>
      <c r="H2" s="32" t="n">
        <v>3931.73</v>
      </c>
      <c r="I2" s="32" t="n">
        <v>1610</v>
      </c>
      <c r="J2" s="32" t="n">
        <v>3.21</v>
      </c>
      <c r="K2" s="32" t="n">
        <v>0</v>
      </c>
      <c r="L2" s="31" t="n">
        <v>97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77.44</v>
      </c>
      <c r="P2" s="32" t="n">
        <v>53.96</v>
      </c>
      <c r="Q2" s="32" t="n">
        <v>1197.49</v>
      </c>
      <c r="R2" s="31" t="inlineStr">
        <is>
          <t>Near 52W High Breakout</t>
        </is>
      </c>
      <c r="S2" s="31" t="inlineStr">
        <is>
          <t>Nifty 50</t>
        </is>
      </c>
      <c r="T2" s="32" t="n">
        <v>-6.27</v>
      </c>
      <c r="U2" s="32" t="n">
        <v>271.52</v>
      </c>
      <c r="V2" s="32" t="n">
        <v>296.36</v>
      </c>
      <c r="W2" s="32" t="n">
        <v>67.83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20</t>
        </is>
      </c>
      <c r="CG2" s="31">
        <f>IF(CF2&gt;20,10,IF(CF2&gt;=10,5,2))</f>
        <v/>
      </c>
    </row>
    <row r="3">
      <c r="A3" s="31">
        <f>IF(B3=0,"",RANK(B3,$B$2:$B$93,0))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BAJAJCON</t>
        </is>
      </c>
      <c r="D3" s="31" t="inlineStr">
        <is>
          <t>Bajaj Consumer Care Ltd</t>
        </is>
      </c>
      <c r="E3" s="31" t="inlineStr">
        <is>
          <t>fmcg</t>
        </is>
      </c>
      <c r="F3" s="31" t="inlineStr">
        <is>
          <t>FMCG - Personal Care</t>
        </is>
      </c>
      <c r="G3" s="31" t="inlineStr">
        <is>
          <t>midcap</t>
        </is>
      </c>
      <c r="H3" s="32" t="n">
        <v>7843.63</v>
      </c>
      <c r="I3" s="32" t="n">
        <v>600.5</v>
      </c>
      <c r="J3" s="32" t="n">
        <v>0.21</v>
      </c>
      <c r="K3" s="32" t="n">
        <v>0</v>
      </c>
      <c r="L3" s="31" t="n">
        <v>92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71.08</v>
      </c>
      <c r="P3" s="32" t="n">
        <v>61.08</v>
      </c>
      <c r="Q3" s="32" t="n">
        <v>491.24</v>
      </c>
      <c r="R3" s="31" t="inlineStr">
        <is>
          <t>Near 52W High Breakout</t>
        </is>
      </c>
      <c r="S3" s="31" t="inlineStr">
        <is>
          <t>Nifty FMCG</t>
        </is>
      </c>
      <c r="T3" s="32" t="n">
        <v>-10.85</v>
      </c>
      <c r="U3" s="32" t="n">
        <v>171.2</v>
      </c>
      <c r="V3" s="32" t="n">
        <v>204.22</v>
      </c>
      <c r="W3" s="32" t="n">
        <v>37.45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23</t>
        </is>
      </c>
      <c r="CG3" s="31">
        <f>IF(CF3&gt;20,10,IF(CF3&gt;=10,5,2))</f>
        <v/>
      </c>
    </row>
    <row r="4">
      <c r="A4" s="31">
        <f>IF(B4=0,"",RANK(B4,$B$2:$B$93,0))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RPTECH</t>
        </is>
      </c>
      <c r="D4" s="31" t="inlineStr">
        <is>
          <t>Rashi Peripherals Ltd</t>
        </is>
      </c>
      <c r="E4" s="31" t="inlineStr">
        <is>
          <t>services</t>
        </is>
      </c>
      <c r="F4" s="31" t="inlineStr">
        <is>
          <t>Trading</t>
        </is>
      </c>
      <c r="G4" s="31" t="inlineStr">
        <is>
          <t>midcap</t>
        </is>
      </c>
      <c r="H4" s="32" t="n">
        <v>5107.22</v>
      </c>
      <c r="I4" s="32" t="n">
        <v>775</v>
      </c>
      <c r="J4" s="32" t="n">
        <v>1.97</v>
      </c>
      <c r="K4" s="32" t="n">
        <v>0</v>
      </c>
      <c r="L4" s="31" t="n">
        <v>95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87.66</v>
      </c>
      <c r="P4" s="32" t="n">
        <v>63.65</v>
      </c>
      <c r="Q4" s="32" t="n">
        <v>610.3200000000001</v>
      </c>
      <c r="R4" s="31" t="inlineStr">
        <is>
          <t>Near 52W High Breakout</t>
        </is>
      </c>
      <c r="S4" s="31" t="inlineStr">
        <is>
          <t>Nifty 50</t>
        </is>
      </c>
      <c r="T4" s="32" t="n">
        <v>-6.27</v>
      </c>
      <c r="U4" s="32" t="n">
        <v>162.84</v>
      </c>
      <c r="V4" s="32" t="n">
        <v>180.41</v>
      </c>
      <c r="W4" s="32" t="n">
        <v>49.38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Less than 50%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28</t>
        </is>
      </c>
      <c r="CG4" s="31">
        <f>IF(CF4&gt;20,10,IF(CF4&gt;=10,5,2))</f>
        <v/>
      </c>
    </row>
    <row r="5">
      <c r="A5" s="31">
        <f>IF(B5=0,"",RANK(B5,$B$2:$B$93,0))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ACCENTMIC</t>
        </is>
      </c>
      <c r="D5" s="31" t="inlineStr">
        <is>
          <t>Accent Microcell Ltd</t>
        </is>
      </c>
      <c r="E5" s="31" t="inlineStr">
        <is>
          <t>unknown</t>
        </is>
      </c>
      <c r="F5" s="31" t="inlineStr">
        <is>
          <t>Pharma - Formulators</t>
        </is>
      </c>
      <c r="G5" s="31" t="inlineStr">
        <is>
          <t>smallcap</t>
        </is>
      </c>
      <c r="H5" s="32" t="n">
        <v>1164.67</v>
      </c>
      <c r="I5" s="32" t="n">
        <v>485.5</v>
      </c>
      <c r="J5" s="32" t="n">
        <v>1.73</v>
      </c>
      <c r="K5" s="32" t="n">
        <v>0</v>
      </c>
      <c r="L5" s="31" t="n">
        <v>69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69.81</v>
      </c>
      <c r="P5" s="32" t="n">
        <v>59.34</v>
      </c>
      <c r="Q5" s="32" t="n">
        <v>374.69</v>
      </c>
      <c r="R5" s="31" t="inlineStr">
        <is>
          <t>Near 52W High Breakout</t>
        </is>
      </c>
      <c r="S5" s="31" t="inlineStr">
        <is>
          <t>Nifty 50</t>
        </is>
      </c>
      <c r="T5" s="32" t="n">
        <v>-6.27</v>
      </c>
      <c r="U5" s="32" t="n">
        <v>80.04000000000001</v>
      </c>
      <c r="V5" s="32" t="n">
        <v>92.08</v>
      </c>
      <c r="W5" s="32" t="n">
        <v>19.43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19</t>
        </is>
      </c>
      <c r="CG5" s="31">
        <f>IF(CF5&gt;20,10,IF(CF5&gt;=10,5,2))</f>
        <v/>
      </c>
    </row>
    <row r="6">
      <c r="A6" s="31">
        <f>IF(B6=0,"",RANK(B6,$B$2:$B$93,0))</f>
        <v/>
      </c>
      <c r="B6" s="32">
        <f>SUM(N6,Y6,AA6,AC6,AE6,AG6,AI6,AK6,AM6,AO6,AQ6,AS6,AU6,AW6,AY6,BA6,BC6,BE6,BG6,BI6,BK6,BM6,BO6,BQ6,BS6,BU6,BW6,BY6,CA6,CC6,CE6,CG6)</f>
        <v/>
      </c>
      <c r="C6" s="34" t="inlineStr">
        <is>
          <t>IOLCP</t>
        </is>
      </c>
      <c r="D6" s="34" t="inlineStr">
        <is>
          <t>IOL Chemicals &amp; Pharmaceuticals Ltd</t>
        </is>
      </c>
      <c r="E6" s="31" t="inlineStr">
        <is>
          <t>healthcare</t>
        </is>
      </c>
      <c r="F6" s="31" t="inlineStr">
        <is>
          <t>Pharma - API &amp; CRAMS</t>
        </is>
      </c>
      <c r="G6" s="31" t="inlineStr">
        <is>
          <t>smallcap</t>
        </is>
      </c>
      <c r="H6" s="32" t="n">
        <v>4264.95</v>
      </c>
      <c r="I6" s="32" t="n">
        <v>145.3</v>
      </c>
      <c r="J6" s="32" t="n">
        <v>1.59</v>
      </c>
      <c r="K6" s="32" t="n">
        <v>0</v>
      </c>
      <c r="L6" s="31" t="n">
        <v>88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80.98999999999999</v>
      </c>
      <c r="P6" s="32" t="n">
        <v>55.02</v>
      </c>
      <c r="Q6" s="32" t="n">
        <v>110.85</v>
      </c>
      <c r="R6" s="31" t="inlineStr">
        <is>
          <t>Near 52W High Breakout</t>
        </is>
      </c>
      <c r="S6" s="31" t="inlineStr">
        <is>
          <t>Nifty Pharma</t>
        </is>
      </c>
      <c r="T6" s="32" t="n">
        <v>13.14</v>
      </c>
      <c r="U6" s="32" t="n">
        <v>57.26</v>
      </c>
      <c r="V6" s="32" t="n">
        <v>38.99</v>
      </c>
      <c r="W6" s="32" t="n">
        <v>32.31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18</t>
        </is>
      </c>
      <c r="CG6" s="31">
        <f>IF(CF6&gt;20,10,IF(CF6&gt;=10,5,2))</f>
        <v/>
      </c>
    </row>
    <row r="7">
      <c r="A7" s="31">
        <f>IF(B7=0,"",RANK(B7,$B$2:$B$93,0))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WHEELS</t>
        </is>
      </c>
      <c r="D7" s="31" t="inlineStr">
        <is>
          <t>Wheels India Ltd</t>
        </is>
      </c>
      <c r="E7" s="31" t="inlineStr">
        <is>
          <t>auto</t>
        </is>
      </c>
      <c r="F7" s="31" t="inlineStr">
        <is>
          <t>Auto Ancillaries - Wheels</t>
        </is>
      </c>
      <c r="G7" s="31" t="inlineStr">
        <is>
          <t>smallcap</t>
        </is>
      </c>
      <c r="H7" s="32" t="n">
        <v>4332.46</v>
      </c>
      <c r="I7" s="32" t="n">
        <v>1773.2</v>
      </c>
      <c r="J7" s="32" t="n">
        <v>-0.83</v>
      </c>
      <c r="K7" s="32" t="n">
        <v>0</v>
      </c>
      <c r="L7" s="31" t="n">
        <v>92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74.31999999999999</v>
      </c>
      <c r="P7" s="32" t="n">
        <v>57.51</v>
      </c>
      <c r="Q7" s="32" t="n">
        <v>1360.87</v>
      </c>
      <c r="R7" s="31" t="inlineStr">
        <is>
          <t>Near 52W High Breakout</t>
        </is>
      </c>
      <c r="S7" s="31" t="inlineStr">
        <is>
          <t>Nifty Auto</t>
        </is>
      </c>
      <c r="T7" s="32" t="n">
        <v>10.42</v>
      </c>
      <c r="U7" s="32" t="n">
        <v>121.9</v>
      </c>
      <c r="V7" s="32" t="n">
        <v>100.96</v>
      </c>
      <c r="W7" s="32" t="n">
        <v>37.62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Less than 12%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24</t>
        </is>
      </c>
      <c r="CG7" s="31">
        <f>IF(CF7&gt;20,10,IF(CF7&gt;=10,5,2))</f>
        <v/>
      </c>
    </row>
    <row r="8">
      <c r="A8" s="31">
        <f>IF(B8=0,"",RANK(B8,$B$2:$B$93,0))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IBULLSLTD</t>
        </is>
      </c>
      <c r="D8" s="31" t="inlineStr">
        <is>
          <t>Indiabulls Limited</t>
        </is>
      </c>
      <c r="E8" s="31" t="inlineStr">
        <is>
          <t>miscellaneous</t>
        </is>
      </c>
      <c r="F8" s="31" t="inlineStr">
        <is>
          <t>Diversified</t>
        </is>
      </c>
      <c r="G8" s="31" t="inlineStr">
        <is>
          <t>midcap</t>
        </is>
      </c>
      <c r="H8" s="32" t="n">
        <v>6459.82</v>
      </c>
      <c r="I8" s="32" t="n">
        <v>27.73</v>
      </c>
      <c r="J8" s="32" t="n">
        <v>3.05</v>
      </c>
      <c r="K8" s="32" t="n">
        <v>0</v>
      </c>
      <c r="L8" s="31" t="n">
        <v>96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76.29000000000001</v>
      </c>
      <c r="P8" s="32" t="n">
        <v>38.76</v>
      </c>
      <c r="Q8" s="32" t="n">
        <v>20.15</v>
      </c>
      <c r="R8" s="31" t="inlineStr">
        <is>
          <t>Near 52W High Breakout</t>
        </is>
      </c>
      <c r="S8" s="31" t="inlineStr">
        <is>
          <t>Nifty 50</t>
        </is>
      </c>
      <c r="T8" s="32" t="n">
        <v>-6.27</v>
      </c>
      <c r="U8" s="32" t="n">
        <v>64.95</v>
      </c>
      <c r="V8" s="32" t="n">
        <v>75.97</v>
      </c>
      <c r="W8" s="32" t="n">
        <v>58.05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20 to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Between 50% to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21</t>
        </is>
      </c>
      <c r="CG8" s="31">
        <f>IF(CF8&gt;20,10,IF(CF8&gt;=10,5,2))</f>
        <v/>
      </c>
    </row>
    <row r="9">
      <c r="A9" s="31">
        <f>IF(B9=0,"",RANK(B9,$B$2:$B$93,0))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INDOBORAX</t>
        </is>
      </c>
      <c r="D9" s="31" t="inlineStr">
        <is>
          <t>Indo Borax &amp; Chemicals Ltd</t>
        </is>
      </c>
      <c r="E9" s="31" t="inlineStr">
        <is>
          <t>chemicals</t>
        </is>
      </c>
      <c r="F9" s="31" t="inlineStr">
        <is>
          <t>Chemicals - Inorganic</t>
        </is>
      </c>
      <c r="G9" s="31" t="inlineStr">
        <is>
          <t>smallcap</t>
        </is>
      </c>
      <c r="H9" s="32" t="n">
        <v>1225.84</v>
      </c>
      <c r="I9" s="32" t="n">
        <v>382</v>
      </c>
      <c r="J9" s="32" t="n">
        <v>-0.26</v>
      </c>
      <c r="K9" s="32" t="n">
        <v>0</v>
      </c>
      <c r="L9" s="31" t="n">
        <v>79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78.88</v>
      </c>
      <c r="P9" s="32" t="n">
        <v>59.93</v>
      </c>
      <c r="Q9" s="32" t="n">
        <v>294.42</v>
      </c>
      <c r="R9" s="31" t="inlineStr">
        <is>
          <t>Near 52W High Breakout</t>
        </is>
      </c>
      <c r="S9" s="31" t="inlineStr">
        <is>
          <t>Nifty 50</t>
        </is>
      </c>
      <c r="T9" s="32" t="n">
        <v>-6.27</v>
      </c>
      <c r="U9" s="32" t="n">
        <v>72.77</v>
      </c>
      <c r="V9" s="32" t="n">
        <v>84.31999999999999</v>
      </c>
      <c r="W9" s="32" t="n">
        <v>24.21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19</t>
        </is>
      </c>
      <c r="CG9" s="31">
        <f>IF(CF9&gt;20,10,IF(CF9&gt;=10,5,2))</f>
        <v/>
      </c>
    </row>
    <row r="10">
      <c r="A10" s="31">
        <f>IF(B10=0,"",RANK(B10,$B$2:$B$93,0))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CUPID</t>
        </is>
      </c>
      <c r="D10" s="31" t="inlineStr">
        <is>
          <t>Cupid Ltd</t>
        </is>
      </c>
      <c r="E10" s="31" t="inlineStr">
        <is>
          <t>fmcg</t>
        </is>
      </c>
      <c r="F10" s="31" t="inlineStr">
        <is>
          <t>Contraceptives/Protectives</t>
        </is>
      </c>
      <c r="G10" s="31" t="inlineStr">
        <is>
          <t>largecap</t>
        </is>
      </c>
      <c r="H10" s="32" t="n">
        <v>25548.55</v>
      </c>
      <c r="I10" s="32" t="n">
        <v>190</v>
      </c>
      <c r="J10" s="32" t="n">
        <v>0.8100000000000001</v>
      </c>
      <c r="K10" s="32" t="n">
        <v>0</v>
      </c>
      <c r="L10" s="31" t="n">
        <v>98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86.19</v>
      </c>
      <c r="P10" s="32" t="n">
        <v>56.1</v>
      </c>
      <c r="Q10" s="32" t="n">
        <v>152.86</v>
      </c>
      <c r="R10" s="31" t="inlineStr">
        <is>
          <t>Near 52W High Breakout</t>
        </is>
      </c>
      <c r="S10" s="31" t="inlineStr">
        <is>
          <t>Nifty FMCG</t>
        </is>
      </c>
      <c r="T10" s="32" t="n">
        <v>-10.85</v>
      </c>
      <c r="U10" s="32" t="n">
        <v>772.6799999999999</v>
      </c>
      <c r="V10" s="32" t="n">
        <v>878.9400000000001</v>
      </c>
      <c r="W10" s="32" t="n">
        <v>86.20999999999999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Less than 50%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24</t>
        </is>
      </c>
      <c r="CG10" s="31">
        <f>IF(CF10&gt;20,10,IF(CF10&gt;=10,5,2))</f>
        <v/>
      </c>
    </row>
    <row r="11">
      <c r="A11" s="31">
        <f>IF(B11=0,"",RANK(B11,$B$2:$B$93,0))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MODINSU</t>
        </is>
      </c>
      <c r="D11" s="31" t="inlineStr">
        <is>
          <t>Modern Insulators Ltd</t>
        </is>
      </c>
      <c r="E11" s="31" t="inlineStr">
        <is>
          <t>Technology</t>
        </is>
      </c>
      <c r="F11" s="31" t="inlineStr">
        <is>
          <t>Capital Goods - Electric General</t>
        </is>
      </c>
      <c r="G11" s="31" t="inlineStr">
        <is>
          <t>smallcap</t>
        </is>
      </c>
      <c r="H11" s="32" t="n">
        <v>2559.91</v>
      </c>
      <c r="I11" s="32" t="n">
        <v>543</v>
      </c>
      <c r="J11" s="32" t="n">
        <v>0.83</v>
      </c>
      <c r="K11" s="32" t="n">
        <v>0</v>
      </c>
      <c r="L11" s="31" t="n">
        <v>97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75.86</v>
      </c>
      <c r="P11" s="32" t="n">
        <v>49.12</v>
      </c>
      <c r="Q11" s="32" t="n">
        <v>400.64</v>
      </c>
      <c r="R11" s="31" t="inlineStr">
        <is>
          <t>Near 52W High Breakout</t>
        </is>
      </c>
      <c r="S11" s="31" t="inlineStr">
        <is>
          <t>Nifty 50</t>
        </is>
      </c>
      <c r="T11" s="32" t="n">
        <v>-6.27</v>
      </c>
      <c r="U11" s="32" t="n">
        <v>381.89</v>
      </c>
      <c r="V11" s="32" t="n">
        <v>414.1</v>
      </c>
      <c r="W11" s="32" t="n">
        <v>68.04000000000001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Less than 50%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23</t>
        </is>
      </c>
      <c r="CG11" s="31">
        <f>IF(CF11&gt;20,10,IF(CF11&gt;=10,5,2))</f>
        <v/>
      </c>
    </row>
    <row r="12">
      <c r="A12" s="31">
        <f>IF(B12=0,"",RANK(B12,$B$2:$B$93,0))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BLISSGVS</t>
        </is>
      </c>
      <c r="D12" s="31" t="inlineStr">
        <is>
          <t>Bliss GVS Pharma Ltd</t>
        </is>
      </c>
      <c r="E12" s="31" t="inlineStr">
        <is>
          <t>healthcare</t>
        </is>
      </c>
      <c r="F12" s="31" t="inlineStr">
        <is>
          <t>Pharma - Formulators</t>
        </is>
      </c>
      <c r="G12" s="31" t="inlineStr">
        <is>
          <t>midcap</t>
        </is>
      </c>
      <c r="H12" s="32" t="n">
        <v>5716.96</v>
      </c>
      <c r="I12" s="32" t="n">
        <v>539.05</v>
      </c>
      <c r="J12" s="32" t="n">
        <v>1.52</v>
      </c>
      <c r="K12" s="32" t="n">
        <v>0</v>
      </c>
      <c r="L12" s="31" t="n">
        <v>97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92.08</v>
      </c>
      <c r="P12" s="32" t="n">
        <v>70.89</v>
      </c>
      <c r="Q12" s="32" t="n">
        <v>421.7</v>
      </c>
      <c r="R12" s="31" t="inlineStr">
        <is>
          <t>Near 52W High Breakout</t>
        </is>
      </c>
      <c r="S12" s="31" t="inlineStr">
        <is>
          <t>Nifty Pharma</t>
        </is>
      </c>
      <c r="T12" s="32" t="n">
        <v>13.14</v>
      </c>
      <c r="U12" s="32" t="n">
        <v>247.2</v>
      </c>
      <c r="V12" s="32" t="n">
        <v>206.87</v>
      </c>
      <c r="W12" s="32" t="n">
        <v>61.95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21</t>
        </is>
      </c>
      <c r="CG12" s="31">
        <f>IF(CF12&gt;20,10,IF(CF12&gt;=10,5,2))</f>
        <v/>
      </c>
    </row>
    <row r="13">
      <c r="A13" s="31">
        <f>IF(B13=0,"",RANK(B13,$B$2:$B$93,0))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GLAND</t>
        </is>
      </c>
      <c r="D13" s="31" t="inlineStr">
        <is>
          <t>Gland Pharma Ltd</t>
        </is>
      </c>
      <c r="E13" s="31" t="inlineStr">
        <is>
          <t>healthcare</t>
        </is>
      </c>
      <c r="F13" s="31" t="inlineStr">
        <is>
          <t>Pharma - API &amp; CRAMS</t>
        </is>
      </c>
      <c r="G13" s="31" t="inlineStr">
        <is>
          <t>largecap</t>
        </is>
      </c>
      <c r="H13" s="32" t="n">
        <v>40761.54</v>
      </c>
      <c r="I13" s="32" t="n">
        <v>2471</v>
      </c>
      <c r="J13" s="32" t="n">
        <v>3.96</v>
      </c>
      <c r="K13" s="32" t="n">
        <v>0</v>
      </c>
      <c r="L13" s="31" t="n">
        <v>64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72.90000000000001</v>
      </c>
      <c r="P13" s="32" t="n">
        <v>40.7</v>
      </c>
      <c r="Q13" s="32" t="n">
        <v>2012.8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13.14</v>
      </c>
      <c r="U13" s="32" t="n">
        <v>34.47</v>
      </c>
      <c r="V13" s="32" t="n">
        <v>18.85</v>
      </c>
      <c r="W13" s="32" t="n">
        <v>17.41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Between 50% to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20</t>
        </is>
      </c>
      <c r="CG13" s="31">
        <f>IF(CF13&gt;20,10,IF(CF13&gt;=10,5,2))</f>
        <v/>
      </c>
    </row>
    <row r="14">
      <c r="A14" s="31">
        <f>IF(B14=0,"",RANK(B14,$B$2:$B$93,0))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THANGAMAYL</t>
        </is>
      </c>
      <c r="D14" s="31" t="inlineStr">
        <is>
          <t>Thangamayil Jewellery Ltd</t>
        </is>
      </c>
      <c r="E14" s="31" t="inlineStr">
        <is>
          <t>consumer discretionary</t>
        </is>
      </c>
      <c r="F14" s="31" t="inlineStr">
        <is>
          <t>Diamond, Gems &amp; Jewellery</t>
        </is>
      </c>
      <c r="G14" s="31" t="inlineStr">
        <is>
          <t>midcap</t>
        </is>
      </c>
      <c r="H14" s="32" t="n">
        <v>19923.58</v>
      </c>
      <c r="I14" s="32" t="n">
        <v>6410</v>
      </c>
      <c r="J14" s="32" t="n">
        <v>9.4</v>
      </c>
      <c r="K14" s="32" t="n">
        <v>0</v>
      </c>
      <c r="L14" s="31" t="n">
        <v>95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77</v>
      </c>
      <c r="P14" s="32" t="n">
        <v>43.28</v>
      </c>
      <c r="Q14" s="32" t="n">
        <v>4851.09</v>
      </c>
      <c r="R14" s="31" t="inlineStr">
        <is>
          <t>Near 52W High Breakout</t>
        </is>
      </c>
      <c r="S14" s="31" t="inlineStr">
        <is>
          <t>Nifty 50</t>
        </is>
      </c>
      <c r="T14" s="32" t="n">
        <v>-6.27</v>
      </c>
      <c r="U14" s="32" t="n">
        <v>239.11</v>
      </c>
      <c r="V14" s="32" t="n">
        <v>261.78</v>
      </c>
      <c r="W14" s="32" t="n">
        <v>47.24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Between 50% to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26</t>
        </is>
      </c>
      <c r="CG14" s="31">
        <f>IF(CF14&gt;20,10,IF(CF14&gt;=10,5,2))</f>
        <v/>
      </c>
    </row>
    <row r="15">
      <c r="A15" s="31">
        <f>IF(B15=0,"",RANK(B15,$B$2:$B$93,0))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AEGISLOG</t>
        </is>
      </c>
      <c r="D15" s="31" t="inlineStr">
        <is>
          <t>Aegis Logistics Ltd</t>
        </is>
      </c>
      <c r="E15" s="31" t="inlineStr">
        <is>
          <t>services</t>
        </is>
      </c>
      <c r="F15" s="31" t="inlineStr">
        <is>
          <t>Logistics</t>
        </is>
      </c>
      <c r="G15" s="31" t="inlineStr">
        <is>
          <t>largecap</t>
        </is>
      </c>
      <c r="H15" s="32" t="n">
        <v>41314.46</v>
      </c>
      <c r="I15" s="32" t="n">
        <v>1177.05</v>
      </c>
      <c r="J15" s="32" t="n">
        <v>-0.74</v>
      </c>
      <c r="K15" s="32" t="n">
        <v>0</v>
      </c>
      <c r="L15" s="31" t="n">
        <v>90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81.43000000000001</v>
      </c>
      <c r="P15" s="32" t="n">
        <v>30.69</v>
      </c>
      <c r="Q15" s="32" t="n">
        <v>928.46</v>
      </c>
      <c r="R15" s="31" t="inlineStr">
        <is>
          <t>Near 52W High Breakout</t>
        </is>
      </c>
      <c r="S15" s="31" t="inlineStr">
        <is>
          <t>Nifty 50</t>
        </is>
      </c>
      <c r="T15" s="32" t="n">
        <v>-6.27</v>
      </c>
      <c r="U15" s="32" t="n">
        <v>56.94</v>
      </c>
      <c r="V15" s="32" t="n">
        <v>67.43000000000001</v>
      </c>
      <c r="W15" s="32" t="n">
        <v>35.96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26</t>
        </is>
      </c>
      <c r="CG15" s="31">
        <f>IF(CF15&gt;20,10,IF(CF15&gt;=10,5,2))</f>
        <v/>
      </c>
    </row>
    <row r="16">
      <c r="A16" s="31">
        <f>IF(B16=0,"",RANK(B16,$B$2:$B$93,0))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UNIPARTS</t>
        </is>
      </c>
      <c r="D16" s="31" t="inlineStr">
        <is>
          <t>Uniparts India Ltd</t>
        </is>
      </c>
      <c r="E16" s="31" t="inlineStr">
        <is>
          <t>industrials</t>
        </is>
      </c>
      <c r="F16" s="31" t="inlineStr">
        <is>
          <t>Castings, Forgings &amp; Fastners</t>
        </is>
      </c>
      <c r="G16" s="31" t="inlineStr">
        <is>
          <t>smallcap</t>
        </is>
      </c>
      <c r="H16" s="32" t="n">
        <v>3042.65</v>
      </c>
      <c r="I16" s="32" t="n">
        <v>674</v>
      </c>
      <c r="J16" s="32" t="n">
        <v>0.6</v>
      </c>
      <c r="K16" s="32" t="n">
        <v>0</v>
      </c>
      <c r="L16" s="31" t="n">
        <v>75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71.81</v>
      </c>
      <c r="P16" s="32" t="n">
        <v>45.86</v>
      </c>
      <c r="Q16" s="32" t="n">
        <v>529.9299999999999</v>
      </c>
      <c r="R16" s="31" t="inlineStr">
        <is>
          <t>Near 52W High Breakout</t>
        </is>
      </c>
      <c r="S16" s="31" t="inlineStr">
        <is>
          <t>Nifty 50</t>
        </is>
      </c>
      <c r="T16" s="32" t="n">
        <v>-6.27</v>
      </c>
      <c r="U16" s="32" t="n">
        <v>75.06</v>
      </c>
      <c r="V16" s="32" t="n">
        <v>86.76000000000001</v>
      </c>
      <c r="W16" s="32" t="n">
        <v>21.92</v>
      </c>
      <c r="X16" s="31" t="inlineStr">
        <is>
          <t>Cyclical in an Upturn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22</t>
        </is>
      </c>
      <c r="CG16" s="31">
        <f>IF(CF16&gt;20,10,IF(CF16&gt;=10,5,2))</f>
        <v/>
      </c>
    </row>
    <row r="17">
      <c r="A17" s="31">
        <f>IF(B17=0,"",RANK(B17,$B$2:$B$93,0))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TIMEX</t>
        </is>
      </c>
      <c r="D17" s="31" t="inlineStr">
        <is>
          <t>Timex Group India Ltd</t>
        </is>
      </c>
      <c r="E17" s="31" t="inlineStr">
        <is>
          <t>Consumer Cyclical</t>
        </is>
      </c>
      <c r="F17" s="31" t="inlineStr">
        <is>
          <t>Watches</t>
        </is>
      </c>
      <c r="G17" s="31" t="inlineStr">
        <is>
          <t>midcap</t>
        </is>
      </c>
      <c r="H17" s="32" t="n">
        <v>5299.88</v>
      </c>
      <c r="I17" s="32" t="n">
        <v>525</v>
      </c>
      <c r="J17" s="32" t="n">
        <v>2.35</v>
      </c>
      <c r="K17" s="32" t="n">
        <v>0</v>
      </c>
      <c r="L17" s="31" t="n">
        <v>95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75.83</v>
      </c>
      <c r="P17" s="32" t="n">
        <v>35.13</v>
      </c>
      <c r="Q17" s="32" t="n">
        <v>406.08</v>
      </c>
      <c r="R17" s="31" t="inlineStr">
        <is>
          <t>Near 52W High Breakout</t>
        </is>
      </c>
      <c r="S17" s="31" t="inlineStr">
        <is>
          <t>Nifty 50</t>
        </is>
      </c>
      <c r="T17" s="32" t="n">
        <v>-6.27</v>
      </c>
      <c r="U17" s="32" t="n">
        <v>129.21</v>
      </c>
      <c r="V17" s="32" t="n">
        <v>144.53</v>
      </c>
      <c r="W17" s="32" t="n">
        <v>47.05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22</t>
        </is>
      </c>
      <c r="CG17" s="31">
        <f>IF(CF17&gt;20,10,IF(CF17&gt;=10,5,2))</f>
        <v/>
      </c>
    </row>
    <row r="18">
      <c r="A18" s="31">
        <f>IF(B18=0,"",RANK(B18,$B$2:$B$93,0))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SEKURITIND</t>
        </is>
      </c>
      <c r="D18" s="31" t="inlineStr">
        <is>
          <t>Saint-Gobain Sekurit India Ltd</t>
        </is>
      </c>
      <c r="E18" s="31" t="inlineStr">
        <is>
          <t>Consumer Cyclical</t>
        </is>
      </c>
      <c r="F18" s="31" t="inlineStr">
        <is>
          <t>Glass &amp; Glass Products</t>
        </is>
      </c>
      <c r="G18" s="31" t="inlineStr">
        <is>
          <t>smallcap</t>
        </is>
      </c>
      <c r="H18" s="32" t="n">
        <v>1229.93</v>
      </c>
      <c r="I18" s="32" t="n">
        <v>135</v>
      </c>
      <c r="J18" s="32" t="n">
        <v>1.62</v>
      </c>
      <c r="K18" s="32" t="n">
        <v>0</v>
      </c>
      <c r="L18" s="31" t="n">
        <v>58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70.53</v>
      </c>
      <c r="P18" s="32" t="n">
        <v>32.58</v>
      </c>
      <c r="Q18" s="32" t="n">
        <v>108.09</v>
      </c>
      <c r="R18" s="31" t="inlineStr">
        <is>
          <t>Near 52W High Breakout</t>
        </is>
      </c>
      <c r="S18" s="31" t="inlineStr">
        <is>
          <t>Nifty Auto</t>
        </is>
      </c>
      <c r="T18" s="32" t="n">
        <v>10.42</v>
      </c>
      <c r="U18" s="32" t="n">
        <v>20.43</v>
      </c>
      <c r="V18" s="32" t="n">
        <v>9.06</v>
      </c>
      <c r="W18" s="32" t="n">
        <v>15.62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B2C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Between 50% to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22</t>
        </is>
      </c>
      <c r="CG18" s="31">
        <f>IF(CF18&gt;20,10,IF(CF18&gt;=10,5,2))</f>
        <v/>
      </c>
    </row>
    <row r="19">
      <c r="A19" s="31">
        <f>IF(B19=0,"",RANK(B19,$B$2:$B$93,0))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PGIL</t>
        </is>
      </c>
      <c r="D19" s="31" t="inlineStr">
        <is>
          <t>Pearl Global Industries Ltd</t>
        </is>
      </c>
      <c r="E19" s="31" t="inlineStr">
        <is>
          <t>consumer discretionary</t>
        </is>
      </c>
      <c r="F19" s="31" t="inlineStr">
        <is>
          <t>Textiles - Readymade Apparel</t>
        </is>
      </c>
      <c r="G19" s="31" t="inlineStr">
        <is>
          <t>midcap</t>
        </is>
      </c>
      <c r="H19" s="32" t="n">
        <v>9324.57</v>
      </c>
      <c r="I19" s="32" t="n">
        <v>2019</v>
      </c>
      <c r="J19" s="32" t="n">
        <v>0.15</v>
      </c>
      <c r="K19" s="32" t="n">
        <v>0</v>
      </c>
      <c r="L19" s="31" t="n">
        <v>54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66.93000000000001</v>
      </c>
      <c r="P19" s="32" t="n">
        <v>38.48</v>
      </c>
      <c r="Q19" s="32" t="n">
        <v>1575.74</v>
      </c>
      <c r="R19" s="31" t="inlineStr">
        <is>
          <t>Near 52W High Breakout</t>
        </is>
      </c>
      <c r="S19" s="31" t="inlineStr">
        <is>
          <t>Nifty 50</t>
        </is>
      </c>
      <c r="T19" s="32" t="n">
        <v>-6.27</v>
      </c>
      <c r="U19" s="32" t="n">
        <v>28.3</v>
      </c>
      <c r="V19" s="32" t="n">
        <v>36.87</v>
      </c>
      <c r="W19" s="32" t="n">
        <v>14.86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Between 1.5 to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19</t>
        </is>
      </c>
      <c r="CG19" s="31">
        <f>IF(CF19&gt;20,10,IF(CF19&gt;=10,5,2))</f>
        <v/>
      </c>
    </row>
    <row r="20">
      <c r="A20" s="31">
        <f>IF(B20=0,"",RANK(B20,$B$2:$B$93,0))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ASTRAMICRO</t>
        </is>
      </c>
      <c r="D20" s="31" t="inlineStr">
        <is>
          <t>Astra Microwave Products Ltd</t>
        </is>
      </c>
      <c r="E20" s="31" t="inlineStr">
        <is>
          <t>aerospace &amp; defence</t>
        </is>
      </c>
      <c r="F20" s="31" t="inlineStr">
        <is>
          <t>Aerospace &amp; Defence - Equipments</t>
        </is>
      </c>
      <c r="G20" s="31" t="inlineStr">
        <is>
          <t>midcap</t>
        </is>
      </c>
      <c r="H20" s="32" t="n">
        <v>16782.48</v>
      </c>
      <c r="I20" s="32" t="n">
        <v>1767.6</v>
      </c>
      <c r="J20" s="32" t="n">
        <v>2.17</v>
      </c>
      <c r="K20" s="32" t="n">
        <v>0</v>
      </c>
      <c r="L20" s="31" t="n">
        <v>87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84.16</v>
      </c>
      <c r="P20" s="32" t="n">
        <v>43</v>
      </c>
      <c r="Q20" s="32" t="n">
        <v>1410.43</v>
      </c>
      <c r="R20" s="31" t="inlineStr">
        <is>
          <t>Near 52W High Breakout</t>
        </is>
      </c>
      <c r="S20" s="31" t="inlineStr">
        <is>
          <t>Nifty 50</t>
        </is>
      </c>
      <c r="T20" s="32" t="n">
        <v>-6.27</v>
      </c>
      <c r="U20" s="32" t="n">
        <v>64.03</v>
      </c>
      <c r="V20" s="32" t="n">
        <v>74.98999999999999</v>
      </c>
      <c r="W20" s="32" t="n">
        <v>31.78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Between 1.5 to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18</t>
        </is>
      </c>
      <c r="CG20" s="31">
        <f>IF(CF20&gt;20,10,IF(CF20&gt;=10,5,2))</f>
        <v/>
      </c>
    </row>
    <row r="21">
      <c r="A21" s="31">
        <f>IF(B21=0,"",RANK(B21,$B$2:$B$93,0))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4" t="inlineStr">
        <is>
          <t>SYRMA</t>
        </is>
      </c>
      <c r="D21" s="34" t="inlineStr">
        <is>
          <t>Syrma SGS Technology Ltd</t>
        </is>
      </c>
      <c r="E21" s="31" t="inlineStr">
        <is>
          <t>consumer discretionary</t>
        </is>
      </c>
      <c r="F21" s="31" t="inlineStr">
        <is>
          <t>Consumer Electronics - EMS</t>
        </is>
      </c>
      <c r="G21" s="31" t="inlineStr">
        <is>
          <t>largecap</t>
        </is>
      </c>
      <c r="H21" s="32" t="n">
        <v>26961.56</v>
      </c>
      <c r="I21" s="32" t="n">
        <v>1398.2</v>
      </c>
      <c r="J21" s="32" t="n">
        <v>1.36</v>
      </c>
      <c r="K21" s="32" t="n">
        <v>0</v>
      </c>
      <c r="L21" s="31" t="n">
        <v>91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75.34</v>
      </c>
      <c r="P21" s="32" t="n">
        <v>47.35</v>
      </c>
      <c r="Q21" s="32" t="n">
        <v>1137.04</v>
      </c>
      <c r="R21" s="31" t="inlineStr">
        <is>
          <t>Near 52W High Breakout</t>
        </is>
      </c>
      <c r="S21" s="31" t="inlineStr">
        <is>
          <t>Nifty 50</t>
        </is>
      </c>
      <c r="T21" s="32" t="n">
        <v>-6.27</v>
      </c>
      <c r="U21" s="32" t="n">
        <v>129.49</v>
      </c>
      <c r="V21" s="32" t="n">
        <v>144.83</v>
      </c>
      <c r="W21" s="32" t="n">
        <v>36.75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Between 1.5 to 2</t>
        </is>
      </c>
      <c r="BU21" s="31">
        <f>IF(BT21="Above 2",0,IF(BT21="Between 1.5 to 2",5,IF(BT21="Less than 1.5",10,0)))</f>
        <v/>
      </c>
      <c r="BV21" s="31" t="inlineStr">
        <is>
          <t>Between 50% to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18</t>
        </is>
      </c>
      <c r="CG21" s="31">
        <f>IF(CF21&gt;20,10,IF(CF21&gt;=10,5,2))</f>
        <v/>
      </c>
    </row>
    <row r="22">
      <c r="A22" s="31">
        <f>IF(B22=0,"",RANK(B22,$B$2:$B$93,0))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KRISHNADEF</t>
        </is>
      </c>
      <c r="D22" s="31" t="inlineStr">
        <is>
          <t>Krishna Defence &amp; Allied Industries Ltd</t>
        </is>
      </c>
      <c r="E22" s="31" t="inlineStr">
        <is>
          <t>Industrials</t>
        </is>
      </c>
      <c r="F22" s="31" t="inlineStr">
        <is>
          <t>Shipping - Proxy</t>
        </is>
      </c>
      <c r="G22" s="31" t="inlineStr">
        <is>
          <t>smallcap</t>
        </is>
      </c>
      <c r="H22" s="32" t="n">
        <v>1801.2</v>
      </c>
      <c r="I22" s="32" t="n">
        <v>1205</v>
      </c>
      <c r="J22" s="32" t="n">
        <v>-4.59</v>
      </c>
      <c r="K22" s="32" t="n">
        <v>0</v>
      </c>
      <c r="L22" s="31" t="n">
        <v>52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58.98</v>
      </c>
      <c r="P22" s="32" t="n">
        <v>42.32</v>
      </c>
      <c r="Q22" s="32" t="n">
        <v>911.89</v>
      </c>
      <c r="R22" s="31" t="inlineStr">
        <is>
          <t>Volume Spike / Accumulation</t>
        </is>
      </c>
      <c r="S22" s="31" t="inlineStr">
        <is>
          <t>Nifty 50</t>
        </is>
      </c>
      <c r="T22" s="32" t="n">
        <v>-6.27</v>
      </c>
      <c r="U22" s="32" t="n">
        <v>31.78</v>
      </c>
      <c r="V22" s="32" t="n">
        <v>40.59</v>
      </c>
      <c r="W22" s="32" t="n">
        <v>14.23</v>
      </c>
      <c r="X22" s="31" t="inlineStr">
        <is>
          <t>Cyclical in an Upturn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18</t>
        </is>
      </c>
      <c r="CG22" s="31">
        <f>IF(CF22&gt;20,10,IF(CF22&gt;=10,5,2))</f>
        <v/>
      </c>
    </row>
    <row r="23">
      <c r="A23" s="31">
        <f>IF(B23=0,"",RANK(B23,$B$2:$B$93,0))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CEMPRO</t>
        </is>
      </c>
      <c r="D23" s="31" t="inlineStr">
        <is>
          <t>Cemindia Projects Ltd</t>
        </is>
      </c>
      <c r="E23" s="31" t="inlineStr">
        <is>
          <t>realty</t>
        </is>
      </c>
      <c r="F23" s="31" t="inlineStr">
        <is>
          <t>Infra - Construction &amp; Contracting</t>
        </is>
      </c>
      <c r="G23" s="31" t="inlineStr">
        <is>
          <t>largecap</t>
        </is>
      </c>
      <c r="H23" s="32" t="n">
        <v>22401.1</v>
      </c>
      <c r="I23" s="32" t="n">
        <v>1304</v>
      </c>
      <c r="J23" s="32" t="n">
        <v>3.82</v>
      </c>
      <c r="K23" s="32" t="n">
        <v>0</v>
      </c>
      <c r="L23" s="31" t="n">
        <v>95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77.98999999999999</v>
      </c>
      <c r="P23" s="32" t="n">
        <v>43.19</v>
      </c>
      <c r="Q23" s="32" t="n">
        <v>1002.27</v>
      </c>
      <c r="R23" s="31" t="inlineStr">
        <is>
          <t>Near 52W High Breakout</t>
        </is>
      </c>
      <c r="S23" s="31" t="inlineStr">
        <is>
          <t>Nifty Realty</t>
        </is>
      </c>
      <c r="T23" s="32" t="n">
        <v>-14.65</v>
      </c>
      <c r="U23" s="32" t="n">
        <v>44.67</v>
      </c>
      <c r="V23" s="32" t="n">
        <v>69.5</v>
      </c>
      <c r="W23" s="32" t="n">
        <v>47.6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Less than 50%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18</t>
        </is>
      </c>
      <c r="CG23" s="31">
        <f>IF(CF23&gt;20,10,IF(CF23&gt;=10,5,2))</f>
        <v/>
      </c>
    </row>
    <row r="24">
      <c r="A24" s="31">
        <f>IF(B24=0,"",RANK(B24,$B$2:$B$93,0))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KPL</t>
        </is>
      </c>
      <c r="D24" s="31" t="inlineStr">
        <is>
          <t>Kwality Pharmaceuticals Ltd</t>
        </is>
      </c>
      <c r="E24" s="31" t="inlineStr">
        <is>
          <t>Healthcare</t>
        </is>
      </c>
      <c r="F24" s="31" t="inlineStr">
        <is>
          <t>Pharma - Formulators</t>
        </is>
      </c>
      <c r="G24" s="31" t="inlineStr">
        <is>
          <t>smallcap</t>
        </is>
      </c>
      <c r="H24" s="32" t="n">
        <v>2906.48</v>
      </c>
      <c r="I24" s="32" t="n">
        <v>2801.1</v>
      </c>
      <c r="J24" s="32" t="n">
        <v>3.07</v>
      </c>
      <c r="K24" s="32" t="n">
        <v>0</v>
      </c>
      <c r="L24" s="31" t="n">
        <v>93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81.56999999999999</v>
      </c>
      <c r="P24" s="32" t="n">
        <v>55.34</v>
      </c>
      <c r="Q24" s="32" t="n">
        <v>2080.43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13.14</v>
      </c>
      <c r="U24" s="32" t="n">
        <v>138.08</v>
      </c>
      <c r="V24" s="32" t="n">
        <v>110.43</v>
      </c>
      <c r="W24" s="32" t="n">
        <v>44.19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Less than 50%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26</t>
        </is>
      </c>
      <c r="CG24" s="31">
        <f>IF(CF24&gt;20,10,IF(CF24&gt;=10,5,2))</f>
        <v/>
      </c>
    </row>
    <row r="25">
      <c r="A25" s="31">
        <f>IF(B25=0,"",RANK(B25,$B$2:$B$93,0))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RAMCOSYS</t>
        </is>
      </c>
      <c r="D25" s="31" t="inlineStr">
        <is>
          <t>Ramco Systems Ltd</t>
        </is>
      </c>
      <c r="E25" s="31" t="inlineStr">
        <is>
          <t>i.t</t>
        </is>
      </c>
      <c r="F25" s="31" t="inlineStr">
        <is>
          <t>IT Product Companies</t>
        </is>
      </c>
      <c r="G25" s="31" t="inlineStr">
        <is>
          <t>smallcap</t>
        </is>
      </c>
      <c r="H25" s="32" t="n">
        <v>3119.47</v>
      </c>
      <c r="I25" s="32" t="n">
        <v>830</v>
      </c>
      <c r="J25" s="32" t="n">
        <v>-0.24</v>
      </c>
      <c r="K25" s="32" t="n">
        <v>0</v>
      </c>
      <c r="L25" s="31" t="n">
        <v>96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77.17</v>
      </c>
      <c r="P25" s="32" t="n">
        <v>20.69</v>
      </c>
      <c r="Q25" s="32" t="n">
        <v>608.22</v>
      </c>
      <c r="R25" s="31" t="inlineStr">
        <is>
          <t>Volume Spike &amp; Near 52W High Breakout</t>
        </is>
      </c>
      <c r="S25" s="31" t="inlineStr">
        <is>
          <t>Nifty IT</t>
        </is>
      </c>
      <c r="T25" s="32" t="n">
        <v>-32.85</v>
      </c>
      <c r="U25" s="32" t="n">
        <v>108.65</v>
      </c>
      <c r="V25" s="32" t="n">
        <v>210.73</v>
      </c>
      <c r="W25" s="32" t="n">
        <v>52.36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25</t>
        </is>
      </c>
      <c r="CG25" s="31">
        <f>IF(CF25&gt;20,10,IF(CF25&gt;=10,5,2))</f>
        <v/>
      </c>
    </row>
    <row r="26">
      <c r="A26" s="31">
        <f>IF(B26=0,"",RANK(B26,$B$2:$B$93,0))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BHAGYANGR</t>
        </is>
      </c>
      <c r="D26" s="31" t="inlineStr">
        <is>
          <t>Bhagyanagar India Ltd</t>
        </is>
      </c>
      <c r="E26" s="31" t="inlineStr">
        <is>
          <t>power &amp; utilities</t>
        </is>
      </c>
      <c r="F26" s="31" t="inlineStr">
        <is>
          <t>Recycling</t>
        </is>
      </c>
      <c r="G26" s="31" t="inlineStr">
        <is>
          <t>smallcap</t>
        </is>
      </c>
      <c r="H26" s="32" t="n">
        <v>1382.18</v>
      </c>
      <c r="I26" s="32" t="n">
        <v>432</v>
      </c>
      <c r="J26" s="32" t="n">
        <v>4.92</v>
      </c>
      <c r="K26" s="32" t="n">
        <v>0</v>
      </c>
      <c r="L26" s="31" t="n">
        <v>98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85.05</v>
      </c>
      <c r="P26" s="32" t="n">
        <v>66.38</v>
      </c>
      <c r="Q26" s="32" t="n">
        <v>317.38</v>
      </c>
      <c r="R26" s="31" t="inlineStr">
        <is>
          <t>Near 52W High Breakout</t>
        </is>
      </c>
      <c r="S26" s="31" t="inlineStr">
        <is>
          <t>Nifty IT</t>
        </is>
      </c>
      <c r="T26" s="32" t="n">
        <v>-32.85</v>
      </c>
      <c r="U26" s="32" t="n">
        <v>444.99</v>
      </c>
      <c r="V26" s="32" t="n">
        <v>711.64</v>
      </c>
      <c r="W26" s="32" t="n">
        <v>90.31999999999999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Between 50% to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Between 0.7 to 1.2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23</t>
        </is>
      </c>
      <c r="CG26" s="31">
        <f>IF(CF26&gt;20,10,IF(CF26&gt;=10,5,2))</f>
        <v/>
      </c>
    </row>
    <row r="27">
      <c r="A27" s="31">
        <f>IF(B27=0,"",RANK(B27,$B$2:$B$93,0))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AVALON</t>
        </is>
      </c>
      <c r="D27" s="31" t="inlineStr">
        <is>
          <t>Avalon Technologies Ltd</t>
        </is>
      </c>
      <c r="E27" s="31" t="inlineStr">
        <is>
          <t>consumer discretionary</t>
        </is>
      </c>
      <c r="F27" s="31" t="inlineStr">
        <is>
          <t>Consumer Electronics - EMS</t>
        </is>
      </c>
      <c r="G27" s="31" t="inlineStr">
        <is>
          <t>midcap</t>
        </is>
      </c>
      <c r="H27" s="32" t="n">
        <v>12046.16</v>
      </c>
      <c r="I27" s="32" t="n">
        <v>1803</v>
      </c>
      <c r="J27" s="32" t="n">
        <v>0.45</v>
      </c>
      <c r="K27" s="32" t="n">
        <v>0</v>
      </c>
      <c r="L27" s="31" t="n">
        <v>93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78.97</v>
      </c>
      <c r="P27" s="32" t="n">
        <v>47.4</v>
      </c>
      <c r="Q27" s="32" t="n">
        <v>1367.12</v>
      </c>
      <c r="R27" s="31" t="inlineStr">
        <is>
          <t>Near 52W High Breakout</t>
        </is>
      </c>
      <c r="S27" s="31" t="inlineStr">
        <is>
          <t>Nifty 50</t>
        </is>
      </c>
      <c r="T27" s="32" t="n">
        <v>-6.27</v>
      </c>
      <c r="U27" s="32" t="n">
        <v>116.5</v>
      </c>
      <c r="V27" s="32" t="n">
        <v>130.97</v>
      </c>
      <c r="W27" s="32" t="n">
        <v>40.15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Between 1.5 to 2</t>
        </is>
      </c>
      <c r="BU27" s="31">
        <f>IF(BT27="Above 2",0,IF(BT27="Between 1.5 to 2",5,IF(BT27="Less than 1.5",10,0)))</f>
        <v/>
      </c>
      <c r="BV27" s="31" t="inlineStr">
        <is>
          <t>Less than 50%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22</t>
        </is>
      </c>
      <c r="CG27" s="31">
        <f>IF(CF27&gt;20,10,IF(CF27&gt;=10,5,2))</f>
        <v/>
      </c>
    </row>
    <row r="28">
      <c r="A28" s="31">
        <f>IF(B28=0,"",RANK(B28,$B$2:$B$93,0))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4" t="inlineStr">
        <is>
          <t>INDOTECH</t>
        </is>
      </c>
      <c r="D28" s="34" t="inlineStr">
        <is>
          <t>Indo Tech Transformers Ltd</t>
        </is>
      </c>
      <c r="E28" s="31" t="inlineStr">
        <is>
          <t>industrials</t>
        </is>
      </c>
      <c r="F28" s="31" t="inlineStr">
        <is>
          <t>Capital Goods - Transformers</t>
        </is>
      </c>
      <c r="G28" s="31" t="inlineStr">
        <is>
          <t>smallcap</t>
        </is>
      </c>
      <c r="H28" s="32" t="n">
        <v>3436.53</v>
      </c>
      <c r="I28" s="32" t="n">
        <v>3235.9</v>
      </c>
      <c r="J28" s="32" t="n">
        <v>5</v>
      </c>
      <c r="K28" s="32" t="n">
        <v>0</v>
      </c>
      <c r="L28" s="31" t="n">
        <v>96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73.36</v>
      </c>
      <c r="P28" s="32" t="n">
        <v>42.37</v>
      </c>
      <c r="Q28" s="32" t="n">
        <v>2353.27</v>
      </c>
      <c r="R28" s="31" t="inlineStr">
        <is>
          <t>Near 52W High Breakout</t>
        </is>
      </c>
      <c r="S28" s="31" t="inlineStr">
        <is>
          <t>Nifty 50</t>
        </is>
      </c>
      <c r="T28" s="32" t="n">
        <v>-6.27</v>
      </c>
      <c r="U28" s="32" t="n">
        <v>67.7</v>
      </c>
      <c r="V28" s="32" t="n">
        <v>78.91</v>
      </c>
      <c r="W28" s="32" t="n">
        <v>55.47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Between 12 to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Less than 50%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19</t>
        </is>
      </c>
      <c r="CG28" s="31">
        <f>IF(CF28&gt;20,10,IF(CF28&gt;=10,5,2))</f>
        <v/>
      </c>
    </row>
    <row r="29">
      <c r="A29" s="31">
        <f>IF(B29=0,"",RANK(B29,$B$2:$B$93,0))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WABAG</t>
        </is>
      </c>
      <c r="D29" s="31" t="inlineStr">
        <is>
          <t>Va Tech Wabag Ltd</t>
        </is>
      </c>
      <c r="E29" s="31" t="inlineStr">
        <is>
          <t>realty</t>
        </is>
      </c>
      <c r="F29" s="31" t="inlineStr">
        <is>
          <t>Water Treatment</t>
        </is>
      </c>
      <c r="G29" s="31" t="inlineStr">
        <is>
          <t>midcap</t>
        </is>
      </c>
      <c r="H29" s="32" t="n">
        <v>12520.84</v>
      </c>
      <c r="I29" s="32" t="n">
        <v>2008</v>
      </c>
      <c r="J29" s="32" t="n">
        <v>0.5</v>
      </c>
      <c r="K29" s="32" t="n">
        <v>0</v>
      </c>
      <c r="L29" s="31" t="n">
        <v>74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72.91</v>
      </c>
      <c r="P29" s="32" t="n">
        <v>21.69</v>
      </c>
      <c r="Q29" s="32" t="n">
        <v>1689.13</v>
      </c>
      <c r="R29" s="31" t="inlineStr">
        <is>
          <t>Near 52W High Breakout</t>
        </is>
      </c>
      <c r="S29" s="31" t="inlineStr">
        <is>
          <t>Nifty Realty</t>
        </is>
      </c>
      <c r="T29" s="32" t="n">
        <v>-14.65</v>
      </c>
      <c r="U29" s="32" t="n">
        <v>37.6</v>
      </c>
      <c r="V29" s="32" t="n">
        <v>61.22</v>
      </c>
      <c r="W29" s="32" t="n">
        <v>21.66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Less than 50%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19</t>
        </is>
      </c>
      <c r="CG29" s="31">
        <f>IF(CF29&gt;20,10,IF(CF29&gt;=10,5,2))</f>
        <v/>
      </c>
    </row>
    <row r="30">
      <c r="A30" s="31">
        <f>IF(B30=0,"",RANK(B30,$B$2:$B$93,0))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KIRLPNU</t>
        </is>
      </c>
      <c r="D30" s="31" t="inlineStr">
        <is>
          <t>Kirloskar Pneumatic Company Ltd</t>
        </is>
      </c>
      <c r="E30" s="31" t="inlineStr">
        <is>
          <t>industrials</t>
        </is>
      </c>
      <c r="F30" s="31" t="inlineStr">
        <is>
          <t>Compressors</t>
        </is>
      </c>
      <c r="G30" s="31" t="inlineStr">
        <is>
          <t>midcap</t>
        </is>
      </c>
      <c r="H30" s="32" t="n">
        <v>12734.08</v>
      </c>
      <c r="I30" s="32" t="n">
        <v>1960.2</v>
      </c>
      <c r="J30" s="32" t="n">
        <v>2.63</v>
      </c>
      <c r="K30" s="32" t="n">
        <v>0</v>
      </c>
      <c r="L30" s="31" t="n">
        <v>82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80.92</v>
      </c>
      <c r="P30" s="32" t="n">
        <v>49.47</v>
      </c>
      <c r="Q30" s="32" t="n">
        <v>1521.28</v>
      </c>
      <c r="R30" s="31" t="inlineStr">
        <is>
          <t>Near 52W High Breakout</t>
        </is>
      </c>
      <c r="S30" s="31" t="inlineStr">
        <is>
          <t>Nifty 50</t>
        </is>
      </c>
      <c r="T30" s="32" t="n">
        <v>-6.27</v>
      </c>
      <c r="U30" s="32" t="n">
        <v>36.43</v>
      </c>
      <c r="V30" s="32" t="n">
        <v>45.55</v>
      </c>
      <c r="W30" s="32" t="n">
        <v>26.66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Between 50% to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17</t>
        </is>
      </c>
      <c r="CG30" s="31">
        <f>IF(CF30&gt;20,10,IF(CF30&gt;=10,5,2))</f>
        <v/>
      </c>
    </row>
    <row r="31">
      <c r="A31" s="31">
        <f>IF(B31=0,"",RANK(B31,$B$2:$B$93,0))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KMCSHIL</t>
        </is>
      </c>
      <c r="D31" s="31" t="inlineStr">
        <is>
          <t>KMC Speciality Hospitals (India) Ltd</t>
        </is>
      </c>
      <c r="E31" s="31" t="inlineStr">
        <is>
          <t>Healthcare</t>
        </is>
      </c>
      <c r="F31" s="31" t="inlineStr">
        <is>
          <t>Hospitals</t>
        </is>
      </c>
      <c r="G31" s="31" t="inlineStr">
        <is>
          <t>smallcap</t>
        </is>
      </c>
      <c r="H31" s="32" t="n">
        <v>2227.74</v>
      </c>
      <c r="I31" s="32" t="n">
        <v>136.6</v>
      </c>
      <c r="J31" s="32" t="n">
        <v>-0.4</v>
      </c>
      <c r="K31" s="32" t="n">
        <v>0</v>
      </c>
      <c r="L31" s="31" t="n">
        <v>86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85.27</v>
      </c>
      <c r="P31" s="32" t="n">
        <v>61.35</v>
      </c>
      <c r="Q31" s="32" t="n">
        <v>109.69</v>
      </c>
      <c r="R31" s="31" t="inlineStr">
        <is>
          <t>Near 52W High Breakout</t>
        </is>
      </c>
      <c r="S31" s="31" t="inlineStr">
        <is>
          <t>Nifty Pharma</t>
        </is>
      </c>
      <c r="T31" s="32" t="n">
        <v>13.14</v>
      </c>
      <c r="U31" s="32" t="n">
        <v>108.87</v>
      </c>
      <c r="V31" s="32" t="n">
        <v>84.61</v>
      </c>
      <c r="W31" s="32" t="n">
        <v>31.05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30</t>
        </is>
      </c>
      <c r="CG31" s="31">
        <f>IF(CF31&gt;20,10,IF(CF31&gt;=10,5,2))</f>
        <v/>
      </c>
    </row>
    <row r="32">
      <c r="A32" s="31">
        <f>IF(B32=0,"",RANK(B32,$B$2:$B$93,0))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SKMEGGPROD</t>
        </is>
      </c>
      <c r="D32" s="31" t="inlineStr">
        <is>
          <t>SKM Egg Products Export (India) Ltd</t>
        </is>
      </c>
      <c r="E32" s="31" t="inlineStr">
        <is>
          <t>fmcg</t>
        </is>
      </c>
      <c r="F32" s="31" t="inlineStr">
        <is>
          <t>FMCG - Animal/Polutry</t>
        </is>
      </c>
      <c r="G32" s="31" t="inlineStr">
        <is>
          <t>smallcap</t>
        </is>
      </c>
      <c r="H32" s="32" t="n">
        <v>1551.1</v>
      </c>
      <c r="I32" s="32" t="n">
        <v>294.55</v>
      </c>
      <c r="J32" s="32" t="n">
        <v>-2.97</v>
      </c>
      <c r="K32" s="32" t="n">
        <v>0</v>
      </c>
      <c r="L32" s="31" t="n">
        <v>92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77</v>
      </c>
      <c r="P32" s="32" t="n">
        <v>30.55</v>
      </c>
      <c r="Q32" s="32" t="n">
        <v>211.14</v>
      </c>
      <c r="R32" s="31" t="inlineStr">
        <is>
          <t>Near 52W High Breakout</t>
        </is>
      </c>
      <c r="S32" s="31" t="inlineStr">
        <is>
          <t>Nifty FMCG</t>
        </is>
      </c>
      <c r="T32" s="32" t="n">
        <v>-10.85</v>
      </c>
      <c r="U32" s="32" t="n">
        <v>119.9</v>
      </c>
      <c r="V32" s="32" t="n">
        <v>146.68</v>
      </c>
      <c r="W32" s="32" t="n">
        <v>39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B2C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Less than 50%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28</t>
        </is>
      </c>
      <c r="CG32" s="31">
        <f>IF(CF32&gt;20,10,IF(CF32&gt;=10,5,2))</f>
        <v/>
      </c>
    </row>
    <row r="33">
      <c r="A33" s="31">
        <f>IF(B33=0,"",RANK(B33,$B$2:$B$93,0))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VADILALIND</t>
        </is>
      </c>
      <c r="D33" s="31" t="inlineStr">
        <is>
          <t>Vadilal Industries Ltd</t>
        </is>
      </c>
      <c r="E33" s="31" t="inlineStr">
        <is>
          <t>fmcg</t>
        </is>
      </c>
      <c r="F33" s="31" t="inlineStr">
        <is>
          <t>FMCG - Dairy Products</t>
        </is>
      </c>
      <c r="G33" s="31" t="inlineStr">
        <is>
          <t>smallcap</t>
        </is>
      </c>
      <c r="H33" s="32" t="n">
        <v>4502.67</v>
      </c>
      <c r="I33" s="32" t="n">
        <v>6264.3</v>
      </c>
      <c r="J33" s="32" t="n">
        <v>-1.08</v>
      </c>
      <c r="K33" s="32" t="n">
        <v>0</v>
      </c>
      <c r="L33" s="31" t="n">
        <v>54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67.88</v>
      </c>
      <c r="P33" s="32" t="n">
        <v>20.96</v>
      </c>
      <c r="Q33" s="32" t="n">
        <v>5039.02</v>
      </c>
      <c r="R33" s="31" t="inlineStr">
        <is>
          <t>Near 52W High Breakout</t>
        </is>
      </c>
      <c r="S33" s="31" t="inlineStr">
        <is>
          <t>Nifty FMCG</t>
        </is>
      </c>
      <c r="T33" s="32" t="n">
        <v>-10.85</v>
      </c>
      <c r="U33" s="32" t="n">
        <v>17.96</v>
      </c>
      <c r="V33" s="32" t="n">
        <v>32.32</v>
      </c>
      <c r="W33" s="32" t="n">
        <v>14.53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B2C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Between 50% to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26</t>
        </is>
      </c>
      <c r="CG33" s="31">
        <f>IF(CF33&gt;20,10,IF(CF33&gt;=10,5,2))</f>
        <v/>
      </c>
    </row>
    <row r="34">
      <c r="A34" s="31">
        <f>IF(B34=0,"",RANK(B34,$B$2:$B$93,0))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ACUTAAS</t>
        </is>
      </c>
      <c r="D34" s="31" t="inlineStr">
        <is>
          <t>Acutaas Chemicals Ltd</t>
        </is>
      </c>
      <c r="E34" s="31" t="inlineStr">
        <is>
          <t>healthcare</t>
        </is>
      </c>
      <c r="F34" s="31" t="inlineStr">
        <is>
          <t>Pharma - API &amp; CRAMS</t>
        </is>
      </c>
      <c r="G34" s="31" t="inlineStr">
        <is>
          <t>largecap</t>
        </is>
      </c>
      <c r="H34" s="32" t="n">
        <v>28859.57</v>
      </c>
      <c r="I34" s="32" t="n">
        <v>3525</v>
      </c>
      <c r="J34" s="32" t="n">
        <v>-1.5</v>
      </c>
      <c r="K34" s="32" t="n">
        <v>0</v>
      </c>
      <c r="L34" s="31" t="n">
        <v>93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77.20999999999999</v>
      </c>
      <c r="P34" s="32" t="n">
        <v>64.81</v>
      </c>
      <c r="Q34" s="32" t="n">
        <v>2761.08</v>
      </c>
      <c r="R34" s="31" t="inlineStr">
        <is>
          <t>Near 52W High Breakout</t>
        </is>
      </c>
      <c r="S34" s="31" t="inlineStr">
        <is>
          <t>Nifty Pharma</t>
        </is>
      </c>
      <c r="T34" s="32" t="n">
        <v>13.14</v>
      </c>
      <c r="U34" s="32" t="n">
        <v>214.57</v>
      </c>
      <c r="V34" s="32" t="n">
        <v>178.03</v>
      </c>
      <c r="W34" s="32" t="n">
        <v>40.94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Between 50% to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25</t>
        </is>
      </c>
      <c r="CG34" s="31">
        <f>IF(CF34&gt;20,10,IF(CF34&gt;=10,5,2))</f>
        <v/>
      </c>
    </row>
    <row r="35">
      <c r="A35" s="31">
        <f>IF(B35=0,"",RANK(B35,$B$2:$B$93,0))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NGLFINE</t>
        </is>
      </c>
      <c r="D35" s="31" t="inlineStr">
        <is>
          <t>NGL Fine Chem Ltd</t>
        </is>
      </c>
      <c r="E35" s="31" t="inlineStr">
        <is>
          <t>healthcare</t>
        </is>
      </c>
      <c r="F35" s="31" t="inlineStr">
        <is>
          <t>Pharma - Animal</t>
        </is>
      </c>
      <c r="G35" s="31" t="inlineStr">
        <is>
          <t>smallcap</t>
        </is>
      </c>
      <c r="H35" s="32" t="n">
        <v>1921.37</v>
      </c>
      <c r="I35" s="32" t="n">
        <v>3110</v>
      </c>
      <c r="J35" s="32" t="n">
        <v>0.39</v>
      </c>
      <c r="K35" s="32" t="n">
        <v>0</v>
      </c>
      <c r="L35" s="31" t="n">
        <v>87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77.95</v>
      </c>
      <c r="P35" s="32" t="n">
        <v>66.45</v>
      </c>
      <c r="Q35" s="32" t="n">
        <v>2129.3</v>
      </c>
      <c r="R35" s="31" t="inlineStr">
        <is>
          <t>Near 52W High Breakout</t>
        </is>
      </c>
      <c r="S35" s="31" t="inlineStr">
        <is>
          <t>Nifty Pharma</t>
        </is>
      </c>
      <c r="T35" s="32" t="n">
        <v>13.14</v>
      </c>
      <c r="U35" s="32" t="n">
        <v>151.98</v>
      </c>
      <c r="V35" s="32" t="n">
        <v>122.71</v>
      </c>
      <c r="W35" s="32" t="n">
        <v>31.49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Between 50% to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IF(B36=0,"",RANK(B36,$B$2:$B$93,0))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3" t="inlineStr">
        <is>
          <t>MARKSANS</t>
        </is>
      </c>
      <c r="D36" s="33" t="inlineStr">
        <is>
          <t>Marksans Pharma Ltd</t>
        </is>
      </c>
      <c r="E36" s="31" t="inlineStr">
        <is>
          <t>healthcare</t>
        </is>
      </c>
      <c r="F36" s="31" t="inlineStr">
        <is>
          <t>Pharma - Formulators</t>
        </is>
      </c>
      <c r="G36" s="31" t="inlineStr">
        <is>
          <t>midcap</t>
        </is>
      </c>
      <c r="H36" s="32" t="n">
        <v>12484.66</v>
      </c>
      <c r="I36" s="32" t="n">
        <v>275.5</v>
      </c>
      <c r="J36" s="32" t="n">
        <v>4</v>
      </c>
      <c r="K36" s="32" t="n">
        <v>0</v>
      </c>
      <c r="L36" s="31" t="n">
        <v>65</v>
      </c>
      <c r="M36" s="31" t="inlineStr">
        <is>
          <t>Underperforming</t>
        </is>
      </c>
      <c r="N36" s="32">
        <f>IF(M36="Underperforming",-5,IF(L36&gt;=95,15,IF(L36&gt;=90,10,IF(L36&gt;=80,5,0))))</f>
        <v/>
      </c>
      <c r="O36" s="32" t="n">
        <v>74.90000000000001</v>
      </c>
      <c r="P36" s="32" t="n">
        <v>38.99</v>
      </c>
      <c r="Q36" s="32" t="n">
        <v>212.93</v>
      </c>
      <c r="R36" s="31" t="inlineStr">
        <is>
          <t>Near 52W High Breakout</t>
        </is>
      </c>
      <c r="S36" s="31" t="inlineStr">
        <is>
          <t>Nifty Pharma</t>
        </is>
      </c>
      <c r="T36" s="32" t="n">
        <v>13.14</v>
      </c>
      <c r="U36" s="32" t="n">
        <v>4.08</v>
      </c>
      <c r="V36" s="32" t="n">
        <v>-8.01</v>
      </c>
      <c r="W36" s="32" t="n">
        <v>17.94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21</t>
        </is>
      </c>
      <c r="CG36" s="31">
        <f>IF(CF36&gt;20,10,IF(CF36&gt;=10,5,2))</f>
        <v/>
      </c>
    </row>
    <row r="37">
      <c r="A37" s="31">
        <f>IF(B37=0,"",RANK(B37,$B$2:$B$93,0))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VENUSREM</t>
        </is>
      </c>
      <c r="D37" s="31" t="inlineStr">
        <is>
          <t>Venus Remedies Ltd</t>
        </is>
      </c>
      <c r="E37" s="31" t="inlineStr">
        <is>
          <t>healthcare</t>
        </is>
      </c>
      <c r="F37" s="31" t="inlineStr">
        <is>
          <t>Pharmaceuticals - I V Fluids</t>
        </is>
      </c>
      <c r="G37" s="31" t="inlineStr">
        <is>
          <t>smallcap</t>
        </is>
      </c>
      <c r="H37" s="32" t="n">
        <v>2450.84</v>
      </c>
      <c r="I37" s="32" t="n">
        <v>1833.5</v>
      </c>
      <c r="J37" s="32" t="n">
        <v>-5.59</v>
      </c>
      <c r="K37" s="32" t="n">
        <v>0</v>
      </c>
      <c r="L37" s="31" t="n">
        <v>96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75.62</v>
      </c>
      <c r="P37" s="32" t="n">
        <v>57.25</v>
      </c>
      <c r="Q37" s="32" t="n">
        <v>1455.09</v>
      </c>
      <c r="R37" s="31" t="inlineStr">
        <is>
          <t>Earnings / Momentum Support</t>
        </is>
      </c>
      <c r="S37" s="31" t="inlineStr">
        <is>
          <t>Nifty Pharma</t>
        </is>
      </c>
      <c r="T37" s="32" t="n">
        <v>13.14</v>
      </c>
      <c r="U37" s="32" t="n">
        <v>311.74</v>
      </c>
      <c r="V37" s="32" t="n">
        <v>263.92</v>
      </c>
      <c r="W37" s="32" t="n">
        <v>59.22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18</t>
        </is>
      </c>
      <c r="CG37" s="31">
        <f>IF(CF37&gt;20,10,IF(CF37&gt;=10,5,2))</f>
        <v/>
      </c>
    </row>
    <row r="38">
      <c r="A38" s="31">
        <f>IF(B38=0,"",RANK(B38,$B$2:$B$93,0))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MINDACORP</t>
        </is>
      </c>
      <c r="D38" s="31" t="inlineStr">
        <is>
          <t>Minda Corporation Ltd</t>
        </is>
      </c>
      <c r="E38" s="31" t="inlineStr">
        <is>
          <t>auto</t>
        </is>
      </c>
      <c r="F38" s="31" t="inlineStr">
        <is>
          <t>Auto Ancillaries - Diversified</t>
        </is>
      </c>
      <c r="G38" s="31" t="inlineStr">
        <is>
          <t>midcap</t>
        </is>
      </c>
      <c r="H38" s="32" t="n">
        <v>16735.56</v>
      </c>
      <c r="I38" s="32" t="n">
        <v>700</v>
      </c>
      <c r="J38" s="32" t="n">
        <v>4.17</v>
      </c>
      <c r="K38" s="32" t="n">
        <v>0</v>
      </c>
      <c r="L38" s="31" t="n">
        <v>57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71.13</v>
      </c>
      <c r="P38" s="32" t="n">
        <v>21.58</v>
      </c>
      <c r="Q38" s="32" t="n">
        <v>568.09</v>
      </c>
      <c r="R38" s="31" t="inlineStr">
        <is>
          <t>Near 52W High Breakout</t>
        </is>
      </c>
      <c r="S38" s="31" t="inlineStr">
        <is>
          <t>Nifty Auto</t>
        </is>
      </c>
      <c r="T38" s="32" t="n">
        <v>10.42</v>
      </c>
      <c r="U38" s="32" t="n">
        <v>34.21</v>
      </c>
      <c r="V38" s="32" t="n">
        <v>21.55</v>
      </c>
      <c r="W38" s="32" t="n">
        <v>15.37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19</t>
        </is>
      </c>
      <c r="CG38" s="31">
        <f>IF(CF38&gt;20,10,IF(CF38&gt;=10,5,2))</f>
        <v/>
      </c>
    </row>
    <row r="39">
      <c r="A39" s="31">
        <f>IF(B39=0,"",RANK(B39,$B$2:$B$93,0))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DIFFNKG</t>
        </is>
      </c>
      <c r="D39" s="31" t="inlineStr">
        <is>
          <t>Diffusion Engineers Ltd</t>
        </is>
      </c>
      <c r="E39" s="31" t="inlineStr">
        <is>
          <t>industrials</t>
        </is>
      </c>
      <c r="F39" s="31" t="inlineStr">
        <is>
          <t>Welding Equipments</t>
        </is>
      </c>
      <c r="G39" s="31" t="inlineStr">
        <is>
          <t>smallcap</t>
        </is>
      </c>
      <c r="H39" s="32" t="n">
        <v>1600.72</v>
      </c>
      <c r="I39" s="32" t="n">
        <v>427.7</v>
      </c>
      <c r="J39" s="32" t="n">
        <v>2.57</v>
      </c>
      <c r="K39" s="32" t="n">
        <v>0</v>
      </c>
      <c r="L39" s="31" t="n">
        <v>70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74.41</v>
      </c>
      <c r="P39" s="32" t="n">
        <v>20.16</v>
      </c>
      <c r="Q39" s="32" t="n">
        <v>322</v>
      </c>
      <c r="R39" s="31" t="inlineStr">
        <is>
          <t>Volume Spike &amp; Near 52W High Breakout</t>
        </is>
      </c>
      <c r="S39" s="31" t="inlineStr">
        <is>
          <t>Nifty Infra</t>
        </is>
      </c>
      <c r="T39" s="32" t="n">
        <v>-0.44</v>
      </c>
      <c r="U39" s="32" t="n">
        <v>40.63</v>
      </c>
      <c r="V39" s="32" t="n">
        <v>41.25</v>
      </c>
      <c r="W39" s="32" t="n">
        <v>19.74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Less than 50%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19</t>
        </is>
      </c>
      <c r="CG39" s="31">
        <f>IF(CF39&gt;20,10,IF(CF39&gt;=10,5,2))</f>
        <v/>
      </c>
    </row>
    <row r="40">
      <c r="A40" s="31">
        <f>IF(B40=0,"",RANK(B40,$B$2:$B$93,0))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4" t="inlineStr">
        <is>
          <t>CIANAGRO</t>
        </is>
      </c>
      <c r="D40" s="34" t="inlineStr">
        <is>
          <t>CIAN Agro Industries &amp; Infrastructure Ltd</t>
        </is>
      </c>
      <c r="E40" s="31" t="inlineStr">
        <is>
          <t>Consumer Defensive</t>
        </is>
      </c>
      <c r="F40" s="31" t="inlineStr">
        <is>
          <t>Edible Oils, Agro Processing</t>
        </is>
      </c>
      <c r="G40" s="31" t="inlineStr">
        <is>
          <t>smallcap</t>
        </is>
      </c>
      <c r="H40" s="32" t="n">
        <v>4844.36</v>
      </c>
      <c r="I40" s="32" t="n">
        <v>1731</v>
      </c>
      <c r="J40" s="32" t="n">
        <v>3.47</v>
      </c>
      <c r="K40" s="32" t="n">
        <v>0</v>
      </c>
      <c r="L40" s="31" t="n">
        <v>99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55.89</v>
      </c>
      <c r="P40" s="32" t="n">
        <v>26.29</v>
      </c>
      <c r="Q40" s="32" t="n">
        <v>1312.92</v>
      </c>
      <c r="R40" s="31" t="inlineStr">
        <is>
          <t>Earnings / Momentum Support</t>
        </is>
      </c>
      <c r="S40" s="31" t="inlineStr">
        <is>
          <t>Nifty 50</t>
        </is>
      </c>
      <c r="T40" s="32" t="n">
        <v>-6.27</v>
      </c>
      <c r="U40" s="32" t="n">
        <v>271.05</v>
      </c>
      <c r="V40" s="32" t="n">
        <v>295.85</v>
      </c>
      <c r="W40" s="32" t="n">
        <v>124.19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17</t>
        </is>
      </c>
      <c r="CG40" s="31">
        <f>IF(CF40&gt;20,10,IF(CF40&gt;=10,5,2))</f>
        <v/>
      </c>
    </row>
    <row r="41">
      <c r="A41" s="31">
        <f>IF(B41=0,"",RANK(B41,$B$2:$B$93,0))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SHILPAMED</t>
        </is>
      </c>
      <c r="D41" s="31" t="inlineStr">
        <is>
          <t>Shilpa Medicare Ltd</t>
        </is>
      </c>
      <c r="E41" s="31" t="inlineStr">
        <is>
          <t>healthcare</t>
        </is>
      </c>
      <c r="F41" s="31" t="inlineStr">
        <is>
          <t>Pharma - API &amp; CRAMS</t>
        </is>
      </c>
      <c r="G41" s="31" t="inlineStr">
        <is>
          <t>midcap</t>
        </is>
      </c>
      <c r="H41" s="32" t="n">
        <v>11747.62</v>
      </c>
      <c r="I41" s="32" t="n">
        <v>600.65</v>
      </c>
      <c r="J41" s="32" t="n">
        <v>4.86</v>
      </c>
      <c r="K41" s="32" t="n">
        <v>0</v>
      </c>
      <c r="L41" s="31" t="n">
        <v>70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83.64</v>
      </c>
      <c r="P41" s="32" t="n">
        <v>59.14</v>
      </c>
      <c r="Q41" s="32" t="n">
        <v>464.57</v>
      </c>
      <c r="R41" s="31" t="inlineStr">
        <is>
          <t>Near 52W High Breakout</t>
        </is>
      </c>
      <c r="S41" s="31" t="inlineStr">
        <is>
          <t>Nifty Pharma</t>
        </is>
      </c>
      <c r="T41" s="32" t="n">
        <v>13.14</v>
      </c>
      <c r="U41" s="32" t="n">
        <v>33.59</v>
      </c>
      <c r="V41" s="32" t="n">
        <v>18.07</v>
      </c>
      <c r="W41" s="32" t="n">
        <v>19.67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21</t>
        </is>
      </c>
      <c r="CG41" s="31">
        <f>IF(CF41&gt;20,10,IF(CF41&gt;=10,5,2))</f>
        <v/>
      </c>
    </row>
    <row r="42">
      <c r="A42" s="31">
        <f>IF(B42=0,"",RANK(B42,$B$2:$B$93,0))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SENORES</t>
        </is>
      </c>
      <c r="D42" s="31" t="inlineStr">
        <is>
          <t>Senores Pharmaceuticals Ltd</t>
        </is>
      </c>
      <c r="E42" s="31" t="inlineStr">
        <is>
          <t>healthcare</t>
        </is>
      </c>
      <c r="F42" s="31" t="inlineStr">
        <is>
          <t>Pharma - API</t>
        </is>
      </c>
      <c r="G42" s="31" t="inlineStr">
        <is>
          <t>midcap</t>
        </is>
      </c>
      <c r="H42" s="32" t="n">
        <v>6143.09</v>
      </c>
      <c r="I42" s="32" t="n">
        <v>1333.9</v>
      </c>
      <c r="J42" s="32" t="n">
        <v>0.53</v>
      </c>
      <c r="K42" s="32" t="n">
        <v>0</v>
      </c>
      <c r="L42" s="31" t="n">
        <v>90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75.64</v>
      </c>
      <c r="P42" s="32" t="n">
        <v>51.29</v>
      </c>
      <c r="Q42" s="32" t="n">
        <v>1038.73</v>
      </c>
      <c r="R42" s="31" t="inlineStr">
        <is>
          <t>Near 52W High Breakout</t>
        </is>
      </c>
      <c r="S42" s="31" t="inlineStr">
        <is>
          <t>Nifty Pharma</t>
        </is>
      </c>
      <c r="T42" s="32" t="n">
        <v>13.14</v>
      </c>
      <c r="U42" s="32" t="n">
        <v>134.62</v>
      </c>
      <c r="V42" s="32" t="n">
        <v>107.37</v>
      </c>
      <c r="W42" s="32" t="n">
        <v>35.34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Less than 50%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19</t>
        </is>
      </c>
      <c r="CG42" s="31">
        <f>IF(CF42&gt;20,10,IF(CF42&gt;=10,5,2))</f>
        <v/>
      </c>
    </row>
    <row r="43">
      <c r="A43" s="31">
        <f>IF(B43=0,"",RANK(B43,$B$2:$B$93,0))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4" t="inlineStr">
        <is>
          <t>DIVGIITTS</t>
        </is>
      </c>
      <c r="D43" s="34" t="inlineStr">
        <is>
          <t>Divgi Torqtransfer Systems Ltd</t>
        </is>
      </c>
      <c r="E43" s="31" t="inlineStr">
        <is>
          <t>auto</t>
        </is>
      </c>
      <c r="F43" s="31" t="inlineStr">
        <is>
          <t>Auto Ancillaries - Transmission</t>
        </is>
      </c>
      <c r="G43" s="31" t="inlineStr">
        <is>
          <t>smallcap</t>
        </is>
      </c>
      <c r="H43" s="32" t="n">
        <v>3087.35</v>
      </c>
      <c r="I43" s="32" t="n">
        <v>1009.5</v>
      </c>
      <c r="J43" s="32" t="n">
        <v>14.85</v>
      </c>
      <c r="K43" s="32" t="n">
        <v>0</v>
      </c>
      <c r="L43" s="31" t="n">
        <v>77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71.39</v>
      </c>
      <c r="P43" s="32" t="n">
        <v>32.74</v>
      </c>
      <c r="Q43" s="32" t="n">
        <v>741.0700000000001</v>
      </c>
      <c r="R43" s="31" t="inlineStr">
        <is>
          <t>Volume Spike &amp; Near 52W High Breakout</t>
        </is>
      </c>
      <c r="S43" s="31" t="inlineStr">
        <is>
          <t>Nifty Auto</t>
        </is>
      </c>
      <c r="T43" s="32" t="n">
        <v>10.42</v>
      </c>
      <c r="U43" s="32" t="n">
        <v>57.96</v>
      </c>
      <c r="V43" s="32" t="n">
        <v>43.05</v>
      </c>
      <c r="W43" s="32" t="n">
        <v>22.76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Between 50% to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23</t>
        </is>
      </c>
      <c r="CG43" s="31">
        <f>IF(CF43&gt;20,10,IF(CF43&gt;=10,5,2))</f>
        <v/>
      </c>
    </row>
    <row r="44">
      <c r="A44" s="31">
        <f>IF(B44=0,"",RANK(B44,$B$2:$B$93,0))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CRAFTSMAN</t>
        </is>
      </c>
      <c r="D44" s="31" t="inlineStr">
        <is>
          <t>Craftsman Automation Ltd</t>
        </is>
      </c>
      <c r="E44" s="31" t="inlineStr">
        <is>
          <t>auto</t>
        </is>
      </c>
      <c r="F44" s="31" t="inlineStr">
        <is>
          <t>Auto &amp; Auto Ancl - CV</t>
        </is>
      </c>
      <c r="G44" s="31" t="inlineStr">
        <is>
          <t>largecap</t>
        </is>
      </c>
      <c r="H44" s="32" t="n">
        <v>24715.94</v>
      </c>
      <c r="I44" s="32" t="n">
        <v>9450</v>
      </c>
      <c r="J44" s="32" t="n">
        <v>0.32</v>
      </c>
      <c r="K44" s="32" t="n">
        <v>0</v>
      </c>
      <c r="L44" s="31" t="n">
        <v>69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64.53</v>
      </c>
      <c r="P44" s="32" t="n">
        <v>45.8</v>
      </c>
      <c r="Q44" s="32" t="n">
        <v>7819.8</v>
      </c>
      <c r="R44" s="31" t="inlineStr">
        <is>
          <t>Near 52W High Breakout</t>
        </is>
      </c>
      <c r="S44" s="31" t="inlineStr">
        <is>
          <t>Nifty Auto</t>
        </is>
      </c>
      <c r="T44" s="32" t="n">
        <v>10.42</v>
      </c>
      <c r="U44" s="32" t="n">
        <v>60.39</v>
      </c>
      <c r="V44" s="32" t="n">
        <v>45.25</v>
      </c>
      <c r="W44" s="32" t="n">
        <v>19.31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Less than 50% and Borrowings are increasing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Between 0.7 to 1.2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22</t>
        </is>
      </c>
      <c r="CG44" s="31">
        <f>IF(CF44&gt;20,10,IF(CF44&gt;=10,5,2))</f>
        <v/>
      </c>
    </row>
    <row r="45">
      <c r="A45" s="31">
        <f>IF(B45=0,"",RANK(B45,$B$2:$B$93,0))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CEIGALL</t>
        </is>
      </c>
      <c r="D45" s="31" t="inlineStr">
        <is>
          <t>Ceigall India Ltd</t>
        </is>
      </c>
      <c r="E45" s="31" t="inlineStr">
        <is>
          <t>realty</t>
        </is>
      </c>
      <c r="F45" s="31" t="inlineStr">
        <is>
          <t>Construction - Civil/Turnkey</t>
        </is>
      </c>
      <c r="G45" s="31" t="inlineStr">
        <is>
          <t>midcap</t>
        </is>
      </c>
      <c r="H45" s="32" t="n">
        <v>6800.96</v>
      </c>
      <c r="I45" s="32" t="n">
        <v>390.4</v>
      </c>
      <c r="J45" s="32" t="n">
        <v>-1.46</v>
      </c>
      <c r="K45" s="32" t="n">
        <v>0</v>
      </c>
      <c r="L45" s="31" t="n">
        <v>63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75.04000000000001</v>
      </c>
      <c r="P45" s="32" t="n">
        <v>50.96</v>
      </c>
      <c r="Q45" s="32" t="n">
        <v>311.49</v>
      </c>
      <c r="R45" s="31" t="inlineStr">
        <is>
          <t>Near 52W High Breakout</t>
        </is>
      </c>
      <c r="S45" s="31" t="inlineStr">
        <is>
          <t>Nifty Realty</t>
        </is>
      </c>
      <c r="T45" s="32" t="n">
        <v>-14.65</v>
      </c>
      <c r="U45" s="32" t="n">
        <v>45.29</v>
      </c>
      <c r="V45" s="32" t="n">
        <v>70.23</v>
      </c>
      <c r="W45" s="32" t="n">
        <v>17.27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Negative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22</t>
        </is>
      </c>
      <c r="CG45" s="31">
        <f>IF(CF45&gt;20,10,IF(CF45&gt;=10,5,2))</f>
        <v/>
      </c>
    </row>
    <row r="46">
      <c r="A46" s="31">
        <f>IF(B46=0,"",RANK(B46,$B$2:$B$93,0))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NYKAA</t>
        </is>
      </c>
      <c r="D46" s="31" t="inlineStr">
        <is>
          <t>FSN E-Commerce Ventures Ltd</t>
        </is>
      </c>
      <c r="E46" s="31" t="inlineStr">
        <is>
          <t>i.t</t>
        </is>
      </c>
      <c r="F46" s="31" t="inlineStr">
        <is>
          <t>New age - Platform - E-Retail</t>
        </is>
      </c>
      <c r="G46" s="31" t="inlineStr">
        <is>
          <t>largecap</t>
        </is>
      </c>
      <c r="H46" s="32" t="n">
        <v>89523.14</v>
      </c>
      <c r="I46" s="32" t="n">
        <v>312.6</v>
      </c>
      <c r="J46" s="32" t="n">
        <v>2.93</v>
      </c>
      <c r="K46" s="32" t="n">
        <v>0</v>
      </c>
      <c r="L46" s="31" t="n">
        <v>58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69.51000000000001</v>
      </c>
      <c r="P46" s="32" t="n">
        <v>25.92</v>
      </c>
      <c r="Q46" s="32" t="n">
        <v>260.57</v>
      </c>
      <c r="R46" s="31" t="inlineStr">
        <is>
          <t>Near 52W High Breakout</t>
        </is>
      </c>
      <c r="S46" s="31" t="inlineStr">
        <is>
          <t>Nifty IT</t>
        </is>
      </c>
      <c r="T46" s="32" t="n">
        <v>-32.85</v>
      </c>
      <c r="U46" s="32" t="n">
        <v>56.81</v>
      </c>
      <c r="V46" s="32" t="n">
        <v>133.54</v>
      </c>
      <c r="W46" s="32" t="n">
        <v>15.41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B2C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Between 0.7 to 1.2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22</t>
        </is>
      </c>
      <c r="CG46" s="31">
        <f>IF(CF46&gt;20,10,IF(CF46&gt;=10,5,2))</f>
        <v/>
      </c>
    </row>
    <row r="47">
      <c r="A47" s="31">
        <f>IF(B47=0,"",RANK(B47,$B$2:$B$93,0))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SFL</t>
        </is>
      </c>
      <c r="D47" s="31" t="inlineStr">
        <is>
          <t>Sheela Foam Ltd</t>
        </is>
      </c>
      <c r="E47" s="31" t="inlineStr">
        <is>
          <t>consumer discretionary</t>
        </is>
      </c>
      <c r="F47" s="31" t="inlineStr">
        <is>
          <t>Mattress</t>
        </is>
      </c>
      <c r="G47" s="31" t="inlineStr">
        <is>
          <t>midcap</t>
        </is>
      </c>
      <c r="H47" s="32" t="n">
        <v>8168.41</v>
      </c>
      <c r="I47" s="32" t="n">
        <v>748</v>
      </c>
      <c r="J47" s="32" t="n">
        <v>0.4</v>
      </c>
      <c r="K47" s="32" t="n">
        <v>0</v>
      </c>
      <c r="L47" s="31" t="n">
        <v>50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69.86</v>
      </c>
      <c r="P47" s="32" t="n">
        <v>24.4</v>
      </c>
      <c r="Q47" s="32" t="n">
        <v>590.1</v>
      </c>
      <c r="R47" s="31" t="inlineStr">
        <is>
          <t>Near 52W High Breakout</t>
        </is>
      </c>
      <c r="S47" s="31" t="inlineStr">
        <is>
          <t>Nifty 50</t>
        </is>
      </c>
      <c r="T47" s="32" t="n">
        <v>-6.27</v>
      </c>
      <c r="U47" s="32" t="n">
        <v>6.93</v>
      </c>
      <c r="V47" s="32" t="n">
        <v>14.08</v>
      </c>
      <c r="W47" s="32" t="n">
        <v>13.62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20</t>
        </is>
      </c>
      <c r="CG47" s="31">
        <f>IF(CF47&gt;20,10,IF(CF47&gt;=10,5,2))</f>
        <v/>
      </c>
    </row>
    <row r="48">
      <c r="A48" s="31">
        <f>IF(B48=0,"",RANK(B48,$B$2:$B$93,0))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HONASA</t>
        </is>
      </c>
      <c r="D48" s="31" t="inlineStr">
        <is>
          <t>Honasa Consumer Ltd</t>
        </is>
      </c>
      <c r="E48" s="31" t="inlineStr">
        <is>
          <t>services</t>
        </is>
      </c>
      <c r="F48" s="31" t="inlineStr">
        <is>
          <t>New age - Platform - E-Retail</t>
        </is>
      </c>
      <c r="G48" s="31" t="inlineStr">
        <is>
          <t>midcap</t>
        </is>
      </c>
      <c r="H48" s="32" t="n">
        <v>14873.22</v>
      </c>
      <c r="I48" s="32" t="n">
        <v>456.2</v>
      </c>
      <c r="J48" s="32" t="n">
        <v>2.64</v>
      </c>
      <c r="K48" s="32" t="n">
        <v>0</v>
      </c>
      <c r="L48" s="31" t="n">
        <v>73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81.31999999999999</v>
      </c>
      <c r="P48" s="32" t="n">
        <v>41.95</v>
      </c>
      <c r="Q48" s="32" t="n">
        <v>370.47</v>
      </c>
      <c r="R48" s="31" t="inlineStr">
        <is>
          <t>Near 52W High Breakout</t>
        </is>
      </c>
      <c r="S48" s="31" t="inlineStr">
        <is>
          <t>Nifty 50</t>
        </is>
      </c>
      <c r="T48" s="32" t="n">
        <v>-6.27</v>
      </c>
      <c r="U48" s="32" t="n">
        <v>54.7</v>
      </c>
      <c r="V48" s="32" t="n">
        <v>65.04000000000001</v>
      </c>
      <c r="W48" s="32" t="n">
        <v>20.8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B2C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Between 50% to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18</t>
        </is>
      </c>
      <c r="CG48" s="31">
        <f>IF(CF48&gt;20,10,IF(CF48&gt;=10,5,2))</f>
        <v/>
      </c>
    </row>
    <row r="49">
      <c r="A49" s="31">
        <f>IF(B49=0,"",RANK(B49,$B$2:$B$93,0))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4" t="inlineStr">
        <is>
          <t>PREMEXPLN</t>
        </is>
      </c>
      <c r="D49" s="34" t="inlineStr">
        <is>
          <t>Premier Explosives Ltd</t>
        </is>
      </c>
      <c r="E49" s="31" t="inlineStr">
        <is>
          <t>aerospace &amp; defence</t>
        </is>
      </c>
      <c r="F49" s="31" t="inlineStr">
        <is>
          <t>Industrial Explosives</t>
        </is>
      </c>
      <c r="G49" s="31" t="inlineStr">
        <is>
          <t>smallcap</t>
        </is>
      </c>
      <c r="H49" s="32" t="n">
        <v>4322.4</v>
      </c>
      <c r="I49" s="32" t="n">
        <v>804</v>
      </c>
      <c r="J49" s="32" t="n">
        <v>-0.75</v>
      </c>
      <c r="K49" s="32" t="n">
        <v>0</v>
      </c>
      <c r="L49" s="31" t="n">
        <v>85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72.17</v>
      </c>
      <c r="P49" s="32" t="n">
        <v>27.42</v>
      </c>
      <c r="Q49" s="32" t="n">
        <v>582.35</v>
      </c>
      <c r="R49" s="31" t="inlineStr">
        <is>
          <t>Near 52W High Breakout</t>
        </is>
      </c>
      <c r="S49" s="31" t="inlineStr">
        <is>
          <t>Nifty 50</t>
        </is>
      </c>
      <c r="T49" s="32" t="n">
        <v>-6.27</v>
      </c>
      <c r="U49" s="32" t="n">
        <v>40.27</v>
      </c>
      <c r="V49" s="32" t="n">
        <v>49.65</v>
      </c>
      <c r="W49" s="32" t="n">
        <v>30.42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Negative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18</t>
        </is>
      </c>
      <c r="CG49" s="31">
        <f>IF(CF49&gt;20,10,IF(CF49&gt;=10,5,2))</f>
        <v/>
      </c>
    </row>
    <row r="50">
      <c r="A50" s="31">
        <f>IF(B50=0,"",RANK(B50,$B$2:$B$93,0))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HAPPYFORGE</t>
        </is>
      </c>
      <c r="D50" s="31" t="inlineStr">
        <is>
          <t>Happy Forgings Ltd</t>
        </is>
      </c>
      <c r="E50" s="31" t="inlineStr">
        <is>
          <t>industrials</t>
        </is>
      </c>
      <c r="F50" s="31" t="inlineStr">
        <is>
          <t>Castings, Forgings &amp; Fastners</t>
        </is>
      </c>
      <c r="G50" s="31" t="inlineStr">
        <is>
          <t>midcap</t>
        </is>
      </c>
      <c r="H50" s="32" t="n">
        <v>14451.27</v>
      </c>
      <c r="I50" s="32" t="n">
        <v>1531.2</v>
      </c>
      <c r="J50" s="32" t="n">
        <v>-0.18</v>
      </c>
      <c r="K50" s="32" t="n">
        <v>0</v>
      </c>
      <c r="L50" s="31" t="n">
        <v>61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69.44</v>
      </c>
      <c r="P50" s="32" t="n">
        <v>38.18</v>
      </c>
      <c r="Q50" s="32" t="n">
        <v>1222.3</v>
      </c>
      <c r="R50" s="31" t="inlineStr">
        <is>
          <t>Near 52W High Breakout</t>
        </is>
      </c>
      <c r="S50" s="31" t="inlineStr">
        <is>
          <t>Nifty 50</t>
        </is>
      </c>
      <c r="T50" s="32" t="n">
        <v>-6.27</v>
      </c>
      <c r="U50" s="32" t="n">
        <v>58.39</v>
      </c>
      <c r="V50" s="32" t="n">
        <v>68.98</v>
      </c>
      <c r="W50" s="32" t="n">
        <v>16.48</v>
      </c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18</t>
        </is>
      </c>
      <c r="CG50" s="31">
        <f>IF(CF50&gt;20,10,IF(CF50&gt;=10,5,2))</f>
        <v/>
      </c>
    </row>
    <row r="51">
      <c r="A51" s="31">
        <f>IF(B51=0,"",RANK(B51,$B$2:$B$93,0))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4" t="inlineStr">
        <is>
          <t>PARAS</t>
        </is>
      </c>
      <c r="D51" s="34" t="inlineStr">
        <is>
          <t>Paras Defence and Space Technologies Ltd</t>
        </is>
      </c>
      <c r="E51" s="31" t="inlineStr">
        <is>
          <t>aerospace &amp; defence</t>
        </is>
      </c>
      <c r="F51" s="31" t="inlineStr">
        <is>
          <t>Aerospace &amp; Defence - Equipments</t>
        </is>
      </c>
      <c r="G51" s="31" t="inlineStr">
        <is>
          <t>midcap</t>
        </is>
      </c>
      <c r="H51" s="32" t="n">
        <v>10405.44</v>
      </c>
      <c r="I51" s="32" t="n">
        <v>1291.2</v>
      </c>
      <c r="J51" s="32" t="n">
        <v>7.42</v>
      </c>
      <c r="K51" s="32" t="n">
        <v>0</v>
      </c>
      <c r="L51" s="31" t="n">
        <v>89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70.13</v>
      </c>
      <c r="P51" s="32" t="n">
        <v>48.87</v>
      </c>
      <c r="Q51" s="32" t="n">
        <v>1042.44</v>
      </c>
      <c r="R51" s="31" t="inlineStr">
        <is>
          <t>Earnings / Momentum Support</t>
        </is>
      </c>
      <c r="S51" s="31" t="inlineStr">
        <is>
          <t>Nifty 50</t>
        </is>
      </c>
      <c r="T51" s="32" t="n">
        <v>-6.27</v>
      </c>
      <c r="U51" s="32" t="n">
        <v>38.18</v>
      </c>
      <c r="V51" s="32" t="n">
        <v>47.42</v>
      </c>
      <c r="W51" s="32" t="n">
        <v>34.12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Between 1.5 to 2</t>
        </is>
      </c>
      <c r="BU51" s="31">
        <f>IF(BT51="Above 2",0,IF(BT51="Between 1.5 to 2",5,IF(BT51="Less than 1.5",10,0)))</f>
        <v/>
      </c>
      <c r="BV51" s="31" t="inlineStr">
        <is>
          <t>Less than 50%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18</t>
        </is>
      </c>
      <c r="CG51" s="31">
        <f>IF(CF51&gt;20,10,IF(CF51&gt;=10,5,2))</f>
        <v/>
      </c>
    </row>
    <row r="52">
      <c r="A52" s="31">
        <f>IF(B52=0,"",RANK(B52,$B$2:$B$93,0))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THELEELA</t>
        </is>
      </c>
      <c r="D52" s="31" t="inlineStr">
        <is>
          <t>Leela Palaces Hotels &amp; Resorts Ltd</t>
        </is>
      </c>
      <c r="E52" s="31" t="inlineStr">
        <is>
          <t>services</t>
        </is>
      </c>
      <c r="F52" s="31" t="inlineStr">
        <is>
          <t>Hotels</t>
        </is>
      </c>
      <c r="G52" s="31" t="inlineStr">
        <is>
          <t>midcap</t>
        </is>
      </c>
      <c r="H52" s="32" t="n">
        <v>15996.58</v>
      </c>
      <c r="I52" s="32" t="n">
        <v>479</v>
      </c>
      <c r="J52" s="32" t="n">
        <v>-0.83</v>
      </c>
      <c r="K52" s="32" t="n">
        <v>0</v>
      </c>
      <c r="L52" s="31" t="n">
        <v>20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59.89</v>
      </c>
      <c r="P52" s="32" t="n">
        <v>13.54</v>
      </c>
      <c r="Q52" s="32" t="n">
        <v>403.34</v>
      </c>
      <c r="R52" s="31" t="inlineStr">
        <is>
          <t>Near 52W High Breakout</t>
        </is>
      </c>
      <c r="S52" s="31" t="inlineStr">
        <is>
          <t>Nifty 50</t>
        </is>
      </c>
      <c r="T52" s="32" t="n">
        <v>-6.27</v>
      </c>
      <c r="U52" s="32" t="n">
        <v>18.39</v>
      </c>
      <c r="V52" s="32" t="n">
        <v>26.3</v>
      </c>
      <c r="W52" s="32" t="n">
        <v>6.53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0 to 20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Between 1.5 to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17</t>
        </is>
      </c>
      <c r="CG52" s="31">
        <f>IF(CF52&gt;20,10,IF(CF52&gt;=10,5,2))</f>
        <v/>
      </c>
    </row>
    <row r="53">
      <c r="A53" s="31">
        <f>IF(B53=0,"",RANK(B53,$B$2:$B$93,0))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APOLLO</t>
        </is>
      </c>
      <c r="D53" s="31" t="inlineStr">
        <is>
          <t>Apollo Micro Systems Ltd</t>
        </is>
      </c>
      <c r="E53" s="31" t="inlineStr">
        <is>
          <t>aerospace &amp; defence</t>
        </is>
      </c>
      <c r="F53" s="31" t="inlineStr">
        <is>
          <t>Aerospace &amp; Defence - Equipments</t>
        </is>
      </c>
      <c r="G53" s="31" t="inlineStr">
        <is>
          <t>midcap</t>
        </is>
      </c>
      <c r="H53" s="32" t="n">
        <v>15761.39</v>
      </c>
      <c r="I53" s="32" t="n">
        <v>424.15</v>
      </c>
      <c r="J53" s="32" t="n">
        <v>4.28</v>
      </c>
      <c r="K53" s="32" t="n">
        <v>0</v>
      </c>
      <c r="L53" s="31" t="n">
        <v>96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67.31</v>
      </c>
      <c r="P53" s="32" t="n">
        <v>41.09</v>
      </c>
      <c r="Q53" s="32" t="n">
        <v>306.15</v>
      </c>
      <c r="R53" s="31" t="inlineStr">
        <is>
          <t>Near 52W High Breakout</t>
        </is>
      </c>
      <c r="S53" s="31" t="inlineStr">
        <is>
          <t>Nifty 50</t>
        </is>
      </c>
      <c r="T53" s="32" t="n">
        <v>-6.27</v>
      </c>
      <c r="U53" s="32" t="n">
        <v>121.54</v>
      </c>
      <c r="V53" s="32" t="n">
        <v>136.35</v>
      </c>
      <c r="W53" s="32" t="n">
        <v>52.31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Oligopoly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Cyclical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B2C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Fully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Yes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Between 1.5 to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20</t>
        </is>
      </c>
      <c r="CG53" s="31">
        <f>IF(CF53&gt;20,10,IF(CF53&gt;=10,5,2))</f>
        <v/>
      </c>
    </row>
    <row r="54">
      <c r="A54" s="31">
        <f>IF(B54=0,"",RANK(B54,$B$2:$B$93,0))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AURUM</t>
        </is>
      </c>
      <c r="D54" s="31" t="inlineStr">
        <is>
          <t>Aurum Proptech Ltd</t>
        </is>
      </c>
      <c r="E54" s="31" t="inlineStr">
        <is>
          <t>i.t</t>
        </is>
      </c>
      <c r="F54" s="31" t="inlineStr">
        <is>
          <t>IT Enabled Services</t>
        </is>
      </c>
      <c r="G54" s="31" t="inlineStr">
        <is>
          <t>smallcap</t>
        </is>
      </c>
      <c r="H54" s="32" t="n">
        <v>1607.3</v>
      </c>
      <c r="I54" s="32" t="n">
        <v>223.1</v>
      </c>
      <c r="J54" s="32" t="n">
        <v>-0.37</v>
      </c>
      <c r="K54" s="32" t="n">
        <v>0</v>
      </c>
      <c r="L54" s="31" t="n">
        <v>37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71.64</v>
      </c>
      <c r="P54" s="32" t="n">
        <v>28.16</v>
      </c>
      <c r="Q54" s="32" t="n">
        <v>178.6</v>
      </c>
      <c r="R54" s="31" t="inlineStr">
        <is>
          <t>Near 52W High Breakout</t>
        </is>
      </c>
      <c r="S54" s="31" t="inlineStr">
        <is>
          <t>Nifty IT</t>
        </is>
      </c>
      <c r="T54" s="32" t="n">
        <v>-32.85</v>
      </c>
      <c r="U54" s="32" t="n">
        <v>16.19</v>
      </c>
      <c r="V54" s="32" t="n">
        <v>73.04000000000001</v>
      </c>
      <c r="W54" s="32" t="n">
        <v>10.3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Between 50% to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24</t>
        </is>
      </c>
      <c r="CG54" s="31">
        <f>IF(CF54&gt;20,10,IF(CF54&gt;=10,5,2))</f>
        <v/>
      </c>
    </row>
    <row r="55">
      <c r="A55" s="31">
        <f>IF(B55=0,"",RANK(B55,$B$2:$B$93,0))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HFCL</t>
        </is>
      </c>
      <c r="D55" s="31" t="inlineStr">
        <is>
          <t>HFCL Ltd</t>
        </is>
      </c>
      <c r="E55" s="31" t="inlineStr">
        <is>
          <t>telecom</t>
        </is>
      </c>
      <c r="F55" s="31" t="inlineStr">
        <is>
          <t>Telecom Services</t>
        </is>
      </c>
      <c r="G55" s="31" t="inlineStr">
        <is>
          <t>largecap</t>
        </is>
      </c>
      <c r="H55" s="32" t="n">
        <v>32476.32</v>
      </c>
      <c r="I55" s="32" t="n">
        <v>212.18</v>
      </c>
      <c r="J55" s="32" t="n">
        <v>-0.01</v>
      </c>
      <c r="K55" s="32" t="n">
        <v>0</v>
      </c>
      <c r="L55" s="31" t="n">
        <v>98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83.93000000000001</v>
      </c>
      <c r="P55" s="32" t="n">
        <v>61.32</v>
      </c>
      <c r="Q55" s="32" t="n">
        <v>162.54</v>
      </c>
      <c r="R55" s="31" t="inlineStr">
        <is>
          <t>Near 52W High Breakout</t>
        </is>
      </c>
      <c r="S55" s="31" t="inlineStr">
        <is>
          <t>Nifty Infra</t>
        </is>
      </c>
      <c r="T55" s="32" t="n">
        <v>-0.44</v>
      </c>
      <c r="U55" s="32" t="n">
        <v>151.96</v>
      </c>
      <c r="V55" s="32" t="n">
        <v>153.08</v>
      </c>
      <c r="W55" s="32" t="n">
        <v>75.70999999999999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Oligopoly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Negative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23</t>
        </is>
      </c>
      <c r="CG55" s="31">
        <f>IF(CF55&gt;20,10,IF(CF55&gt;=10,5,2))</f>
        <v/>
      </c>
    </row>
    <row r="56">
      <c r="A56" s="31">
        <f>IF(B56=0,"",RANK(B56,$B$2:$B$93,0))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INDNIPPON</t>
        </is>
      </c>
      <c r="D56" s="31" t="inlineStr">
        <is>
          <t>India Nippon Electricals Ltd</t>
        </is>
      </c>
      <c r="E56" s="31" t="inlineStr">
        <is>
          <t>auto</t>
        </is>
      </c>
      <c r="F56" s="31" t="inlineStr">
        <is>
          <t>Auto Ancillaries - Engine Parts</t>
        </is>
      </c>
      <c r="G56" s="31" t="inlineStr">
        <is>
          <t>smallcap</t>
        </is>
      </c>
      <c r="H56" s="32" t="n">
        <v>2296.07</v>
      </c>
      <c r="I56" s="32" t="n">
        <v>1015</v>
      </c>
      <c r="J56" s="32" t="n">
        <v>5.49</v>
      </c>
      <c r="K56" s="32" t="n">
        <v>0</v>
      </c>
      <c r="L56" s="31" t="n">
        <v>63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67.73999999999999</v>
      </c>
      <c r="P56" s="32" t="n">
        <v>18.79</v>
      </c>
      <c r="Q56" s="32" t="n">
        <v>801.35</v>
      </c>
      <c r="R56" s="31" t="inlineStr">
        <is>
          <t>Near 52W High Breakout</t>
        </is>
      </c>
      <c r="S56" s="31" t="inlineStr">
        <is>
          <t>Nifty Auto</t>
        </is>
      </c>
      <c r="T56" s="32" t="n">
        <v>10.42</v>
      </c>
      <c r="U56" s="32" t="n">
        <v>32.83</v>
      </c>
      <c r="V56" s="32" t="n">
        <v>20.3</v>
      </c>
      <c r="W56" s="32" t="n">
        <v>17.1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0 to 20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Less than 50%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22</t>
        </is>
      </c>
      <c r="CG56" s="31">
        <f>IF(CF56&gt;20,10,IF(CF56&gt;=10,5,2))</f>
        <v/>
      </c>
    </row>
    <row r="57">
      <c r="A57" s="31">
        <f>IF(B57=0,"",RANK(B57,$B$2:$B$93,0))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SKYGOLD</t>
        </is>
      </c>
      <c r="D57" s="31" t="inlineStr">
        <is>
          <t>Sky Gold &amp; Diamonds Ltd</t>
        </is>
      </c>
      <c r="E57" s="31" t="inlineStr">
        <is>
          <t>consumer discretionary</t>
        </is>
      </c>
      <c r="F57" s="31" t="inlineStr">
        <is>
          <t>Diamond, Gems &amp; Jewellery</t>
        </is>
      </c>
      <c r="G57" s="31" t="inlineStr">
        <is>
          <t>midcap</t>
        </is>
      </c>
      <c r="H57" s="32" t="n">
        <v>8208.32</v>
      </c>
      <c r="I57" s="32" t="n">
        <v>530</v>
      </c>
      <c r="J57" s="32" t="n">
        <v>3.54</v>
      </c>
      <c r="K57" s="32" t="n">
        <v>0</v>
      </c>
      <c r="L57" s="31" t="n">
        <v>80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65.45999999999999</v>
      </c>
      <c r="P57" s="32" t="n">
        <v>45.6</v>
      </c>
      <c r="Q57" s="32" t="n">
        <v>392.87</v>
      </c>
      <c r="R57" s="31" t="inlineStr">
        <is>
          <t>Near 52W High Breakout</t>
        </is>
      </c>
      <c r="S57" s="31" t="inlineStr">
        <is>
          <t>Nifty 50</t>
        </is>
      </c>
      <c r="T57" s="32" t="n">
        <v>-6.27</v>
      </c>
      <c r="U57" s="32" t="n">
        <v>67.84</v>
      </c>
      <c r="V57" s="32" t="n">
        <v>79.06</v>
      </c>
      <c r="W57" s="32" t="n">
        <v>24.41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Negative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Between 0.7 to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22</t>
        </is>
      </c>
      <c r="CG57" s="31">
        <f>IF(CF57&gt;20,10,IF(CF57&gt;=10,5,2))</f>
        <v/>
      </c>
    </row>
    <row r="58">
      <c r="A58" s="31">
        <f>IF(B58=0,"",RANK(B58,$B$2:$B$93,0))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JAYBARMARU</t>
        </is>
      </c>
      <c r="D58" s="31" t="inlineStr">
        <is>
          <t>Jay Bharat Maruti Ltd</t>
        </is>
      </c>
      <c r="E58" s="31" t="inlineStr">
        <is>
          <t>auto</t>
        </is>
      </c>
      <c r="F58" s="31" t="inlineStr">
        <is>
          <t>Auto Ancillaries - Diversified</t>
        </is>
      </c>
      <c r="G58" s="31" t="inlineStr">
        <is>
          <t>smallcap</t>
        </is>
      </c>
      <c r="H58" s="32" t="n">
        <v>1861.9</v>
      </c>
      <c r="I58" s="32" t="n">
        <v>172</v>
      </c>
      <c r="J58" s="32" t="n">
        <v>0.29</v>
      </c>
      <c r="K58" s="32" t="n">
        <v>0</v>
      </c>
      <c r="L58" s="31" t="n">
        <v>94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75.08</v>
      </c>
      <c r="P58" s="32" t="n">
        <v>29.36</v>
      </c>
      <c r="Q58" s="32" t="n">
        <v>127.07</v>
      </c>
      <c r="R58" s="31" t="inlineStr">
        <is>
          <t>Near 52W High Breakout</t>
        </is>
      </c>
      <c r="S58" s="31" t="inlineStr">
        <is>
          <t>Nifty Auto</t>
        </is>
      </c>
      <c r="T58" s="32" t="n">
        <v>10.42</v>
      </c>
      <c r="U58" s="32" t="n">
        <v>121.62</v>
      </c>
      <c r="V58" s="32" t="n">
        <v>100.7</v>
      </c>
      <c r="W58" s="32" t="n">
        <v>44.45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Between 50% to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Between 0.7 to 1.2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21</t>
        </is>
      </c>
      <c r="CG58" s="31">
        <f>IF(CF58&gt;20,10,IF(CF58&gt;=10,5,2))</f>
        <v/>
      </c>
    </row>
    <row r="59">
      <c r="A59" s="31">
        <f>IF(B59=0,"",RANK(B59,$B$2:$B$93,0))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4" t="inlineStr">
        <is>
          <t>RAMCOIND</t>
        </is>
      </c>
      <c r="D59" s="34" t="inlineStr">
        <is>
          <t>Ramco Industries Ltd</t>
        </is>
      </c>
      <c r="E59" s="31" t="inlineStr">
        <is>
          <t>building materials</t>
        </is>
      </c>
      <c r="F59" s="31" t="inlineStr">
        <is>
          <t>Cement Products</t>
        </is>
      </c>
      <c r="G59" s="31" t="inlineStr">
        <is>
          <t>smallcap</t>
        </is>
      </c>
      <c r="H59" s="32" t="n">
        <v>2942.19</v>
      </c>
      <c r="I59" s="32" t="n">
        <v>338.8</v>
      </c>
      <c r="J59" s="32" t="n">
        <v>2.65</v>
      </c>
      <c r="K59" s="32" t="n">
        <v>0</v>
      </c>
      <c r="L59" s="31" t="n">
        <v>44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62.67</v>
      </c>
      <c r="P59" s="32" t="n">
        <v>22.99</v>
      </c>
      <c r="Q59" s="32" t="n">
        <v>257.91</v>
      </c>
      <c r="R59" s="31" t="inlineStr">
        <is>
          <t>Earnings / Momentum Support</t>
        </is>
      </c>
      <c r="S59" s="31" t="inlineStr">
        <is>
          <t>Nifty Infra</t>
        </is>
      </c>
      <c r="T59" s="32" t="n">
        <v>-0.44</v>
      </c>
      <c r="U59" s="32" t="n">
        <v>17.14</v>
      </c>
      <c r="V59" s="32" t="n">
        <v>17.66</v>
      </c>
      <c r="W59" s="32" t="n">
        <v>11.77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20</t>
        </is>
      </c>
      <c r="CG59" s="31">
        <f>IF(CF59&gt;20,10,IF(CF59&gt;=10,5,2))</f>
        <v/>
      </c>
    </row>
    <row r="60">
      <c r="A60" s="31">
        <f>IF(B60=0,"",RANK(B60,$B$2:$B$93,0))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AFCOM</t>
        </is>
      </c>
      <c r="D60" s="31" t="inlineStr">
        <is>
          <t>Afcom Holdings Ltd</t>
        </is>
      </c>
      <c r="E60" s="31" t="inlineStr">
        <is>
          <t>Industrials</t>
        </is>
      </c>
      <c r="F60" s="31" t="inlineStr">
        <is>
          <t>Air Transport Service</t>
        </is>
      </c>
      <c r="G60" s="31" t="inlineStr">
        <is>
          <t>smallcap</t>
        </is>
      </c>
      <c r="H60" s="32" t="n">
        <v>3492.62</v>
      </c>
      <c r="I60" s="32" t="n">
        <v>1217</v>
      </c>
      <c r="J60" s="32" t="n">
        <v>-1.18</v>
      </c>
      <c r="K60" s="32" t="n">
        <v>0</v>
      </c>
      <c r="L60" s="31" t="n">
        <v>75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68.06999999999999</v>
      </c>
      <c r="P60" s="32" t="n">
        <v>23.63</v>
      </c>
      <c r="Q60" s="32" t="n">
        <v>899.48</v>
      </c>
      <c r="R60" s="31" t="inlineStr">
        <is>
          <t>Near 52W High Breakout</t>
        </is>
      </c>
      <c r="S60" s="31" t="inlineStr">
        <is>
          <t>Nifty 50</t>
        </is>
      </c>
      <c r="T60" s="32" t="n">
        <v>-6.27</v>
      </c>
      <c r="U60" s="32" t="n">
        <v>40.54</v>
      </c>
      <c r="V60" s="32" t="n">
        <v>49.93</v>
      </c>
      <c r="W60" s="32" t="n">
        <v>22.08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Less than 50%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19</t>
        </is>
      </c>
      <c r="CG60" s="31">
        <f>IF(CF60&gt;20,10,IF(CF60&gt;=10,5,2))</f>
        <v/>
      </c>
    </row>
    <row r="61">
      <c r="A61" s="31">
        <f>IF(B61=0,"",RANK(B61,$B$2:$B$93,0))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4" t="inlineStr">
        <is>
          <t>RPEL</t>
        </is>
      </c>
      <c r="D61" s="34" t="inlineStr">
        <is>
          <t>Raghav Productivity Enhancers Ltd</t>
        </is>
      </c>
      <c r="E61" s="31" t="inlineStr">
        <is>
          <t>building materials</t>
        </is>
      </c>
      <c r="F61" s="31" t="inlineStr">
        <is>
          <t>Steel Products</t>
        </is>
      </c>
      <c r="G61" s="31" t="inlineStr">
        <is>
          <t>midcap</t>
        </is>
      </c>
      <c r="H61" s="32" t="n">
        <v>5542.78</v>
      </c>
      <c r="I61" s="32" t="n">
        <v>1207</v>
      </c>
      <c r="J61" s="32" t="n">
        <v>4.06</v>
      </c>
      <c r="K61" s="32" t="n">
        <v>0</v>
      </c>
      <c r="L61" s="31" t="n">
        <v>91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75.67</v>
      </c>
      <c r="P61" s="32" t="n">
        <v>34.82</v>
      </c>
      <c r="Q61" s="32" t="n">
        <v>934.02</v>
      </c>
      <c r="R61" s="31" t="inlineStr">
        <is>
          <t>Near 52W High Breakout</t>
        </is>
      </c>
      <c r="S61" s="31" t="inlineStr">
        <is>
          <t>Nifty Infra</t>
        </is>
      </c>
      <c r="T61" s="32" t="n">
        <v>-0.44</v>
      </c>
      <c r="U61" s="32" t="n">
        <v>69.44</v>
      </c>
      <c r="V61" s="32" t="n">
        <v>70.2</v>
      </c>
      <c r="W61" s="32" t="n">
        <v>37.02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Less than 50%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18</t>
        </is>
      </c>
      <c r="CG61" s="31">
        <f>IF(CF61&gt;20,10,IF(CF61&gt;=10,5,2))</f>
        <v/>
      </c>
    </row>
    <row r="62">
      <c r="A62" s="31">
        <f>IF(B62=0,"",RANK(B62,$B$2:$B$93,0))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VIYASH</t>
        </is>
      </c>
      <c r="D62" s="31" t="inlineStr">
        <is>
          <t>Viyash Scientific Ltd</t>
        </is>
      </c>
      <c r="E62" s="31" t="inlineStr">
        <is>
          <t>healthcare</t>
        </is>
      </c>
      <c r="F62" s="31" t="inlineStr">
        <is>
          <t>Pharma - Animal</t>
        </is>
      </c>
      <c r="G62" s="31" t="inlineStr">
        <is>
          <t>midcap</t>
        </is>
      </c>
      <c r="H62" s="32" t="n">
        <v>12066.5</v>
      </c>
      <c r="I62" s="32" t="n">
        <v>276.2</v>
      </c>
      <c r="J62" s="32" t="n">
        <v>2.43</v>
      </c>
      <c r="K62" s="32" t="n">
        <v>0</v>
      </c>
      <c r="L62" s="31" t="n">
        <v>67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72.59</v>
      </c>
      <c r="P62" s="32" t="n">
        <v>37.85</v>
      </c>
      <c r="Q62" s="32" t="n">
        <v>214.59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13.14</v>
      </c>
      <c r="U62" s="32" t="n">
        <v>46.91</v>
      </c>
      <c r="V62" s="32" t="n">
        <v>29.85</v>
      </c>
      <c r="W62" s="32" t="n">
        <v>18.23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Less than 50%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23</t>
        </is>
      </c>
      <c r="CG62" s="31">
        <f>IF(CF62&gt;20,10,IF(CF62&gt;=10,5,2))</f>
        <v/>
      </c>
    </row>
    <row r="63">
      <c r="A63" s="31">
        <f>IF(B63=0,"",RANK(B63,$B$2:$B$93,0))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KMEW</t>
        </is>
      </c>
      <c r="D63" s="31" t="inlineStr">
        <is>
          <t>Knowledge Marine &amp; Engineering Works Ltd</t>
        </is>
      </c>
      <c r="E63" s="31" t="inlineStr">
        <is>
          <t>transportation</t>
        </is>
      </c>
      <c r="F63" s="31" t="inlineStr">
        <is>
          <t>Shipping</t>
        </is>
      </c>
      <c r="G63" s="31" t="inlineStr">
        <is>
          <t>midcap</t>
        </is>
      </c>
      <c r="H63" s="32" t="n">
        <v>5684.45</v>
      </c>
      <c r="I63" s="32" t="n">
        <v>2310.75</v>
      </c>
      <c r="J63" s="32" t="n">
        <v>3.7</v>
      </c>
      <c r="K63" s="32" t="n">
        <v>0</v>
      </c>
      <c r="L63" s="31" t="n">
        <v>89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68.04000000000001</v>
      </c>
      <c r="P63" s="32" t="n">
        <v>38.94</v>
      </c>
      <c r="Q63" s="32" t="n">
        <v>1618.79</v>
      </c>
      <c r="R63" s="31" t="inlineStr">
        <is>
          <t>Near 52W High Breakout</t>
        </is>
      </c>
      <c r="S63" s="31" t="inlineStr">
        <is>
          <t>Nifty 50</t>
        </is>
      </c>
      <c r="T63" s="32" t="n">
        <v>-6.27</v>
      </c>
      <c r="U63" s="32" t="n">
        <v>178.46</v>
      </c>
      <c r="V63" s="32" t="n">
        <v>197.08</v>
      </c>
      <c r="W63" s="32" t="n">
        <v>35.3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Negative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28</t>
        </is>
      </c>
      <c r="CG63" s="31">
        <f>IF(CF63&gt;20,10,IF(CF63&gt;=10,5,2))</f>
        <v/>
      </c>
    </row>
    <row r="64">
      <c r="A64" s="31">
        <f>IF(B64=0,"",RANK(B64,$B$2:$B$93,0))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JNKINDIA</t>
        </is>
      </c>
      <c r="D64" s="31" t="inlineStr">
        <is>
          <t>JNK India Ltd</t>
        </is>
      </c>
      <c r="E64" s="31" t="inlineStr">
        <is>
          <t>realty</t>
        </is>
      </c>
      <c r="F64" s="31" t="inlineStr">
        <is>
          <t>Capital Goods - Engineering Heavy</t>
        </is>
      </c>
      <c r="G64" s="31" t="inlineStr">
        <is>
          <t>smallcap</t>
        </is>
      </c>
      <c r="H64" s="32" t="n">
        <v>2836.86</v>
      </c>
      <c r="I64" s="32" t="n">
        <v>507</v>
      </c>
      <c r="J64" s="32" t="n">
        <v>2.58</v>
      </c>
      <c r="K64" s="32" t="n">
        <v>0</v>
      </c>
      <c r="L64" s="31" t="n">
        <v>90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73.48</v>
      </c>
      <c r="P64" s="32" t="n">
        <v>39.42</v>
      </c>
      <c r="Q64" s="32" t="n">
        <v>358.58</v>
      </c>
      <c r="R64" s="31" t="inlineStr">
        <is>
          <t>Near 52W High Breakout</t>
        </is>
      </c>
      <c r="S64" s="31" t="inlineStr">
        <is>
          <t>Nifty Realty</t>
        </is>
      </c>
      <c r="T64" s="32" t="n">
        <v>-14.65</v>
      </c>
      <c r="U64" s="32" t="n">
        <v>51.04</v>
      </c>
      <c r="V64" s="32" t="n">
        <v>76.95999999999999</v>
      </c>
      <c r="W64" s="32" t="n">
        <v>36.11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Negative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27</t>
        </is>
      </c>
      <c r="CG64" s="31">
        <f>IF(CF64&gt;20,10,IF(CF64&gt;=10,5,2))</f>
        <v/>
      </c>
    </row>
    <row r="65">
      <c r="A65" s="31">
        <f>IF(B65=0,"",RANK(B65,$B$2:$B$93,0))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AEROENTER</t>
        </is>
      </c>
      <c r="D65" s="31" t="inlineStr">
        <is>
          <t>Aeroflex Enterprises Ltd</t>
        </is>
      </c>
      <c r="E65" s="31" t="inlineStr">
        <is>
          <t>metals &amp; mining</t>
        </is>
      </c>
      <c r="F65" s="31" t="inlineStr">
        <is>
          <t>Miscellaneous</t>
        </is>
      </c>
      <c r="G65" s="31" t="inlineStr">
        <is>
          <t>smallcap</t>
        </is>
      </c>
      <c r="H65" s="32" t="n">
        <v>1623.34</v>
      </c>
      <c r="I65" s="32" t="n">
        <v>143.45</v>
      </c>
      <c r="J65" s="32" t="n">
        <v>1.37</v>
      </c>
      <c r="K65" s="32" t="n">
        <v>0</v>
      </c>
      <c r="L65" s="31" t="n">
        <v>88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76.67</v>
      </c>
      <c r="P65" s="32" t="n">
        <v>45.15</v>
      </c>
      <c r="Q65" s="32" t="n">
        <v>105.65</v>
      </c>
      <c r="R65" s="31" t="inlineStr">
        <is>
          <t>Near 52W High Breakout</t>
        </is>
      </c>
      <c r="S65" s="31" t="inlineStr">
        <is>
          <t>Nifty Metal</t>
        </is>
      </c>
      <c r="T65" s="32" t="n">
        <v>30.67</v>
      </c>
      <c r="U65" s="32" t="n">
        <v>42.32</v>
      </c>
      <c r="V65" s="32" t="n">
        <v>8.91</v>
      </c>
      <c r="W65" s="32" t="n">
        <v>33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Cyclical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Volatile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Less than 50%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23</t>
        </is>
      </c>
      <c r="CG65" s="31">
        <f>IF(CF65&gt;20,10,IF(CF65&gt;=10,5,2))</f>
        <v/>
      </c>
    </row>
    <row r="66">
      <c r="A66" s="31">
        <f>IF(B66=0,"",RANK(B66,$B$2:$B$93,0))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4" t="inlineStr">
        <is>
          <t>UNIABEXAL</t>
        </is>
      </c>
      <c r="D66" s="34" t="inlineStr">
        <is>
          <t>Uni Abex Alloy Products Ltd</t>
        </is>
      </c>
      <c r="E66" s="31" t="inlineStr">
        <is>
          <t>Basic Materials</t>
        </is>
      </c>
      <c r="F66" s="31" t="inlineStr">
        <is>
          <t>Castings, Forgings &amp; Fastners</t>
        </is>
      </c>
      <c r="G66" s="31" t="inlineStr">
        <is>
          <t>smallcap</t>
        </is>
      </c>
      <c r="H66" s="32" t="n">
        <v>1021.08</v>
      </c>
      <c r="I66" s="32" t="n">
        <v>5170</v>
      </c>
      <c r="J66" s="32" t="n">
        <v>3.38</v>
      </c>
      <c r="K66" s="32" t="n">
        <v>0</v>
      </c>
      <c r="L66" s="31" t="n">
        <v>84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77.23</v>
      </c>
      <c r="P66" s="32" t="n">
        <v>40.1</v>
      </c>
      <c r="Q66" s="32" t="n">
        <v>3744.5</v>
      </c>
      <c r="R66" s="31" t="inlineStr">
        <is>
          <t>Near 52W High Breakout</t>
        </is>
      </c>
      <c r="S66" s="31" t="inlineStr">
        <is>
          <t>Nifty Metal</t>
        </is>
      </c>
      <c r="T66" s="32" t="n">
        <v>30.67</v>
      </c>
      <c r="U66" s="32" t="n">
        <v>55.25</v>
      </c>
      <c r="V66" s="32" t="n">
        <v>18.8</v>
      </c>
      <c r="W66" s="32" t="n">
        <v>28.95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Cyclical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Volatile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Less than 50%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23</t>
        </is>
      </c>
      <c r="CG66" s="31">
        <f>IF(CF66&gt;20,10,IF(CF66&gt;=10,5,2))</f>
        <v/>
      </c>
    </row>
    <row r="67">
      <c r="A67" s="31">
        <f>IF(B67=0,"",RANK(B67,$B$2:$B$93,0))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SIGMAADV</t>
        </is>
      </c>
      <c r="D67" s="31" t="inlineStr">
        <is>
          <t>Sigma Advanced System Ltd</t>
        </is>
      </c>
      <c r="E67" s="31" t="inlineStr">
        <is>
          <t>aerospace &amp; defence</t>
        </is>
      </c>
      <c r="F67" s="31" t="inlineStr">
        <is>
          <t>Aerospace &amp; Defence - Equipments</t>
        </is>
      </c>
      <c r="G67" s="31" t="inlineStr">
        <is>
          <t>midcap</t>
        </is>
      </c>
      <c r="H67" s="32" t="n">
        <v>9783.07</v>
      </c>
      <c r="I67" s="32" t="n">
        <v>555.1</v>
      </c>
      <c r="J67" s="32" t="n">
        <v>-5</v>
      </c>
      <c r="K67" s="32" t="n">
        <v>0</v>
      </c>
      <c r="L67" s="31" t="n">
        <v>99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78.36</v>
      </c>
      <c r="P67" s="32" t="n">
        <v>54.98</v>
      </c>
      <c r="Q67" s="32" t="n">
        <v>469.3</v>
      </c>
      <c r="R67" s="31" t="inlineStr">
        <is>
          <t>Earnings / Momentum Support</t>
        </is>
      </c>
      <c r="S67" s="31" t="inlineStr">
        <is>
          <t>Nifty 50</t>
        </is>
      </c>
      <c r="T67" s="32" t="n">
        <v>-6.27</v>
      </c>
      <c r="U67" s="32" t="n">
        <v>438.15</v>
      </c>
      <c r="V67" s="32" t="n">
        <v>474.12</v>
      </c>
      <c r="W67" s="32" t="n">
        <v>112.86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Negative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23</t>
        </is>
      </c>
      <c r="CG67" s="31">
        <f>IF(CF67&gt;20,10,IF(CF67&gt;=10,5,2))</f>
        <v/>
      </c>
    </row>
    <row r="68">
      <c r="A68" s="31">
        <f>IF(B68=0,"",RANK(B68,$B$2:$B$93,0))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KERNEX</t>
        </is>
      </c>
      <c r="D68" s="31" t="inlineStr">
        <is>
          <t>Kernex Microsystems (India) Ltd</t>
        </is>
      </c>
      <c r="E68" s="31" t="inlineStr">
        <is>
          <t>consumer discretionary</t>
        </is>
      </c>
      <c r="F68" s="31" t="inlineStr">
        <is>
          <t>Railways - Kavach/Springs</t>
        </is>
      </c>
      <c r="G68" s="31" t="inlineStr">
        <is>
          <t>smallcap</t>
        </is>
      </c>
      <c r="H68" s="32" t="n">
        <v>3676.63</v>
      </c>
      <c r="I68" s="32" t="n">
        <v>2188</v>
      </c>
      <c r="J68" s="32" t="n">
        <v>6.03</v>
      </c>
      <c r="K68" s="32" t="n">
        <v>0</v>
      </c>
      <c r="L68" s="31" t="n">
        <v>95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76.42</v>
      </c>
      <c r="P68" s="32" t="n">
        <v>39.94</v>
      </c>
      <c r="Q68" s="32" t="n">
        <v>1625.55</v>
      </c>
      <c r="R68" s="31" t="inlineStr">
        <is>
          <t>Near 52W High Breakout</t>
        </is>
      </c>
      <c r="S68" s="31" t="inlineStr">
        <is>
          <t>Nifty 50</t>
        </is>
      </c>
      <c r="T68" s="32" t="n">
        <v>-6.27</v>
      </c>
      <c r="U68" s="32" t="n">
        <v>84.48</v>
      </c>
      <c r="V68" s="32" t="n">
        <v>96.81</v>
      </c>
      <c r="W68" s="32" t="n">
        <v>46.92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Negative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21</t>
        </is>
      </c>
      <c r="CG68" s="31">
        <f>IF(CF68&gt;20,10,IF(CF68&gt;=10,5,2))</f>
        <v/>
      </c>
    </row>
    <row r="69">
      <c r="A69" s="31">
        <f>IF(B69=0,"",RANK(B69,$B$2:$B$93,0))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GMRAIRPORT</t>
        </is>
      </c>
      <c r="D69" s="31" t="inlineStr">
        <is>
          <t>GMR Airports Ltd</t>
        </is>
      </c>
      <c r="E69" s="31" t="inlineStr">
        <is>
          <t>miscellaneous</t>
        </is>
      </c>
      <c r="F69" s="31" t="inlineStr">
        <is>
          <t>Miscellaneous</t>
        </is>
      </c>
      <c r="G69" s="31" t="inlineStr">
        <is>
          <t>largecap</t>
        </is>
      </c>
      <c r="H69" s="32" t="n">
        <v>118777.92</v>
      </c>
      <c r="I69" s="32" t="n">
        <v>112.49</v>
      </c>
      <c r="J69" s="32" t="n">
        <v>2.51</v>
      </c>
      <c r="K69" s="32" t="n">
        <v>0</v>
      </c>
      <c r="L69" s="31" t="n">
        <v>39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66.42</v>
      </c>
      <c r="P69" s="32" t="n">
        <v>16.45</v>
      </c>
      <c r="Q69" s="32" t="n">
        <v>93.16</v>
      </c>
      <c r="R69" s="31" t="inlineStr">
        <is>
          <t>Near 52W High Breakout</t>
        </is>
      </c>
      <c r="S69" s="31" t="inlineStr">
        <is>
          <t>Nifty 500</t>
        </is>
      </c>
      <c r="T69" s="32" t="n">
        <v>-2.41</v>
      </c>
      <c r="U69" s="32" t="n">
        <v>24.67</v>
      </c>
      <c r="V69" s="32" t="n">
        <v>27.74</v>
      </c>
      <c r="W69" s="32" t="n">
        <v>10.81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0 to 20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21</t>
        </is>
      </c>
      <c r="CG69" s="31">
        <f>IF(CF69&gt;20,10,IF(CF69&gt;=10,5,2))</f>
        <v/>
      </c>
    </row>
    <row r="70">
      <c r="A70" s="31">
        <f>IF(B70=0,"",RANK(B70,$B$2:$B$93,0))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OLECTRA</t>
        </is>
      </c>
      <c r="D70" s="31" t="inlineStr">
        <is>
          <t>Olectra Greentech Ltd</t>
        </is>
      </c>
      <c r="E70" s="31" t="inlineStr">
        <is>
          <t>auto</t>
        </is>
      </c>
      <c r="F70" s="31" t="inlineStr">
        <is>
          <t>Auto - Bus/LCVs</t>
        </is>
      </c>
      <c r="G70" s="31" t="inlineStr">
        <is>
          <t>midcap</t>
        </is>
      </c>
      <c r="H70" s="32" t="n">
        <v>12295.69</v>
      </c>
      <c r="I70" s="32" t="n">
        <v>1498</v>
      </c>
      <c r="J70" s="32" t="n">
        <v>1.57</v>
      </c>
      <c r="K70" s="32" t="n">
        <v>0</v>
      </c>
      <c r="L70" s="31" t="n">
        <v>63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64.43000000000001</v>
      </c>
      <c r="P70" s="32" t="n">
        <v>27.91</v>
      </c>
      <c r="Q70" s="32" t="n">
        <v>1149.89</v>
      </c>
      <c r="R70" s="31" t="inlineStr">
        <is>
          <t>Earnings / Momentum Support</t>
        </is>
      </c>
      <c r="S70" s="31" t="inlineStr">
        <is>
          <t>Nifty Auto</t>
        </is>
      </c>
      <c r="T70" s="32" t="n">
        <v>10.42</v>
      </c>
      <c r="U70" s="32" t="n">
        <v>25.06</v>
      </c>
      <c r="V70" s="32" t="n">
        <v>13.26</v>
      </c>
      <c r="W70" s="32" t="n">
        <v>17.07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20</t>
        </is>
      </c>
      <c r="CG70" s="31">
        <f>IF(CF70&gt;20,10,IF(CF70&gt;=10,5,2))</f>
        <v/>
      </c>
    </row>
    <row r="71">
      <c r="A71" s="31">
        <f>IF(B71=0,"",RANK(B71,$B$2:$B$93,0))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STOVEKRAFT</t>
        </is>
      </c>
      <c r="D71" s="31" t="inlineStr">
        <is>
          <t>Stove Kraft Ltd</t>
        </is>
      </c>
      <c r="E71" s="31" t="inlineStr">
        <is>
          <t>consumer discretionary</t>
        </is>
      </c>
      <c r="F71" s="31" t="inlineStr">
        <is>
          <t>Domestic Appliances</t>
        </is>
      </c>
      <c r="G71" s="31" t="inlineStr">
        <is>
          <t>smallcap</t>
        </is>
      </c>
      <c r="H71" s="32" t="n">
        <v>2565.82</v>
      </c>
      <c r="I71" s="32" t="n">
        <v>775</v>
      </c>
      <c r="J71" s="32" t="n">
        <v>-0.49</v>
      </c>
      <c r="K71" s="32" t="n">
        <v>0</v>
      </c>
      <c r="L71" s="31" t="n">
        <v>73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75.27</v>
      </c>
      <c r="P71" s="32" t="n">
        <v>33.66</v>
      </c>
      <c r="Q71" s="32" t="n">
        <v>609.28</v>
      </c>
      <c r="R71" s="31" t="inlineStr">
        <is>
          <t>Near 52W High Breakout</t>
        </is>
      </c>
      <c r="S71" s="31" t="inlineStr">
        <is>
          <t>Nifty 50</t>
        </is>
      </c>
      <c r="T71" s="32" t="n">
        <v>-6.27</v>
      </c>
      <c r="U71" s="32" t="n">
        <v>28.59</v>
      </c>
      <c r="V71" s="32" t="n">
        <v>37.19</v>
      </c>
      <c r="W71" s="32" t="n">
        <v>21.15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18</t>
        </is>
      </c>
      <c r="CG71" s="31">
        <f>IF(CF71&gt;20,10,IF(CF71&gt;=10,5,2))</f>
        <v/>
      </c>
    </row>
    <row r="72">
      <c r="A72" s="31">
        <f>IF(B72=0,"",RANK(B72,$B$2:$B$93,0))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GUFICBIO</t>
        </is>
      </c>
      <c r="D72" s="34" t="inlineStr">
        <is>
          <t>Gufic BioSciences Ltd</t>
        </is>
      </c>
      <c r="E72" s="31" t="inlineStr">
        <is>
          <t>healthcare</t>
        </is>
      </c>
      <c r="F72" s="31" t="inlineStr">
        <is>
          <t>Pharma - Formulators</t>
        </is>
      </c>
      <c r="G72" s="31" t="inlineStr">
        <is>
          <t>smallcap</t>
        </is>
      </c>
      <c r="H72" s="32" t="n">
        <v>4062.44</v>
      </c>
      <c r="I72" s="32" t="n">
        <v>405.1</v>
      </c>
      <c r="J72" s="32" t="n">
        <v>5.06</v>
      </c>
      <c r="K72" s="32" t="n">
        <v>0</v>
      </c>
      <c r="L72" s="31" t="n">
        <v>49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69.53</v>
      </c>
      <c r="P72" s="32" t="n">
        <v>28.1</v>
      </c>
      <c r="Q72" s="32" t="n">
        <v>310.47</v>
      </c>
      <c r="R72" s="31" t="inlineStr">
        <is>
          <t>Volume Spike &amp; Near 52W High Breakout</t>
        </is>
      </c>
      <c r="S72" s="31" t="inlineStr">
        <is>
          <t>Nifty Pharma</t>
        </is>
      </c>
      <c r="T72" s="32" t="n">
        <v>13.14</v>
      </c>
      <c r="U72" s="32" t="n">
        <v>17.83</v>
      </c>
      <c r="V72" s="32" t="n">
        <v>4.14</v>
      </c>
      <c r="W72" s="32" t="n">
        <v>13.1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Less than 50%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22</t>
        </is>
      </c>
      <c r="CG72" s="31">
        <f>IF(CF72&gt;20,10,IF(CF72&gt;=10,5,2))</f>
        <v/>
      </c>
    </row>
    <row r="73">
      <c r="A73" s="31">
        <f>IF(B73=0,"",RANK(B73,$B$2:$B$93,0))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EBGNG</t>
        </is>
      </c>
      <c r="D73" s="31" t="inlineStr">
        <is>
          <t>GNG Electronics Ltd</t>
        </is>
      </c>
      <c r="E73" s="31" t="inlineStr">
        <is>
          <t>Technology</t>
        </is>
      </c>
      <c r="F73" s="31" t="inlineStr">
        <is>
          <t>New age - Platform - E-Retail</t>
        </is>
      </c>
      <c r="G73" s="31" t="inlineStr">
        <is>
          <t>midcap</t>
        </is>
      </c>
      <c r="H73" s="32" t="n">
        <v>7136.55</v>
      </c>
      <c r="I73" s="32" t="n">
        <v>625.95</v>
      </c>
      <c r="J73" s="32" t="n">
        <v>9.67</v>
      </c>
      <c r="K73" s="32" t="n">
        <v>0</v>
      </c>
      <c r="L73" s="31" t="n">
        <v>84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78.84999999999999</v>
      </c>
      <c r="P73" s="32" t="n">
        <v>27.09</v>
      </c>
      <c r="Q73" s="32" t="n">
        <v>474.82</v>
      </c>
      <c r="R73" s="31" t="inlineStr">
        <is>
          <t>Near 52W High Breakout</t>
        </is>
      </c>
      <c r="S73" s="31" t="inlineStr">
        <is>
          <t>Nifty 50</t>
        </is>
      </c>
      <c r="T73" s="32" t="n">
        <v>-2.85</v>
      </c>
      <c r="U73" s="32" t="n">
        <v>100.14</v>
      </c>
      <c r="V73" s="32" t="n">
        <v>106.01</v>
      </c>
      <c r="W73" s="32" t="n">
        <v>28.28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B2C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Negative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22</t>
        </is>
      </c>
      <c r="CG73" s="31">
        <f>IF(CF73&gt;20,10,IF(CF73&gt;=10,5,2))</f>
        <v/>
      </c>
    </row>
    <row r="74">
      <c r="A74" s="31">
        <f>IF(B74=0,"",RANK(B74,$B$2:$B$93,0))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4" t="inlineStr">
        <is>
          <t>AEROFLEX</t>
        </is>
      </c>
      <c r="D74" s="34" t="inlineStr">
        <is>
          <t>Aeroflex Industries Ltd</t>
        </is>
      </c>
      <c r="E74" s="31" t="inlineStr">
        <is>
          <t>metals &amp; mining</t>
        </is>
      </c>
      <c r="F74" s="31" t="inlineStr">
        <is>
          <t>Stainless Steel</t>
        </is>
      </c>
      <c r="G74" s="31" t="inlineStr">
        <is>
          <t>midcap</t>
        </is>
      </c>
      <c r="H74" s="32" t="n">
        <v>6248.66</v>
      </c>
      <c r="I74" s="32" t="n">
        <v>472.2</v>
      </c>
      <c r="J74" s="32" t="n">
        <v>0.6899999999999999</v>
      </c>
      <c r="K74" s="32" t="n">
        <v>0</v>
      </c>
      <c r="L74" s="31" t="n">
        <v>92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69.93000000000001</v>
      </c>
      <c r="P74" s="32" t="n">
        <v>67.76000000000001</v>
      </c>
      <c r="Q74" s="32" t="n">
        <v>365.63</v>
      </c>
      <c r="R74" s="31" t="inlineStr">
        <is>
          <t>Earnings / Momentum Support</t>
        </is>
      </c>
      <c r="S74" s="31" t="inlineStr">
        <is>
          <t>Nifty Metal</t>
        </is>
      </c>
      <c r="T74" s="32" t="n">
        <v>30.67</v>
      </c>
      <c r="U74" s="32" t="n">
        <v>134.51</v>
      </c>
      <c r="V74" s="32" t="n">
        <v>79.45999999999999</v>
      </c>
      <c r="W74" s="32" t="n">
        <v>40.08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Between 1.5 to 2</t>
        </is>
      </c>
      <c r="BU74" s="31">
        <f>IF(BT74="Above 2",0,IF(BT74="Between 1.5 to 2",5,IF(BT74="Less than 1.5",10,0)))</f>
        <v/>
      </c>
      <c r="BV74" s="31" t="inlineStr">
        <is>
          <t>Between 50% to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19</t>
        </is>
      </c>
      <c r="CG74" s="31">
        <f>IF(CF74&gt;20,10,IF(CF74&gt;=10,5,2))</f>
        <v/>
      </c>
    </row>
    <row r="75">
      <c r="A75" s="31">
        <f>IF(B75=0,"",RANK(B75,$B$2:$B$93,0))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NITTAGELA</t>
        </is>
      </c>
      <c r="D75" s="34" t="inlineStr">
        <is>
          <t>Nitta Gelatin India Ltd</t>
        </is>
      </c>
      <c r="E75" s="31" t="inlineStr">
        <is>
          <t>Basic Materials</t>
        </is>
      </c>
      <c r="F75" s="31" t="inlineStr">
        <is>
          <t>Chemicals - Organic</t>
        </is>
      </c>
      <c r="G75" s="31" t="inlineStr">
        <is>
          <t>smallcap</t>
        </is>
      </c>
      <c r="H75" s="32" t="n">
        <v>1576.14</v>
      </c>
      <c r="I75" s="32" t="n">
        <v>1736</v>
      </c>
      <c r="J75" s="32" t="n">
        <v>4.16</v>
      </c>
      <c r="K75" s="32" t="n">
        <v>0</v>
      </c>
      <c r="L75" s="31" t="n">
        <v>94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72.95999999999999</v>
      </c>
      <c r="P75" s="32" t="n">
        <v>50.74</v>
      </c>
      <c r="Q75" s="32" t="n">
        <v>1316.61</v>
      </c>
      <c r="R75" s="31" t="inlineStr">
        <is>
          <t>Near 52W High Breakout</t>
        </is>
      </c>
      <c r="S75" s="31" t="inlineStr">
        <is>
          <t>Nifty 50</t>
        </is>
      </c>
      <c r="T75" s="32" t="n">
        <v>-6.27</v>
      </c>
      <c r="U75" s="32" t="n">
        <v>111.9</v>
      </c>
      <c r="V75" s="32" t="n">
        <v>126.07</v>
      </c>
      <c r="W75" s="32" t="n">
        <v>45.79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Cyclical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Volatile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19</t>
        </is>
      </c>
      <c r="CG75" s="31">
        <f>IF(CF75&gt;20,10,IF(CF75&gt;=10,5,2))</f>
        <v/>
      </c>
    </row>
    <row r="76">
      <c r="A76" s="31">
        <f>IF(B76=0,"",RANK(B76,$B$2:$B$93,0))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DIACABS</t>
        </is>
      </c>
      <c r="D76" s="31" t="inlineStr">
        <is>
          <t>Diamond Power Infrastructure Ltd</t>
        </is>
      </c>
      <c r="E76" s="31" t="inlineStr">
        <is>
          <t>industrials</t>
        </is>
      </c>
      <c r="F76" s="31" t="inlineStr">
        <is>
          <t>Cables - Power</t>
        </is>
      </c>
      <c r="G76" s="31" t="inlineStr">
        <is>
          <t>midcap</t>
        </is>
      </c>
      <c r="H76" s="32" t="n">
        <v>11040.04</v>
      </c>
      <c r="I76" s="32" t="n">
        <v>209.5</v>
      </c>
      <c r="J76" s="32" t="n">
        <v>0.28</v>
      </c>
      <c r="K76" s="32" t="n">
        <v>0</v>
      </c>
      <c r="L76" s="31" t="n">
        <v>81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75.44</v>
      </c>
      <c r="P76" s="32" t="n">
        <v>42.35</v>
      </c>
      <c r="Q76" s="32" t="n">
        <v>158.25</v>
      </c>
      <c r="R76" s="31" t="inlineStr">
        <is>
          <t>Near 52W High Breakout</t>
        </is>
      </c>
      <c r="S76" s="31" t="inlineStr">
        <is>
          <t>Nifty Energy</t>
        </is>
      </c>
      <c r="T76" s="32" t="n">
        <v>8.85</v>
      </c>
      <c r="U76" s="32" t="n">
        <v>50.09</v>
      </c>
      <c r="V76" s="32" t="n">
        <v>37.88</v>
      </c>
      <c r="W76" s="32" t="n">
        <v>24.9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Negative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18</t>
        </is>
      </c>
      <c r="CG76" s="31">
        <f>IF(CF76&gt;20,10,IF(CF76&gt;=10,5,2))</f>
        <v/>
      </c>
    </row>
    <row r="77">
      <c r="A77" s="31">
        <f>IF(B77=0,"",RANK(B77,$B$2:$B$93,0))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ONEGLOBAL</t>
        </is>
      </c>
      <c r="D77" s="31" t="inlineStr">
        <is>
          <t>One Global Service Provider Ltd</t>
        </is>
      </c>
      <c r="E77" s="31" t="inlineStr">
        <is>
          <t>Healthcare</t>
        </is>
      </c>
      <c r="F77" s="31" t="inlineStr">
        <is>
          <t>Diagnostics</t>
        </is>
      </c>
      <c r="G77" s="31" t="inlineStr">
        <is>
          <t>smallcap</t>
        </is>
      </c>
      <c r="H77" s="32" t="n">
        <v>1325.02</v>
      </c>
      <c r="I77" s="32" t="n">
        <v>678</v>
      </c>
      <c r="J77" s="32" t="n">
        <v>-4.96</v>
      </c>
      <c r="K77" s="32" t="n">
        <v>0</v>
      </c>
      <c r="L77" s="31" t="n">
        <v>89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58.85</v>
      </c>
      <c r="P77" s="32" t="n">
        <v>14.65</v>
      </c>
      <c r="Q77" s="32" t="n">
        <v>456.77</v>
      </c>
      <c r="R77" s="31" t="inlineStr">
        <is>
          <t>Earnings / Momentum Support</t>
        </is>
      </c>
      <c r="S77" s="31" t="inlineStr">
        <is>
          <t>Nifty Pharma</t>
        </is>
      </c>
      <c r="T77" s="32" t="n">
        <v>13.14</v>
      </c>
      <c r="U77" s="32" t="n">
        <v>167.77</v>
      </c>
      <c r="V77" s="32" t="n">
        <v>136.67</v>
      </c>
      <c r="W77" s="32" t="n">
        <v>34.51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0 to 20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Less than 50%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19</t>
        </is>
      </c>
      <c r="CG77" s="31">
        <f>IF(CF77&gt;20,10,IF(CF77&gt;=10,5,2))</f>
        <v/>
      </c>
    </row>
    <row r="78">
      <c r="A78" s="31">
        <f>IF(B78=0,"",RANK(B78,$B$2:$B$93,0))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FREDUN</t>
        </is>
      </c>
      <c r="D78" s="31" t="inlineStr">
        <is>
          <t>Fredun Pharmaceuticals Ltd</t>
        </is>
      </c>
      <c r="E78" s="31" t="inlineStr">
        <is>
          <t>Healthcare</t>
        </is>
      </c>
      <c r="F78" s="31" t="inlineStr">
        <is>
          <t>Pharma - Formulators</t>
        </is>
      </c>
      <c r="G78" s="31" t="inlineStr">
        <is>
          <t>smallcap</t>
        </is>
      </c>
      <c r="H78" s="32" t="n">
        <v>1555.13</v>
      </c>
      <c r="I78" s="32" t="n">
        <v>2821</v>
      </c>
      <c r="J78" s="32" t="n">
        <v>3.12</v>
      </c>
      <c r="K78" s="32" t="n">
        <v>0</v>
      </c>
      <c r="L78" s="31" t="n">
        <v>94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77.37</v>
      </c>
      <c r="P78" s="32" t="n">
        <v>54.7</v>
      </c>
      <c r="Q78" s="32" t="n">
        <v>2052.99</v>
      </c>
      <c r="R78" s="31" t="inlineStr">
        <is>
          <t>Near 52W High Breakout</t>
        </is>
      </c>
      <c r="S78" s="31" t="inlineStr">
        <is>
          <t>Nifty Pharma</t>
        </is>
      </c>
      <c r="T78" s="32" t="n">
        <v>13.14</v>
      </c>
      <c r="U78" s="32" t="n">
        <v>248.9</v>
      </c>
      <c r="V78" s="32" t="n">
        <v>208.38</v>
      </c>
      <c r="W78" s="32" t="n">
        <v>44.35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Less than 12%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Less than 50%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Between 0.7 to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18</t>
        </is>
      </c>
      <c r="CG78" s="31">
        <f>IF(CF78&gt;20,10,IF(CF78&gt;=10,5,2))</f>
        <v/>
      </c>
    </row>
    <row r="79">
      <c r="A79" s="31">
        <f>IF(B79=0,"",RANK(B79,$B$2:$B$93,0))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RML</t>
        </is>
      </c>
      <c r="D79" s="31" t="inlineStr">
        <is>
          <t>Rane (Madras) Ltd</t>
        </is>
      </c>
      <c r="E79" s="31" t="inlineStr">
        <is>
          <t>auto</t>
        </is>
      </c>
      <c r="F79" s="31" t="inlineStr">
        <is>
          <t>Auto Ancillaries - Gears</t>
        </is>
      </c>
      <c r="G79" s="31" t="inlineStr">
        <is>
          <t>smallcap</t>
        </is>
      </c>
      <c r="H79" s="32" t="n">
        <v>3186.56</v>
      </c>
      <c r="I79" s="32" t="n">
        <v>1153</v>
      </c>
      <c r="J79" s="32" t="n">
        <v>2.49</v>
      </c>
      <c r="K79" s="32" t="n">
        <v>0</v>
      </c>
      <c r="L79" s="31" t="n">
        <v>78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70.27</v>
      </c>
      <c r="P79" s="32" t="n">
        <v>28.93</v>
      </c>
      <c r="Q79" s="32" t="n">
        <v>899.7</v>
      </c>
      <c r="R79" s="31" t="inlineStr">
        <is>
          <t>Near 52W High Breakout</t>
        </is>
      </c>
      <c r="S79" s="31" t="inlineStr">
        <is>
          <t>Nifty Auto</t>
        </is>
      </c>
      <c r="T79" s="32" t="n">
        <v>10.42</v>
      </c>
      <c r="U79" s="32" t="n">
        <v>28.31</v>
      </c>
      <c r="V79" s="32" t="n">
        <v>16.2</v>
      </c>
      <c r="W79" s="32" t="n">
        <v>23.68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Less than 12%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Between 50% to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23</t>
        </is>
      </c>
      <c r="CG79" s="31">
        <f>IF(CF79&gt;20,10,IF(CF79&gt;=10,5,2))</f>
        <v/>
      </c>
    </row>
    <row r="80">
      <c r="A80" s="31">
        <f>IF(B80=0,"",RANK(B80,$B$2:$B$93,0))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GREAVESCOT</t>
        </is>
      </c>
      <c r="D80" s="31" t="inlineStr">
        <is>
          <t>Greaves Cotton Ltd</t>
        </is>
      </c>
      <c r="E80" s="31" t="inlineStr">
        <is>
          <t>industrials</t>
        </is>
      </c>
      <c r="F80" s="31" t="inlineStr">
        <is>
          <t>Engines</t>
        </is>
      </c>
      <c r="G80" s="31" t="inlineStr">
        <is>
          <t>midcap</t>
        </is>
      </c>
      <c r="H80" s="32" t="n">
        <v>5120.27</v>
      </c>
      <c r="I80" s="32" t="n">
        <v>219.8</v>
      </c>
      <c r="J80" s="32" t="n">
        <v>4.59</v>
      </c>
      <c r="K80" s="32" t="n">
        <v>0</v>
      </c>
      <c r="L80" s="31" t="n">
        <v>70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67.97</v>
      </c>
      <c r="P80" s="32" t="n">
        <v>19.91</v>
      </c>
      <c r="Q80" s="32" t="n">
        <v>171.79</v>
      </c>
      <c r="R80" s="31" t="inlineStr">
        <is>
          <t>Near 52W High Breakout</t>
        </is>
      </c>
      <c r="S80" s="31" t="inlineStr">
        <is>
          <t>Nifty 50</t>
        </is>
      </c>
      <c r="T80" s="32" t="n">
        <v>-6.27</v>
      </c>
      <c r="U80" s="32" t="n">
        <v>8.550000000000001</v>
      </c>
      <c r="V80" s="32" t="n">
        <v>15.81</v>
      </c>
      <c r="W80" s="32" t="n">
        <v>19.53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0 to 20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21</t>
        </is>
      </c>
      <c r="CG80" s="31">
        <f>IF(CF80&gt;20,10,IF(CF80&gt;=10,5,2))</f>
        <v/>
      </c>
    </row>
    <row r="81">
      <c r="A81" s="31">
        <f>IF(B81=0,"",RANK(B81,$B$2:$B$93,0))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CFF</t>
        </is>
      </c>
      <c r="D81" s="31" t="inlineStr">
        <is>
          <t>CFF Fluid Control Ltd</t>
        </is>
      </c>
      <c r="E81" s="31" t="inlineStr">
        <is>
          <t>Industrials</t>
        </is>
      </c>
      <c r="F81" s="31" t="inlineStr">
        <is>
          <t>Shipping - Proxy</t>
        </is>
      </c>
      <c r="G81" s="31" t="inlineStr">
        <is>
          <t>smallcap</t>
        </is>
      </c>
      <c r="H81" s="32" t="n">
        <v>1845.72</v>
      </c>
      <c r="I81" s="32" t="n">
        <v>880</v>
      </c>
      <c r="J81" s="32" t="n">
        <v>3.37</v>
      </c>
      <c r="K81" s="32" t="n">
        <v>0</v>
      </c>
      <c r="L81" s="31" t="n">
        <v>64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71.2</v>
      </c>
      <c r="P81" s="32" t="n">
        <v>30.41</v>
      </c>
      <c r="Q81" s="32" t="n">
        <v>671.16</v>
      </c>
      <c r="R81" s="31" t="inlineStr">
        <is>
          <t>Near 52W High Breakout</t>
        </is>
      </c>
      <c r="S81" s="31" t="inlineStr">
        <is>
          <t>Nifty 50</t>
        </is>
      </c>
      <c r="T81" s="32" t="n">
        <v>-6.27</v>
      </c>
      <c r="U81" s="32" t="n">
        <v>34.4</v>
      </c>
      <c r="V81" s="32" t="n">
        <v>43.38</v>
      </c>
      <c r="W81" s="32" t="n">
        <v>17.28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Negative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18</t>
        </is>
      </c>
      <c r="CG81" s="31">
        <f>IF(CF81&gt;20,10,IF(CF81&gt;=10,5,2))</f>
        <v/>
      </c>
    </row>
    <row r="82">
      <c r="A82" s="31">
        <f>IF(B82=0,"",RANK(B82,$B$2:$B$93,0))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TBZ</t>
        </is>
      </c>
      <c r="D82" s="31" t="inlineStr">
        <is>
          <t>Tribhovandas Bhimji Zaveri Ltd</t>
        </is>
      </c>
      <c r="E82" s="31" t="inlineStr">
        <is>
          <t>consumer discretionary</t>
        </is>
      </c>
      <c r="F82" s="31" t="inlineStr">
        <is>
          <t>Diamond, Gems &amp; Jewellery</t>
        </is>
      </c>
      <c r="G82" s="31" t="inlineStr">
        <is>
          <t>smallcap</t>
        </is>
      </c>
      <c r="H82" s="32" t="n">
        <v>1300.58</v>
      </c>
      <c r="I82" s="32" t="n">
        <v>194.9</v>
      </c>
      <c r="J82" s="32" t="n">
        <v>2.62</v>
      </c>
      <c r="K82" s="32" t="n">
        <v>0</v>
      </c>
      <c r="L82" s="31" t="n">
        <v>50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65.03</v>
      </c>
      <c r="P82" s="32" t="n">
        <v>18.17</v>
      </c>
      <c r="Q82" s="32" t="n">
        <v>145.58</v>
      </c>
      <c r="R82" s="31" t="inlineStr">
        <is>
          <t>Near 52W High Breakout</t>
        </is>
      </c>
      <c r="S82" s="31" t="inlineStr">
        <is>
          <t>Nifty 50</t>
        </is>
      </c>
      <c r="T82" s="32" t="n">
        <v>-6.27</v>
      </c>
      <c r="U82" s="32" t="n">
        <v>1.49</v>
      </c>
      <c r="V82" s="32" t="n">
        <v>8.27</v>
      </c>
      <c r="W82" s="32" t="n">
        <v>13.49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0 to 20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Less than 50% and Borrowings are increasing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20</t>
        </is>
      </c>
      <c r="CG82" s="31">
        <f>IF(CF82&gt;20,10,IF(CF82&gt;=10,5,2))</f>
        <v/>
      </c>
    </row>
    <row r="83">
      <c r="A83" s="31">
        <f>IF(B83=0,"",RANK(B83,$B$2:$B$93,0))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SETL</t>
        </is>
      </c>
      <c r="D83" s="31" t="inlineStr">
        <is>
          <t>Standard Engineering Technology Ltd</t>
        </is>
      </c>
      <c r="E83" s="31" t="inlineStr">
        <is>
          <t>industrials</t>
        </is>
      </c>
      <c r="F83" s="31" t="inlineStr">
        <is>
          <t>Engineering - Heavy - Glass - lined Equipment</t>
        </is>
      </c>
      <c r="G83" s="31" t="inlineStr">
        <is>
          <t>midcap</t>
        </is>
      </c>
      <c r="H83" s="32" t="n">
        <v>5122.35</v>
      </c>
      <c r="I83" s="32" t="n">
        <v>256.77</v>
      </c>
      <c r="J83" s="32" t="n">
        <v>9.57</v>
      </c>
      <c r="K83" s="32" t="n">
        <v>0</v>
      </c>
      <c r="L83" s="31" t="n">
        <v>90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83.78</v>
      </c>
      <c r="P83" s="32" t="n">
        <v>19.59</v>
      </c>
      <c r="Q83" s="32" t="n">
        <v>198.48</v>
      </c>
      <c r="R83" s="31" t="inlineStr">
        <is>
          <t>Near 52W High Breakout</t>
        </is>
      </c>
      <c r="S83" s="31" t="inlineStr">
        <is>
          <t>Nifty Infra</t>
        </is>
      </c>
      <c r="T83" s="32" t="n">
        <v>-0.44</v>
      </c>
      <c r="U83" s="32" t="n">
        <v>51.34</v>
      </c>
      <c r="V83" s="32" t="n">
        <v>52.02</v>
      </c>
      <c r="W83" s="32" t="n">
        <v>35.94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0 to 20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Less than 50%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19</t>
        </is>
      </c>
      <c r="CG83" s="31">
        <f>IF(CF83&gt;20,10,IF(CF83&gt;=10,5,2))</f>
        <v/>
      </c>
    </row>
    <row r="84">
      <c r="A84" s="31">
        <f>IF(B84=0,"",RANK(B84,$B$2:$B$93,0))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SIS</t>
        </is>
      </c>
      <c r="D84" s="31" t="inlineStr">
        <is>
          <t>SIS Ltd</t>
        </is>
      </c>
      <c r="E84" s="31" t="inlineStr">
        <is>
          <t>Industrials</t>
        </is>
      </c>
      <c r="F84" s="31" t="inlineStr">
        <is>
          <t>Facility Management</t>
        </is>
      </c>
      <c r="G84" s="31" t="inlineStr">
        <is>
          <t>midcap</t>
        </is>
      </c>
      <c r="H84" s="32" t="n">
        <v>5821.59</v>
      </c>
      <c r="I84" s="32" t="n">
        <v>412</v>
      </c>
      <c r="J84" s="32" t="n">
        <v>-5.61</v>
      </c>
      <c r="K84" s="32" t="n">
        <v>0</v>
      </c>
      <c r="L84" s="31" t="n">
        <v>49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67.48</v>
      </c>
      <c r="P84" s="32" t="n">
        <v>46.78</v>
      </c>
      <c r="Q84" s="32" t="n">
        <v>341.16</v>
      </c>
      <c r="R84" s="31" t="inlineStr">
        <is>
          <t>Near 52W High Breakout</t>
        </is>
      </c>
      <c r="S84" s="31" t="inlineStr">
        <is>
          <t>Nifty 50</t>
        </is>
      </c>
      <c r="T84" s="32" t="n">
        <v>-6.27</v>
      </c>
      <c r="U84" s="32" t="n">
        <v>13.93</v>
      </c>
      <c r="V84" s="32" t="n">
        <v>21.55</v>
      </c>
      <c r="W84" s="32" t="n">
        <v>13.15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Between 0.7 to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18</t>
        </is>
      </c>
      <c r="CG84" s="31">
        <f>IF(CF84&gt;20,10,IF(CF84&gt;=10,5,2))</f>
        <v/>
      </c>
    </row>
    <row r="85">
      <c r="A85" s="31">
        <f>IF(B85=0,"",RANK(B85,$B$2:$B$93,0))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4" t="inlineStr">
        <is>
          <t>NIBE</t>
        </is>
      </c>
      <c r="D85" s="34" t="inlineStr">
        <is>
          <t>NIBE Ltd</t>
        </is>
      </c>
      <c r="E85" s="31" t="inlineStr">
        <is>
          <t>aerospace &amp; defence</t>
        </is>
      </c>
      <c r="F85" s="31" t="inlineStr">
        <is>
          <t>Aerospace &amp; Defence - Equipments</t>
        </is>
      </c>
      <c r="G85" s="31" t="inlineStr">
        <is>
          <t>smallcap</t>
        </is>
      </c>
      <c r="H85" s="32" t="n">
        <v>2533.6</v>
      </c>
      <c r="I85" s="32" t="n">
        <v>1660.15</v>
      </c>
      <c r="J85" s="32" t="n">
        <v>0.93</v>
      </c>
      <c r="K85" s="32" t="n">
        <v>0</v>
      </c>
      <c r="L85" s="31" t="n">
        <v>75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65.63</v>
      </c>
      <c r="P85" s="32" t="n">
        <v>27.29</v>
      </c>
      <c r="Q85" s="32" t="n">
        <v>1327.49</v>
      </c>
      <c r="R85" s="31" t="inlineStr">
        <is>
          <t>Earnings / Momentum Support</t>
        </is>
      </c>
      <c r="S85" s="31" t="inlineStr">
        <is>
          <t>Nifty 50</t>
        </is>
      </c>
      <c r="T85" s="32" t="n">
        <v>-6.27</v>
      </c>
      <c r="U85" s="32" t="n">
        <v>-0.57</v>
      </c>
      <c r="V85" s="32" t="n">
        <v>6.08</v>
      </c>
      <c r="W85" s="32" t="n">
        <v>21.76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Negative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18</t>
        </is>
      </c>
      <c r="CG85" s="31">
        <f>IF(CF85&gt;20,10,IF(CF85&gt;=10,5,2))</f>
        <v/>
      </c>
    </row>
    <row r="86">
      <c r="A86" s="31">
        <f>IF(B86=0,"",RANK(B86,$B$2:$B$93,0))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GALAPREC</t>
        </is>
      </c>
      <c r="D86" s="31" t="inlineStr">
        <is>
          <t>Gala Precision Engineering Ltd</t>
        </is>
      </c>
      <c r="E86" s="31" t="inlineStr">
        <is>
          <t>industrials</t>
        </is>
      </c>
      <c r="F86" s="31" t="inlineStr">
        <is>
          <t>Castings, Forgings &amp; Fastners</t>
        </is>
      </c>
      <c r="G86" s="31" t="inlineStr">
        <is>
          <t>smallcap</t>
        </is>
      </c>
      <c r="H86" s="32" t="n">
        <v>1450.79</v>
      </c>
      <c r="I86" s="32" t="n">
        <v>1132</v>
      </c>
      <c r="J86" s="32" t="n">
        <v>5.99</v>
      </c>
      <c r="K86" s="32" t="n">
        <v>0</v>
      </c>
      <c r="L86" s="31" t="n">
        <v>64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76.7</v>
      </c>
      <c r="P86" s="32" t="n">
        <v>32.05</v>
      </c>
      <c r="Q86" s="32" t="n">
        <v>852.05</v>
      </c>
      <c r="R86" s="31" t="inlineStr">
        <is>
          <t>Near 52W High Breakout</t>
        </is>
      </c>
      <c r="S86" s="31" t="inlineStr">
        <is>
          <t>Nifty 50</t>
        </is>
      </c>
      <c r="T86" s="32" t="n">
        <v>-6.27</v>
      </c>
      <c r="U86" s="32" t="n">
        <v>30.12</v>
      </c>
      <c r="V86" s="32" t="n">
        <v>38.82</v>
      </c>
      <c r="W86" s="32" t="n">
        <v>17.58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Less than 12%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Less than 50%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20</t>
        </is>
      </c>
      <c r="CG86" s="31">
        <f>IF(CF86&gt;20,10,IF(CF86&gt;=10,5,2))</f>
        <v/>
      </c>
    </row>
    <row r="87">
      <c r="A87" s="31">
        <f>IF(B87=0,"",RANK(B87,$B$2:$B$93,0))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3" t="inlineStr">
        <is>
          <t>REFEX</t>
        </is>
      </c>
      <c r="D87" s="33" t="inlineStr">
        <is>
          <t>Refex Industries Ltd</t>
        </is>
      </c>
      <c r="E87" s="31" t="inlineStr">
        <is>
          <t>Energy</t>
        </is>
      </c>
      <c r="F87" s="31" t="inlineStr">
        <is>
          <t>Refrigeration</t>
        </is>
      </c>
      <c r="G87" s="31" t="inlineStr">
        <is>
          <t>smallcap</t>
        </is>
      </c>
      <c r="H87" s="32" t="n">
        <v>4878.15</v>
      </c>
      <c r="I87" s="32" t="n">
        <v>355.5</v>
      </c>
      <c r="J87" s="32" t="n">
        <v>-1.25</v>
      </c>
      <c r="K87" s="32" t="n">
        <v>0</v>
      </c>
      <c r="L87" s="31" t="n">
        <v>60</v>
      </c>
      <c r="M87" s="31" t="inlineStr">
        <is>
          <t>Underperforming</t>
        </is>
      </c>
      <c r="N87" s="32">
        <f>IF(M87="Underperforming",-5,IF(L87&gt;=95,15,IF(L87&gt;=90,10,IF(L87&gt;=80,5,0))))</f>
        <v/>
      </c>
      <c r="O87" s="32" t="n">
        <v>68.93000000000001</v>
      </c>
      <c r="P87" s="32" t="n">
        <v>28.75</v>
      </c>
      <c r="Q87" s="32" t="n">
        <v>262.07</v>
      </c>
      <c r="R87" s="31" t="inlineStr">
        <is>
          <t>Earnings / Momentum Support</t>
        </is>
      </c>
      <c r="S87" s="31" t="inlineStr">
        <is>
          <t>Nifty Energy</t>
        </is>
      </c>
      <c r="T87" s="32" t="n">
        <v>8.85</v>
      </c>
      <c r="U87" s="32" t="n">
        <v>-18.78</v>
      </c>
      <c r="V87" s="32" t="n">
        <v>-25.38</v>
      </c>
      <c r="W87" s="32" t="n">
        <v>16.4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Less than 50%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18</t>
        </is>
      </c>
      <c r="CG87" s="31">
        <f>IF(CF87&gt;20,10,IF(CF87&gt;=10,5,2))</f>
        <v/>
      </c>
    </row>
    <row r="88">
      <c r="A88" s="31">
        <f>IF(B88=0,"",RANK(B88,$B$2:$B$93,0))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ROBU</t>
        </is>
      </c>
      <c r="D88" s="31" t="inlineStr">
        <is>
          <t>Macfos Ltd</t>
        </is>
      </c>
      <c r="E88" s="31" t="inlineStr">
        <is>
          <t>Technology</t>
        </is>
      </c>
      <c r="F88" s="31" t="inlineStr">
        <is>
          <t>E-Commerce - Platform - Utility</t>
        </is>
      </c>
      <c r="G88" s="31" t="inlineStr">
        <is>
          <t>smallcap</t>
        </is>
      </c>
      <c r="H88" s="32" t="n">
        <v>1222.3</v>
      </c>
      <c r="I88" s="32" t="n">
        <v>1180</v>
      </c>
      <c r="J88" s="32" t="n">
        <v>3.41</v>
      </c>
      <c r="K88" s="32" t="n">
        <v>0</v>
      </c>
      <c r="L88" s="31" t="n">
        <v>74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67.08</v>
      </c>
      <c r="P88" s="32" t="n">
        <v>66.76000000000001</v>
      </c>
      <c r="Q88" s="32" t="n">
        <v>865.66</v>
      </c>
      <c r="R88" s="31" t="inlineStr">
        <is>
          <t>Near 52W High Breakout</t>
        </is>
      </c>
      <c r="S88" s="31" t="inlineStr">
        <is>
          <t>Nifty 50</t>
        </is>
      </c>
      <c r="T88" s="32" t="n">
        <v>-6.27</v>
      </c>
      <c r="U88" s="32" t="n">
        <v>69.54000000000001</v>
      </c>
      <c r="V88" s="32" t="n">
        <v>80.87</v>
      </c>
      <c r="W88" s="32" t="n">
        <v>21.23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Negative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18</t>
        </is>
      </c>
      <c r="CG88" s="31">
        <f>IF(CF88&gt;20,10,IF(CF88&gt;=10,5,2))</f>
        <v/>
      </c>
    </row>
    <row r="89">
      <c r="A89" s="31">
        <f>IF(B89=0,"",RANK(B89,$B$2:$B$93,0))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3" t="inlineStr">
        <is>
          <t>LLOYDSME</t>
        </is>
      </c>
      <c r="D89" s="33" t="inlineStr">
        <is>
          <t>Lloyds Metals &amp; Energy Ltd</t>
        </is>
      </c>
      <c r="E89" s="31" t="inlineStr">
        <is>
          <t>metals &amp; mining</t>
        </is>
      </c>
      <c r="F89" s="31" t="inlineStr">
        <is>
          <t>Mining/Minerals - Iron Ore</t>
        </is>
      </c>
      <c r="G89" s="31" t="inlineStr">
        <is>
          <t>largecap</t>
        </is>
      </c>
      <c r="H89" s="32" t="n">
        <v>101998.74</v>
      </c>
      <c r="I89" s="32" t="n">
        <v>1812</v>
      </c>
      <c r="J89" s="32" t="n">
        <v>-0.44</v>
      </c>
      <c r="K89" s="32" t="n">
        <v>0</v>
      </c>
      <c r="L89" s="31" t="n">
        <v>36</v>
      </c>
      <c r="M89" s="31" t="inlineStr">
        <is>
          <t>Underperforming</t>
        </is>
      </c>
      <c r="N89" s="32">
        <f>IF(M89="Underperforming",-5,IF(L89&gt;=95,15,IF(L89&gt;=90,10,IF(L89&gt;=80,5,0))))</f>
        <v/>
      </c>
      <c r="O89" s="32" t="n">
        <v>68.91</v>
      </c>
      <c r="P89" s="32" t="n">
        <v>43.75</v>
      </c>
      <c r="Q89" s="32" t="n">
        <v>1470.61</v>
      </c>
      <c r="R89" s="31" t="inlineStr">
        <is>
          <t>Near 52W High Breakout</t>
        </is>
      </c>
      <c r="S89" s="31" t="inlineStr">
        <is>
          <t>Nifty Metal</t>
        </is>
      </c>
      <c r="T89" s="32" t="n">
        <v>30.67</v>
      </c>
      <c r="U89" s="32" t="n">
        <v>16.59</v>
      </c>
      <c r="V89" s="32" t="n">
        <v>-10.78</v>
      </c>
      <c r="W89" s="32" t="n">
        <v>10.23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Less than 50% and Borrowings are increasing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More than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19</t>
        </is>
      </c>
      <c r="CG89" s="31">
        <f>IF(CF89&gt;20,10,IF(CF89&gt;=10,5,2))</f>
        <v/>
      </c>
    </row>
    <row r="90">
      <c r="A90" s="31">
        <f>IF(B90=0,"",RANK(B90,$B$2:$B$93,0))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4" t="inlineStr">
        <is>
          <t>NACLIND</t>
        </is>
      </c>
      <c r="D90" s="34" t="inlineStr">
        <is>
          <t>NACL Industries Ltd</t>
        </is>
      </c>
      <c r="E90" s="31" t="inlineStr">
        <is>
          <t>Basic Materials</t>
        </is>
      </c>
      <c r="F90" s="31" t="inlineStr">
        <is>
          <t>Pesticides/Agrochemicals</t>
        </is>
      </c>
      <c r="G90" s="31" t="inlineStr">
        <is>
          <t>midcap</t>
        </is>
      </c>
      <c r="H90" s="32" t="n">
        <v>5194.35</v>
      </c>
      <c r="I90" s="32" t="n">
        <v>221.75</v>
      </c>
      <c r="J90" s="32" t="n">
        <v>10.06</v>
      </c>
      <c r="K90" s="32" t="n">
        <v>0</v>
      </c>
      <c r="L90" s="31" t="n">
        <v>46</v>
      </c>
      <c r="M90" s="31" t="inlineStr">
        <is>
          <t>Underperforming</t>
        </is>
      </c>
      <c r="N90" s="32">
        <f>IF(M90="Underperforming",-5,IF(L90&gt;=95,15,IF(L90&gt;=90,10,IF(L90&gt;=80,5,0))))</f>
        <v/>
      </c>
      <c r="O90" s="32" t="n">
        <v>66.40000000000001</v>
      </c>
      <c r="P90" s="32" t="n">
        <v>22.05</v>
      </c>
      <c r="Q90" s="32" t="n">
        <v>150.16</v>
      </c>
      <c r="R90" s="31" t="inlineStr">
        <is>
          <t>Volume Spike / Accumulation</t>
        </is>
      </c>
      <c r="S90" s="31" t="inlineStr">
        <is>
          <t>Nifty FMCG</t>
        </is>
      </c>
      <c r="T90" s="32" t="n">
        <v>-10.85</v>
      </c>
      <c r="U90" s="32" t="n">
        <v>-16.44</v>
      </c>
      <c r="V90" s="32" t="n">
        <v>-6.27</v>
      </c>
      <c r="W90" s="32" t="n">
        <v>12.28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Negative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19</t>
        </is>
      </c>
      <c r="CG90" s="31">
        <f>IF(CF90&gt;20,10,IF(CF90&gt;=10,5,2))</f>
        <v/>
      </c>
    </row>
    <row r="91">
      <c r="A91" s="31">
        <f>IF(B91=0,"",RANK(B91,$B$2:$B$93,0))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KRISHANA</t>
        </is>
      </c>
      <c r="D91" s="31" t="inlineStr">
        <is>
          <t>Krishana Phoschem Ltd</t>
        </is>
      </c>
      <c r="E91" s="31" t="inlineStr">
        <is>
          <t>Basic Materials</t>
        </is>
      </c>
      <c r="F91" s="31" t="inlineStr">
        <is>
          <t>Fertilisers</t>
        </is>
      </c>
      <c r="G91" s="31" t="inlineStr">
        <is>
          <t>smallcap</t>
        </is>
      </c>
      <c r="H91" s="32" t="n">
        <v>4160.57</v>
      </c>
      <c r="I91" s="32" t="n">
        <v>687.1</v>
      </c>
      <c r="J91" s="32" t="n">
        <v>-0.06</v>
      </c>
      <c r="K91" s="32" t="n">
        <v>0</v>
      </c>
      <c r="L91" s="31" t="n">
        <v>55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64.08</v>
      </c>
      <c r="P91" s="32" t="n">
        <v>44.82</v>
      </c>
      <c r="Q91" s="32" t="n">
        <v>559.21</v>
      </c>
      <c r="R91" s="31" t="inlineStr">
        <is>
          <t>Earnings / Momentum Support</t>
        </is>
      </c>
      <c r="S91" s="31" t="inlineStr">
        <is>
          <t>Nifty FMCG</t>
        </is>
      </c>
      <c r="T91" s="32" t="n">
        <v>-10.85</v>
      </c>
      <c r="U91" s="32" t="n">
        <v>54.19</v>
      </c>
      <c r="V91" s="32" t="n">
        <v>72.97</v>
      </c>
      <c r="W91" s="32" t="n">
        <v>15.04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Negative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More than 1.2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22</t>
        </is>
      </c>
      <c r="CG91" s="31">
        <f>IF(CF91&gt;20,10,IF(CF91&gt;=10,5,2))</f>
        <v/>
      </c>
    </row>
    <row r="92">
      <c r="A92" s="31">
        <f>IF(B92=0,"",RANK(B92,$B$2:$B$93,0))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ONIXSOLAR</t>
        </is>
      </c>
      <c r="D92" s="31" t="inlineStr">
        <is>
          <t>Onix Solar Energy Ltd</t>
        </is>
      </c>
      <c r="E92" s="31" t="inlineStr">
        <is>
          <t>Technology</t>
        </is>
      </c>
      <c r="F92" s="31" t="inlineStr">
        <is>
          <t>Trading</t>
        </is>
      </c>
      <c r="G92" s="31" t="inlineStr">
        <is>
          <t>smallcap</t>
        </is>
      </c>
      <c r="H92" s="32" t="n">
        <v>2470.15</v>
      </c>
      <c r="I92" s="32" t="n">
        <v>670</v>
      </c>
      <c r="J92" s="32" t="n">
        <v>-1.77</v>
      </c>
      <c r="K92" s="32" t="n">
        <v>0</v>
      </c>
      <c r="L92" s="31" t="n">
        <v>60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48.69</v>
      </c>
      <c r="P92" s="32" t="n">
        <v>34.14</v>
      </c>
      <c r="Q92" s="32" t="n">
        <v>938.58</v>
      </c>
      <c r="R92" s="31" t="inlineStr">
        <is>
          <t>Earnings / Momentum Support</t>
        </is>
      </c>
      <c r="S92" s="31" t="inlineStr">
        <is>
          <t>Nifty 50</t>
        </is>
      </c>
      <c r="T92" s="32" t="n">
        <v>-6.27</v>
      </c>
      <c r="U92" s="32" t="n">
        <v>80.36</v>
      </c>
      <c r="V92" s="32" t="n">
        <v>92.42</v>
      </c>
      <c r="W92" s="32" t="n">
        <v>16.07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Below 45</t>
        </is>
      </c>
      <c r="BA92" s="31">
        <f>IF(AZ92="Between 50 to 75",10,IF(AZ92="Above 75",0,0))</f>
        <v/>
      </c>
      <c r="BB92" s="31" t="inlineStr">
        <is>
          <t>Stage 4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No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Negative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19</t>
        </is>
      </c>
      <c r="CG92" s="31">
        <f>IF(CF92&gt;20,10,IF(CF92&gt;=10,5,2))</f>
        <v/>
      </c>
    </row>
    <row r="93">
      <c r="A93" s="31">
        <f>IF(B93=0,"",RANK(B93,$B$2:$B$93,0))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UTSSAV</t>
        </is>
      </c>
      <c r="D93" s="31" t="inlineStr">
        <is>
          <t>Utssav CZ Gold Jewels Ltd</t>
        </is>
      </c>
      <c r="E93" s="31" t="inlineStr">
        <is>
          <t>unknown</t>
        </is>
      </c>
      <c r="F93" s="31" t="inlineStr">
        <is>
          <t>Diamond, Gems &amp; Jewellery</t>
        </is>
      </c>
      <c r="G93" s="31" t="inlineStr">
        <is>
          <t>smallcap</t>
        </is>
      </c>
      <c r="H93" s="32" t="n">
        <v>1062.51</v>
      </c>
      <c r="I93" s="32" t="n">
        <v>440</v>
      </c>
      <c r="J93" s="32" t="n">
        <v>2.36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inlineStr"/>
      <c r="P93" s="32" t="inlineStr"/>
      <c r="Q93" s="32" t="inlineStr"/>
      <c r="R93" s="31" t="inlineStr"/>
      <c r="S93" s="31" t="inlineStr"/>
      <c r="T93" s="32" t="inlineStr"/>
      <c r="U93" s="32" t="inlineStr"/>
      <c r="V93" s="32" t="inlineStr"/>
      <c r="W93" s="32" t="inlineStr"/>
      <c r="X93" s="31" t="n"/>
      <c r="Y93" s="31">
        <f>IF(X93="Growing Industry",10,IF(X93="Cyclical in an Upturn",5,0))</f>
        <v/>
      </c>
      <c r="Z93" s="31" t="n"/>
      <c r="AA93" s="31">
        <f>IF(Z93="Monopoly",10,IF(Z93="Oligopoly",5,IF(Z93="Duopoly that cooperate",10,IF(Z93="Duopoly that compete",5,IF(Z93="Too many players with High ROCE",5,0)))))</f>
        <v/>
      </c>
      <c r="AB93" s="31" t="n"/>
      <c r="AC93" s="31">
        <f>IF(AB93="No",5,0)</f>
        <v/>
      </c>
      <c r="AD93" s="31" t="n"/>
      <c r="AE93" s="31">
        <f>IF(AD93="Tailwind",10,0)</f>
        <v/>
      </c>
      <c r="AF93" s="31" t="n"/>
      <c r="AG93" s="31">
        <f>IF(AF93="Structural (10 Years Consistency)",10,IF(AF93="Shallow Cyclical (2 to 3 years growth)",5,0))</f>
        <v/>
      </c>
      <c r="AH93" s="31" t="n"/>
      <c r="AI93" s="31">
        <f>IF(AH93="Yes due to Product Mix change or Operating Leverage",10,IF(AH93="Yes, these are peak margins",-5,IF(AH93="No",5,0)))</f>
        <v/>
      </c>
      <c r="AJ93" s="31" t="n"/>
      <c r="AK93" s="31">
        <f>IF(AJ93="Stable",10,0)</f>
        <v/>
      </c>
      <c r="AL93" s="31" t="n"/>
      <c r="AM93" s="31">
        <f>IF(AL93="Yes",10,0)</f>
        <v/>
      </c>
      <c r="AN93" s="31" t="n"/>
      <c r="AO93" s="31">
        <f>IF(AN93="B2C",10,IF(AN93="B2B",5,0))</f>
        <v/>
      </c>
      <c r="AP93" s="31" t="n"/>
      <c r="AQ93" s="31">
        <f>IF(AP93="Yes",10,0)</f>
        <v/>
      </c>
      <c r="AR93" s="31" t="n"/>
      <c r="AS93" s="31">
        <f>IF(AR93="Fully Annuity",10,IF(AR93="Higher Annuity, Lower One Time",5,IF(AR93="Higher One Time, Lower Annuity",3,0)))</f>
        <v/>
      </c>
      <c r="AT93" s="31" t="n"/>
      <c r="AU93" s="31">
        <f>IF(AT93="Good",10,0)</f>
        <v/>
      </c>
      <c r="AV93" s="31" t="n"/>
      <c r="AW93" s="31">
        <f>IF(AV93="Yes for more than 2 years",10,IF(AV93="Yes only for next 1 to 2 years",5,0))</f>
        <v/>
      </c>
      <c r="AX93" s="31" t="n"/>
      <c r="AY93" s="31">
        <f>IF(AX93="Above 40",20,IF(AX93="20 to 40",10,IF(AX93="0 to 20",-5,0)))</f>
        <v/>
      </c>
      <c r="AZ93" s="31" t="n"/>
      <c r="BA93" s="31">
        <f>IF(AZ93="Between 50 to 75",10,IF(AZ93="Above 75",0,0))</f>
        <v/>
      </c>
      <c r="BB93" s="31" t="n"/>
      <c r="BC93" s="31">
        <f>IF(BB93="Stage 2",20,IF(BB93="Stage 1",0,IF(BB93="Stage 3",5,IF(BB93="Stage 4",-5,0))))</f>
        <v/>
      </c>
      <c r="BD93" s="31" t="n"/>
      <c r="BE93" s="31">
        <f>IF(BD93="Positive Trend",20,IF(BD93="Negative Trend",-10,0))</f>
        <v/>
      </c>
      <c r="BF93" s="31" t="n"/>
      <c r="BG93" s="31">
        <f>IF(BF93="Uptrend",10,IF(BF93="Sideways",5,0))</f>
        <v/>
      </c>
      <c r="BH93" s="31" t="n"/>
      <c r="BI93" s="31">
        <f>IF(BH93="Uptrend",10,IF(BH93="Sideways",5,0))</f>
        <v/>
      </c>
      <c r="BJ93" s="31" t="n"/>
      <c r="BK93" s="31">
        <f>IF(BJ93="Overhead supply in last 2 years in last 2 years",-5,IF(BJ93="Close to 52 week high or retracement",5,IF(BJ93="Blue sky scenario",10,IF(BJ93="Long term Downtrend",-10,0))))</f>
        <v/>
      </c>
      <c r="BL93" s="31" t="n"/>
      <c r="BM93" s="31">
        <f>IF(BL93="Yes",10,0)</f>
        <v/>
      </c>
      <c r="BN93" s="31" t="n"/>
      <c r="BO93" s="31">
        <f>IF(BN93="More than 20%",10,IF(BN93="Between 12 to 20%",5,IF(BN93="Less than 12%",0,0)))</f>
        <v/>
      </c>
      <c r="BP93" s="31" t="n"/>
      <c r="BQ93" s="31">
        <f>IF(BP93="No",10,0)</f>
        <v/>
      </c>
      <c r="BR93" s="31" t="n"/>
      <c r="BS93" s="31">
        <f>IF(BR93="NO",5,0)</f>
        <v/>
      </c>
      <c r="BT93" s="31" t="n"/>
      <c r="BU93" s="31">
        <f>IF(BT93="Above 2",0,IF(BT93="Between 1.5 to 2",5,IF(BT93="Less than 1.5",10,0)))</f>
        <v/>
      </c>
      <c r="BV93" s="31" t="n"/>
      <c r="BW93" s="31">
        <f>IF(BV93="Above 70%",10,IF(BV93="Between 50% to 70%",5,IF(BV93="Less than 50%",0,IF(BV93="Negative",-10,IF(BV93="Less than 50% and Borrowings are increasing",-5,0)))))</f>
        <v/>
      </c>
      <c r="BX93" s="31" t="n"/>
      <c r="BY93" s="31">
        <f>IF(BX93="More than 1.2",-10,IF(BX93="Between 0.7 to 1.2",0,IF(BX93="Less than 0.7",10,0)))</f>
        <v/>
      </c>
      <c r="BZ93" s="31" t="n"/>
      <c r="CA93" s="31">
        <f>IF(BZ93="Yes",-10,0)</f>
        <v/>
      </c>
      <c r="CB93" s="31" t="n"/>
      <c r="CC93" s="31">
        <f>IF(CB93="More than 15%",-10,IF(CB93="Less than 15%",10,0))</f>
        <v/>
      </c>
      <c r="CD93" s="31" t="n"/>
      <c r="CE93" s="31">
        <f>IF(CD93="Yes, more than 10%",-10,IF(CD93="No",10,0))</f>
        <v/>
      </c>
      <c r="CF93" s="31" t="n"/>
      <c r="CG93" s="31">
        <f>IF(CF93&gt;20,10,IF(CF93&gt;=10,5,2))</f>
        <v/>
      </c>
    </row>
    <row r="97">
      <c r="A97" s="25" t="inlineStr">
        <is>
          <t>❌ REMOVED SCAN MATCH STOCKS (THIS WEEK)</t>
        </is>
      </c>
    </row>
    <row r="98">
      <c r="A98" s="35" t="inlineStr">
        <is>
          <t>Symbol</t>
        </is>
      </c>
      <c r="B98" s="35" t="inlineStr">
        <is>
          <t>Company Name</t>
        </is>
      </c>
      <c r="C98" s="35" t="inlineStr">
        <is>
          <t>Sector</t>
        </is>
      </c>
      <c r="D98" s="35" t="inlineStr">
        <is>
          <t>Date of Removal</t>
        </is>
      </c>
    </row>
    <row r="99">
      <c r="A99" s="36" t="inlineStr">
        <is>
          <t>ANTELOPUS</t>
        </is>
      </c>
      <c r="B99" s="37" t="inlineStr">
        <is>
          <t>ANTELOPUS</t>
        </is>
      </c>
      <c r="C99" s="37" t="inlineStr">
        <is>
          <t>unknown</t>
        </is>
      </c>
      <c r="D99" s="38" t="inlineStr">
        <is>
          <t>2026-06-30</t>
        </is>
      </c>
    </row>
    <row r="100">
      <c r="A100" s="36" t="inlineStr">
        <is>
          <t>BETA</t>
        </is>
      </c>
      <c r="B100" s="37" t="inlineStr">
        <is>
          <t>BETA</t>
        </is>
      </c>
      <c r="C100" s="37" t="inlineStr">
        <is>
          <t>unknown</t>
        </is>
      </c>
      <c r="D100" s="38" t="inlineStr">
        <is>
          <t>2026-06-30</t>
        </is>
      </c>
    </row>
    <row r="101">
      <c r="A101" s="36" t="inlineStr">
        <is>
          <t>GVPIL</t>
        </is>
      </c>
      <c r="B101" s="37" t="inlineStr">
        <is>
          <t>GVPIL</t>
        </is>
      </c>
      <c r="C101" s="37" t="inlineStr">
        <is>
          <t>unknown</t>
        </is>
      </c>
      <c r="D101" s="38" t="inlineStr">
        <is>
          <t>2026-06-30</t>
        </is>
      </c>
    </row>
    <row r="102">
      <c r="A102" s="36" t="inlineStr">
        <is>
          <t>LLOYDSENGG</t>
        </is>
      </c>
      <c r="B102" s="37" t="inlineStr">
        <is>
          <t>Lloyds Engineering Works Limited</t>
        </is>
      </c>
      <c r="C102" s="37" t="inlineStr">
        <is>
          <t>Industrials</t>
        </is>
      </c>
      <c r="D102" s="38" t="inlineStr">
        <is>
          <t>2026-06-30</t>
        </is>
      </c>
    </row>
    <row r="103">
      <c r="A103" s="36" t="inlineStr">
        <is>
          <t>LLOYDSENT</t>
        </is>
      </c>
      <c r="B103" s="37" t="inlineStr">
        <is>
          <t>Lloyds Enterprises Limited</t>
        </is>
      </c>
      <c r="C103" s="37" t="inlineStr">
        <is>
          <t>Basic Materials</t>
        </is>
      </c>
      <c r="D103" s="38" t="inlineStr">
        <is>
          <t>2026-06-30</t>
        </is>
      </c>
    </row>
    <row r="104">
      <c r="A104" s="36" t="inlineStr">
        <is>
          <t>MONOLITH</t>
        </is>
      </c>
      <c r="B104" s="37" t="inlineStr">
        <is>
          <t>MONOLITH</t>
        </is>
      </c>
      <c r="C104" s="37" t="inlineStr">
        <is>
          <t>unknown</t>
        </is>
      </c>
      <c r="D104" s="38" t="inlineStr">
        <is>
          <t>2026-06-30</t>
        </is>
      </c>
    </row>
    <row r="105">
      <c r="A105" s="36" t="inlineStr">
        <is>
          <t>MSTCLTD</t>
        </is>
      </c>
      <c r="B105" s="37" t="inlineStr">
        <is>
          <t>MSTC Limited</t>
        </is>
      </c>
      <c r="C105" s="37" t="inlineStr">
        <is>
          <t>Industrials</t>
        </is>
      </c>
      <c r="D105" s="38" t="inlineStr">
        <is>
          <t>2026-06-30</t>
        </is>
      </c>
    </row>
    <row r="106">
      <c r="A106" s="36" t="inlineStr">
        <is>
          <t>MTARTECH</t>
        </is>
      </c>
      <c r="B106" s="37" t="inlineStr">
        <is>
          <t>MTARTECH</t>
        </is>
      </c>
      <c r="C106" s="37" t="inlineStr">
        <is>
          <t>unknown</t>
        </is>
      </c>
      <c r="D106" s="38" t="inlineStr">
        <is>
          <t>2026-06-30</t>
        </is>
      </c>
    </row>
    <row r="107">
      <c r="A107" s="36" t="inlineStr">
        <is>
          <t>NAVINFLUOR</t>
        </is>
      </c>
      <c r="B107" s="37" t="inlineStr">
        <is>
          <t>Navin Fluorine International Limited</t>
        </is>
      </c>
      <c r="C107" s="37" t="inlineStr">
        <is>
          <t>Basic Materials</t>
        </is>
      </c>
      <c r="D107" s="38" t="inlineStr">
        <is>
          <t>2026-06-30</t>
        </is>
      </c>
    </row>
    <row r="108">
      <c r="A108" s="36" t="inlineStr">
        <is>
          <t>RATEGAIN</t>
        </is>
      </c>
      <c r="B108" s="37" t="inlineStr">
        <is>
          <t>RateGain Travel Technologies Limited</t>
        </is>
      </c>
      <c r="C108" s="37" t="inlineStr">
        <is>
          <t>Technology</t>
        </is>
      </c>
      <c r="D108" s="38" t="inlineStr">
        <is>
          <t>2026-06-30</t>
        </is>
      </c>
    </row>
    <row r="109">
      <c r="A109" s="36" t="inlineStr">
        <is>
          <t>RRKABEL</t>
        </is>
      </c>
      <c r="B109" s="37" t="inlineStr">
        <is>
          <t>R R Kabel Limited</t>
        </is>
      </c>
      <c r="C109" s="37" t="inlineStr">
        <is>
          <t>Industrials</t>
        </is>
      </c>
      <c r="D109" s="38" t="inlineStr">
        <is>
          <t>2026-06-30</t>
        </is>
      </c>
    </row>
    <row r="110">
      <c r="A110" s="36" t="inlineStr">
        <is>
          <t>SANSERA</t>
        </is>
      </c>
      <c r="B110" s="37" t="inlineStr">
        <is>
          <t>Sansera Engineering Limited</t>
        </is>
      </c>
      <c r="C110" s="37" t="inlineStr">
        <is>
          <t>Consumer Cyclical</t>
        </is>
      </c>
      <c r="D110" s="38" t="inlineStr">
        <is>
          <t>2026-06-30</t>
        </is>
      </c>
    </row>
    <row r="111">
      <c r="A111" s="36" t="inlineStr">
        <is>
          <t>SAREGAMA</t>
        </is>
      </c>
      <c r="B111" s="37" t="inlineStr">
        <is>
          <t>Saregama India Limited</t>
        </is>
      </c>
      <c r="C111" s="37" t="inlineStr">
        <is>
          <t>Communication Services</t>
        </is>
      </c>
      <c r="D111" s="38" t="inlineStr">
        <is>
          <t>2026-06-30</t>
        </is>
      </c>
    </row>
    <row r="112">
      <c r="A112" s="36" t="inlineStr">
        <is>
          <t>SJS</t>
        </is>
      </c>
      <c r="B112" s="37" t="inlineStr">
        <is>
          <t>S.J.S. Enterprises Limited</t>
        </is>
      </c>
      <c r="C112" s="37" t="inlineStr">
        <is>
          <t>Consumer Cyclical</t>
        </is>
      </c>
      <c r="D112" s="38" t="inlineStr">
        <is>
          <t>2026-06-30</t>
        </is>
      </c>
    </row>
    <row r="113">
      <c r="A113" s="36" t="inlineStr">
        <is>
          <t>SPAL</t>
        </is>
      </c>
      <c r="B113" s="37" t="inlineStr">
        <is>
          <t>S.P. Apparels Limited</t>
        </is>
      </c>
      <c r="C113" s="37" t="inlineStr">
        <is>
          <t>Consumer Cyclical</t>
        </is>
      </c>
      <c r="D113" s="38" t="inlineStr">
        <is>
          <t>2026-06-30</t>
        </is>
      </c>
    </row>
  </sheetData>
  <autoFilter ref="A1:CG93"/>
  <conditionalFormatting sqref="B2:B9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3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3">
    <cfRule type="cellIs" priority="37" operator="equal" dxfId="3" stopIfTrue="1">
      <formula>"Underperforming"</formula>
    </cfRule>
  </conditionalFormatting>
  <conditionalFormatting sqref="N2:N93">
    <cfRule type="cellIs" priority="38" operator="equal" dxfId="3" stopIfTrue="1">
      <formula>-5</formula>
    </cfRule>
  </conditionalFormatting>
  <conditionalFormatting sqref="Q2:Q93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3" showDropDown="0" showInputMessage="0" showErrorMessage="0" allowBlank="1" type="list">
      <formula1>"Growing Industry,Stagnant Industry,Cyclical in an Upturn"</formula1>
    </dataValidation>
    <dataValidation sqref="Z2:Z9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3" showDropDown="0" showInputMessage="0" showErrorMessage="0" allowBlank="1" type="list">
      <formula1>"Yes,No"</formula1>
    </dataValidation>
    <dataValidation sqref="AD2:AD93" showDropDown="0" showInputMessage="0" showErrorMessage="0" allowBlank="1" type="list">
      <formula1>"Tailwind,Headwind"</formula1>
    </dataValidation>
    <dataValidation sqref="AF2:AF93" showDropDown="0" showInputMessage="0" showErrorMessage="0" allowBlank="1" type="list">
      <formula1>"Structural (10 Years Consistency),Shallow Cyclical (2 to 3 Years Growth),Cyclical"</formula1>
    </dataValidation>
    <dataValidation sqref="AH2:AH93" showDropDown="0" showInputMessage="0" showErrorMessage="0" allowBlank="1" type="list">
      <formula1>"Yes due to Product Mix change or Operating Leverage,Yes, these are peak margins,No"</formula1>
    </dataValidation>
    <dataValidation sqref="AJ2:AJ93" showDropDown="0" showInputMessage="0" showErrorMessage="0" allowBlank="1" type="list">
      <formula1>"Stable,Volatile"</formula1>
    </dataValidation>
    <dataValidation sqref="AL2:AL93" showDropDown="0" showInputMessage="0" showErrorMessage="0" allowBlank="1" type="list">
      <formula1>"Yes,No"</formula1>
    </dataValidation>
    <dataValidation sqref="AN2:AN93" showDropDown="0" showInputMessage="0" showErrorMessage="0" allowBlank="1" type="list">
      <formula1>"B2C,B2B,B2G"</formula1>
    </dataValidation>
    <dataValidation sqref="AP2:AP93" showDropDown="0" showInputMessage="0" showErrorMessage="0" allowBlank="1" type="list">
      <formula1>"Yes,No"</formula1>
    </dataValidation>
    <dataValidation sqref="AR2:AR93" showDropDown="0" showInputMessage="0" showErrorMessage="0" allowBlank="1" type="list">
      <formula1>"Fully Annuity,Higher Annuity, Lower One time,Higher One Time, Lower Annuity,Fully One Time"</formula1>
    </dataValidation>
    <dataValidation sqref="AT2:AT93" showDropDown="0" showInputMessage="0" showErrorMessage="0" allowBlank="1" type="list">
      <formula1>"Good,Allocated capital in Non-core Areas"</formula1>
    </dataValidation>
    <dataValidation sqref="AV2:AV93" showDropDown="0" showInputMessage="0" showErrorMessage="0" allowBlank="1" type="list">
      <formula1>"Yes for more than 2 years,Yes only for next 1 to 2 years,No"</formula1>
    </dataValidation>
    <dataValidation sqref="AX2:AX93" showDropDown="0" showInputMessage="0" showErrorMessage="0" allowBlank="1" type="list">
      <formula1>"Above 40,20 to 40,0 to 20"</formula1>
    </dataValidation>
    <dataValidation sqref="AZ2:AZ93" showDropDown="0" showInputMessage="0" showErrorMessage="0" allowBlank="1" type="list">
      <formula1>"Between 50 to 75,Above 75,Below 45"</formula1>
    </dataValidation>
    <dataValidation sqref="BB2:BB93" showDropDown="0" showInputMessage="0" showErrorMessage="0" allowBlank="1" type="list">
      <formula1>"Stage 1,Stage 2,Stage 3,Stage 4"</formula1>
    </dataValidation>
    <dataValidation sqref="BD2:BD93" showDropDown="0" showInputMessage="0" showErrorMessage="0" allowBlank="1" type="list">
      <formula1>"Positive Trend,Negative Trend"</formula1>
    </dataValidation>
    <dataValidation sqref="BF2:BF93" showDropDown="0" showInputMessage="0" showErrorMessage="0" allowBlank="1" type="list">
      <formula1>"Uptrend,Sideways,Downtrend"</formula1>
    </dataValidation>
    <dataValidation sqref="BH2:BH93" showDropDown="0" showInputMessage="0" showErrorMessage="0" allowBlank="1" type="list">
      <formula1>"Uptrend,Sideways,Downtrend"</formula1>
    </dataValidation>
    <dataValidation sqref="BJ2:BJ9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3" showDropDown="0" showInputMessage="0" showErrorMessage="0" allowBlank="1" type="list">
      <formula1>"Yes,No"</formula1>
    </dataValidation>
    <dataValidation sqref="BN2:BN93" showDropDown="0" showInputMessage="0" showErrorMessage="0" allowBlank="1" type="list">
      <formula1>"More than 20%,Between 12 to 20%,Less than 12%"</formula1>
    </dataValidation>
    <dataValidation sqref="BP2:BP93" showDropDown="0" showInputMessage="0" showErrorMessage="0" allowBlank="1" type="list">
      <formula1>"Yes,No"</formula1>
    </dataValidation>
    <dataValidation sqref="BR2:BR93" showDropDown="0" showInputMessage="0" showErrorMessage="0" allowBlank="1" type="list">
      <formula1>"Yes,No"</formula1>
    </dataValidation>
    <dataValidation sqref="BT2:BT93" showDropDown="0" showInputMessage="0" showErrorMessage="0" allowBlank="1" type="list">
      <formula1>"Above 2,Between 1.5 to 2,Less than 1.5"</formula1>
    </dataValidation>
    <dataValidation sqref="BV2:BV93" showDropDown="0" showInputMessage="0" showErrorMessage="0" allowBlank="1" type="list">
      <formula1>"Above 70%,Between 50% to 70%,Less than 50%,Less than 50% and Borrowings are increasing,Negative"</formula1>
    </dataValidation>
    <dataValidation sqref="BX2:BX93" showDropDown="0" showInputMessage="0" showErrorMessage="0" allowBlank="1" type="list">
      <formula1>"More than 1.2,Between 0.7 to 1.2,Less than 0.7"</formula1>
    </dataValidation>
    <dataValidation sqref="BZ2:BZ93" showDropDown="0" showInputMessage="0" showErrorMessage="0" allowBlank="1" type="list">
      <formula1>"Yes,No"</formula1>
    </dataValidation>
    <dataValidation sqref="CB2:CB93" showDropDown="0" showInputMessage="0" showErrorMessage="0" allowBlank="1" type="list">
      <formula1>"More than 15%,Less than 15%"</formula1>
    </dataValidation>
    <dataValidation sqref="CD2:CD9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IF(B2=0,"",RANK(B2,$B$2:$B$9,0))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2717.59</v>
      </c>
      <c r="I2" s="32" t="n">
        <v>246</v>
      </c>
      <c r="J2" s="32" t="n">
        <v>4.47</v>
      </c>
      <c r="K2" s="32" t="n">
        <v>0</v>
      </c>
      <c r="L2" s="31" t="n">
        <v>79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71.79000000000001</v>
      </c>
      <c r="P2" s="32" t="n">
        <v>55.52</v>
      </c>
      <c r="Q2" s="32" t="n">
        <v>192.13</v>
      </c>
      <c r="R2" s="31" t="inlineStr">
        <is>
          <t>Near 52W High Breakout</t>
        </is>
      </c>
      <c r="S2" s="31" t="inlineStr">
        <is>
          <t>Nifty Bank</t>
        </is>
      </c>
      <c r="T2" s="32" t="n">
        <v>0.9</v>
      </c>
      <c r="U2" s="32" t="n">
        <v>42.41</v>
      </c>
      <c r="V2" s="32" t="n">
        <v>41.15</v>
      </c>
      <c r="W2" s="32" t="n">
        <v>24.33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22</t>
        </is>
      </c>
      <c r="CC2" s="31">
        <f>IF(CB2&gt;20,10,IF(CB2&gt;=10,5,2))</f>
        <v/>
      </c>
    </row>
    <row r="3">
      <c r="A3" s="31">
        <f>IF(B3=0,"",RANK(B3,$B$2:$B$9,0))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MAHABANK</t>
        </is>
      </c>
      <c r="D3" s="31" t="inlineStr">
        <is>
          <t>Bank of Maharashtra</t>
        </is>
      </c>
      <c r="E3" s="31" t="inlineStr">
        <is>
          <t>bank</t>
        </is>
      </c>
      <c r="F3" s="31" t="inlineStr">
        <is>
          <t>Banks - PSU</t>
        </is>
      </c>
      <c r="G3" s="31" t="inlineStr">
        <is>
          <t>largecap</t>
        </is>
      </c>
      <c r="H3" s="32" t="n">
        <v>70223.89999999999</v>
      </c>
      <c r="I3" s="32" t="n">
        <v>91.3</v>
      </c>
      <c r="J3" s="32" t="n">
        <v>-2.56</v>
      </c>
      <c r="K3" s="32" t="n">
        <v>0</v>
      </c>
      <c r="L3" s="31" t="n">
        <v>72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72.61</v>
      </c>
      <c r="P3" s="32" t="n">
        <v>50.39</v>
      </c>
      <c r="Q3" s="32" t="n">
        <v>75.29000000000001</v>
      </c>
      <c r="R3" s="31" t="inlineStr">
        <is>
          <t>Near 52W High Breakout</t>
        </is>
      </c>
      <c r="S3" s="31" t="inlineStr">
        <is>
          <t>Nifty Bank</t>
        </is>
      </c>
      <c r="T3" s="32" t="n">
        <v>0.9</v>
      </c>
      <c r="U3" s="32" t="n">
        <v>63.93</v>
      </c>
      <c r="V3" s="32" t="n">
        <v>62.48</v>
      </c>
      <c r="W3" s="32" t="n">
        <v>20.7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20</t>
        </is>
      </c>
      <c r="CC3" s="31">
        <f>IF(CB3&gt;20,10,IF(CB3&gt;=10,5,2))</f>
        <v/>
      </c>
    </row>
    <row r="4">
      <c r="A4" s="31">
        <f>IF(B4=0,"",RANK(B4,$B$2:$B$9,0))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SGFIN</t>
        </is>
      </c>
      <c r="D4" s="31" t="inlineStr">
        <is>
          <t>SG Finserve Ltd</t>
        </is>
      </c>
      <c r="E4" s="31" t="inlineStr">
        <is>
          <t>Financial Services</t>
        </is>
      </c>
      <c r="F4" s="31" t="inlineStr">
        <is>
          <t>Finance &amp; Investments - MSME Lending</t>
        </is>
      </c>
      <c r="G4" s="31" t="inlineStr">
        <is>
          <t>smallcap</t>
        </is>
      </c>
      <c r="H4" s="32" t="n">
        <v>4078.9</v>
      </c>
      <c r="I4" s="32" t="n">
        <v>619</v>
      </c>
      <c r="J4" s="32" t="n">
        <v>2.74</v>
      </c>
      <c r="K4" s="32" t="n">
        <v>0</v>
      </c>
      <c r="L4" s="31" t="n">
        <v>54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</v>
      </c>
      <c r="P4" s="32" t="n">
        <v>56.07</v>
      </c>
      <c r="Q4" s="32" t="n">
        <v>482.36</v>
      </c>
      <c r="R4" s="31" t="inlineStr">
        <is>
          <t>Near 52W High Breakout</t>
        </is>
      </c>
      <c r="S4" s="31" t="inlineStr">
        <is>
          <t>Nifty Bank</t>
        </is>
      </c>
      <c r="T4" s="32" t="n">
        <v>4.61</v>
      </c>
      <c r="U4" s="32" t="n">
        <v>57.61</v>
      </c>
      <c r="V4" s="32" t="n">
        <v>50.66</v>
      </c>
      <c r="W4" s="32" t="n">
        <v>14.6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20</t>
        </is>
      </c>
      <c r="CC4" s="31">
        <f>IF(CB4&gt;20,10,IF(CB4&gt;=10,5,2))</f>
        <v/>
      </c>
    </row>
    <row r="5">
      <c r="A5" s="31">
        <f>IF(B5=0,"",RANK(B5,$B$2:$B$9,0))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RANEHOLDIN</t>
        </is>
      </c>
      <c r="D5" s="31" t="inlineStr">
        <is>
          <t>Rane Holdings Ltd</t>
        </is>
      </c>
      <c r="E5" s="31" t="inlineStr">
        <is>
          <t>financials</t>
        </is>
      </c>
      <c r="F5" s="31" t="inlineStr">
        <is>
          <t>Finance - Holding Company</t>
        </is>
      </c>
      <c r="G5" s="31" t="inlineStr">
        <is>
          <t>smallcap</t>
        </is>
      </c>
      <c r="H5" s="32" t="n">
        <v>2387.25</v>
      </c>
      <c r="I5" s="32" t="n">
        <v>1672</v>
      </c>
      <c r="J5" s="32" t="n">
        <v>-2.55</v>
      </c>
      <c r="K5" s="32" t="n">
        <v>0</v>
      </c>
      <c r="L5" s="31" t="n">
        <v>67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68.54000000000001</v>
      </c>
      <c r="P5" s="32" t="n">
        <v>30.26</v>
      </c>
      <c r="Q5" s="32" t="n">
        <v>1251.45</v>
      </c>
      <c r="R5" s="31" t="inlineStr">
        <is>
          <t>Near 52W High Breakout</t>
        </is>
      </c>
      <c r="S5" s="31" t="inlineStr">
        <is>
          <t>Nifty Bank</t>
        </is>
      </c>
      <c r="T5" s="32" t="n">
        <v>0.9</v>
      </c>
      <c r="U5" s="32" t="n">
        <v>8.300000000000001</v>
      </c>
      <c r="V5" s="32" t="n">
        <v>7.34</v>
      </c>
      <c r="W5" s="32" t="n">
        <v>18.57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18</t>
        </is>
      </c>
      <c r="CC5" s="31">
        <f>IF(CB5&gt;20,10,IF(CB5&gt;=10,5,2))</f>
        <v/>
      </c>
    </row>
    <row r="6">
      <c r="A6" s="31">
        <f>IF(B6=0,"",RANK(B6,$B$2:$B$9,0))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CGCL</t>
        </is>
      </c>
      <c r="D6" s="31" t="inlineStr">
        <is>
          <t>Capri Global Capital Ltd</t>
        </is>
      </c>
      <c r="E6" s="31" t="inlineStr">
        <is>
          <t>financials</t>
        </is>
      </c>
      <c r="F6" s="31" t="inlineStr">
        <is>
          <t>Finance &amp; Investments - Gold Loan</t>
        </is>
      </c>
      <c r="G6" s="31" t="inlineStr">
        <is>
          <t>largecap</t>
        </is>
      </c>
      <c r="H6" s="32" t="n">
        <v>21840.89</v>
      </c>
      <c r="I6" s="32" t="n">
        <v>227</v>
      </c>
      <c r="J6" s="32" t="n">
        <v>4.62</v>
      </c>
      <c r="K6" s="32" t="n">
        <v>0</v>
      </c>
      <c r="L6" s="31" t="n">
        <v>56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71.3</v>
      </c>
      <c r="P6" s="32" t="n">
        <v>23.57</v>
      </c>
      <c r="Q6" s="32" t="n">
        <v>187.23</v>
      </c>
      <c r="R6" s="31" t="inlineStr">
        <is>
          <t>Near 52W High Breakout</t>
        </is>
      </c>
      <c r="S6" s="31" t="inlineStr">
        <is>
          <t>Nifty Bank</t>
        </is>
      </c>
      <c r="T6" s="32" t="n">
        <v>0.9</v>
      </c>
      <c r="U6" s="32" t="n">
        <v>37.25</v>
      </c>
      <c r="V6" s="32" t="n">
        <v>36.03</v>
      </c>
      <c r="W6" s="32" t="n">
        <v>15.1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24</t>
        </is>
      </c>
      <c r="CC6" s="31">
        <f>IF(CB6&gt;20,10,IF(CB6&gt;=10,5,2))</f>
        <v/>
      </c>
    </row>
    <row r="7">
      <c r="A7" s="31">
        <f>IF(B7=0,"",RANK(B7,$B$2:$B$9,0))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PAISALO</t>
        </is>
      </c>
      <c r="D7" s="31" t="inlineStr">
        <is>
          <t>Paisalo Digital Ltd</t>
        </is>
      </c>
      <c r="E7" s="31" t="inlineStr">
        <is>
          <t>financials</t>
        </is>
      </c>
      <c r="F7" s="31" t="inlineStr">
        <is>
          <t>Finance - Capital Markets - Brokers</t>
        </is>
      </c>
      <c r="G7" s="31" t="inlineStr">
        <is>
          <t>midcap</t>
        </is>
      </c>
      <c r="H7" s="32" t="n">
        <v>5338.89</v>
      </c>
      <c r="I7" s="32" t="n">
        <v>58.7</v>
      </c>
      <c r="J7" s="32" t="n">
        <v>-3.14</v>
      </c>
      <c r="K7" s="32" t="n">
        <v>0</v>
      </c>
      <c r="L7" s="31" t="n">
        <v>85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75.88</v>
      </c>
      <c r="P7" s="32" t="n">
        <v>42.97</v>
      </c>
      <c r="Q7" s="32" t="n">
        <v>47.63</v>
      </c>
      <c r="R7" s="31" t="inlineStr">
        <is>
          <t>Near 52W High Breakout</t>
        </is>
      </c>
      <c r="S7" s="31" t="inlineStr">
        <is>
          <t>Nifty Bank</t>
        </is>
      </c>
      <c r="T7" s="32" t="n">
        <v>0.9</v>
      </c>
      <c r="U7" s="32" t="n">
        <v>94.2</v>
      </c>
      <c r="V7" s="32" t="n">
        <v>92.48</v>
      </c>
      <c r="W7" s="32" t="n">
        <v>29.83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19</t>
        </is>
      </c>
      <c r="CC7" s="31">
        <f>IF(CB7&gt;20,10,IF(CB7&gt;=10,5,2))</f>
        <v/>
      </c>
    </row>
    <row r="8">
      <c r="A8" s="31">
        <f>IF(B8=0,"",RANK(B8,$B$2:$B$9,0))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ANANDRATHI</t>
        </is>
      </c>
      <c r="D8" s="31" t="inlineStr">
        <is>
          <t>Anand Rathi Wealth Ltd</t>
        </is>
      </c>
      <c r="E8" s="31" t="inlineStr">
        <is>
          <t>financials</t>
        </is>
      </c>
      <c r="F8" s="31" t="inlineStr">
        <is>
          <t>Finance - Capital Markets - Wealth Management</t>
        </is>
      </c>
      <c r="G8" s="31" t="inlineStr">
        <is>
          <t>largecap</t>
        </is>
      </c>
      <c r="H8" s="32" t="n">
        <v>32892.78</v>
      </c>
      <c r="I8" s="32" t="n">
        <v>1981</v>
      </c>
      <c r="J8" s="32" t="n">
        <v>0</v>
      </c>
      <c r="K8" s="32" t="n">
        <v>0</v>
      </c>
      <c r="L8" s="31" t="n">
        <v>68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75.14</v>
      </c>
      <c r="P8" s="32" t="n">
        <v>42.71</v>
      </c>
      <c r="Q8" s="32" t="n">
        <v>1683.68</v>
      </c>
      <c r="R8" s="31" t="inlineStr">
        <is>
          <t>Near 52W High Breakout</t>
        </is>
      </c>
      <c r="S8" s="31" t="inlineStr">
        <is>
          <t>Nifty Bank</t>
        </is>
      </c>
      <c r="T8" s="32" t="n">
        <v>0.9</v>
      </c>
      <c r="U8" s="32" t="n">
        <v>88.25</v>
      </c>
      <c r="V8" s="32" t="n">
        <v>86.58</v>
      </c>
      <c r="W8" s="32" t="n">
        <v>18.96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above 5x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19</t>
        </is>
      </c>
      <c r="CC8" s="31">
        <f>IF(CB8&gt;20,10,IF(CB8&gt;=10,5,2))</f>
        <v/>
      </c>
    </row>
    <row r="9">
      <c r="A9" s="31">
        <f>IF(B9=0,"",RANK(B9,$B$2:$B$9,0))</f>
        <v/>
      </c>
      <c r="B9" s="32">
        <f>SUM(N9,Y9,AA9,AC9,AE9,AG9,AI9,AK9,AM9,AO9,AQ9,AS9,AU9,AW9,AY9,BA9,BC9,BE9,BG9,BI9,BK9,BM9,BO9,BQ9,BS9,BU9,BW9,BY9,CA9,CC9)</f>
        <v/>
      </c>
      <c r="C9" s="34" t="inlineStr">
        <is>
          <t>OFSS</t>
        </is>
      </c>
      <c r="D9" s="34" t="inlineStr">
        <is>
          <t>Oracle Financial Services Software Ltd</t>
        </is>
      </c>
      <c r="E9" s="31" t="inlineStr">
        <is>
          <t>i.t</t>
        </is>
      </c>
      <c r="F9" s="31" t="inlineStr">
        <is>
          <t>IT Product Companies</t>
        </is>
      </c>
      <c r="G9" s="31" t="inlineStr">
        <is>
          <t>largecap</t>
        </is>
      </c>
      <c r="H9" s="32" t="n">
        <v>93432.75999999999</v>
      </c>
      <c r="I9" s="32" t="n">
        <v>10730.5</v>
      </c>
      <c r="J9" s="32" t="n">
        <v>-1.21</v>
      </c>
      <c r="K9" s="32" t="n">
        <v>0</v>
      </c>
      <c r="L9" s="31" t="n">
        <v>68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70.36</v>
      </c>
      <c r="P9" s="32" t="n">
        <v>31.85</v>
      </c>
      <c r="Q9" s="32" t="n">
        <v>8886.41</v>
      </c>
      <c r="R9" s="31" t="inlineStr">
        <is>
          <t>Near 52W High Breakout</t>
        </is>
      </c>
      <c r="S9" s="31" t="inlineStr">
        <is>
          <t>Nifty IT</t>
        </is>
      </c>
      <c r="T9" s="32" t="n">
        <v>-32.85</v>
      </c>
      <c r="U9" s="32" t="n">
        <v>23.57</v>
      </c>
      <c r="V9" s="32" t="n">
        <v>84.03</v>
      </c>
      <c r="W9" s="32" t="n">
        <v>18.69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above 5x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17</t>
        </is>
      </c>
      <c r="CC9" s="31">
        <f>IF(CB9&gt;20,10,IF(CB9&gt;=10,5,2))</f>
        <v/>
      </c>
    </row>
    <row r="13">
      <c r="A13" s="25" t="inlineStr">
        <is>
          <t>❌ REMOVED SCAN MATCH STOCKS (THIS WEEK)</t>
        </is>
      </c>
    </row>
    <row r="14">
      <c r="A14" s="35" t="inlineStr">
        <is>
          <t>Symbol</t>
        </is>
      </c>
      <c r="B14" s="35" t="inlineStr">
        <is>
          <t>Company Name</t>
        </is>
      </c>
      <c r="C14" s="35" t="inlineStr">
        <is>
          <t>Sector</t>
        </is>
      </c>
      <c r="D14" s="35" t="inlineStr">
        <is>
          <t>Date of Removal</t>
        </is>
      </c>
    </row>
    <row r="15">
      <c r="A15" s="36" t="inlineStr">
        <is>
          <t>AADHARHFC</t>
        </is>
      </c>
      <c r="B15" s="37" t="inlineStr">
        <is>
          <t>AADHARHFC</t>
        </is>
      </c>
      <c r="C15" s="37" t="inlineStr">
        <is>
          <t>Financial Services</t>
        </is>
      </c>
      <c r="D15" s="38" t="inlineStr">
        <is>
          <t>2026-06-30</t>
        </is>
      </c>
    </row>
  </sheetData>
  <autoFilter ref="A1:CC9"/>
  <conditionalFormatting sqref="B2:B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9">
    <cfRule type="cellIs" priority="35" operator="equal" dxfId="3" stopIfTrue="1">
      <formula>"Underperforming"</formula>
    </cfRule>
  </conditionalFormatting>
  <conditionalFormatting sqref="N2:N9">
    <cfRule type="cellIs" priority="36" operator="equal" dxfId="3" stopIfTrue="1">
      <formula>-5</formula>
    </cfRule>
  </conditionalFormatting>
  <conditionalFormatting sqref="Q2:Q9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9" showDropDown="0" showInputMessage="0" showErrorMessage="0" allowBlank="1" type="list">
      <formula1>"Growing Industry,Stagnant Industry,Cyclical in an Upturn"</formula1>
    </dataValidation>
    <dataValidation sqref="Z2:Z9" showDropDown="0" showInputMessage="0" showErrorMessage="0" allowBlank="1" type="list">
      <formula1>"Fragmented with Low ROE,Fragmented with High ROE,Highly Cyclical"</formula1>
    </dataValidation>
    <dataValidation sqref="AB2:AB9" showDropDown="0" showInputMessage="0" showErrorMessage="0" allowBlank="1" type="list">
      <formula1>"Yes,No"</formula1>
    </dataValidation>
    <dataValidation sqref="AD2:AD9" showDropDown="0" showInputMessage="0" showErrorMessage="0" allowBlank="1" type="list">
      <formula1>"Tailwind,Headwind"</formula1>
    </dataValidation>
    <dataValidation sqref="AF2:AF9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9" showDropDown="0" showInputMessage="0" showErrorMessage="0" allowBlank="1" type="list">
      <formula1>"Yes,No"</formula1>
    </dataValidation>
    <dataValidation sqref="AJ2:AJ9" showDropDown="0" showInputMessage="0" showErrorMessage="0" allowBlank="1" type="list">
      <formula1>"Yes,No,Not Applicable"</formula1>
    </dataValidation>
    <dataValidation sqref="AL2:AL9" showDropDown="0" showInputMessage="0" showErrorMessage="0" allowBlank="1" type="list">
      <formula1>"Yes,No"</formula1>
    </dataValidation>
    <dataValidation sqref="AN2:AN9" showDropDown="0" showInputMessage="0" showErrorMessage="0" allowBlank="1" type="list">
      <formula1>"Yes,No"</formula1>
    </dataValidation>
    <dataValidation sqref="AP2:AP9" showDropDown="0" showInputMessage="0" showErrorMessage="0" allowBlank="1" type="list">
      <formula1>"Yes,No"</formula1>
    </dataValidation>
    <dataValidation sqref="AR2:AR9" showDropDown="0" showInputMessage="0" showErrorMessage="0" allowBlank="1" type="list">
      <formula1>"Yes,No"</formula1>
    </dataValidation>
    <dataValidation sqref="AT2:AT9" showDropDown="0" showInputMessage="0" showErrorMessage="0" allowBlank="1" type="list">
      <formula1>"No,Yes"</formula1>
    </dataValidation>
    <dataValidation sqref="AV2:AV9" showDropDown="0" showInputMessage="0" showErrorMessage="0" allowBlank="1" type="list">
      <formula1>"No,Yes"</formula1>
    </dataValidation>
    <dataValidation sqref="AX2:AX9" showDropDown="0" showInputMessage="0" showErrorMessage="0" allowBlank="1" type="list">
      <formula1>"No,Yes CEO Resignation,Yes CEO Retirement"</formula1>
    </dataValidation>
    <dataValidation sqref="AZ2:AZ9" showDropDown="0" showInputMessage="0" showErrorMessage="0" allowBlank="1" type="list">
      <formula1>"No,Yes"</formula1>
    </dataValidation>
    <dataValidation sqref="BB2:BB9" showDropDown="0" showInputMessage="0" showErrorMessage="0" allowBlank="1" type="list">
      <formula1>"No,Yes"</formula1>
    </dataValidation>
    <dataValidation sqref="BD2:BD9" showDropDown="0" showInputMessage="0" showErrorMessage="0" allowBlank="1" type="list">
      <formula1>"Yes,No"</formula1>
    </dataValidation>
    <dataValidation sqref="BF2:BF9" showDropDown="0" showInputMessage="0" showErrorMessage="0" allowBlank="1" type="list">
      <formula1>"Yes,No"</formula1>
    </dataValidation>
    <dataValidation sqref="BH2:BH9" showDropDown="0" showInputMessage="0" showErrorMessage="0" allowBlank="1" type="list">
      <formula1>"Yes,No"</formula1>
    </dataValidation>
    <dataValidation sqref="BJ2:BJ9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9" showDropDown="0" showInputMessage="0" showErrorMessage="0" allowBlank="1" type="list">
      <formula1>"Above 40,20 to 40,0 to 20"</formula1>
    </dataValidation>
    <dataValidation sqref="BN2:BN9" showDropDown="0" showInputMessage="0" showErrorMessage="0" allowBlank="1" type="list">
      <formula1>"Between 50 to 75,Above 75,Below 45"</formula1>
    </dataValidation>
    <dataValidation sqref="BP2:BP9" showDropDown="0" showInputMessage="0" showErrorMessage="0" allowBlank="1" type="list">
      <formula1>"Stage 1,Stage 2,Stage 3,Stage 4"</formula1>
    </dataValidation>
    <dataValidation sqref="BR2:BR9" showDropDown="0" showInputMessage="0" showErrorMessage="0" allowBlank="1" type="list">
      <formula1>"Positive Trend,Negative Trend"</formula1>
    </dataValidation>
    <dataValidation sqref="BT2:BT9" showDropDown="0" showInputMessage="0" showErrorMessage="0" allowBlank="1" type="list">
      <formula1>"Uptrend,Sideways,Downtrend"</formula1>
    </dataValidation>
    <dataValidation sqref="BV2:BV9" showDropDown="0" showInputMessage="0" showErrorMessage="0" allowBlank="1" type="list">
      <formula1>"Uptrend,Sideways,Downtrend"</formula1>
    </dataValidation>
    <dataValidation sqref="BX2:BX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2026-06-30T12:27:24Z</dcterms:created>
  <dcterms:modified xmlns:dcterms="http://purl.org/dc/terms/" xmlns:xsi="http://www.w3.org/2001/XMLSchema-instance" xsi:type="dcterms:W3CDTF">2026-06-30T12:28:15Z</dcterms:modified>
</cp:coreProperties>
</file>