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Universe'!$A$1:$J$263</definedName>
    <definedName name="_xlnm._FilterDatabase" localSheetId="3" hidden="1">'Confluence Overlap'!$A$1:$K$83</definedName>
    <definedName name="_xlnm._FilterDatabase" localSheetId="4" hidden="1">'Monit Non Financial'!$A$1:$CE$249</definedName>
    <definedName name="_xlnm._FilterDatabase" localSheetId="5" hidden="1">'Monit Banks NBFC'!$A$1:$CA$15</definedName>
    <definedName name="_xlnm._FilterDatabase" localSheetId="6" hidden="1">'Scanner Non Financial'!$A$1:$CJ$23</definedName>
    <definedName name="_xlnm._FilterDatabase" localSheetId="8" hidden="1">'Scan Match Non Financial'!$A$1:$CG$97</definedName>
    <definedName name="_xlnm._FilterDatabase" localSheetId="9" hidden="1">'Scan Match Banks NBFC'!$A$1:$CC$5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Wednesday, 30 September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7" customWidth="1" min="2" max="2"/>
    <col width="21" customWidth="1" min="3" max="3"/>
    <col width="47" customWidth="1" min="4" max="4"/>
    <col width="25" customWidth="1" min="5" max="5"/>
    <col width="40" customWidth="1" min="6" max="6"/>
    <col width="25" customWidth="1" min="7" max="7"/>
    <col width="19" customWidth="1" min="8" max="8"/>
    <col width="11" customWidth="1" min="9" max="9"/>
    <col width="49" customWidth="1" min="10" max="10"/>
    <col width="30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486</v>
      </c>
      <c r="C6" s="17" t="inlineStr">
        <is>
          <t>CYIENTDLM</t>
        </is>
      </c>
      <c r="D6" s="18" t="inlineStr">
        <is>
          <t>Cyient DLM Ltd</t>
        </is>
      </c>
      <c r="E6" s="18" t="inlineStr">
        <is>
          <t>aerospace &amp; defence</t>
        </is>
      </c>
      <c r="F6" s="16" t="n">
        <v>66</v>
      </c>
      <c r="G6" s="19" t="n">
        <v>7312.4</v>
      </c>
      <c r="H6" s="18" t="inlineStr">
        <is>
          <t>Potential Leader</t>
        </is>
      </c>
      <c r="J6" s="18" t="inlineStr">
        <is>
          <t>readymade garments/apparels</t>
        </is>
      </c>
      <c r="K6" s="16" t="n">
        <v>7</v>
      </c>
      <c r="L6" s="16" t="n">
        <v>0</v>
      </c>
      <c r="M6" s="20" t="inlineStr">
        <is>
          <t>100.0%</t>
        </is>
      </c>
    </row>
    <row r="7">
      <c r="A7" s="16" t="n">
        <v>2</v>
      </c>
      <c r="B7" s="17" t="n">
        <v>480</v>
      </c>
      <c r="C7" s="17" t="inlineStr">
        <is>
          <t>SETL</t>
        </is>
      </c>
      <c r="D7" s="18" t="inlineStr">
        <is>
          <t>Standard Enginnering Technology Ltd</t>
        </is>
      </c>
      <c r="E7" s="18" t="inlineStr">
        <is>
          <t>industrials</t>
        </is>
      </c>
      <c r="F7" s="16" t="n">
        <v>65</v>
      </c>
      <c r="G7" s="19" t="n">
        <v>8557.190000000001</v>
      </c>
      <c r="H7" s="18" t="inlineStr">
        <is>
          <t>Potential Leader</t>
        </is>
      </c>
      <c r="J7" s="18" t="inlineStr">
        <is>
          <t>castings, forgings &amp; fasteners</t>
        </is>
      </c>
      <c r="K7" s="16" t="n">
        <v>18</v>
      </c>
      <c r="L7" s="16" t="n">
        <v>0</v>
      </c>
      <c r="M7" s="20" t="inlineStr">
        <is>
          <t>100.0%</t>
        </is>
      </c>
    </row>
    <row r="8">
      <c r="A8" s="16" t="n">
        <v>3</v>
      </c>
      <c r="B8" s="17" t="n">
        <v>414</v>
      </c>
      <c r="C8" s="17" t="inlineStr">
        <is>
          <t>KABRAEXTRU</t>
        </is>
      </c>
      <c r="D8" s="18" t="inlineStr">
        <is>
          <t>Kabra Extrusion Technik Limited</t>
        </is>
      </c>
      <c r="E8" s="18" t="inlineStr">
        <is>
          <t>industrials</t>
        </is>
      </c>
      <c r="F8" s="16" t="n">
        <v>54</v>
      </c>
      <c r="G8" s="19" t="n">
        <v>2902.05</v>
      </c>
      <c r="H8" s="18" t="inlineStr">
        <is>
          <t>Potential Leader</t>
        </is>
      </c>
      <c r="J8" s="18" t="inlineStr">
        <is>
          <t>plastic products</t>
        </is>
      </c>
      <c r="K8" s="16" t="n">
        <v>15</v>
      </c>
      <c r="L8" s="16" t="n">
        <v>9</v>
      </c>
      <c r="M8" s="20" t="inlineStr">
        <is>
          <t>66.7%</t>
        </is>
      </c>
    </row>
    <row r="9">
      <c r="A9" s="16" t="n">
        <v>4</v>
      </c>
      <c r="B9" s="17" t="n">
        <v>402</v>
      </c>
      <c r="C9" s="17" t="inlineStr">
        <is>
          <t>TFCILTD</t>
        </is>
      </c>
      <c r="D9" s="18" t="inlineStr">
        <is>
          <t>Tourism Finance Corporation Of India Limited</t>
        </is>
      </c>
      <c r="E9" s="18" t="inlineStr">
        <is>
          <t>financials</t>
        </is>
      </c>
      <c r="F9" s="16" t="n">
        <v>52</v>
      </c>
      <c r="G9" s="19" t="n">
        <v>6431.68</v>
      </c>
      <c r="H9" s="18" t="inlineStr">
        <is>
          <t>Potential Leader</t>
        </is>
      </c>
      <c r="J9" s="18" t="inlineStr">
        <is>
          <t>fmcg</t>
        </is>
      </c>
      <c r="K9" s="16" t="n">
        <v>49</v>
      </c>
      <c r="L9" s="16" t="n">
        <v>37</v>
      </c>
      <c r="M9" s="20" t="inlineStr">
        <is>
          <t>32.4%</t>
        </is>
      </c>
    </row>
    <row r="10">
      <c r="A10" s="16" t="n">
        <v>5</v>
      </c>
      <c r="B10" s="17" t="n">
        <v>402</v>
      </c>
      <c r="C10" s="17" t="inlineStr">
        <is>
          <t>VSSL</t>
        </is>
      </c>
      <c r="D10" s="18" t="inlineStr">
        <is>
          <t>Vardhman Special Steels Limited</t>
        </is>
      </c>
      <c r="E10" s="18" t="inlineStr">
        <is>
          <t>metals &amp; mining</t>
        </is>
      </c>
      <c r="F10" s="16" t="n">
        <v>52</v>
      </c>
      <c r="G10" s="19" t="n">
        <v>3923.99</v>
      </c>
      <c r="H10" s="18" t="inlineStr">
        <is>
          <t>Potential Leader</t>
        </is>
      </c>
      <c r="J10" s="18" t="inlineStr">
        <is>
          <t>chemicals</t>
        </is>
      </c>
      <c r="K10" s="16" t="n">
        <v>141</v>
      </c>
      <c r="L10" s="16" t="n">
        <v>122</v>
      </c>
      <c r="M10" s="20" t="inlineStr">
        <is>
          <t>15.6%</t>
        </is>
      </c>
    </row>
    <row r="11">
      <c r="A11" s="16" t="n">
        <v>6</v>
      </c>
      <c r="B11" s="17" t="n">
        <v>372</v>
      </c>
      <c r="C11" s="17" t="inlineStr">
        <is>
          <t>REDINGTON</t>
        </is>
      </c>
      <c r="D11" s="18" t="inlineStr">
        <is>
          <t>Redington (india) Limited</t>
        </is>
      </c>
      <c r="E11" s="18" t="inlineStr">
        <is>
          <t>services</t>
        </is>
      </c>
      <c r="F11" s="16" t="n">
        <v>47</v>
      </c>
      <c r="G11" s="19" t="n">
        <v>31697.04</v>
      </c>
      <c r="H11" s="18" t="inlineStr">
        <is>
          <t>Potential Leader</t>
        </is>
      </c>
      <c r="J11" s="18" t="inlineStr">
        <is>
          <t>aerospace &amp; defence</t>
        </is>
      </c>
      <c r="K11" s="16" t="n">
        <v>45</v>
      </c>
      <c r="L11" s="16" t="n">
        <v>43</v>
      </c>
      <c r="M11" s="20" t="inlineStr">
        <is>
          <t>4.7%</t>
        </is>
      </c>
    </row>
    <row r="12">
      <c r="A12" s="16" t="n">
        <v>7</v>
      </c>
      <c r="B12" s="17" t="n">
        <v>354</v>
      </c>
      <c r="C12" s="17" t="inlineStr">
        <is>
          <t>MMP</t>
        </is>
      </c>
      <c r="D12" s="18" t="inlineStr">
        <is>
          <t>MMP Industries Ltd</t>
        </is>
      </c>
      <c r="E12" s="18" t="inlineStr">
        <is>
          <t>metals &amp; mining</t>
        </is>
      </c>
      <c r="F12" s="16" t="n">
        <v>44</v>
      </c>
      <c r="G12" s="19" t="n">
        <v>1136.89</v>
      </c>
      <c r="H12" s="18" t="inlineStr">
        <is>
          <t>Potential Leader</t>
        </is>
      </c>
      <c r="J12" s="18" t="inlineStr">
        <is>
          <t>textiles</t>
        </is>
      </c>
      <c r="K12" s="16" t="n">
        <v>53</v>
      </c>
      <c r="L12" s="16" t="n">
        <v>56</v>
      </c>
      <c r="M12" s="21" t="inlineStr">
        <is>
          <t>-5.4%</t>
        </is>
      </c>
    </row>
    <row r="13">
      <c r="A13" s="16" t="n">
        <v>8</v>
      </c>
      <c r="B13" s="17" t="n">
        <v>348</v>
      </c>
      <c r="C13" s="17" t="inlineStr">
        <is>
          <t>RATNAVEER</t>
        </is>
      </c>
      <c r="D13" s="18" t="inlineStr">
        <is>
          <t>Ratnaveer Precision Engineering Ltd</t>
        </is>
      </c>
      <c r="E13" s="18" t="inlineStr">
        <is>
          <t>metals &amp; mining</t>
        </is>
      </c>
      <c r="F13" s="16" t="n">
        <v>43</v>
      </c>
      <c r="G13" s="19" t="n">
        <v>2779.22</v>
      </c>
      <c r="H13" s="18" t="inlineStr">
        <is>
          <t>Potential Leader</t>
        </is>
      </c>
      <c r="J13" s="18" t="inlineStr">
        <is>
          <t>industrials</t>
        </is>
      </c>
      <c r="K13" s="16" t="n">
        <v>177</v>
      </c>
      <c r="L13" s="16" t="n">
        <v>189</v>
      </c>
      <c r="M13" s="21" t="inlineStr">
        <is>
          <t>-6.3%</t>
        </is>
      </c>
    </row>
    <row r="14">
      <c r="A14" s="16" t="n">
        <v>9</v>
      </c>
      <c r="B14" s="17" t="n">
        <v>348</v>
      </c>
      <c r="C14" s="17" t="inlineStr">
        <is>
          <t>SHILPAMED</t>
        </is>
      </c>
      <c r="D14" s="18" t="inlineStr">
        <is>
          <t>Shilpa Medicare Limited</t>
        </is>
      </c>
      <c r="E14" s="18" t="inlineStr">
        <is>
          <t>healthcare</t>
        </is>
      </c>
      <c r="F14" s="16" t="n">
        <v>43</v>
      </c>
      <c r="G14" s="19" t="n">
        <v>20648.55</v>
      </c>
      <c r="H14" s="18" t="inlineStr">
        <is>
          <t>Potential Leader</t>
        </is>
      </c>
      <c r="J14" s="18" t="inlineStr">
        <is>
          <t>consumer discretionary</t>
        </is>
      </c>
      <c r="K14" s="16" t="n">
        <v>75</v>
      </c>
      <c r="L14" s="16" t="n">
        <v>84</v>
      </c>
      <c r="M14" s="21" t="inlineStr">
        <is>
          <t>-10.7%</t>
        </is>
      </c>
    </row>
    <row r="15">
      <c r="A15" s="16" t="n">
        <v>10</v>
      </c>
      <c r="B15" s="17" t="n">
        <v>348</v>
      </c>
      <c r="C15" s="17" t="inlineStr">
        <is>
          <t>STLTECH</t>
        </is>
      </c>
      <c r="D15" s="18" t="inlineStr">
        <is>
          <t>Sterlite Technologies Limited</t>
        </is>
      </c>
      <c r="E15" s="18" t="inlineStr">
        <is>
          <t>industrials</t>
        </is>
      </c>
      <c r="F15" s="16" t="n">
        <v>43</v>
      </c>
      <c r="G15" s="19" t="n">
        <v>44534.24</v>
      </c>
      <c r="H15" s="18" t="inlineStr">
        <is>
          <t>Potential Leader</t>
        </is>
      </c>
      <c r="J15" s="18" t="inlineStr">
        <is>
          <t>auto</t>
        </is>
      </c>
      <c r="K15" s="16" t="n">
        <v>82</v>
      </c>
      <c r="L15" s="16" t="n">
        <v>92</v>
      </c>
      <c r="M15" s="21" t="inlineStr">
        <is>
          <t>-10.9%</t>
        </is>
      </c>
    </row>
    <row r="16">
      <c r="A16" s="16" t="n">
        <v>11</v>
      </c>
      <c r="B16" s="17" t="n">
        <v>342</v>
      </c>
      <c r="C16" s="17" t="inlineStr">
        <is>
          <t>BIL</t>
        </is>
      </c>
      <c r="D16" s="18" t="inlineStr">
        <is>
          <t>Bhartiya International Limited</t>
        </is>
      </c>
      <c r="E16" s="18" t="inlineStr">
        <is>
          <t>consumer discretionary</t>
        </is>
      </c>
      <c r="F16" s="16" t="n">
        <v>42</v>
      </c>
      <c r="G16" s="19" t="n">
        <v>1341.98</v>
      </c>
      <c r="H16" s="18" t="inlineStr">
        <is>
          <t>Potential Leader</t>
        </is>
      </c>
      <c r="J16" s="18" t="inlineStr">
        <is>
          <t>metals &amp; mining</t>
        </is>
      </c>
      <c r="K16" s="16" t="n">
        <v>102</v>
      </c>
      <c r="L16" s="16" t="n">
        <v>117</v>
      </c>
      <c r="M16" s="21" t="inlineStr">
        <is>
          <t>-12.8%</t>
        </is>
      </c>
    </row>
    <row r="17">
      <c r="A17" s="16" t="n">
        <v>12</v>
      </c>
      <c r="B17" s="17" t="n">
        <v>342</v>
      </c>
      <c r="C17" s="17" t="inlineStr">
        <is>
          <t>MOREPENLAB</t>
        </is>
      </c>
      <c r="D17" s="18" t="inlineStr">
        <is>
          <t>Morepen Laboratories Limited</t>
        </is>
      </c>
      <c r="E17" s="18" t="inlineStr">
        <is>
          <t>healthcare</t>
        </is>
      </c>
      <c r="F17" s="16" t="n">
        <v>42</v>
      </c>
      <c r="G17" s="19" t="n">
        <v>6509.69</v>
      </c>
      <c r="H17" s="18" t="inlineStr">
        <is>
          <t>Potential Leader</t>
        </is>
      </c>
      <c r="J17" s="18" t="inlineStr">
        <is>
          <t>telecom</t>
        </is>
      </c>
      <c r="K17" s="16" t="n">
        <v>6</v>
      </c>
      <c r="L17" s="16" t="n">
        <v>7</v>
      </c>
      <c r="M17" s="21" t="inlineStr">
        <is>
          <t>-14.3%</t>
        </is>
      </c>
    </row>
    <row r="18">
      <c r="A18" s="16" t="n">
        <v>13</v>
      </c>
      <c r="B18" s="17" t="n">
        <v>330</v>
      </c>
      <c r="C18" s="17" t="inlineStr">
        <is>
          <t>FCL</t>
        </is>
      </c>
      <c r="D18" s="18" t="inlineStr">
        <is>
          <t>Fineotex Chemical Limited</t>
        </is>
      </c>
      <c r="E18" s="18" t="inlineStr">
        <is>
          <t>chemicals</t>
        </is>
      </c>
      <c r="F18" s="16" t="n">
        <v>40</v>
      </c>
      <c r="G18" s="19" t="n">
        <v>6747.12</v>
      </c>
      <c r="H18" s="18" t="inlineStr">
        <is>
          <t>Potential Leader</t>
        </is>
      </c>
      <c r="J18" s="18" t="inlineStr">
        <is>
          <t>realty</t>
        </is>
      </c>
      <c r="K18" s="16" t="n">
        <v>70</v>
      </c>
      <c r="L18" s="16" t="n">
        <v>85</v>
      </c>
      <c r="M18" s="21" t="inlineStr">
        <is>
          <t>-17.6%</t>
        </is>
      </c>
    </row>
    <row r="19">
      <c r="A19" s="16" t="n">
        <v>14</v>
      </c>
      <c r="B19" s="17" t="n">
        <v>324</v>
      </c>
      <c r="C19" s="17" t="inlineStr">
        <is>
          <t>INDSWFTLAB</t>
        </is>
      </c>
      <c r="D19" s="18" t="inlineStr">
        <is>
          <t>Ind-swift Laboratories Limited</t>
        </is>
      </c>
      <c r="E19" s="18" t="inlineStr">
        <is>
          <t>healthcare</t>
        </is>
      </c>
      <c r="F19" s="16" t="n">
        <v>39</v>
      </c>
      <c r="G19" s="19" t="n">
        <v>3592.38</v>
      </c>
      <c r="H19" s="18" t="inlineStr">
        <is>
          <t>Potential Leader</t>
        </is>
      </c>
      <c r="J19" s="18" t="inlineStr">
        <is>
          <t>services</t>
        </is>
      </c>
      <c r="K19" s="16" t="n">
        <v>42</v>
      </c>
      <c r="L19" s="16" t="n">
        <v>52</v>
      </c>
      <c r="M19" s="21" t="inlineStr">
        <is>
          <t>-19.2%</t>
        </is>
      </c>
    </row>
    <row r="20">
      <c r="A20" s="16" t="n">
        <v>15</v>
      </c>
      <c r="B20" s="17" t="n">
        <v>312</v>
      </c>
      <c r="C20" s="17" t="inlineStr">
        <is>
          <t>MANINDS</t>
        </is>
      </c>
      <c r="D20" s="18" t="inlineStr">
        <is>
          <t>Man Industries (india) Limited</t>
        </is>
      </c>
      <c r="E20" s="18" t="inlineStr">
        <is>
          <t>metals &amp; mining</t>
        </is>
      </c>
      <c r="F20" s="16" t="n">
        <v>37</v>
      </c>
      <c r="G20" s="19" t="n">
        <v>7197.92</v>
      </c>
      <c r="H20" s="18" t="inlineStr">
        <is>
          <t>Potential Leader</t>
        </is>
      </c>
      <c r="J20" s="18" t="inlineStr">
        <is>
          <t>transportation</t>
        </is>
      </c>
      <c r="K20" s="16" t="n">
        <v>42</v>
      </c>
      <c r="L20" s="16" t="n">
        <v>53</v>
      </c>
      <c r="M20" s="21" t="inlineStr">
        <is>
          <t>-20.8%</t>
        </is>
      </c>
    </row>
    <row r="21">
      <c r="A21" s="16" t="n">
        <v>16</v>
      </c>
      <c r="B21" s="17" t="n">
        <v>306</v>
      </c>
      <c r="C21" s="17" t="inlineStr">
        <is>
          <t>MAHSEAMLES</t>
        </is>
      </c>
      <c r="D21" s="18" t="inlineStr">
        <is>
          <t>Maharashtra Seamless Limited</t>
        </is>
      </c>
      <c r="E21" s="18" t="inlineStr">
        <is>
          <t>metals &amp; mining</t>
        </is>
      </c>
      <c r="F21" s="16" t="n">
        <v>36</v>
      </c>
      <c r="G21" s="19" t="n">
        <v>9672.74</v>
      </c>
      <c r="H21" s="18" t="inlineStr">
        <is>
          <t>Potential Leader</t>
        </is>
      </c>
    </row>
    <row r="22">
      <c r="A22" s="16" t="n">
        <v>17</v>
      </c>
      <c r="B22" s="17" t="n">
        <v>300</v>
      </c>
      <c r="C22" s="17" t="inlineStr">
        <is>
          <t>BLISSGVS</t>
        </is>
      </c>
      <c r="D22" s="18" t="inlineStr">
        <is>
          <t>Bliss Gvs Pharma Limited</t>
        </is>
      </c>
      <c r="E22" s="18" t="inlineStr">
        <is>
          <t>healthcare</t>
        </is>
      </c>
      <c r="F22" s="16" t="n">
        <v>35</v>
      </c>
      <c r="G22" s="19" t="n">
        <v>7539.54</v>
      </c>
      <c r="H22" s="18" t="inlineStr">
        <is>
          <t>Potential Leader</t>
        </is>
      </c>
    </row>
    <row r="23">
      <c r="A23" s="16" t="n">
        <v>18</v>
      </c>
      <c r="B23" s="17" t="n">
        <v>300</v>
      </c>
      <c r="C23" s="17" t="inlineStr">
        <is>
          <t>MAXESTATES</t>
        </is>
      </c>
      <c r="D23" s="18" t="inlineStr">
        <is>
          <t>Max Estates Ltd</t>
        </is>
      </c>
      <c r="E23" s="18" t="inlineStr">
        <is>
          <t>realty</t>
        </is>
      </c>
      <c r="F23" s="16" t="n">
        <v>35</v>
      </c>
      <c r="G23" s="19" t="n">
        <v>9307.08</v>
      </c>
      <c r="H23" s="18" t="inlineStr">
        <is>
          <t>Potential Leader</t>
        </is>
      </c>
    </row>
    <row r="24">
      <c r="A24" s="16" t="n">
        <v>19</v>
      </c>
      <c r="B24" s="17" t="n">
        <v>294</v>
      </c>
      <c r="C24" s="17" t="inlineStr">
        <is>
          <t>EIMCOELECO</t>
        </is>
      </c>
      <c r="D24" s="18" t="inlineStr">
        <is>
          <t>Eimco Elecon (india) Limited</t>
        </is>
      </c>
      <c r="E24" s="18" t="inlineStr">
        <is>
          <t>industrials</t>
        </is>
      </c>
      <c r="F24" s="16" t="n">
        <v>34</v>
      </c>
      <c r="G24" s="19" t="n">
        <v>1314.21</v>
      </c>
      <c r="H24" s="18" t="inlineStr">
        <is>
          <t>Potential Leader</t>
        </is>
      </c>
    </row>
    <row r="25">
      <c r="A25" s="16" t="n">
        <v>20</v>
      </c>
      <c r="B25" s="17" t="n">
        <v>294</v>
      </c>
      <c r="C25" s="17" t="inlineStr">
        <is>
          <t>RGL</t>
        </is>
      </c>
      <c r="D25" s="18" t="inlineStr">
        <is>
          <t>Renaissance Global Ltd</t>
        </is>
      </c>
      <c r="E25" s="18" t="inlineStr">
        <is>
          <t>consumer discretionary</t>
        </is>
      </c>
      <c r="F25" s="16" t="n">
        <v>34</v>
      </c>
      <c r="G25" s="19" t="n">
        <v>1763.74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EMUDHRA</t>
        </is>
      </c>
      <c r="B30" s="18" t="inlineStr">
        <is>
          <t>eMudhra Limited</t>
        </is>
      </c>
      <c r="C30" s="18" t="inlineStr">
        <is>
          <t>Technology</t>
        </is>
      </c>
      <c r="D30" s="16" t="n">
        <v>9</v>
      </c>
      <c r="E30" s="16" t="n">
        <v>2</v>
      </c>
      <c r="F30" s="19" t="n">
        <v>4893.9</v>
      </c>
      <c r="J30" s="17" t="inlineStr">
        <is>
          <t>RPTECH</t>
        </is>
      </c>
      <c r="K30" s="18" t="inlineStr">
        <is>
          <t>i.t</t>
        </is>
      </c>
      <c r="L30" s="19" t="n">
        <v>295</v>
      </c>
      <c r="M30" s="19" t="n">
        <v>6098.03</v>
      </c>
      <c r="N30" s="16" t="n">
        <v>11</v>
      </c>
    </row>
    <row r="31">
      <c r="A31" s="17" t="inlineStr">
        <is>
          <t>GESHIP</t>
        </is>
      </c>
      <c r="B31" s="18" t="inlineStr">
        <is>
          <t>The Great Eastern Shipping Company Limited</t>
        </is>
      </c>
      <c r="C31" s="18" t="inlineStr">
        <is>
          <t>transportation</t>
        </is>
      </c>
      <c r="D31" s="16" t="n">
        <v>8</v>
      </c>
      <c r="E31" s="16" t="n">
        <v>1</v>
      </c>
      <c r="F31" s="19" t="n">
        <v>21954.73</v>
      </c>
      <c r="J31" s="17" t="inlineStr">
        <is>
          <t>KINGFA</t>
        </is>
      </c>
      <c r="K31" s="18" t="inlineStr">
        <is>
          <t>plastic products</t>
        </is>
      </c>
      <c r="L31" s="19" t="n">
        <v>290</v>
      </c>
      <c r="M31" s="19" t="n">
        <v>8841.6</v>
      </c>
      <c r="N31" s="16" t="n">
        <v>26</v>
      </c>
    </row>
    <row r="32">
      <c r="A32" s="17" t="inlineStr">
        <is>
          <t>SHIVALIK</t>
        </is>
      </c>
      <c r="B32" s="18" t="inlineStr">
        <is>
          <t>Shivalik Rasayan Ltd</t>
        </is>
      </c>
      <c r="C32" s="18" t="inlineStr">
        <is>
          <t>chemicals</t>
        </is>
      </c>
      <c r="D32" s="16" t="n">
        <v>8</v>
      </c>
      <c r="E32" s="16" t="n">
        <v>0</v>
      </c>
      <c r="F32" s="19" t="n">
        <v>659.49</v>
      </c>
      <c r="J32" s="17" t="inlineStr">
        <is>
          <t>GNA</t>
        </is>
      </c>
      <c r="K32" s="18" t="inlineStr">
        <is>
          <t>auto</t>
        </is>
      </c>
      <c r="L32" s="19" t="n">
        <v>290</v>
      </c>
      <c r="M32" s="19" t="n">
        <v>2549.02</v>
      </c>
      <c r="N32" s="16" t="n">
        <v>16</v>
      </c>
    </row>
    <row r="33">
      <c r="A33" s="17" t="inlineStr">
        <is>
          <t>SUNDROP</t>
        </is>
      </c>
      <c r="B33" s="18" t="inlineStr">
        <is>
          <t>Sundrop Brands Ltd</t>
        </is>
      </c>
      <c r="C33" s="18" t="inlineStr">
        <is>
          <t>fmcg</t>
        </is>
      </c>
      <c r="D33" s="16" t="n">
        <v>8</v>
      </c>
      <c r="E33" s="16" t="n">
        <v>0</v>
      </c>
      <c r="F33" s="19" t="n">
        <v>2830.09</v>
      </c>
      <c r="J33" s="17" t="inlineStr">
        <is>
          <t>JGCHEM</t>
        </is>
      </c>
      <c r="K33" s="18" t="inlineStr">
        <is>
          <t>chemicals</t>
        </is>
      </c>
      <c r="L33" s="19" t="n">
        <v>290</v>
      </c>
      <c r="M33" s="19" t="n">
        <v>2580.99</v>
      </c>
      <c r="N33" s="16" t="n">
        <v>18</v>
      </c>
    </row>
    <row r="34">
      <c r="A34" s="17" t="inlineStr">
        <is>
          <t>SHARDAMOTR</t>
        </is>
      </c>
      <c r="B34" s="18" t="inlineStr">
        <is>
          <t>Sharda Motor Industries Limited</t>
        </is>
      </c>
      <c r="C34" s="18" t="inlineStr">
        <is>
          <t>auto</t>
        </is>
      </c>
      <c r="D34" s="16" t="n">
        <v>8</v>
      </c>
      <c r="E34" s="16" t="n">
        <v>1</v>
      </c>
      <c r="F34" s="19" t="n">
        <v>5575.72</v>
      </c>
      <c r="J34" s="17" t="inlineStr">
        <is>
          <t>PASUPTAC</t>
        </is>
      </c>
      <c r="K34" s="18" t="inlineStr">
        <is>
          <t>textiles</t>
        </is>
      </c>
      <c r="L34" s="19" t="n">
        <v>288</v>
      </c>
      <c r="M34" s="19" t="n">
        <v>670.28</v>
      </c>
      <c r="N34" s="16" t="n">
        <v>21</v>
      </c>
    </row>
    <row r="35">
      <c r="A35" s="17" t="inlineStr">
        <is>
          <t>NPST</t>
        </is>
      </c>
      <c r="B35" s="18" t="inlineStr">
        <is>
          <t>Network People Services Technologies Limited</t>
        </is>
      </c>
      <c r="C35" s="18" t="inlineStr">
        <is>
          <t>Technology</t>
        </is>
      </c>
      <c r="D35" s="16" t="n">
        <v>7</v>
      </c>
      <c r="E35" s="16" t="n">
        <v>1</v>
      </c>
      <c r="F35" s="19" t="n">
        <v>3681.99</v>
      </c>
      <c r="J35" s="17" t="inlineStr">
        <is>
          <t>BLUSPRING</t>
        </is>
      </c>
      <c r="K35" s="18" t="inlineStr">
        <is>
          <t>miscellaneous</t>
        </is>
      </c>
      <c r="L35" s="19" t="n">
        <v>288</v>
      </c>
      <c r="M35" s="19" t="n">
        <v>2138.65</v>
      </c>
      <c r="N35" s="16" t="n">
        <v>20</v>
      </c>
    </row>
    <row r="36">
      <c r="A36" s="17" t="inlineStr">
        <is>
          <t>DHARMAJ</t>
        </is>
      </c>
      <c r="B36" s="18" t="inlineStr">
        <is>
          <t>Dharmaj Crop Guard Limited</t>
        </is>
      </c>
      <c r="C36" s="18" t="inlineStr">
        <is>
          <t>Basic Materials</t>
        </is>
      </c>
      <c r="D36" s="16" t="n">
        <v>6</v>
      </c>
      <c r="E36" s="16" t="n">
        <v>0</v>
      </c>
      <c r="F36" s="19" t="n">
        <v>893.4299999999999</v>
      </c>
      <c r="J36" s="17" t="inlineStr">
        <is>
          <t>PGIL</t>
        </is>
      </c>
      <c r="K36" s="18" t="inlineStr">
        <is>
          <t>readymade garments/apparels</t>
        </is>
      </c>
      <c r="L36" s="19" t="n">
        <v>288</v>
      </c>
      <c r="M36" s="19" t="n">
        <v>11920.86</v>
      </c>
      <c r="N36" s="16" t="n">
        <v>17</v>
      </c>
    </row>
    <row r="37">
      <c r="A37" s="17" t="inlineStr">
        <is>
          <t>TEXRAIL</t>
        </is>
      </c>
      <c r="B37" s="18" t="inlineStr">
        <is>
          <t>Texmaco Rail &amp; Engineering Limited</t>
        </is>
      </c>
      <c r="C37" s="18" t="inlineStr">
        <is>
          <t>industrials</t>
        </is>
      </c>
      <c r="D37" s="16" t="n">
        <v>6</v>
      </c>
      <c r="E37" s="16" t="n">
        <v>0</v>
      </c>
      <c r="F37" s="19" t="n">
        <v>5113.07</v>
      </c>
      <c r="J37" s="17" t="inlineStr">
        <is>
          <t>WELINV</t>
        </is>
      </c>
      <c r="K37" s="18" t="inlineStr">
        <is>
          <t>financials</t>
        </is>
      </c>
      <c r="L37" s="19" t="n">
        <v>285</v>
      </c>
      <c r="M37" s="19" t="n">
        <v>889.86</v>
      </c>
      <c r="N37" s="16" t="n">
        <v>30</v>
      </c>
    </row>
    <row r="38">
      <c r="A38" s="17" t="inlineStr">
        <is>
          <t>BANDHANBNK</t>
        </is>
      </c>
      <c r="B38" s="18" t="inlineStr">
        <is>
          <t>Bandhan Bank Limited</t>
        </is>
      </c>
      <c r="C38" s="18" t="inlineStr">
        <is>
          <t>Financial Services</t>
        </is>
      </c>
      <c r="D38" s="16" t="n">
        <v>6</v>
      </c>
      <c r="E38" s="16" t="n">
        <v>2</v>
      </c>
      <c r="F38" s="19" t="n">
        <v>28715.48</v>
      </c>
      <c r="J38" s="17" t="inlineStr">
        <is>
          <t>TBZ</t>
        </is>
      </c>
      <c r="K38" s="18" t="inlineStr">
        <is>
          <t>consumer discretionary</t>
        </is>
      </c>
      <c r="L38" s="19" t="n">
        <v>285</v>
      </c>
      <c r="M38" s="19" t="n">
        <v>4176</v>
      </c>
      <c r="N38" s="16" t="n">
        <v>29</v>
      </c>
    </row>
    <row r="39">
      <c r="A39" s="17" t="inlineStr">
        <is>
          <t>TREL</t>
        </is>
      </c>
      <c r="B39" s="18" t="inlineStr">
        <is>
          <t>TransIndia Real Estate Ltd</t>
        </is>
      </c>
      <c r="C39" s="18" t="inlineStr">
        <is>
          <t>transportation</t>
        </is>
      </c>
      <c r="D39" s="16" t="n">
        <v>6</v>
      </c>
      <c r="E39" s="16" t="n">
        <v>1</v>
      </c>
      <c r="F39" s="19" t="n">
        <v>697.78</v>
      </c>
      <c r="J39" s="17" t="inlineStr">
        <is>
          <t>NRL</t>
        </is>
      </c>
      <c r="K39" s="18" t="inlineStr">
        <is>
          <t>services</t>
        </is>
      </c>
      <c r="L39" s="19" t="n">
        <v>285</v>
      </c>
      <c r="M39" s="19" t="n">
        <v>1105.1</v>
      </c>
      <c r="N39" s="16" t="n">
        <v>26</v>
      </c>
    </row>
    <row r="40">
      <c r="A40" s="17" t="inlineStr">
        <is>
          <t>DELTACORP</t>
        </is>
      </c>
      <c r="B40" s="18" t="inlineStr">
        <is>
          <t>Delta Corp Limited</t>
        </is>
      </c>
      <c r="C40" s="18" t="inlineStr">
        <is>
          <t>miscellaneous</t>
        </is>
      </c>
      <c r="D40" s="16" t="n">
        <v>5</v>
      </c>
      <c r="E40" s="16" t="n">
        <v>0</v>
      </c>
      <c r="F40" s="19" t="n">
        <v>2107.09</v>
      </c>
      <c r="J40" s="17" t="inlineStr">
        <is>
          <t>SMCGLOBAL</t>
        </is>
      </c>
      <c r="K40" s="18" t="inlineStr">
        <is>
          <t>financials</t>
        </is>
      </c>
      <c r="L40" s="19" t="n">
        <v>285</v>
      </c>
      <c r="M40" s="19" t="n">
        <v>1947</v>
      </c>
      <c r="N40" s="16" t="n">
        <v>16</v>
      </c>
    </row>
    <row r="41">
      <c r="A41" s="17" t="inlineStr">
        <is>
          <t>MANINFRA</t>
        </is>
      </c>
      <c r="B41" s="18" t="inlineStr">
        <is>
          <t>Man Infraconstruction Limited</t>
        </is>
      </c>
      <c r="C41" s="18" t="inlineStr">
        <is>
          <t>realty</t>
        </is>
      </c>
      <c r="D41" s="16" t="n">
        <v>3</v>
      </c>
      <c r="E41" s="16" t="n">
        <v>0</v>
      </c>
      <c r="F41" s="19" t="n">
        <v>5162.89</v>
      </c>
      <c r="J41" s="17" t="inlineStr">
        <is>
          <t>FILATEX</t>
        </is>
      </c>
      <c r="K41" s="18" t="inlineStr">
        <is>
          <t>textiles</t>
        </is>
      </c>
      <c r="L41" s="19" t="n">
        <v>283</v>
      </c>
      <c r="M41" s="19" t="n">
        <v>4973.45</v>
      </c>
      <c r="N41" s="16" t="n">
        <v>18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95.87</v>
      </c>
      <c r="D47" s="28" t="n">
        <v>285</v>
      </c>
      <c r="E47" s="17" t="inlineStr">
        <is>
          <t>TBZ</t>
        </is>
      </c>
      <c r="F47" s="18" t="inlineStr">
        <is>
          <t>Tribhovandas Bhimji Zaveri Limited</t>
        </is>
      </c>
      <c r="G47" s="18" t="inlineStr">
        <is>
          <t>consumer discretionary</t>
        </is>
      </c>
      <c r="H47" s="19" t="n">
        <v>4176</v>
      </c>
    </row>
    <row r="48">
      <c r="A48" s="16" t="n">
        <v>2</v>
      </c>
      <c r="B48" s="27" t="n">
        <v>99</v>
      </c>
      <c r="C48" s="28" t="n">
        <v>86.64</v>
      </c>
      <c r="D48" s="28" t="n">
        <v>275</v>
      </c>
      <c r="E48" s="17" t="inlineStr">
        <is>
          <t>BODALCHEM</t>
        </is>
      </c>
      <c r="F48" s="18" t="inlineStr">
        <is>
          <t>Bodal Chemicals Limited</t>
        </is>
      </c>
      <c r="G48" s="18" t="inlineStr">
        <is>
          <t>chemicals</t>
        </is>
      </c>
      <c r="H48" s="19" t="n">
        <v>2418</v>
      </c>
    </row>
    <row r="49">
      <c r="A49" s="16" t="n">
        <v>3</v>
      </c>
      <c r="B49" s="27" t="n">
        <v>98</v>
      </c>
      <c r="C49" s="28" t="n">
        <v>86.33</v>
      </c>
      <c r="D49" s="28" t="n">
        <v>258</v>
      </c>
      <c r="E49" s="17" t="inlineStr">
        <is>
          <t>SIGMAADV</t>
        </is>
      </c>
      <c r="F49" s="18" t="inlineStr">
        <is>
          <t>Sigma Advanced System Ltd</t>
        </is>
      </c>
      <c r="G49" s="18" t="inlineStr">
        <is>
          <t>aerospace &amp; defence</t>
        </is>
      </c>
      <c r="H49" s="19" t="n">
        <v>18511.88</v>
      </c>
    </row>
    <row r="50">
      <c r="A50" s="16" t="n">
        <v>4</v>
      </c>
      <c r="B50" s="27" t="n">
        <v>98</v>
      </c>
      <c r="C50" s="28" t="n">
        <v>80.47</v>
      </c>
      <c r="D50" s="28" t="n">
        <v>273</v>
      </c>
      <c r="E50" s="17" t="inlineStr">
        <is>
          <t>KABRAEXTRU</t>
        </is>
      </c>
      <c r="F50" s="18" t="inlineStr">
        <is>
          <t>Kabra Extrusion Technik Limited</t>
        </is>
      </c>
      <c r="G50" s="18" t="inlineStr">
        <is>
          <t>industrials</t>
        </is>
      </c>
      <c r="H50" s="19" t="n">
        <v>2902.05</v>
      </c>
    </row>
    <row r="51">
      <c r="A51" s="16" t="n">
        <v>5</v>
      </c>
      <c r="B51" s="27" t="n">
        <v>97</v>
      </c>
      <c r="C51" s="28" t="n">
        <v>54.23</v>
      </c>
      <c r="D51" s="28" t="n">
        <v>277</v>
      </c>
      <c r="E51" s="17" t="inlineStr">
        <is>
          <t>AHCL</t>
        </is>
      </c>
      <c r="F51" s="18" t="inlineStr">
        <is>
          <t>Anlon Healthcare Ltd</t>
        </is>
      </c>
      <c r="G51" s="18" t="inlineStr">
        <is>
          <t>healthcare</t>
        </is>
      </c>
      <c r="H51" s="19" t="n">
        <v>1934.18</v>
      </c>
    </row>
    <row r="52">
      <c r="A52" s="16" t="n">
        <v>6</v>
      </c>
      <c r="B52" s="27" t="n">
        <v>97</v>
      </c>
      <c r="C52" s="28" t="n">
        <v>52.62</v>
      </c>
      <c r="D52" s="28" t="n">
        <v>277</v>
      </c>
      <c r="E52" s="17" t="inlineStr">
        <is>
          <t>INDSWFTLAB</t>
        </is>
      </c>
      <c r="F52" s="18" t="inlineStr">
        <is>
          <t>Ind-swift Laboratories Limited</t>
        </is>
      </c>
      <c r="G52" s="18" t="inlineStr">
        <is>
          <t>healthcare</t>
        </is>
      </c>
      <c r="H52" s="19" t="n">
        <v>3592.38</v>
      </c>
    </row>
    <row r="53">
      <c r="A53" s="16" t="n">
        <v>7</v>
      </c>
      <c r="B53" s="27" t="n">
        <v>96</v>
      </c>
      <c r="C53" s="28" t="n">
        <v>51.77</v>
      </c>
      <c r="D53" s="28" t="n">
        <v>277</v>
      </c>
      <c r="E53" s="17" t="inlineStr">
        <is>
          <t>MOREPENLAB</t>
        </is>
      </c>
      <c r="F53" s="18" t="inlineStr">
        <is>
          <t>Morepen Laboratories Limited</t>
        </is>
      </c>
      <c r="G53" s="18" t="inlineStr">
        <is>
          <t>healthcare</t>
        </is>
      </c>
      <c r="H53" s="19" t="n">
        <v>6509.69</v>
      </c>
    </row>
    <row r="54">
      <c r="A54" s="16" t="n">
        <v>8</v>
      </c>
      <c r="B54" s="27" t="n">
        <v>96</v>
      </c>
      <c r="C54" s="28" t="n">
        <v>50.63</v>
      </c>
      <c r="D54" s="28" t="n">
        <v>263</v>
      </c>
      <c r="E54" s="17" t="inlineStr">
        <is>
          <t>SPECTRUM</t>
        </is>
      </c>
      <c r="F54" s="18" t="inlineStr">
        <is>
          <t>Spectrum Electrical Industries Ltd</t>
        </is>
      </c>
      <c r="G54" s="18" t="inlineStr">
        <is>
          <t>industrials</t>
        </is>
      </c>
      <c r="H54" s="19" t="n">
        <v>6358.07</v>
      </c>
    </row>
    <row r="55">
      <c r="A55" s="16" t="n">
        <v>9</v>
      </c>
      <c r="B55" s="27" t="n">
        <v>95</v>
      </c>
      <c r="C55" s="28" t="n">
        <v>48.56</v>
      </c>
      <c r="D55" s="28" t="n">
        <v>270</v>
      </c>
      <c r="E55" s="17" t="inlineStr">
        <is>
          <t>BLISSGVS</t>
        </is>
      </c>
      <c r="F55" s="18" t="inlineStr">
        <is>
          <t>Bliss Gvs Pharma Limited</t>
        </is>
      </c>
      <c r="G55" s="18" t="inlineStr">
        <is>
          <t>healthcare</t>
        </is>
      </c>
      <c r="H55" s="19" t="n">
        <v>7539.54</v>
      </c>
    </row>
    <row r="56">
      <c r="A56" s="16" t="n">
        <v>10</v>
      </c>
      <c r="B56" s="27" t="n">
        <v>95</v>
      </c>
      <c r="C56" s="28" t="n">
        <v>47.67</v>
      </c>
      <c r="D56" s="28" t="n">
        <v>283</v>
      </c>
      <c r="E56" s="17" t="inlineStr">
        <is>
          <t>SWANDEF</t>
        </is>
      </c>
      <c r="F56" s="18" t="inlineStr">
        <is>
          <t>Swan Defence and Heavy Industries Ltd</t>
        </is>
      </c>
      <c r="G56" s="18" t="inlineStr">
        <is>
          <t>transportation</t>
        </is>
      </c>
      <c r="H56" s="19" t="n">
        <v>14247.36</v>
      </c>
    </row>
    <row r="57">
      <c r="A57" s="16" t="n">
        <v>11</v>
      </c>
      <c r="B57" s="29" t="n">
        <v>94</v>
      </c>
      <c r="C57" s="28" t="n">
        <v>45.63</v>
      </c>
      <c r="D57" s="28" t="n">
        <v>240</v>
      </c>
      <c r="E57" s="17" t="inlineStr">
        <is>
          <t>MODISONLTD</t>
        </is>
      </c>
      <c r="F57" s="18" t="inlineStr">
        <is>
          <t>Modison Ltd</t>
        </is>
      </c>
      <c r="G57" s="18" t="inlineStr">
        <is>
          <t>industrials</t>
        </is>
      </c>
      <c r="H57" s="19" t="n">
        <v>1452.95</v>
      </c>
    </row>
    <row r="58">
      <c r="A58" s="16" t="n">
        <v>12</v>
      </c>
      <c r="B58" s="29" t="n">
        <v>94</v>
      </c>
      <c r="C58" s="28" t="n">
        <v>45.38</v>
      </c>
      <c r="D58" s="28" t="n">
        <v>258</v>
      </c>
      <c r="E58" s="17" t="inlineStr">
        <is>
          <t>RAYMOND</t>
        </is>
      </c>
      <c r="F58" s="18" t="inlineStr">
        <is>
          <t>Raymond Limited</t>
        </is>
      </c>
      <c r="G58" s="18" t="inlineStr">
        <is>
          <t>transportation</t>
        </is>
      </c>
      <c r="H58" s="19" t="n">
        <v>7893.98</v>
      </c>
    </row>
    <row r="59">
      <c r="A59" s="16" t="n">
        <v>13</v>
      </c>
      <c r="B59" s="29" t="n">
        <v>93</v>
      </c>
      <c r="C59" s="28" t="n">
        <v>44.51</v>
      </c>
      <c r="D59" s="28" t="n">
        <v>287</v>
      </c>
      <c r="E59" s="17" t="inlineStr">
        <is>
          <t>VIKRAMTH</t>
        </is>
      </c>
      <c r="F59" s="18" t="inlineStr">
        <is>
          <t>Vikram Thermo (India) Limited</t>
        </is>
      </c>
      <c r="G59" s="18" t="inlineStr">
        <is>
          <t>Healthcare</t>
        </is>
      </c>
      <c r="H59" s="19" t="n">
        <v>1367.83</v>
      </c>
    </row>
    <row r="60">
      <c r="A60" s="16" t="n">
        <v>14</v>
      </c>
      <c r="B60" s="29" t="n">
        <v>93</v>
      </c>
      <c r="C60" s="28" t="n">
        <v>42.49</v>
      </c>
      <c r="D60" s="28" t="n">
        <v>262</v>
      </c>
      <c r="E60" s="17" t="inlineStr">
        <is>
          <t>SHUKRAPHAR</t>
        </is>
      </c>
      <c r="F60" s="18" t="inlineStr">
        <is>
          <t>Shukra Pharmaceuticals Limited</t>
        </is>
      </c>
      <c r="G60" s="18" t="inlineStr">
        <is>
          <t>Healthcare</t>
        </is>
      </c>
      <c r="H60" s="19" t="n">
        <v>2734.65</v>
      </c>
    </row>
    <row r="61">
      <c r="A61" s="16" t="n">
        <v>15</v>
      </c>
      <c r="B61" s="29" t="n">
        <v>92</v>
      </c>
      <c r="C61" s="28" t="n">
        <v>41.87</v>
      </c>
      <c r="D61" s="28" t="n">
        <v>282</v>
      </c>
      <c r="E61" s="17" t="inlineStr">
        <is>
          <t>KPL</t>
        </is>
      </c>
      <c r="F61" s="18" t="inlineStr">
        <is>
          <t>Kwality Pharmaceuticals Limited</t>
        </is>
      </c>
      <c r="G61" s="18" t="inlineStr">
        <is>
          <t>Healthcare</t>
        </is>
      </c>
      <c r="H61" s="19" t="n">
        <v>3772.99</v>
      </c>
    </row>
    <row r="62">
      <c r="A62" s="16" t="n">
        <v>16</v>
      </c>
      <c r="B62" s="29" t="n">
        <v>92</v>
      </c>
      <c r="C62" s="28" t="n">
        <v>41.33</v>
      </c>
      <c r="D62" s="28" t="n">
        <v>280</v>
      </c>
      <c r="E62" s="17" t="inlineStr">
        <is>
          <t>BHAGERIA</t>
        </is>
      </c>
      <c r="F62" s="18" t="inlineStr">
        <is>
          <t>Bhageria Industries Limited</t>
        </is>
      </c>
      <c r="G62" s="18" t="inlineStr">
        <is>
          <t>chemicals</t>
        </is>
      </c>
      <c r="H62" s="19" t="n">
        <v>1649.1</v>
      </c>
    </row>
    <row r="63">
      <c r="A63" s="16" t="n">
        <v>17</v>
      </c>
      <c r="B63" s="29" t="n">
        <v>91</v>
      </c>
      <c r="C63" s="28" t="n">
        <v>41.08</v>
      </c>
      <c r="D63" s="28" t="n">
        <v>272</v>
      </c>
      <c r="E63" s="17" t="inlineStr">
        <is>
          <t>SHILPAMED</t>
        </is>
      </c>
      <c r="F63" s="18" t="inlineStr">
        <is>
          <t>Shilpa Medicare Limited</t>
        </is>
      </c>
      <c r="G63" s="18" t="inlineStr">
        <is>
          <t>healthcare</t>
        </is>
      </c>
      <c r="H63" s="19" t="n">
        <v>20648.55</v>
      </c>
    </row>
    <row r="64">
      <c r="A64" s="16" t="n">
        <v>18</v>
      </c>
      <c r="B64" s="29" t="n">
        <v>91</v>
      </c>
      <c r="C64" s="28" t="n">
        <v>40.67</v>
      </c>
      <c r="D64" s="28" t="n">
        <v>273</v>
      </c>
      <c r="E64" s="17" t="inlineStr">
        <is>
          <t>CYIENTDLM</t>
        </is>
      </c>
      <c r="F64" s="18" t="inlineStr">
        <is>
          <t>Cyient DLM Ltd</t>
        </is>
      </c>
      <c r="G64" s="18" t="inlineStr">
        <is>
          <t>aerospace &amp; defence</t>
        </is>
      </c>
      <c r="H64" s="19" t="n">
        <v>7312.4</v>
      </c>
    </row>
    <row r="65">
      <c r="A65" s="16" t="n">
        <v>19</v>
      </c>
      <c r="B65" s="29" t="n">
        <v>91</v>
      </c>
      <c r="C65" s="28" t="n">
        <v>40.36</v>
      </c>
      <c r="D65" s="28" t="n">
        <v>283</v>
      </c>
      <c r="E65" s="17" t="inlineStr">
        <is>
          <t>FILATEX</t>
        </is>
      </c>
      <c r="F65" s="18" t="inlineStr">
        <is>
          <t>Filatex India Limited</t>
        </is>
      </c>
      <c r="G65" s="18" t="inlineStr">
        <is>
          <t>textiles</t>
        </is>
      </c>
      <c r="H65" s="19" t="n">
        <v>4973.45</v>
      </c>
    </row>
    <row r="66">
      <c r="A66" s="16" t="n">
        <v>20</v>
      </c>
      <c r="B66" s="29" t="n">
        <v>90</v>
      </c>
      <c r="C66" s="28" t="n">
        <v>40.14</v>
      </c>
      <c r="D66" s="28" t="n">
        <v>285</v>
      </c>
      <c r="E66" s="17" t="inlineStr">
        <is>
          <t>NRL</t>
        </is>
      </c>
      <c r="F66" s="18" t="inlineStr">
        <is>
          <t>Nupur Recyclers Ltd</t>
        </is>
      </c>
      <c r="G66" s="18" t="inlineStr">
        <is>
          <t>services</t>
        </is>
      </c>
      <c r="H66" s="19" t="n">
        <v>1105.1</v>
      </c>
    </row>
    <row r="67">
      <c r="A67" s="16" t="n">
        <v>21</v>
      </c>
      <c r="B67" s="29" t="n">
        <v>90</v>
      </c>
      <c r="C67" s="28" t="n">
        <v>40.1</v>
      </c>
      <c r="D67" s="28" t="n">
        <v>260</v>
      </c>
      <c r="E67" s="17" t="inlineStr">
        <is>
          <t>BAFNAPH</t>
        </is>
      </c>
      <c r="F67" s="18" t="inlineStr">
        <is>
          <t>Bafna Pharmaceuticals Ltd</t>
        </is>
      </c>
      <c r="G67" s="18" t="inlineStr">
        <is>
          <t>healthcare</t>
        </is>
      </c>
      <c r="H67" s="19" t="n">
        <v>861.45</v>
      </c>
    </row>
    <row r="68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ALICON</t>
        </is>
      </c>
      <c r="B2" s="31" t="inlineStr">
        <is>
          <t>Alicon Castalloy Limited</t>
        </is>
      </c>
      <c r="C2" s="31" t="inlineStr">
        <is>
          <t>castings, forgings &amp; fasteners</t>
        </is>
      </c>
      <c r="D2" s="31" t="inlineStr">
        <is>
          <t>castings &amp; forgings</t>
        </is>
      </c>
      <c r="E2" s="31" t="inlineStr">
        <is>
          <t>smallcap</t>
        </is>
      </c>
      <c r="F2" s="31" t="n">
        <v>1189.61</v>
      </c>
      <c r="G2" s="31" t="n">
        <v>869.8</v>
      </c>
      <c r="H2" s="31" t="n">
        <v>20</v>
      </c>
      <c r="I2" s="31" t="n">
        <v>953310</v>
      </c>
      <c r="J2" s="31" t="inlineStr">
        <is>
          <t>531147</t>
        </is>
      </c>
    </row>
    <row r="3">
      <c r="A3" s="31" t="inlineStr">
        <is>
          <t>VALIANTORG</t>
        </is>
      </c>
      <c r="B3" s="31" t="inlineStr">
        <is>
          <t>Valiant Organics Ltd</t>
        </is>
      </c>
      <c r="C3" s="31" t="inlineStr">
        <is>
          <t>chemicals</t>
        </is>
      </c>
      <c r="D3" s="31" t="inlineStr">
        <is>
          <t>chemicals</t>
        </is>
      </c>
      <c r="E3" s="31" t="inlineStr">
        <is>
          <t>smallcap</t>
        </is>
      </c>
      <c r="F3" s="31" t="n">
        <v>1134.28</v>
      </c>
      <c r="G3" s="31" t="n">
        <v>455.1</v>
      </c>
      <c r="H3" s="31" t="n">
        <v>12.48</v>
      </c>
      <c r="I3" s="31" t="n">
        <v>606539</v>
      </c>
      <c r="J3" s="31" t="inlineStr">
        <is>
          <t>540145</t>
        </is>
      </c>
    </row>
    <row r="4">
      <c r="A4" s="31" t="inlineStr">
        <is>
          <t>SUNTV</t>
        </is>
      </c>
      <c r="B4" s="31" t="inlineStr">
        <is>
          <t>Sun Tv Network Limited</t>
        </is>
      </c>
      <c r="C4" s="31" t="inlineStr">
        <is>
          <t>media</t>
        </is>
      </c>
      <c r="D4" s="31" t="inlineStr">
        <is>
          <t>entertainment / electronic media software</t>
        </is>
      </c>
      <c r="E4" s="31" t="inlineStr">
        <is>
          <t>largecap</t>
        </is>
      </c>
      <c r="F4" s="31" t="n">
        <v>21802.73</v>
      </c>
      <c r="G4" s="31" t="n">
        <v>605</v>
      </c>
      <c r="H4" s="31" t="n">
        <v>9.35</v>
      </c>
      <c r="I4" s="31" t="n">
        <v>34672457</v>
      </c>
      <c r="J4" s="31" t="inlineStr">
        <is>
          <t>532733</t>
        </is>
      </c>
    </row>
    <row r="5">
      <c r="A5" s="31" t="inlineStr">
        <is>
          <t>CUPID</t>
        </is>
      </c>
      <c r="B5" s="31" t="inlineStr">
        <is>
          <t>Cupid Limited</t>
        </is>
      </c>
      <c r="C5" s="31" t="inlineStr">
        <is>
          <t>fmcg</t>
        </is>
      </c>
      <c r="D5" s="31" t="inlineStr">
        <is>
          <t>personal care - indian</t>
        </is>
      </c>
      <c r="E5" s="31" t="inlineStr">
        <is>
          <t>largecap</t>
        </is>
      </c>
      <c r="F5" s="31" t="n">
        <v>38726.23</v>
      </c>
      <c r="G5" s="31" t="n">
        <v>311.65</v>
      </c>
      <c r="H5" s="31" t="n">
        <v>8.210000000000001</v>
      </c>
      <c r="I5" s="31" t="n">
        <v>66496228</v>
      </c>
      <c r="J5" s="31" t="inlineStr">
        <is>
          <t>530843</t>
        </is>
      </c>
    </row>
    <row r="6">
      <c r="A6" s="31" t="inlineStr">
        <is>
          <t>AXISCADES</t>
        </is>
      </c>
      <c r="B6" s="31" t="inlineStr">
        <is>
          <t>AXISCADES Technologies Ltd</t>
        </is>
      </c>
      <c r="C6" s="31" t="inlineStr">
        <is>
          <t>aerospace &amp; defence</t>
        </is>
      </c>
      <c r="D6" s="31" t="inlineStr">
        <is>
          <t>computers - software - medium / small</t>
        </is>
      </c>
      <c r="E6" s="31" t="inlineStr">
        <is>
          <t>midcap</t>
        </is>
      </c>
      <c r="F6" s="31" t="n">
        <v>8792.860000000001</v>
      </c>
      <c r="G6" s="31" t="n">
        <v>2231.2</v>
      </c>
      <c r="H6" s="31" t="n">
        <v>7.92</v>
      </c>
      <c r="I6" s="31" t="n">
        <v>1248290</v>
      </c>
      <c r="J6" s="31" t="inlineStr">
        <is>
          <t>532395</t>
        </is>
      </c>
    </row>
    <row r="7">
      <c r="A7" s="31" t="inlineStr">
        <is>
          <t>BHAGERIA</t>
        </is>
      </c>
      <c r="B7" s="31" t="inlineStr">
        <is>
          <t>Bhageria Industries Limited</t>
        </is>
      </c>
      <c r="C7" s="31" t="inlineStr">
        <is>
          <t>chemicals</t>
        </is>
      </c>
      <c r="D7" s="31" t="inlineStr">
        <is>
          <t>dyes and pigments</t>
        </is>
      </c>
      <c r="E7" s="31" t="inlineStr">
        <is>
          <t>smallcap</t>
        </is>
      </c>
      <c r="F7" s="31" t="n">
        <v>1649.1</v>
      </c>
      <c r="G7" s="31" t="n">
        <v>406.45</v>
      </c>
      <c r="H7" s="31" t="n">
        <v>7.57</v>
      </c>
      <c r="I7" s="31" t="n">
        <v>364825</v>
      </c>
      <c r="J7" s="31" t="inlineStr">
        <is>
          <t>530803</t>
        </is>
      </c>
    </row>
    <row r="8">
      <c r="A8" s="31" t="inlineStr">
        <is>
          <t>THELEELA</t>
        </is>
      </c>
      <c r="B8" s="31" t="inlineStr">
        <is>
          <t>Leela Palaces Hotels &amp; Resorts Ltd</t>
        </is>
      </c>
      <c r="C8" s="31" t="inlineStr">
        <is>
          <t>services</t>
        </is>
      </c>
      <c r="D8" s="31" t="inlineStr">
        <is>
          <t>hotels</t>
        </is>
      </c>
      <c r="E8" s="31" t="inlineStr">
        <is>
          <t>midcap</t>
        </is>
      </c>
      <c r="F8" s="31" t="n">
        <v>17819.99</v>
      </c>
      <c r="G8" s="31" t="n">
        <v>573.8</v>
      </c>
      <c r="H8" s="31" t="n">
        <v>7.53</v>
      </c>
      <c r="I8" s="31" t="n">
        <v>1251659</v>
      </c>
      <c r="J8" s="31" t="inlineStr">
        <is>
          <t>544408</t>
        </is>
      </c>
    </row>
    <row r="9">
      <c r="A9" s="31" t="inlineStr">
        <is>
          <t>DPABHUSHAN</t>
        </is>
      </c>
      <c r="B9" s="31" t="inlineStr">
        <is>
          <t>D.P. Abhushan Ltd</t>
        </is>
      </c>
      <c r="C9" s="31" t="inlineStr">
        <is>
          <t>consumer discretionary</t>
        </is>
      </c>
      <c r="D9" s="31" t="inlineStr">
        <is>
          <t>diamond cutting / jewellery</t>
        </is>
      </c>
      <c r="E9" s="31" t="inlineStr">
        <is>
          <t>smallcap</t>
        </is>
      </c>
      <c r="F9" s="31" t="n">
        <v>3802.67</v>
      </c>
      <c r="G9" s="31" t="n">
        <v>1788.8</v>
      </c>
      <c r="H9" s="31" t="n">
        <v>7.38</v>
      </c>
      <c r="I9" s="31" t="n">
        <v>869922</v>
      </c>
      <c r="J9" s="31" t="inlineStr">
        <is>
          <t>535026</t>
        </is>
      </c>
    </row>
    <row r="10">
      <c r="A10" s="31" t="inlineStr">
        <is>
          <t>LOKESHMACH</t>
        </is>
      </c>
      <c r="B10" s="31" t="inlineStr">
        <is>
          <t>Lokesh Machines Limited</t>
        </is>
      </c>
      <c r="C10" s="31" t="inlineStr">
        <is>
          <t>industrials</t>
        </is>
      </c>
      <c r="D10" s="31" t="inlineStr">
        <is>
          <t>engineering</t>
        </is>
      </c>
      <c r="E10" s="31" t="inlineStr">
        <is>
          <t>smallcap</t>
        </is>
      </c>
      <c r="F10" s="31" t="n">
        <v>744.47</v>
      </c>
      <c r="G10" s="31" t="n">
        <v>365.9</v>
      </c>
      <c r="H10" s="31" t="n">
        <v>7.13</v>
      </c>
      <c r="I10" s="31" t="n">
        <v>76813</v>
      </c>
      <c r="J10" s="31" t="inlineStr">
        <is>
          <t>532740</t>
        </is>
      </c>
    </row>
    <row r="11">
      <c r="A11" s="31" t="inlineStr">
        <is>
          <t>EMIL</t>
        </is>
      </c>
      <c r="B11" s="31" t="inlineStr">
        <is>
          <t>Electronics Mart India Ltd</t>
        </is>
      </c>
      <c r="C11" s="31" t="inlineStr">
        <is>
          <t>consumer discretionary</t>
        </is>
      </c>
      <c r="D11" s="31" t="inlineStr">
        <is>
          <t>trading</t>
        </is>
      </c>
      <c r="E11" s="31" t="inlineStr">
        <is>
          <t>midcap</t>
        </is>
      </c>
      <c r="F11" s="31" t="n">
        <v>7376.02</v>
      </c>
      <c r="G11" s="31" t="n">
        <v>205.36</v>
      </c>
      <c r="H11" s="31" t="n">
        <v>7.12</v>
      </c>
      <c r="I11" s="31" t="n">
        <v>14305072</v>
      </c>
      <c r="J11" s="31" t="inlineStr">
        <is>
          <t>543626</t>
        </is>
      </c>
    </row>
    <row r="12">
      <c r="A12" s="31" t="inlineStr">
        <is>
          <t>GREENPLY</t>
        </is>
      </c>
      <c r="B12" s="31" t="inlineStr">
        <is>
          <t>Greenply Industries Limited</t>
        </is>
      </c>
      <c r="C12" s="31" t="inlineStr">
        <is>
          <t>building materials</t>
        </is>
      </c>
      <c r="D12" s="31" t="inlineStr">
        <is>
          <t>miscellaneous</t>
        </is>
      </c>
      <c r="E12" s="31" t="inlineStr">
        <is>
          <t>smallcap</t>
        </is>
      </c>
      <c r="F12" s="31" t="n">
        <v>3500.38</v>
      </c>
      <c r="G12" s="31" t="n">
        <v>299.95</v>
      </c>
      <c r="H12" s="31" t="n">
        <v>7.03</v>
      </c>
      <c r="I12" s="31" t="n">
        <v>859868</v>
      </c>
      <c r="J12" s="31" t="inlineStr">
        <is>
          <t>526797</t>
        </is>
      </c>
    </row>
    <row r="13">
      <c r="A13" s="31" t="inlineStr">
        <is>
          <t>ARIS</t>
        </is>
      </c>
      <c r="B13" s="31" t="inlineStr">
        <is>
          <t>Arisinfra Solutions Ltd</t>
        </is>
      </c>
      <c r="C13" s="31" t="inlineStr">
        <is>
          <t>services</t>
        </is>
      </c>
      <c r="D13" s="31" t="inlineStr">
        <is>
          <t>trading</t>
        </is>
      </c>
      <c r="E13" s="31" t="inlineStr">
        <is>
          <t>smallcap</t>
        </is>
      </c>
      <c r="F13" s="31" t="n">
        <v>1104.22</v>
      </c>
      <c r="G13" s="31" t="n">
        <v>143.88</v>
      </c>
      <c r="H13" s="31" t="n">
        <v>6.58</v>
      </c>
      <c r="I13" s="31" t="n">
        <v>4654571</v>
      </c>
      <c r="J13" s="31" t="inlineStr">
        <is>
          <t>544419</t>
        </is>
      </c>
    </row>
    <row r="14">
      <c r="A14" s="31" t="inlineStr">
        <is>
          <t>SBC</t>
        </is>
      </c>
      <c r="B14" s="31" t="inlineStr">
        <is>
          <t>SBC Exports Ltd</t>
        </is>
      </c>
      <c r="C14" s="31" t="inlineStr">
        <is>
          <t>textiles</t>
        </is>
      </c>
      <c r="D14" s="31" t="inlineStr">
        <is>
          <t>textiles - products</t>
        </is>
      </c>
      <c r="E14" s="31" t="inlineStr">
        <is>
          <t>smallcap</t>
        </is>
      </c>
      <c r="F14" s="31" t="n">
        <v>2606.19</v>
      </c>
      <c r="G14" s="31" t="n">
        <v>58.29</v>
      </c>
      <c r="H14" s="31" t="n">
        <v>6.5</v>
      </c>
      <c r="I14" s="31" t="n">
        <v>35616365</v>
      </c>
      <c r="J14" s="31" t="inlineStr">
        <is>
          <t>542725</t>
        </is>
      </c>
    </row>
    <row r="15">
      <c r="A15" s="31" t="inlineStr">
        <is>
          <t>MMP</t>
        </is>
      </c>
      <c r="B15" s="31" t="inlineStr">
        <is>
          <t>MMP Industries Ltd</t>
        </is>
      </c>
      <c r="C15" s="31" t="inlineStr">
        <is>
          <t>metals &amp; mining</t>
        </is>
      </c>
      <c r="D15" s="31" t="inlineStr">
        <is>
          <t>aluminium and aluminium products</t>
        </is>
      </c>
      <c r="E15" s="31" t="inlineStr">
        <is>
          <t>smallcap</t>
        </is>
      </c>
      <c r="F15" s="31" t="n">
        <v>1136.89</v>
      </c>
      <c r="G15" s="31" t="n">
        <v>474.85</v>
      </c>
      <c r="H15" s="31" t="n">
        <v>6.1</v>
      </c>
      <c r="I15" s="31" t="n">
        <v>139843</v>
      </c>
      <c r="J15" s="31" t="inlineStr">
        <is>
          <t>535071</t>
        </is>
      </c>
    </row>
    <row r="16">
      <c r="A16" s="31" t="inlineStr">
        <is>
          <t>MOREPENLAB</t>
        </is>
      </c>
      <c r="B16" s="31" t="inlineStr">
        <is>
          <t>Morepen Laboratories Limited</t>
        </is>
      </c>
      <c r="C16" s="31" t="inlineStr">
        <is>
          <t>healthcare</t>
        </is>
      </c>
      <c r="D16" s="31" t="inlineStr">
        <is>
          <t>pharmaceuticals - indian - bulk drugs &amp; formln</t>
        </is>
      </c>
      <c r="E16" s="31" t="inlineStr">
        <is>
          <t>midcap</t>
        </is>
      </c>
      <c r="F16" s="31" t="n">
        <v>6509.69</v>
      </c>
      <c r="G16" s="31" t="n">
        <v>125.99</v>
      </c>
      <c r="H16" s="31" t="n">
        <v>6.05</v>
      </c>
      <c r="I16" s="31" t="n">
        <v>26169666</v>
      </c>
      <c r="J16" s="31" t="inlineStr">
        <is>
          <t>500288</t>
        </is>
      </c>
    </row>
    <row r="17">
      <c r="A17" s="31" t="inlineStr">
        <is>
          <t>MUNJALAU</t>
        </is>
      </c>
      <c r="B17" s="31" t="inlineStr">
        <is>
          <t>Munjal Auto Industries Limited</t>
        </is>
      </c>
      <c r="C17" s="31" t="inlineStr">
        <is>
          <t>auto</t>
        </is>
      </c>
      <c r="D17" s="31" t="inlineStr">
        <is>
          <t>auto ancillaries</t>
        </is>
      </c>
      <c r="E17" s="31" t="inlineStr">
        <is>
          <t>smallcap</t>
        </is>
      </c>
      <c r="F17" s="31" t="n">
        <v>1064.8</v>
      </c>
      <c r="G17" s="31" t="n">
        <v>112.86</v>
      </c>
      <c r="H17" s="31" t="n">
        <v>5.99</v>
      </c>
      <c r="I17" s="31" t="n">
        <v>9221059</v>
      </c>
      <c r="J17" s="31" t="inlineStr">
        <is>
          <t>520059</t>
        </is>
      </c>
    </row>
    <row r="18">
      <c r="A18" s="31" t="inlineStr">
        <is>
          <t>ICIL</t>
        </is>
      </c>
      <c r="B18" s="31" t="inlineStr">
        <is>
          <t>Indo Count Industries Limited</t>
        </is>
      </c>
      <c r="C18" s="31" t="inlineStr">
        <is>
          <t>textiles</t>
        </is>
      </c>
      <c r="D18" s="31" t="inlineStr">
        <is>
          <t>textiles - cotton/blended</t>
        </is>
      </c>
      <c r="E18" s="31" t="inlineStr">
        <is>
          <t>midcap</t>
        </is>
      </c>
      <c r="F18" s="31" t="n">
        <v>8614.370000000001</v>
      </c>
      <c r="G18" s="31" t="n">
        <v>460.4</v>
      </c>
      <c r="H18" s="31" t="n">
        <v>5.85</v>
      </c>
      <c r="I18" s="31" t="n">
        <v>1020870</v>
      </c>
      <c r="J18" s="31" t="inlineStr">
        <is>
          <t>521016</t>
        </is>
      </c>
    </row>
    <row r="19">
      <c r="A19" s="31" t="inlineStr">
        <is>
          <t>AURUM</t>
        </is>
      </c>
      <c r="B19" s="31" t="inlineStr">
        <is>
          <t>Aurum Proptech Ltd</t>
        </is>
      </c>
      <c r="C19" s="31" t="inlineStr">
        <is>
          <t>i.t</t>
        </is>
      </c>
      <c r="D19" s="31" t="inlineStr">
        <is>
          <t>computers - software - medium / small</t>
        </is>
      </c>
      <c r="E19" s="31" t="inlineStr">
        <is>
          <t>smallcap</t>
        </is>
      </c>
      <c r="F19" s="31" t="n">
        <v>1690.58</v>
      </c>
      <c r="G19" s="31" t="n">
        <v>232.37</v>
      </c>
      <c r="H19" s="31" t="n">
        <v>5.47</v>
      </c>
      <c r="I19" s="31" t="n">
        <v>461824</v>
      </c>
      <c r="J19" s="31" t="inlineStr">
        <is>
          <t>539289</t>
        </is>
      </c>
    </row>
    <row r="20">
      <c r="A20" s="31" t="inlineStr">
        <is>
          <t>SYRMA</t>
        </is>
      </c>
      <c r="B20" s="31" t="inlineStr">
        <is>
          <t>Syrma SGS Technology Ltd</t>
        </is>
      </c>
      <c r="C20" s="31" t="inlineStr">
        <is>
          <t>consumer discretionary</t>
        </is>
      </c>
      <c r="D20" s="31" t="inlineStr">
        <is>
          <t>electronics - components</t>
        </is>
      </c>
      <c r="E20" s="31" t="inlineStr">
        <is>
          <t>largecap</t>
        </is>
      </c>
      <c r="F20" s="31" t="n">
        <v>32638.49</v>
      </c>
      <c r="G20" s="31" t="n">
        <v>1782.9</v>
      </c>
      <c r="H20" s="31" t="n">
        <v>5.34</v>
      </c>
      <c r="I20" s="31" t="n">
        <v>3788979</v>
      </c>
      <c r="J20" s="31" t="inlineStr">
        <is>
          <t>543573</t>
        </is>
      </c>
    </row>
    <row r="21">
      <c r="A21" s="31" t="inlineStr">
        <is>
          <t>RPEL</t>
        </is>
      </c>
      <c r="B21" s="31" t="inlineStr">
        <is>
          <t>Raghav Productivity Enhancers Ltd</t>
        </is>
      </c>
      <c r="C21" s="31" t="inlineStr">
        <is>
          <t>building materials</t>
        </is>
      </c>
      <c r="D21" s="31" t="inlineStr">
        <is>
          <t>refractories / intermediates</t>
        </is>
      </c>
      <c r="E21" s="31" t="inlineStr">
        <is>
          <t>midcap</t>
        </is>
      </c>
      <c r="F21" s="31" t="n">
        <v>7889.85</v>
      </c>
      <c r="G21" s="31" t="n">
        <v>1809</v>
      </c>
      <c r="H21" s="31" t="n">
        <v>5.29</v>
      </c>
      <c r="I21" s="31" t="n">
        <v>153483</v>
      </c>
      <c r="J21" s="31" t="inlineStr">
        <is>
          <t>539837</t>
        </is>
      </c>
    </row>
    <row r="22">
      <c r="A22" s="31" t="inlineStr">
        <is>
          <t>LIKHITHA</t>
        </is>
      </c>
      <c r="B22" s="31" t="inlineStr">
        <is>
          <t>Likhitha Infrastructure Ltd</t>
        </is>
      </c>
      <c r="C22" s="31" t="inlineStr">
        <is>
          <t>realty</t>
        </is>
      </c>
      <c r="D22" s="31" t="inlineStr">
        <is>
          <t>construction</t>
        </is>
      </c>
      <c r="E22" s="31" t="inlineStr">
        <is>
          <t>smallcap</t>
        </is>
      </c>
      <c r="F22" s="31" t="n">
        <v>879.14</v>
      </c>
      <c r="G22" s="31" t="n">
        <v>234.29</v>
      </c>
      <c r="H22" s="31" t="n">
        <v>5.13</v>
      </c>
      <c r="I22" s="31" t="n">
        <v>271910</v>
      </c>
      <c r="J22" s="31" t="inlineStr">
        <is>
          <t>543240</t>
        </is>
      </c>
    </row>
    <row r="23">
      <c r="A23" s="31" t="inlineStr">
        <is>
          <t>OCCLLTD</t>
        </is>
      </c>
      <c r="B23" s="31" t="inlineStr">
        <is>
          <t>OCCL Ltd</t>
        </is>
      </c>
      <c r="C23" s="31" t="inlineStr">
        <is>
          <t>chemicals</t>
        </is>
      </c>
      <c r="D23" s="31" t="inlineStr">
        <is>
          <t>chemicals</t>
        </is>
      </c>
      <c r="E23" s="31" t="inlineStr">
        <is>
          <t>smallcap</t>
        </is>
      </c>
      <c r="F23" s="31" t="n">
        <v>891.72</v>
      </c>
      <c r="G23" s="31" t="n">
        <v>187.44</v>
      </c>
      <c r="H23" s="31" t="n">
        <v>5</v>
      </c>
      <c r="I23" s="31" t="n">
        <v>146245</v>
      </c>
      <c r="J23" s="31" t="inlineStr">
        <is>
          <t>544278</t>
        </is>
      </c>
    </row>
    <row r="24">
      <c r="A24" s="31" t="inlineStr">
        <is>
          <t>VENUSREM</t>
        </is>
      </c>
      <c r="B24" s="31" t="inlineStr">
        <is>
          <t>Venus Remedies Limited</t>
        </is>
      </c>
      <c r="C24" s="31" t="inlineStr">
        <is>
          <t>healthcare</t>
        </is>
      </c>
      <c r="D24" s="31" t="inlineStr">
        <is>
          <t>pharmaceuticals - indian - formulations</t>
        </is>
      </c>
      <c r="E24" s="31" t="inlineStr">
        <is>
          <t>smallcap</t>
        </is>
      </c>
      <c r="F24" s="31" t="n">
        <v>2286.56</v>
      </c>
      <c r="G24" s="31" t="n">
        <v>1796.1</v>
      </c>
      <c r="H24" s="31" t="n">
        <v>5</v>
      </c>
      <c r="I24" s="31" t="n">
        <v>28419</v>
      </c>
      <c r="J24" s="31" t="inlineStr">
        <is>
          <t>526953</t>
        </is>
      </c>
    </row>
    <row r="25">
      <c r="A25" s="31" t="inlineStr">
        <is>
          <t>STLTECH</t>
        </is>
      </c>
      <c r="B25" s="31" t="inlineStr">
        <is>
          <t>Sterlite Technologies Limited</t>
        </is>
      </c>
      <c r="C25" s="31" t="inlineStr">
        <is>
          <t>industrials</t>
        </is>
      </c>
      <c r="D25" s="31" t="inlineStr">
        <is>
          <t>cables - telephone</t>
        </is>
      </c>
      <c r="E25" s="31" t="inlineStr">
        <is>
          <t>largecap</t>
        </is>
      </c>
      <c r="F25" s="31" t="n">
        <v>44534.24</v>
      </c>
      <c r="G25" s="31" t="n">
        <v>909.9</v>
      </c>
      <c r="H25" s="31" t="n">
        <v>5</v>
      </c>
      <c r="I25" s="31" t="n">
        <v>1691349</v>
      </c>
      <c r="J25" s="31" t="inlineStr">
        <is>
          <t>532374</t>
        </is>
      </c>
    </row>
    <row r="26">
      <c r="A26" s="31" t="inlineStr">
        <is>
          <t>SIGMAADV</t>
        </is>
      </c>
      <c r="B26" s="31" t="inlineStr">
        <is>
          <t>Sigma Advanced System Ltd</t>
        </is>
      </c>
      <c r="C26" s="31" t="inlineStr">
        <is>
          <t>aerospace &amp; defence</t>
        </is>
      </c>
      <c r="D26" s="31" t="inlineStr">
        <is>
          <t>electronics - components</t>
        </is>
      </c>
      <c r="E26" s="31" t="inlineStr">
        <is>
          <t>midcap</t>
        </is>
      </c>
      <c r="F26" s="31" t="n">
        <v>18511.88</v>
      </c>
      <c r="G26" s="31" t="n">
        <v>1025.7</v>
      </c>
      <c r="H26" s="31" t="n">
        <v>5</v>
      </c>
      <c r="I26" s="31" t="n">
        <v>370551</v>
      </c>
      <c r="J26" s="31" t="inlineStr">
        <is>
          <t>532408</t>
        </is>
      </c>
    </row>
    <row r="27">
      <c r="A27" s="31" t="inlineStr">
        <is>
          <t>MTARTECH</t>
        </is>
      </c>
      <c r="B27" s="31" t="inlineStr">
        <is>
          <t>MTAR Technologies Ltd</t>
        </is>
      </c>
      <c r="C27" s="31" t="inlineStr">
        <is>
          <t>aerospace &amp; defence</t>
        </is>
      </c>
      <c r="D27" s="31" t="inlineStr">
        <is>
          <t>engineering</t>
        </is>
      </c>
      <c r="E27" s="31" t="inlineStr">
        <is>
          <t>largecap</t>
        </is>
      </c>
      <c r="F27" s="31" t="n">
        <v>22842.07</v>
      </c>
      <c r="G27" s="31" t="n">
        <v>7797</v>
      </c>
      <c r="H27" s="31" t="n">
        <v>5</v>
      </c>
      <c r="I27" s="31" t="n">
        <v>190323</v>
      </c>
      <c r="J27" s="31" t="inlineStr">
        <is>
          <t>543270</t>
        </is>
      </c>
    </row>
    <row r="28">
      <c r="A28" s="31" t="inlineStr">
        <is>
          <t>MAZDA</t>
        </is>
      </c>
      <c r="B28" s="31" t="inlineStr">
        <is>
          <t>Mazda Limited</t>
        </is>
      </c>
      <c r="C28" s="31" t="inlineStr">
        <is>
          <t>industrials</t>
        </is>
      </c>
      <c r="D28" s="31" t="inlineStr">
        <is>
          <t>engineering</t>
        </is>
      </c>
      <c r="E28" s="31" t="inlineStr">
        <is>
          <t>smallcap</t>
        </is>
      </c>
      <c r="F28" s="31" t="n">
        <v>578.52</v>
      </c>
      <c r="G28" s="31" t="n">
        <v>303.3</v>
      </c>
      <c r="H28" s="31" t="n">
        <v>4.98</v>
      </c>
      <c r="I28" s="31" t="n">
        <v>42578</v>
      </c>
      <c r="J28" s="31" t="inlineStr">
        <is>
          <t>523792</t>
        </is>
      </c>
    </row>
    <row r="29">
      <c r="A29" s="31" t="inlineStr">
        <is>
          <t>LOTUSDEV</t>
        </is>
      </c>
      <c r="B29" s="31" t="inlineStr">
        <is>
          <t>Sri Lotus Developers &amp; Realty Ltd</t>
        </is>
      </c>
      <c r="C29" s="31" t="inlineStr">
        <is>
          <t>realty</t>
        </is>
      </c>
      <c r="D29" s="31" t="inlineStr">
        <is>
          <t>construction</t>
        </is>
      </c>
      <c r="E29" s="31" t="inlineStr">
        <is>
          <t>midcap</t>
        </is>
      </c>
      <c r="F29" s="31" t="n">
        <v>10466.02</v>
      </c>
      <c r="G29" s="31" t="n">
        <v>224.53</v>
      </c>
      <c r="H29" s="31" t="n">
        <v>4.85</v>
      </c>
      <c r="I29" s="31" t="n">
        <v>1330015</v>
      </c>
      <c r="J29" s="31" t="inlineStr">
        <is>
          <t>544469</t>
        </is>
      </c>
    </row>
    <row r="30">
      <c r="A30" s="31" t="inlineStr">
        <is>
          <t>HEG</t>
        </is>
      </c>
      <c r="B30" s="31" t="inlineStr">
        <is>
          <t>Heg Limited</t>
        </is>
      </c>
      <c r="C30" s="31" t="inlineStr">
        <is>
          <t>industrials</t>
        </is>
      </c>
      <c r="D30" s="31" t="inlineStr">
        <is>
          <t>electrodes - graphites</t>
        </is>
      </c>
      <c r="E30" s="31" t="inlineStr">
        <is>
          <t>midcap</t>
        </is>
      </c>
      <c r="F30" s="31" t="n">
        <v>8195.5</v>
      </c>
      <c r="G30" s="31" t="n">
        <v>248.5</v>
      </c>
      <c r="H30" s="31" t="n">
        <v>4.83</v>
      </c>
      <c r="I30" s="31" t="n">
        <v>14504912</v>
      </c>
      <c r="J30" s="31" t="inlineStr">
        <is>
          <t>509631</t>
        </is>
      </c>
    </row>
    <row r="31">
      <c r="A31" s="31" t="inlineStr">
        <is>
          <t>TEXRAIL</t>
        </is>
      </c>
      <c r="B31" s="31" t="inlineStr">
        <is>
          <t>Texmaco Rail &amp; Engineering Limited</t>
        </is>
      </c>
      <c r="C31" s="31" t="inlineStr">
        <is>
          <t>industrials</t>
        </is>
      </c>
      <c r="D31" s="31" t="inlineStr">
        <is>
          <t>engineering</t>
        </is>
      </c>
      <c r="E31" s="31" t="inlineStr">
        <is>
          <t>midcap</t>
        </is>
      </c>
      <c r="F31" s="31" t="n">
        <v>5113.07</v>
      </c>
      <c r="G31" s="31" t="n">
        <v>131.73</v>
      </c>
      <c r="H31" s="31" t="n">
        <v>4.82</v>
      </c>
      <c r="I31" s="31" t="n">
        <v>16021545</v>
      </c>
      <c r="J31" s="31" t="inlineStr">
        <is>
          <t>533326</t>
        </is>
      </c>
    </row>
    <row r="32">
      <c r="A32" s="31" t="inlineStr">
        <is>
          <t>RBZJEWEL</t>
        </is>
      </c>
      <c r="B32" s="31" t="inlineStr">
        <is>
          <t>RBZ Jewellers Ltd</t>
        </is>
      </c>
      <c r="C32" s="31" t="inlineStr">
        <is>
          <t>consumer discretionary</t>
        </is>
      </c>
      <c r="D32" s="31" t="inlineStr">
        <is>
          <t>diamond cutting / jewellery</t>
        </is>
      </c>
      <c r="E32" s="31" t="inlineStr">
        <is>
          <t>smallcap</t>
        </is>
      </c>
      <c r="F32" s="31" t="n">
        <v>791.12</v>
      </c>
      <c r="G32" s="31" t="n">
        <v>207.23</v>
      </c>
      <c r="H32" s="31" t="n">
        <v>4.78</v>
      </c>
      <c r="I32" s="31" t="n">
        <v>238976</v>
      </c>
      <c r="J32" s="31" t="inlineStr">
        <is>
          <t>544060</t>
        </is>
      </c>
    </row>
    <row r="33">
      <c r="A33" s="31" t="inlineStr">
        <is>
          <t>WSTCSTPAPR</t>
        </is>
      </c>
      <c r="B33" s="31" t="inlineStr">
        <is>
          <t>West Coast Paper Mills Limited</t>
        </is>
      </c>
      <c r="C33" s="31" t="inlineStr">
        <is>
          <t>building materials</t>
        </is>
      </c>
      <c r="D33" s="31" t="inlineStr">
        <is>
          <t>paper</t>
        </is>
      </c>
      <c r="E33" s="31" t="inlineStr">
        <is>
          <t>smallcap</t>
        </is>
      </c>
      <c r="F33" s="31" t="n">
        <v>4646.21</v>
      </c>
      <c r="G33" s="31" t="n">
        <v>736.6</v>
      </c>
      <c r="H33" s="31" t="n">
        <v>4.71</v>
      </c>
      <c r="I33" s="31" t="n">
        <v>270128</v>
      </c>
      <c r="J33" s="31" t="inlineStr">
        <is>
          <t>500444</t>
        </is>
      </c>
    </row>
    <row r="34">
      <c r="A34" s="31" t="inlineStr">
        <is>
          <t>MIDHANI</t>
        </is>
      </c>
      <c r="B34" s="31" t="inlineStr">
        <is>
          <t>Mishra Dhatu Nigam Ltd</t>
        </is>
      </c>
      <c r="C34" s="31" t="inlineStr">
        <is>
          <t>aerospace &amp; defence</t>
        </is>
      </c>
      <c r="D34" s="31" t="inlineStr">
        <is>
          <t>steel - medium / small</t>
        </is>
      </c>
      <c r="E34" s="31" t="inlineStr">
        <is>
          <t>midcap</t>
        </is>
      </c>
      <c r="F34" s="31" t="n">
        <v>7851.42</v>
      </c>
      <c r="G34" s="31" t="n">
        <v>437.65</v>
      </c>
      <c r="H34" s="31" t="n">
        <v>4.43</v>
      </c>
      <c r="I34" s="31" t="n">
        <v>1995574</v>
      </c>
      <c r="J34" s="31" t="inlineStr">
        <is>
          <t>541195</t>
        </is>
      </c>
    </row>
    <row r="35">
      <c r="A35" s="31" t="inlineStr">
        <is>
          <t>MUKANDLTD</t>
        </is>
      </c>
      <c r="B35" s="31" t="inlineStr">
        <is>
          <t>Mukand Limited</t>
        </is>
      </c>
      <c r="C35" s="31" t="inlineStr">
        <is>
          <t>metals &amp; mining</t>
        </is>
      </c>
      <c r="D35" s="31" t="inlineStr">
        <is>
          <t>steel - medium / small</t>
        </is>
      </c>
      <c r="E35" s="31" t="inlineStr">
        <is>
          <t>smallcap</t>
        </is>
      </c>
      <c r="F35" s="31" t="n">
        <v>2492.4</v>
      </c>
      <c r="G35" s="31" t="n">
        <v>180.13</v>
      </c>
      <c r="H35" s="31" t="n">
        <v>4.43</v>
      </c>
      <c r="I35" s="31" t="n">
        <v>1438322</v>
      </c>
      <c r="J35" s="31" t="inlineStr">
        <is>
          <t>500460</t>
        </is>
      </c>
    </row>
    <row r="36">
      <c r="A36" s="31" t="inlineStr">
        <is>
          <t>CARBORUNIV</t>
        </is>
      </c>
      <c r="B36" s="31" t="inlineStr">
        <is>
          <t>Carborundum Universal Limited</t>
        </is>
      </c>
      <c r="C36" s="31" t="inlineStr">
        <is>
          <t>industrials</t>
        </is>
      </c>
      <c r="D36" s="31" t="inlineStr">
        <is>
          <t>abrasives and grinding wheels</t>
        </is>
      </c>
      <c r="E36" s="31" t="inlineStr">
        <is>
          <t>largecap</t>
        </is>
      </c>
      <c r="F36" s="31" t="n">
        <v>22868.74</v>
      </c>
      <c r="G36" s="31" t="n">
        <v>1252.5</v>
      </c>
      <c r="H36" s="31" t="n">
        <v>4.33</v>
      </c>
      <c r="I36" s="31" t="n">
        <v>475133</v>
      </c>
      <c r="J36" s="31" t="inlineStr">
        <is>
          <t>513375</t>
        </is>
      </c>
    </row>
    <row r="37">
      <c r="A37" s="31" t="inlineStr">
        <is>
          <t>CYIENT</t>
        </is>
      </c>
      <c r="B37" s="31" t="inlineStr">
        <is>
          <t>Cyient Limited</t>
        </is>
      </c>
      <c r="C37" s="31" t="inlineStr">
        <is>
          <t>i.t</t>
        </is>
      </c>
      <c r="D37" s="31" t="inlineStr">
        <is>
          <t>computers - software - medium / small</t>
        </is>
      </c>
      <c r="E37" s="31" t="inlineStr">
        <is>
          <t>midcap</t>
        </is>
      </c>
      <c r="F37" s="31" t="n">
        <v>11053.4</v>
      </c>
      <c r="G37" s="31" t="n">
        <v>1100.7</v>
      </c>
      <c r="H37" s="31" t="n">
        <v>4.3</v>
      </c>
      <c r="I37" s="31" t="n">
        <v>2323228</v>
      </c>
      <c r="J37" s="31" t="inlineStr">
        <is>
          <t>532175</t>
        </is>
      </c>
    </row>
    <row r="38">
      <c r="A38" s="31" t="inlineStr">
        <is>
          <t>DYNAMATECH</t>
        </is>
      </c>
      <c r="B38" s="31" t="inlineStr">
        <is>
          <t>Dynamatic Technologies Limited</t>
        </is>
      </c>
      <c r="C38" s="31" t="inlineStr">
        <is>
          <t>aerospace &amp; defence</t>
        </is>
      </c>
      <c r="D38" s="31" t="inlineStr">
        <is>
          <t>engineering</t>
        </is>
      </c>
      <c r="E38" s="31" t="inlineStr">
        <is>
          <t>midcap</t>
        </is>
      </c>
      <c r="F38" s="31" t="n">
        <v>8873.02</v>
      </c>
      <c r="G38" s="31" t="n">
        <v>13611</v>
      </c>
      <c r="H38" s="31" t="n">
        <v>4.18</v>
      </c>
      <c r="I38" s="31" t="n">
        <v>49032</v>
      </c>
      <c r="J38" s="31" t="inlineStr">
        <is>
          <t>505242</t>
        </is>
      </c>
    </row>
    <row r="39">
      <c r="A39" s="31" t="inlineStr">
        <is>
          <t>SANSERA</t>
        </is>
      </c>
      <c r="B39" s="31" t="inlineStr">
        <is>
          <t>Sansera Engineering Ltd</t>
        </is>
      </c>
      <c r="C39" s="31" t="inlineStr">
        <is>
          <t>auto</t>
        </is>
      </c>
      <c r="D39" s="31" t="inlineStr">
        <is>
          <t>auto ancillaries</t>
        </is>
      </c>
      <c r="E39" s="31" t="inlineStr">
        <is>
          <t>largecap</t>
        </is>
      </c>
      <c r="F39" s="31" t="n">
        <v>27221.68</v>
      </c>
      <c r="G39" s="31" t="n">
        <v>4537.5</v>
      </c>
      <c r="H39" s="31" t="n">
        <v>4.02</v>
      </c>
      <c r="I39" s="31" t="n">
        <v>247139</v>
      </c>
      <c r="J39" s="31" t="inlineStr">
        <is>
          <t>543358</t>
        </is>
      </c>
    </row>
    <row r="40">
      <c r="A40" s="31" t="inlineStr">
        <is>
          <t>SHRINGARMS</t>
        </is>
      </c>
      <c r="B40" s="31" t="inlineStr">
        <is>
          <t>Shringar House of Mangalsutra Ltd</t>
        </is>
      </c>
      <c r="C40" s="31" t="inlineStr">
        <is>
          <t>consumer discretionary</t>
        </is>
      </c>
      <c r="D40" s="31" t="inlineStr">
        <is>
          <t>diamond cutting / jewellery</t>
        </is>
      </c>
      <c r="E40" s="31" t="inlineStr">
        <is>
          <t>smallcap</t>
        </is>
      </c>
      <c r="F40" s="31" t="n">
        <v>2082.07</v>
      </c>
      <c r="G40" s="31" t="n">
        <v>224.6</v>
      </c>
      <c r="H40" s="31" t="n">
        <v>4.02</v>
      </c>
      <c r="I40" s="31" t="n">
        <v>2130481</v>
      </c>
      <c r="J40" s="31" t="inlineStr">
        <is>
          <t>544512</t>
        </is>
      </c>
    </row>
    <row r="41">
      <c r="A41" s="31" t="inlineStr">
        <is>
          <t>NINSYS</t>
        </is>
      </c>
      <c r="B41" s="31" t="inlineStr">
        <is>
          <t>NINtec Systems Ltd</t>
        </is>
      </c>
      <c r="C41" s="31" t="inlineStr">
        <is>
          <t>i.t</t>
        </is>
      </c>
      <c r="D41" s="31" t="inlineStr">
        <is>
          <t>computers - software - medium / small</t>
        </is>
      </c>
      <c r="E41" s="31" t="inlineStr">
        <is>
          <t>smallcap</t>
        </is>
      </c>
      <c r="F41" s="31" t="n">
        <v>1369.33</v>
      </c>
      <c r="G41" s="31" t="n">
        <v>766.35</v>
      </c>
      <c r="H41" s="31" t="n">
        <v>3.96</v>
      </c>
      <c r="I41" s="31" t="n">
        <v>15354</v>
      </c>
      <c r="J41" s="31" t="inlineStr">
        <is>
          <t>539843</t>
        </is>
      </c>
    </row>
    <row r="42">
      <c r="A42" s="31" t="inlineStr">
        <is>
          <t>POWERMECH</t>
        </is>
      </c>
      <c r="B42" s="31" t="inlineStr">
        <is>
          <t>Power Mech Projects Limited</t>
        </is>
      </c>
      <c r="C42" s="31" t="inlineStr">
        <is>
          <t>realty</t>
        </is>
      </c>
      <c r="D42" s="31" t="inlineStr">
        <is>
          <t>engineering - turnkey services</t>
        </is>
      </c>
      <c r="E42" s="31" t="inlineStr">
        <is>
          <t>midcap</t>
        </is>
      </c>
      <c r="F42" s="31" t="n">
        <v>7579.06</v>
      </c>
      <c r="G42" s="31" t="n">
        <v>2490.5</v>
      </c>
      <c r="H42" s="31" t="n">
        <v>3.89</v>
      </c>
      <c r="I42" s="31" t="n">
        <v>293610</v>
      </c>
      <c r="J42" s="31" t="inlineStr">
        <is>
          <t>539302</t>
        </is>
      </c>
    </row>
    <row r="43">
      <c r="A43" s="31" t="inlineStr">
        <is>
          <t>GPPL</t>
        </is>
      </c>
      <c r="B43" s="31" t="inlineStr">
        <is>
          <t>Gujarat Pipavav Port Limited</t>
        </is>
      </c>
      <c r="C43" s="31" t="inlineStr">
        <is>
          <t>transportation</t>
        </is>
      </c>
      <c r="D43" s="31" t="inlineStr">
        <is>
          <t>miscellaneous</t>
        </is>
      </c>
      <c r="E43" s="31" t="inlineStr">
        <is>
          <t>midcap</t>
        </is>
      </c>
      <c r="F43" s="31" t="n">
        <v>7761.14</v>
      </c>
      <c r="G43" s="31" t="n">
        <v>166.75</v>
      </c>
      <c r="H43" s="31" t="n">
        <v>3.87</v>
      </c>
      <c r="I43" s="31" t="n">
        <v>1900735</v>
      </c>
      <c r="J43" s="31" t="inlineStr">
        <is>
          <t>533248</t>
        </is>
      </c>
    </row>
    <row r="44">
      <c r="A44" s="31" t="inlineStr">
        <is>
          <t>KSB</t>
        </is>
      </c>
      <c r="B44" s="31" t="inlineStr">
        <is>
          <t>KSB Ltd</t>
        </is>
      </c>
      <c r="C44" s="31" t="inlineStr">
        <is>
          <t>industrials</t>
        </is>
      </c>
      <c r="D44" s="31" t="inlineStr">
        <is>
          <t>pumps</t>
        </is>
      </c>
      <c r="E44" s="31" t="inlineStr">
        <is>
          <t>midcap</t>
        </is>
      </c>
      <c r="F44" s="31" t="n">
        <v>14354.75</v>
      </c>
      <c r="G44" s="31" t="n">
        <v>856.1</v>
      </c>
      <c r="H44" s="31" t="n">
        <v>3.79</v>
      </c>
      <c r="I44" s="31" t="n">
        <v>5216083</v>
      </c>
      <c r="J44" s="31" t="inlineStr">
        <is>
          <t>500249</t>
        </is>
      </c>
    </row>
    <row r="45">
      <c r="A45" s="31" t="inlineStr">
        <is>
          <t>EDELWEISS</t>
        </is>
      </c>
      <c r="B45" s="31" t="inlineStr">
        <is>
          <t>Edelweiss Financial Services Limited</t>
        </is>
      </c>
      <c r="C45" s="31" t="inlineStr">
        <is>
          <t>financials</t>
        </is>
      </c>
      <c r="D45" s="31" t="inlineStr">
        <is>
          <t>finance &amp; investments</t>
        </is>
      </c>
      <c r="E45" s="31" t="inlineStr">
        <is>
          <t>midcap</t>
        </is>
      </c>
      <c r="F45" s="31" t="n">
        <v>13040.37</v>
      </c>
      <c r="G45" s="31" t="n">
        <v>142.73</v>
      </c>
      <c r="H45" s="31" t="n">
        <v>3.6</v>
      </c>
      <c r="I45" s="31" t="n">
        <v>10840581</v>
      </c>
      <c r="J45" s="31" t="inlineStr">
        <is>
          <t>532922</t>
        </is>
      </c>
    </row>
    <row r="46">
      <c r="A46" s="31" t="inlineStr">
        <is>
          <t>GALAPREC</t>
        </is>
      </c>
      <c r="B46" s="31" t="inlineStr">
        <is>
          <t>Gala Precision Engineering Ltd</t>
        </is>
      </c>
      <c r="C46" s="31" t="inlineStr">
        <is>
          <t>castings, forgings &amp; fasteners</t>
        </is>
      </c>
      <c r="D46" s="31" t="inlineStr">
        <is>
          <t>fasteners</t>
        </is>
      </c>
      <c r="E46" s="31" t="inlineStr">
        <is>
          <t>smallcap</t>
        </is>
      </c>
      <c r="F46" s="31" t="n">
        <v>1483.73</v>
      </c>
      <c r="G46" s="31" t="n">
        <v>1197.2</v>
      </c>
      <c r="H46" s="31" t="n">
        <v>3.41</v>
      </c>
      <c r="I46" s="31" t="n">
        <v>103371</v>
      </c>
      <c r="J46" s="31" t="inlineStr">
        <is>
          <t>544244</t>
        </is>
      </c>
    </row>
    <row r="47">
      <c r="A47" s="31" t="inlineStr">
        <is>
          <t>MODISONLTD</t>
        </is>
      </c>
      <c r="B47" s="31" t="inlineStr">
        <is>
          <t>Modison Ltd</t>
        </is>
      </c>
      <c r="C47" s="31" t="inlineStr">
        <is>
          <t>industrials</t>
        </is>
      </c>
      <c r="D47" s="31" t="inlineStr">
        <is>
          <t>electric equipment</t>
        </is>
      </c>
      <c r="E47" s="31" t="inlineStr">
        <is>
          <t>smallcap</t>
        </is>
      </c>
      <c r="F47" s="31" t="n">
        <v>1452.95</v>
      </c>
      <c r="G47" s="31" t="n">
        <v>462.95</v>
      </c>
      <c r="H47" s="31" t="n">
        <v>3.39</v>
      </c>
      <c r="I47" s="31" t="n">
        <v>59779</v>
      </c>
      <c r="J47" s="31" t="inlineStr">
        <is>
          <t>506261</t>
        </is>
      </c>
    </row>
    <row r="48">
      <c r="A48" s="31" t="inlineStr">
        <is>
          <t>SPECTRUM</t>
        </is>
      </c>
      <c r="B48" s="31" t="inlineStr">
        <is>
          <t>Spectrum Electrical Industries Ltd</t>
        </is>
      </c>
      <c r="C48" s="31" t="inlineStr">
        <is>
          <t>industrials</t>
        </is>
      </c>
      <c r="D48" s="31" t="inlineStr">
        <is>
          <t>electric equipment</t>
        </is>
      </c>
      <c r="E48" s="31" t="inlineStr">
        <is>
          <t>midcap</t>
        </is>
      </c>
      <c r="F48" s="31" t="n">
        <v>6358.07</v>
      </c>
      <c r="G48" s="31" t="n">
        <v>3846.1</v>
      </c>
      <c r="H48" s="31" t="n">
        <v>3.36</v>
      </c>
      <c r="I48" s="31" t="n">
        <v>13516</v>
      </c>
      <c r="J48" s="31" t="inlineStr">
        <is>
          <t>535112</t>
        </is>
      </c>
    </row>
    <row r="49">
      <c r="A49" s="31" t="inlineStr">
        <is>
          <t>TEXINFRA</t>
        </is>
      </c>
      <c r="B49" s="31" t="inlineStr">
        <is>
          <t>Texmaco Infrastructure &amp; Holdings Limited</t>
        </is>
      </c>
      <c r="C49" s="31" t="inlineStr">
        <is>
          <t>realty</t>
        </is>
      </c>
      <c r="D49" s="31" t="inlineStr">
        <is>
          <t>construction</t>
        </is>
      </c>
      <c r="E49" s="31" t="inlineStr">
        <is>
          <t>smallcap</t>
        </is>
      </c>
      <c r="F49" s="31" t="n">
        <v>1472.29</v>
      </c>
      <c r="G49" s="31" t="n">
        <v>119.41</v>
      </c>
      <c r="H49" s="31" t="n">
        <v>3.35</v>
      </c>
      <c r="I49" s="31" t="n">
        <v>649299</v>
      </c>
      <c r="J49" s="31" t="inlineStr">
        <is>
          <t>505400</t>
        </is>
      </c>
    </row>
    <row r="50">
      <c r="A50" s="31" t="inlineStr">
        <is>
          <t>BODALCHEM</t>
        </is>
      </c>
      <c r="B50" s="31" t="inlineStr">
        <is>
          <t>Bodal Chemicals Limited</t>
        </is>
      </c>
      <c r="C50" s="31" t="inlineStr">
        <is>
          <t>chemicals</t>
        </is>
      </c>
      <c r="D50" s="31" t="inlineStr">
        <is>
          <t>dyes and pigments</t>
        </is>
      </c>
      <c r="E50" s="31" t="inlineStr">
        <is>
          <t>smallcap</t>
        </is>
      </c>
      <c r="F50" s="31" t="n">
        <v>2418</v>
      </c>
      <c r="G50" s="31" t="n">
        <v>198.35</v>
      </c>
      <c r="H50" s="31" t="n">
        <v>3.31</v>
      </c>
      <c r="I50" s="31" t="n">
        <v>789248</v>
      </c>
      <c r="J50" s="31" t="inlineStr">
        <is>
          <t>524370</t>
        </is>
      </c>
    </row>
    <row r="51">
      <c r="A51" s="31" t="inlineStr">
        <is>
          <t>VALIANTLAB</t>
        </is>
      </c>
      <c r="B51" s="31" t="inlineStr">
        <is>
          <t>Valiant Laboratories Ltd</t>
        </is>
      </c>
      <c r="C51" s="31" t="inlineStr">
        <is>
          <t>healthcare</t>
        </is>
      </c>
      <c r="D51" s="31" t="inlineStr">
        <is>
          <t>pharmaceuticals - indian - bulk drugs &amp; formln</t>
        </is>
      </c>
      <c r="E51" s="31" t="inlineStr">
        <is>
          <t>smallcap</t>
        </is>
      </c>
      <c r="F51" s="31" t="n">
        <v>663.64</v>
      </c>
      <c r="G51" s="31" t="n">
        <v>126.23</v>
      </c>
      <c r="H51" s="31" t="n">
        <v>3.31</v>
      </c>
      <c r="I51" s="31" t="n">
        <v>92323</v>
      </c>
      <c r="J51" s="31" t="n"/>
    </row>
    <row r="52">
      <c r="A52" s="31" t="inlineStr">
        <is>
          <t>BIRLACABLE</t>
        </is>
      </c>
      <c r="B52" s="31" t="inlineStr">
        <is>
          <t>Birla Cable Limited</t>
        </is>
      </c>
      <c r="C52" s="31" t="inlineStr">
        <is>
          <t>industrials</t>
        </is>
      </c>
      <c r="D52" s="31" t="inlineStr">
        <is>
          <t>cables - telephone</t>
        </is>
      </c>
      <c r="E52" s="31" t="inlineStr">
        <is>
          <t>smallcap</t>
        </is>
      </c>
      <c r="F52" s="31" t="n">
        <v>1106.85</v>
      </c>
      <c r="G52" s="31" t="n">
        <v>381.15</v>
      </c>
      <c r="H52" s="31" t="n">
        <v>3.31</v>
      </c>
      <c r="I52" s="31" t="n">
        <v>654414</v>
      </c>
      <c r="J52" s="31" t="inlineStr">
        <is>
          <t>500060</t>
        </is>
      </c>
    </row>
    <row r="53">
      <c r="A53" s="31" t="inlineStr">
        <is>
          <t>LUMAXTECH</t>
        </is>
      </c>
      <c r="B53" s="31" t="inlineStr">
        <is>
          <t>Lumax Auto Technologies Limited</t>
        </is>
      </c>
      <c r="C53" s="31" t="inlineStr">
        <is>
          <t>auto</t>
        </is>
      </c>
      <c r="D53" s="31" t="inlineStr">
        <is>
          <t>auto ancillaries</t>
        </is>
      </c>
      <c r="E53" s="31" t="inlineStr">
        <is>
          <t>midcap</t>
        </is>
      </c>
      <c r="F53" s="31" t="n">
        <v>13711.29</v>
      </c>
      <c r="G53" s="31" t="n">
        <v>2076.7</v>
      </c>
      <c r="H53" s="31" t="n">
        <v>3.23</v>
      </c>
      <c r="I53" s="31" t="n">
        <v>137712</v>
      </c>
      <c r="J53" s="31" t="inlineStr">
        <is>
          <t>532796</t>
        </is>
      </c>
    </row>
    <row r="54">
      <c r="A54" s="31" t="inlineStr">
        <is>
          <t>CAPITALSFB</t>
        </is>
      </c>
      <c r="B54" s="31" t="inlineStr">
        <is>
          <t>Capital Small Finance Bank Ltd</t>
        </is>
      </c>
      <c r="C54" s="31" t="inlineStr">
        <is>
          <t>bank</t>
        </is>
      </c>
      <c r="D54" s="31" t="inlineStr">
        <is>
          <t>banks - private sector</t>
        </is>
      </c>
      <c r="E54" s="31" t="inlineStr">
        <is>
          <t>smallcap</t>
        </is>
      </c>
      <c r="F54" s="31" t="n">
        <v>1271.43</v>
      </c>
      <c r="G54" s="31" t="n">
        <v>288.6</v>
      </c>
      <c r="H54" s="31" t="n">
        <v>3.2</v>
      </c>
      <c r="I54" s="31" t="n">
        <v>137229</v>
      </c>
      <c r="J54" s="31" t="n"/>
    </row>
    <row r="55">
      <c r="A55" s="31" t="inlineStr">
        <is>
          <t>MAXESTATES</t>
        </is>
      </c>
      <c r="B55" s="31" t="inlineStr">
        <is>
          <t>Max Estates Ltd</t>
        </is>
      </c>
      <c r="C55" s="31" t="inlineStr">
        <is>
          <t>realty</t>
        </is>
      </c>
      <c r="D55" s="31" t="inlineStr">
        <is>
          <t>construction</t>
        </is>
      </c>
      <c r="E55" s="31" t="inlineStr">
        <is>
          <t>midcap</t>
        </is>
      </c>
      <c r="F55" s="31" t="n">
        <v>9307.08</v>
      </c>
      <c r="G55" s="31" t="n">
        <v>587.1</v>
      </c>
      <c r="H55" s="31" t="n">
        <v>3.14</v>
      </c>
      <c r="I55" s="31" t="n">
        <v>107816</v>
      </c>
      <c r="J55" s="31" t="inlineStr">
        <is>
          <t>544008</t>
        </is>
      </c>
    </row>
    <row r="56">
      <c r="A56" s="31" t="inlineStr">
        <is>
          <t>THEJO</t>
        </is>
      </c>
      <c r="B56" s="31" t="inlineStr">
        <is>
          <t>Thejo Engineering Ltd</t>
        </is>
      </c>
      <c r="C56" s="31" t="inlineStr">
        <is>
          <t>industrials</t>
        </is>
      </c>
      <c r="D56" s="31" t="inlineStr">
        <is>
          <t>engineering</t>
        </is>
      </c>
      <c r="E56" s="31" t="inlineStr">
        <is>
          <t>smallcap</t>
        </is>
      </c>
      <c r="F56" s="31" t="n">
        <v>2289.14</v>
      </c>
      <c r="G56" s="31" t="n">
        <v>2175.4</v>
      </c>
      <c r="H56" s="31" t="n">
        <v>3.08</v>
      </c>
      <c r="I56" s="31" t="n">
        <v>11455</v>
      </c>
      <c r="J56" s="31" t="inlineStr">
        <is>
          <t>500492</t>
        </is>
      </c>
    </row>
    <row r="57">
      <c r="A57" s="31" t="inlineStr">
        <is>
          <t>VARROC</t>
        </is>
      </c>
      <c r="B57" s="31" t="inlineStr">
        <is>
          <t>Varroc Engineering Ltd</t>
        </is>
      </c>
      <c r="C57" s="31" t="inlineStr">
        <is>
          <t>auto</t>
        </is>
      </c>
      <c r="D57" s="31" t="inlineStr">
        <is>
          <t>auto ancillaries</t>
        </is>
      </c>
      <c r="E57" s="31" t="inlineStr">
        <is>
          <t>midcap</t>
        </is>
      </c>
      <c r="F57" s="31" t="n">
        <v>12794.33</v>
      </c>
      <c r="G57" s="31" t="n">
        <v>862.95</v>
      </c>
      <c r="H57" s="31" t="n">
        <v>3.05</v>
      </c>
      <c r="I57" s="31" t="n">
        <v>266860</v>
      </c>
      <c r="J57" s="31" t="inlineStr">
        <is>
          <t>541578</t>
        </is>
      </c>
    </row>
    <row r="58">
      <c r="A58" s="31" t="inlineStr">
        <is>
          <t>RPTECH</t>
        </is>
      </c>
      <c r="B58" s="31" t="inlineStr">
        <is>
          <t>Rashi Peripherals Ltd</t>
        </is>
      </c>
      <c r="C58" s="31" t="inlineStr">
        <is>
          <t>i.t</t>
        </is>
      </c>
      <c r="D58" s="31" t="inlineStr">
        <is>
          <t>trading</t>
        </is>
      </c>
      <c r="E58" s="31" t="inlineStr">
        <is>
          <t>midcap</t>
        </is>
      </c>
      <c r="F58" s="31" t="n">
        <v>6098.03</v>
      </c>
      <c r="G58" s="31" t="n">
        <v>953.5</v>
      </c>
      <c r="H58" s="31" t="n">
        <v>3.04</v>
      </c>
      <c r="I58" s="31" t="n">
        <v>1657051</v>
      </c>
      <c r="J58" s="31" t="n"/>
    </row>
    <row r="59">
      <c r="A59" s="31" t="inlineStr">
        <is>
          <t>UNIMECH</t>
        </is>
      </c>
      <c r="B59" s="31" t="inlineStr">
        <is>
          <t>Unimech Aerospace and Manufacturing Ltd</t>
        </is>
      </c>
      <c r="C59" s="31" t="inlineStr">
        <is>
          <t>aerospace &amp; defence</t>
        </is>
      </c>
      <c r="D59" s="31" t="inlineStr">
        <is>
          <t>engineering</t>
        </is>
      </c>
      <c r="E59" s="31" t="inlineStr">
        <is>
          <t>midcap</t>
        </is>
      </c>
      <c r="F59" s="31" t="n">
        <v>8518.530000000001</v>
      </c>
      <c r="G59" s="31" t="n">
        <v>1724</v>
      </c>
      <c r="H59" s="31" t="n">
        <v>2.93</v>
      </c>
      <c r="I59" s="31" t="n">
        <v>274093</v>
      </c>
      <c r="J59" s="31" t="inlineStr">
        <is>
          <t>544322</t>
        </is>
      </c>
    </row>
    <row r="60">
      <c r="A60" s="31" t="inlineStr">
        <is>
          <t>IOLCP</t>
        </is>
      </c>
      <c r="B60" s="31" t="inlineStr">
        <is>
          <t>Iol Chemicals And Pharmaceuticals Limited</t>
        </is>
      </c>
      <c r="C60" s="31" t="inlineStr">
        <is>
          <t>healthcare</t>
        </is>
      </c>
      <c r="D60" s="31" t="inlineStr">
        <is>
          <t>pharmaceuticals - indian - bulk drugs &amp; formln</t>
        </is>
      </c>
      <c r="E60" s="31" t="inlineStr">
        <is>
          <t>midcap</t>
        </is>
      </c>
      <c r="F60" s="31" t="n">
        <v>5913.99</v>
      </c>
      <c r="G60" s="31" t="n">
        <v>207.08</v>
      </c>
      <c r="H60" s="31" t="n">
        <v>2.78</v>
      </c>
      <c r="I60" s="31" t="n">
        <v>3390524</v>
      </c>
      <c r="J60" s="31" t="inlineStr">
        <is>
          <t>524164</t>
        </is>
      </c>
    </row>
    <row r="61">
      <c r="A61" s="31" t="inlineStr">
        <is>
          <t>KOTAKBANK</t>
        </is>
      </c>
      <c r="B61" s="31" t="inlineStr">
        <is>
          <t>Kotak Mahindra Bank Limited</t>
        </is>
      </c>
      <c r="C61" s="31" t="inlineStr">
        <is>
          <t>bank</t>
        </is>
      </c>
      <c r="D61" s="31" t="inlineStr">
        <is>
          <t>banks - private sector</t>
        </is>
      </c>
      <c r="E61" s="31" t="inlineStr">
        <is>
          <t>largecap</t>
        </is>
      </c>
      <c r="F61" s="31" t="n">
        <v>403836.39</v>
      </c>
      <c r="G61" s="31" t="n">
        <v>417</v>
      </c>
      <c r="H61" s="31" t="n">
        <v>2.71</v>
      </c>
      <c r="I61" s="31" t="n">
        <v>32537029</v>
      </c>
      <c r="J61" s="31" t="inlineStr">
        <is>
          <t>500247</t>
        </is>
      </c>
    </row>
    <row r="62">
      <c r="A62" s="31" t="inlineStr">
        <is>
          <t>DICIND</t>
        </is>
      </c>
      <c r="B62" s="31" t="inlineStr">
        <is>
          <t>Dic India Limited</t>
        </is>
      </c>
      <c r="C62" s="31" t="inlineStr">
        <is>
          <t>chemicals</t>
        </is>
      </c>
      <c r="D62" s="31" t="inlineStr">
        <is>
          <t>chemicals</t>
        </is>
      </c>
      <c r="E62" s="31" t="inlineStr">
        <is>
          <t>smallcap</t>
        </is>
      </c>
      <c r="F62" s="31" t="n">
        <v>569.05</v>
      </c>
      <c r="G62" s="31" t="n">
        <v>635.3</v>
      </c>
      <c r="H62" s="31" t="n">
        <v>2.48</v>
      </c>
      <c r="I62" s="31" t="n">
        <v>5230</v>
      </c>
      <c r="J62" s="31" t="inlineStr">
        <is>
          <t>500089</t>
        </is>
      </c>
    </row>
    <row r="63">
      <c r="A63" s="31" t="inlineStr">
        <is>
          <t>ONEPOINT</t>
        </is>
      </c>
      <c r="B63" s="31" t="inlineStr">
        <is>
          <t>One Point One Solutions Ltd</t>
        </is>
      </c>
      <c r="C63" s="31" t="inlineStr">
        <is>
          <t>i.t</t>
        </is>
      </c>
      <c r="D63" s="31" t="inlineStr">
        <is>
          <t>computers - software - medium / small</t>
        </is>
      </c>
      <c r="E63" s="31" t="inlineStr">
        <is>
          <t>smallcap</t>
        </is>
      </c>
      <c r="F63" s="31" t="n">
        <v>1883.15</v>
      </c>
      <c r="G63" s="31" t="n">
        <v>73.39</v>
      </c>
      <c r="H63" s="31" t="n">
        <v>2.47</v>
      </c>
      <c r="I63" s="31" t="n">
        <v>6743812</v>
      </c>
      <c r="J63" s="31" t="inlineStr">
        <is>
          <t>535039</t>
        </is>
      </c>
    </row>
    <row r="64">
      <c r="A64" s="31" t="inlineStr">
        <is>
          <t>MAHLOG</t>
        </is>
      </c>
      <c r="B64" s="31" t="inlineStr">
        <is>
          <t>Mahindra Logistics Ltd</t>
        </is>
      </c>
      <c r="C64" s="31" t="inlineStr">
        <is>
          <t>transportation</t>
        </is>
      </c>
      <c r="D64" s="31" t="inlineStr">
        <is>
          <t>miscellaneous</t>
        </is>
      </c>
      <c r="E64" s="31" t="inlineStr">
        <is>
          <t>smallcap</t>
        </is>
      </c>
      <c r="F64" s="31" t="n">
        <v>4223.9</v>
      </c>
      <c r="G64" s="31" t="n">
        <v>435.85</v>
      </c>
      <c r="H64" s="31" t="n">
        <v>2.38</v>
      </c>
      <c r="I64" s="31" t="n">
        <v>367227</v>
      </c>
      <c r="J64" s="31" t="inlineStr">
        <is>
          <t>540768</t>
        </is>
      </c>
    </row>
    <row r="65">
      <c r="A65" s="31" t="inlineStr">
        <is>
          <t>BLSE</t>
        </is>
      </c>
      <c r="B65" s="31" t="inlineStr">
        <is>
          <t>BLS E-Services Ltd</t>
        </is>
      </c>
      <c r="C65" s="31" t="inlineStr">
        <is>
          <t>i.t</t>
        </is>
      </c>
      <c r="D65" s="31" t="inlineStr">
        <is>
          <t>computers - software - medium / small</t>
        </is>
      </c>
      <c r="E65" s="31" t="inlineStr">
        <is>
          <t>smallcap</t>
        </is>
      </c>
      <c r="F65" s="31" t="n">
        <v>2917.4</v>
      </c>
      <c r="G65" s="31" t="n">
        <v>328.6</v>
      </c>
      <c r="H65" s="31" t="n">
        <v>2.34</v>
      </c>
      <c r="I65" s="31" t="n">
        <v>445285</v>
      </c>
      <c r="J65" s="31" t="inlineStr">
        <is>
          <t>544107</t>
        </is>
      </c>
    </row>
    <row r="66">
      <c r="A66" s="31" t="inlineStr">
        <is>
          <t>MOLDTECH</t>
        </is>
      </c>
      <c r="B66" s="31" t="inlineStr">
        <is>
          <t>Mold-tek Technologies Limited</t>
        </is>
      </c>
      <c r="C66" s="31" t="inlineStr">
        <is>
          <t>realty</t>
        </is>
      </c>
      <c r="D66" s="31" t="inlineStr">
        <is>
          <t>engineering - turnkey services</t>
        </is>
      </c>
      <c r="E66" s="31" t="inlineStr">
        <is>
          <t>smallcap</t>
        </is>
      </c>
      <c r="F66" s="31" t="n">
        <v>580.39</v>
      </c>
      <c r="G66" s="31" t="n">
        <v>206.16</v>
      </c>
      <c r="H66" s="31" t="n">
        <v>2.32</v>
      </c>
      <c r="I66" s="31" t="n">
        <v>34867</v>
      </c>
      <c r="J66" s="31" t="inlineStr">
        <is>
          <t>526263</t>
        </is>
      </c>
    </row>
    <row r="67">
      <c r="A67" s="31" t="inlineStr">
        <is>
          <t>DELTACORP</t>
        </is>
      </c>
      <c r="B67" s="31" t="inlineStr">
        <is>
          <t>Delta Corp Limited</t>
        </is>
      </c>
      <c r="C67" s="31" t="inlineStr">
        <is>
          <t>miscellaneous</t>
        </is>
      </c>
      <c r="D67" s="31" t="inlineStr">
        <is>
          <t>recreation / amusement parks</t>
        </is>
      </c>
      <c r="E67" s="31" t="inlineStr">
        <is>
          <t>smallcap</t>
        </is>
      </c>
      <c r="F67" s="31" t="n">
        <v>2107.09</v>
      </c>
      <c r="G67" s="31" t="n">
        <v>80.51000000000001</v>
      </c>
      <c r="H67" s="31" t="n">
        <v>2.31</v>
      </c>
      <c r="I67" s="31" t="n">
        <v>84962418</v>
      </c>
      <c r="J67" s="31" t="inlineStr">
        <is>
          <t>532848</t>
        </is>
      </c>
    </row>
    <row r="68">
      <c r="A68" s="31" t="inlineStr">
        <is>
          <t>RAYMOND</t>
        </is>
      </c>
      <c r="B68" s="31" t="inlineStr">
        <is>
          <t>Raymond Limited</t>
        </is>
      </c>
      <c r="C68" s="31" t="inlineStr">
        <is>
          <t>transportation</t>
        </is>
      </c>
      <c r="D68" s="31" t="inlineStr">
        <is>
          <t>transport - airlines</t>
        </is>
      </c>
      <c r="E68" s="31" t="inlineStr">
        <is>
          <t>midcap</t>
        </is>
      </c>
      <c r="F68" s="31" t="n">
        <v>7893.98</v>
      </c>
      <c r="G68" s="31" t="n">
        <v>1213.05</v>
      </c>
      <c r="H68" s="31" t="n">
        <v>2.3</v>
      </c>
      <c r="I68" s="31" t="n">
        <v>1545036</v>
      </c>
      <c r="J68" s="31" t="inlineStr">
        <is>
          <t>500330</t>
        </is>
      </c>
    </row>
    <row r="69">
      <c r="A69" s="31" t="inlineStr">
        <is>
          <t>ZIMLAB</t>
        </is>
      </c>
      <c r="B69" s="31" t="inlineStr">
        <is>
          <t>Zim Laboratories Ltd</t>
        </is>
      </c>
      <c r="C69" s="31" t="inlineStr">
        <is>
          <t>healthcare</t>
        </is>
      </c>
      <c r="D69" s="31" t="inlineStr">
        <is>
          <t>pharmaceuticals - indian - bulk drugs &amp; formln</t>
        </is>
      </c>
      <c r="E69" s="31" t="inlineStr">
        <is>
          <t>smallcap</t>
        </is>
      </c>
      <c r="F69" s="31" t="n">
        <v>722.3200000000001</v>
      </c>
      <c r="G69" s="31" t="n">
        <v>137.97</v>
      </c>
      <c r="H69" s="31" t="n">
        <v>2.28</v>
      </c>
      <c r="I69" s="31" t="n">
        <v>87891</v>
      </c>
      <c r="J69" s="31" t="inlineStr">
        <is>
          <t>541400</t>
        </is>
      </c>
    </row>
    <row r="70">
      <c r="A70" s="31" t="inlineStr">
        <is>
          <t>MBAPL</t>
        </is>
      </c>
      <c r="B70" s="31" t="inlineStr">
        <is>
          <t>Madhya Bharat Agro Products Ltd</t>
        </is>
      </c>
      <c r="C70" s="31" t="inlineStr">
        <is>
          <t>chemicals</t>
        </is>
      </c>
      <c r="D70" s="31" t="inlineStr">
        <is>
          <t>fertilizers</t>
        </is>
      </c>
      <c r="E70" s="31" t="inlineStr">
        <is>
          <t>smallcap</t>
        </is>
      </c>
      <c r="F70" s="31" t="n">
        <v>1461.97</v>
      </c>
      <c r="G70" s="31" t="n">
        <v>170.63</v>
      </c>
      <c r="H70" s="31" t="n">
        <v>2.27</v>
      </c>
      <c r="I70" s="31" t="n">
        <v>1417308</v>
      </c>
      <c r="J70" s="31" t="inlineStr">
        <is>
          <t>538370</t>
        </is>
      </c>
    </row>
    <row r="71">
      <c r="A71" s="31" t="inlineStr">
        <is>
          <t>SHREEPUSHK</t>
        </is>
      </c>
      <c r="B71" s="31" t="inlineStr">
        <is>
          <t>Shree Pushkar Chemicals &amp; Fertilisers Limited</t>
        </is>
      </c>
      <c r="C71" s="31" t="inlineStr">
        <is>
          <t>chemicals</t>
        </is>
      </c>
      <c r="D71" s="31" t="inlineStr">
        <is>
          <t>dyes and pigments</t>
        </is>
      </c>
      <c r="E71" s="31" t="inlineStr">
        <is>
          <t>smallcap</t>
        </is>
      </c>
      <c r="F71" s="31" t="n">
        <v>1558.35</v>
      </c>
      <c r="G71" s="31" t="n">
        <v>492.75</v>
      </c>
      <c r="H71" s="31" t="n">
        <v>2.25</v>
      </c>
      <c r="I71" s="31" t="n">
        <v>70018</v>
      </c>
      <c r="J71" s="31" t="inlineStr">
        <is>
          <t>539334</t>
        </is>
      </c>
    </row>
    <row r="72">
      <c r="A72" s="31" t="inlineStr">
        <is>
          <t>TEGA</t>
        </is>
      </c>
      <c r="B72" s="31" t="inlineStr">
        <is>
          <t>Tega Industries Ltd</t>
        </is>
      </c>
      <c r="C72" s="31" t="inlineStr">
        <is>
          <t>industrials</t>
        </is>
      </c>
      <c r="D72" s="31" t="inlineStr">
        <is>
          <t>engineering</t>
        </is>
      </c>
      <c r="E72" s="31" t="inlineStr">
        <is>
          <t>midcap</t>
        </is>
      </c>
      <c r="F72" s="31" t="n">
        <v>15480.81</v>
      </c>
      <c r="G72" s="31" t="n">
        <v>2106.7</v>
      </c>
      <c r="H72" s="31" t="n">
        <v>2.24</v>
      </c>
      <c r="I72" s="31" t="n">
        <v>1493714</v>
      </c>
      <c r="J72" s="31" t="inlineStr">
        <is>
          <t>543413</t>
        </is>
      </c>
    </row>
    <row r="73">
      <c r="A73" s="31" t="inlineStr">
        <is>
          <t>MAHSEAMLES</t>
        </is>
      </c>
      <c r="B73" s="31" t="inlineStr">
        <is>
          <t>Maharashtra Seamless Limited</t>
        </is>
      </c>
      <c r="C73" s="31" t="inlineStr">
        <is>
          <t>metals &amp; mining</t>
        </is>
      </c>
      <c r="D73" s="31" t="inlineStr">
        <is>
          <t>steel - medium / small</t>
        </is>
      </c>
      <c r="E73" s="31" t="inlineStr">
        <is>
          <t>midcap</t>
        </is>
      </c>
      <c r="F73" s="31" t="n">
        <v>9672.74</v>
      </c>
      <c r="G73" s="31" t="n">
        <v>737.65</v>
      </c>
      <c r="H73" s="31" t="n">
        <v>2.19</v>
      </c>
      <c r="I73" s="31" t="n">
        <v>1572414</v>
      </c>
      <c r="J73" s="31" t="inlineStr">
        <is>
          <t>500265</t>
        </is>
      </c>
    </row>
    <row r="74">
      <c r="A74" s="31" t="inlineStr">
        <is>
          <t>ORIENTHOT</t>
        </is>
      </c>
      <c r="B74" s="31" t="inlineStr">
        <is>
          <t>Oriental Hotels Limited</t>
        </is>
      </c>
      <c r="C74" s="31" t="inlineStr">
        <is>
          <t>services</t>
        </is>
      </c>
      <c r="D74" s="31" t="inlineStr">
        <is>
          <t>hotels</t>
        </is>
      </c>
      <c r="E74" s="31" t="inlineStr">
        <is>
          <t>smallcap</t>
        </is>
      </c>
      <c r="F74" s="31" t="n">
        <v>2488.6</v>
      </c>
      <c r="G74" s="31" t="n">
        <v>142.36</v>
      </c>
      <c r="H74" s="31" t="n">
        <v>2.17</v>
      </c>
      <c r="I74" s="31" t="n">
        <v>511057</v>
      </c>
      <c r="J74" s="31" t="inlineStr">
        <is>
          <t>500314</t>
        </is>
      </c>
    </row>
    <row r="75">
      <c r="A75" s="31" t="inlineStr">
        <is>
          <t>ACE</t>
        </is>
      </c>
      <c r="B75" s="31" t="inlineStr">
        <is>
          <t>Action Construction Equipment Limited</t>
        </is>
      </c>
      <c r="C75" s="31" t="inlineStr">
        <is>
          <t>industrials</t>
        </is>
      </c>
      <c r="D75" s="31" t="inlineStr">
        <is>
          <t>engineering</t>
        </is>
      </c>
      <c r="E75" s="31" t="inlineStr">
        <is>
          <t>midcap</t>
        </is>
      </c>
      <c r="F75" s="31" t="n">
        <v>14359.05</v>
      </c>
      <c r="G75" s="31" t="n">
        <v>1232</v>
      </c>
      <c r="H75" s="31" t="n">
        <v>2.17</v>
      </c>
      <c r="I75" s="31" t="n">
        <v>343169</v>
      </c>
      <c r="J75" s="31" t="inlineStr">
        <is>
          <t>532762</t>
        </is>
      </c>
    </row>
    <row r="76">
      <c r="A76" s="31" t="inlineStr">
        <is>
          <t>MOTISONS</t>
        </is>
      </c>
      <c r="B76" s="31" t="inlineStr">
        <is>
          <t>Motisons Jewellers Ltd</t>
        </is>
      </c>
      <c r="C76" s="31" t="inlineStr">
        <is>
          <t>consumer discretionary</t>
        </is>
      </c>
      <c r="D76" s="31" t="inlineStr">
        <is>
          <t>diamond cutting / jewellery</t>
        </is>
      </c>
      <c r="E76" s="31" t="inlineStr">
        <is>
          <t>smallcap</t>
        </is>
      </c>
      <c r="F76" s="31" t="n">
        <v>2004.29</v>
      </c>
      <c r="G76" s="31" t="n">
        <v>18</v>
      </c>
      <c r="H76" s="31" t="n">
        <v>2.16</v>
      </c>
      <c r="I76" s="31" t="n">
        <v>39407577</v>
      </c>
      <c r="J76" s="31" t="inlineStr">
        <is>
          <t>544053</t>
        </is>
      </c>
    </row>
    <row r="77">
      <c r="A77" s="31" t="inlineStr">
        <is>
          <t>TFCILTD</t>
        </is>
      </c>
      <c r="B77" s="31" t="inlineStr">
        <is>
          <t>Tourism Finance Corporation Of India Limited</t>
        </is>
      </c>
      <c r="C77" s="31" t="inlineStr">
        <is>
          <t>financials</t>
        </is>
      </c>
      <c r="D77" s="31" t="inlineStr">
        <is>
          <t>finance - term-lending institutions</t>
        </is>
      </c>
      <c r="E77" s="31" t="inlineStr">
        <is>
          <t>midcap</t>
        </is>
      </c>
      <c r="F77" s="31" t="n">
        <v>6431.68</v>
      </c>
      <c r="G77" s="31" t="n">
        <v>141.91</v>
      </c>
      <c r="H77" s="31" t="n">
        <v>2.15</v>
      </c>
      <c r="I77" s="31" t="n">
        <v>31904742</v>
      </c>
      <c r="J77" s="31" t="inlineStr">
        <is>
          <t>526650</t>
        </is>
      </c>
    </row>
    <row r="78">
      <c r="A78" s="31" t="inlineStr">
        <is>
          <t>SALSTEEL</t>
        </is>
      </c>
      <c r="B78" s="31" t="inlineStr">
        <is>
          <t>SAL Steel</t>
        </is>
      </c>
      <c r="C78" s="31" t="inlineStr">
        <is>
          <t>metals &amp; mining</t>
        </is>
      </c>
      <c r="D78" s="31" t="inlineStr">
        <is>
          <t>steel - sponge iron</t>
        </is>
      </c>
      <c r="E78" s="31" t="inlineStr">
        <is>
          <t>smallcap</t>
        </is>
      </c>
      <c r="F78" s="31" t="n">
        <v>1405.4</v>
      </c>
      <c r="G78" s="31" t="n">
        <v>99.06</v>
      </c>
      <c r="H78" s="31" t="n">
        <v>2.04</v>
      </c>
      <c r="I78" s="31" t="n">
        <v>1173619</v>
      </c>
      <c r="J78" s="31" t="inlineStr">
        <is>
          <t>532604</t>
        </is>
      </c>
    </row>
    <row r="79">
      <c r="A79" s="31" t="inlineStr">
        <is>
          <t>FOSECOIND</t>
        </is>
      </c>
      <c r="B79" s="31" t="inlineStr">
        <is>
          <t>Foseco India Limited</t>
        </is>
      </c>
      <c r="C79" s="31" t="inlineStr">
        <is>
          <t>chemicals</t>
        </is>
      </c>
      <c r="D79" s="31" t="inlineStr">
        <is>
          <t>chemicals</t>
        </is>
      </c>
      <c r="E79" s="31" t="inlineStr">
        <is>
          <t>smallcap</t>
        </is>
      </c>
      <c r="F79" s="31" t="n">
        <v>4774.85</v>
      </c>
      <c r="G79" s="31" t="n">
        <v>6462.5</v>
      </c>
      <c r="H79" s="31" t="n">
        <v>2.01</v>
      </c>
      <c r="I79" s="31" t="n">
        <v>22698</v>
      </c>
      <c r="J79" s="31" t="inlineStr">
        <is>
          <t>500150</t>
        </is>
      </c>
    </row>
    <row r="80">
      <c r="A80" s="31" t="inlineStr">
        <is>
          <t>MBECL</t>
        </is>
      </c>
      <c r="B80" s="31" t="inlineStr">
        <is>
          <t>Mcnally Bharat Engineering Company Limited</t>
        </is>
      </c>
      <c r="C80" s="31" t="inlineStr">
        <is>
          <t>realty</t>
        </is>
      </c>
      <c r="D80" s="31" t="inlineStr">
        <is>
          <t>engineering - turnkey services</t>
        </is>
      </c>
      <c r="E80" s="31" t="inlineStr">
        <is>
          <t>smallcap</t>
        </is>
      </c>
      <c r="F80" s="31" t="n">
        <v>1582.77</v>
      </c>
      <c r="G80" s="31" t="n">
        <v>484.32</v>
      </c>
      <c r="H80" s="31" t="n">
        <v>2</v>
      </c>
      <c r="I80" s="31" t="n">
        <v>3776</v>
      </c>
      <c r="J80" s="31" t="inlineStr">
        <is>
          <t>532629</t>
        </is>
      </c>
    </row>
    <row r="81">
      <c r="A81" s="31" t="inlineStr">
        <is>
          <t>TIRUPATIFL</t>
        </is>
      </c>
      <c r="B81" s="31" t="inlineStr">
        <is>
          <t>Tirupati Forge Ltd</t>
        </is>
      </c>
      <c r="C81" s="31" t="inlineStr">
        <is>
          <t>castings, forgings &amp; fasteners</t>
        </is>
      </c>
      <c r="D81" s="31" t="inlineStr">
        <is>
          <t>castings &amp; forgings</t>
        </is>
      </c>
      <c r="E81" s="31" t="inlineStr">
        <is>
          <t>smallcap</t>
        </is>
      </c>
      <c r="F81" s="31" t="n">
        <v>977.77</v>
      </c>
      <c r="G81" s="31" t="n">
        <v>76.69</v>
      </c>
      <c r="H81" s="31" t="n">
        <v>1.99</v>
      </c>
      <c r="I81" s="31" t="n">
        <v>333265</v>
      </c>
      <c r="J81" s="31" t="inlineStr">
        <is>
          <t>535021</t>
        </is>
      </c>
    </row>
    <row r="82">
      <c r="A82" s="31" t="inlineStr">
        <is>
          <t>BAFNAPH</t>
        </is>
      </c>
      <c r="B82" s="31" t="inlineStr">
        <is>
          <t>Bafna Pharmaceuticals Ltd</t>
        </is>
      </c>
      <c r="C82" s="31" t="inlineStr">
        <is>
          <t>healthcare</t>
        </is>
      </c>
      <c r="D82" s="31" t="inlineStr">
        <is>
          <t>pharmaceuticals - indian - formulations</t>
        </is>
      </c>
      <c r="E82" s="31" t="inlineStr">
        <is>
          <t>smallcap</t>
        </is>
      </c>
      <c r="F82" s="31" t="n">
        <v>861.45</v>
      </c>
      <c r="G82" s="31" t="n">
        <v>371.35</v>
      </c>
      <c r="H82" s="31" t="n">
        <v>1.98</v>
      </c>
      <c r="I82" s="31" t="n">
        <v>546</v>
      </c>
      <c r="J82" s="31" t="inlineStr">
        <is>
          <t>532989</t>
        </is>
      </c>
    </row>
    <row r="83">
      <c r="A83" s="31" t="inlineStr">
        <is>
          <t>GANDHAR</t>
        </is>
      </c>
      <c r="B83" s="31" t="inlineStr">
        <is>
          <t>Gandhar Oil Refinery (India) Ltd</t>
        </is>
      </c>
      <c r="C83" s="31" t="inlineStr">
        <is>
          <t>energy</t>
        </is>
      </c>
      <c r="D83" s="31" t="inlineStr">
        <is>
          <t>refineries</t>
        </is>
      </c>
      <c r="E83" s="31" t="inlineStr">
        <is>
          <t>smallcap</t>
        </is>
      </c>
      <c r="F83" s="31" t="n">
        <v>2677.49</v>
      </c>
      <c r="G83" s="31" t="n">
        <v>278.85</v>
      </c>
      <c r="H83" s="31" t="n">
        <v>1.94</v>
      </c>
      <c r="I83" s="31" t="n">
        <v>742278</v>
      </c>
      <c r="J83" s="31" t="inlineStr">
        <is>
          <t>544029</t>
        </is>
      </c>
    </row>
    <row r="84">
      <c r="A84" s="31" t="inlineStr">
        <is>
          <t>WELINV</t>
        </is>
      </c>
      <c r="B84" s="31" t="inlineStr">
        <is>
          <t>Welspun Investments And Commercials Limited</t>
        </is>
      </c>
      <c r="C84" s="31" t="inlineStr">
        <is>
          <t>financials</t>
        </is>
      </c>
      <c r="D84" s="31" t="inlineStr">
        <is>
          <t>finance &amp; investments</t>
        </is>
      </c>
      <c r="E84" s="31" t="inlineStr">
        <is>
          <t>smallcap</t>
        </is>
      </c>
      <c r="F84" s="31" t="n">
        <v>889.86</v>
      </c>
      <c r="G84" s="31" t="n">
        <v>2482</v>
      </c>
      <c r="H84" s="31" t="n">
        <v>1.93</v>
      </c>
      <c r="I84" s="31" t="n">
        <v>30</v>
      </c>
      <c r="J84" s="31" t="inlineStr">
        <is>
          <t>533252</t>
        </is>
      </c>
    </row>
    <row r="85">
      <c r="A85" s="31" t="inlineStr">
        <is>
          <t>SWANDEF</t>
        </is>
      </c>
      <c r="B85" s="31" t="inlineStr">
        <is>
          <t>Swan Defence and Heavy Industries Ltd</t>
        </is>
      </c>
      <c r="C85" s="31" t="inlineStr">
        <is>
          <t>transportation</t>
        </is>
      </c>
      <c r="D85" s="31" t="inlineStr">
        <is>
          <t>miscellaneous</t>
        </is>
      </c>
      <c r="E85" s="31" t="inlineStr">
        <is>
          <t>midcap</t>
        </is>
      </c>
      <c r="F85" s="31" t="n">
        <v>14247.36</v>
      </c>
      <c r="G85" s="31" t="n">
        <v>2756.6</v>
      </c>
      <c r="H85" s="31" t="n">
        <v>1.93</v>
      </c>
      <c r="I85" s="31" t="n">
        <v>19651</v>
      </c>
      <c r="J85" s="31" t="inlineStr">
        <is>
          <t>533107</t>
        </is>
      </c>
    </row>
    <row r="86">
      <c r="A86" s="31" t="inlineStr">
        <is>
          <t>JSWINFRA</t>
        </is>
      </c>
      <c r="B86" s="31" t="inlineStr">
        <is>
          <t>JSW Infrastructure Ltd</t>
        </is>
      </c>
      <c r="C86" s="31" t="inlineStr">
        <is>
          <t>transportation</t>
        </is>
      </c>
      <c r="D86" s="31" t="inlineStr">
        <is>
          <t>miscellaneous</t>
        </is>
      </c>
      <c r="E86" s="31" t="inlineStr">
        <is>
          <t>largecap</t>
        </is>
      </c>
      <c r="F86" s="31" t="n">
        <v>81550.05</v>
      </c>
      <c r="G86" s="31" t="n">
        <v>356.6</v>
      </c>
      <c r="H86" s="31" t="n">
        <v>1.89</v>
      </c>
      <c r="I86" s="31" t="n">
        <v>2191121</v>
      </c>
      <c r="J86" s="31" t="inlineStr">
        <is>
          <t>543994</t>
        </is>
      </c>
    </row>
    <row r="87">
      <c r="A87" s="31" t="inlineStr">
        <is>
          <t>LALPATHLAB</t>
        </is>
      </c>
      <c r="B87" s="31" t="inlineStr">
        <is>
          <t>Dr. Lal Path Labs Ltd.</t>
        </is>
      </c>
      <c r="C87" s="31" t="inlineStr">
        <is>
          <t>healthcare</t>
        </is>
      </c>
      <c r="D87" s="31" t="inlineStr">
        <is>
          <t>healthcare</t>
        </is>
      </c>
      <c r="E87" s="31" t="inlineStr">
        <is>
          <t>largecap</t>
        </is>
      </c>
      <c r="F87" s="31" t="n">
        <v>32696.07</v>
      </c>
      <c r="G87" s="31" t="n">
        <v>1987</v>
      </c>
      <c r="H87" s="31" t="n">
        <v>1.88</v>
      </c>
      <c r="I87" s="31" t="n">
        <v>525994</v>
      </c>
      <c r="J87" s="31" t="inlineStr">
        <is>
          <t>539524</t>
        </is>
      </c>
    </row>
    <row r="88">
      <c r="A88" s="31" t="inlineStr">
        <is>
          <t>SSWL</t>
        </is>
      </c>
      <c r="B88" s="31" t="inlineStr">
        <is>
          <t>Steel Strips Wheels Limited</t>
        </is>
      </c>
      <c r="C88" s="31" t="inlineStr">
        <is>
          <t>auto</t>
        </is>
      </c>
      <c r="D88" s="31" t="inlineStr">
        <is>
          <t>auto ancillaries</t>
        </is>
      </c>
      <c r="E88" s="31" t="inlineStr">
        <is>
          <t>midcap</t>
        </is>
      </c>
      <c r="F88" s="31" t="n">
        <v>6297.43</v>
      </c>
      <c r="G88" s="31" t="n">
        <v>408.1</v>
      </c>
      <c r="H88" s="31" t="n">
        <v>1.86</v>
      </c>
      <c r="I88" s="31" t="n">
        <v>1299841</v>
      </c>
      <c r="J88" s="31" t="inlineStr">
        <is>
          <t>513262</t>
        </is>
      </c>
    </row>
    <row r="89">
      <c r="A89" s="31" t="inlineStr">
        <is>
          <t>SATIA</t>
        </is>
      </c>
      <c r="B89" s="31" t="inlineStr">
        <is>
          <t>Satia Industries Ltd</t>
        </is>
      </c>
      <c r="C89" s="31" t="inlineStr">
        <is>
          <t>building materials</t>
        </is>
      </c>
      <c r="D89" s="31" t="inlineStr">
        <is>
          <t>paper</t>
        </is>
      </c>
      <c r="E89" s="31" t="inlineStr">
        <is>
          <t>smallcap</t>
        </is>
      </c>
      <c r="F89" s="31" t="n">
        <v>684.8</v>
      </c>
      <c r="G89" s="31" t="n">
        <v>69.7</v>
      </c>
      <c r="H89" s="31" t="n">
        <v>1.78</v>
      </c>
      <c r="I89" s="31" t="n">
        <v>198881</v>
      </c>
      <c r="J89" s="31" t="inlineStr">
        <is>
          <t>539201</t>
        </is>
      </c>
    </row>
    <row r="90">
      <c r="A90" s="31" t="inlineStr">
        <is>
          <t>AJANTPHARM</t>
        </is>
      </c>
      <c r="B90" s="31" t="inlineStr">
        <is>
          <t>Ajanta Pharma Limited</t>
        </is>
      </c>
      <c r="C90" s="31" t="inlineStr">
        <is>
          <t>healthcare</t>
        </is>
      </c>
      <c r="D90" s="31" t="inlineStr">
        <is>
          <t>pharmaceuticals - indian - formulations</t>
        </is>
      </c>
      <c r="E90" s="31" t="inlineStr">
        <is>
          <t>largecap</t>
        </is>
      </c>
      <c r="F90" s="31" t="n">
        <v>44445.85</v>
      </c>
      <c r="G90" s="31" t="n">
        <v>3620.8</v>
      </c>
      <c r="H90" s="31" t="n">
        <v>1.78</v>
      </c>
      <c r="I90" s="31" t="n">
        <v>344068</v>
      </c>
      <c r="J90" s="31" t="inlineStr">
        <is>
          <t>532331</t>
        </is>
      </c>
    </row>
    <row r="91">
      <c r="A91" s="31" t="inlineStr">
        <is>
          <t>EBGNG</t>
        </is>
      </c>
      <c r="B91" s="31" t="inlineStr">
        <is>
          <t>GNG Electronics Ltd</t>
        </is>
      </c>
      <c r="C91" s="31" t="inlineStr">
        <is>
          <t>services</t>
        </is>
      </c>
      <c r="D91" s="31" t="inlineStr">
        <is>
          <t>trading</t>
        </is>
      </c>
      <c r="E91" s="31" t="inlineStr">
        <is>
          <t>midcap</t>
        </is>
      </c>
      <c r="F91" s="31" t="n">
        <v>7693.5</v>
      </c>
      <c r="G91" s="31" t="n">
        <v>686.75</v>
      </c>
      <c r="H91" s="31" t="n">
        <v>1.77</v>
      </c>
      <c r="I91" s="31" t="n">
        <v>906069</v>
      </c>
      <c r="J91" s="31" t="inlineStr">
        <is>
          <t>544455</t>
        </is>
      </c>
    </row>
    <row r="92">
      <c r="A92" s="31" t="inlineStr">
        <is>
          <t>GULFOILLUB</t>
        </is>
      </c>
      <c r="B92" s="31" t="inlineStr">
        <is>
          <t>Gulf Oil Lubricants India Limited</t>
        </is>
      </c>
      <c r="C92" s="31" t="inlineStr">
        <is>
          <t>chemicals</t>
        </is>
      </c>
      <c r="D92" s="31" t="inlineStr">
        <is>
          <t>chemicals</t>
        </is>
      </c>
      <c r="E92" s="31" t="inlineStr">
        <is>
          <t>midcap</t>
        </is>
      </c>
      <c r="F92" s="31" t="n">
        <v>5475.57</v>
      </c>
      <c r="G92" s="31" t="n">
        <v>1125.4</v>
      </c>
      <c r="H92" s="31" t="n">
        <v>1.77</v>
      </c>
      <c r="I92" s="31" t="n">
        <v>61978</v>
      </c>
      <c r="J92" s="31" t="inlineStr">
        <is>
          <t>538567</t>
        </is>
      </c>
    </row>
    <row r="93">
      <c r="A93" s="31" t="inlineStr">
        <is>
          <t>SONACOMS</t>
        </is>
      </c>
      <c r="B93" s="31" t="inlineStr">
        <is>
          <t>Sona BLW Precision Forgings Ltd</t>
        </is>
      </c>
      <c r="C93" s="31" t="inlineStr">
        <is>
          <t>auto</t>
        </is>
      </c>
      <c r="D93" s="31" t="inlineStr">
        <is>
          <t>auto ancillaries</t>
        </is>
      </c>
      <c r="E93" s="31" t="inlineStr">
        <is>
          <t>largecap</t>
        </is>
      </c>
      <c r="F93" s="31" t="n">
        <v>50736.27</v>
      </c>
      <c r="G93" s="31" t="n">
        <v>830</v>
      </c>
      <c r="H93" s="31" t="n">
        <v>1.76</v>
      </c>
      <c r="I93" s="31" t="n">
        <v>2734579</v>
      </c>
      <c r="J93" s="31" t="inlineStr">
        <is>
          <t>543300</t>
        </is>
      </c>
    </row>
    <row r="94">
      <c r="A94" s="31" t="inlineStr">
        <is>
          <t>TREL</t>
        </is>
      </c>
      <c r="B94" s="31" t="inlineStr">
        <is>
          <t>TransIndia Real Estate Ltd</t>
        </is>
      </c>
      <c r="C94" s="31" t="inlineStr">
        <is>
          <t>transportation</t>
        </is>
      </c>
      <c r="D94" s="31" t="inlineStr">
        <is>
          <t>miscellaneous</t>
        </is>
      </c>
      <c r="E94" s="31" t="inlineStr">
        <is>
          <t>smallcap</t>
        </is>
      </c>
      <c r="F94" s="31" t="n">
        <v>697.78</v>
      </c>
      <c r="G94" s="31" t="n">
        <v>28.89</v>
      </c>
      <c r="H94" s="31" t="n">
        <v>1.73</v>
      </c>
      <c r="I94" s="31" t="n">
        <v>205678</v>
      </c>
      <c r="J94" s="31" t="inlineStr">
        <is>
          <t>543955</t>
        </is>
      </c>
    </row>
    <row r="95">
      <c r="A95" s="31" t="inlineStr">
        <is>
          <t>AZAD</t>
        </is>
      </c>
      <c r="B95" s="31" t="inlineStr">
        <is>
          <t>Azad Engineering Ltd</t>
        </is>
      </c>
      <c r="C95" s="31" t="inlineStr">
        <is>
          <t>aerospace &amp; defence</t>
        </is>
      </c>
      <c r="D95" s="31" t="inlineStr">
        <is>
          <t>engineering</t>
        </is>
      </c>
      <c r="E95" s="31" t="inlineStr">
        <is>
          <t>midcap</t>
        </is>
      </c>
      <c r="F95" s="31" t="n">
        <v>18820.41</v>
      </c>
      <c r="G95" s="31" t="n">
        <v>2963.2</v>
      </c>
      <c r="H95" s="31" t="n">
        <v>1.68</v>
      </c>
      <c r="I95" s="31" t="n">
        <v>5708538</v>
      </c>
      <c r="J95" s="31" t="inlineStr">
        <is>
          <t>544061</t>
        </is>
      </c>
    </row>
    <row r="96">
      <c r="A96" s="31" t="inlineStr">
        <is>
          <t>SAMBHV</t>
        </is>
      </c>
      <c r="B96" s="31" t="inlineStr">
        <is>
          <t>Sambhv Steel Tubes Ltd</t>
        </is>
      </c>
      <c r="C96" s="31" t="inlineStr">
        <is>
          <t>metals &amp; mining</t>
        </is>
      </c>
      <c r="D96" s="31" t="inlineStr">
        <is>
          <t>steel - medium / small</t>
        </is>
      </c>
      <c r="E96" s="31" t="inlineStr">
        <is>
          <t>smallcap</t>
        </is>
      </c>
      <c r="F96" s="31" t="n">
        <v>4780.75</v>
      </c>
      <c r="G96" s="31" t="n">
        <v>164.9</v>
      </c>
      <c r="H96" s="31" t="n">
        <v>1.64</v>
      </c>
      <c r="I96" s="31" t="n">
        <v>5951525</v>
      </c>
      <c r="J96" s="31" t="inlineStr">
        <is>
          <t>544430</t>
        </is>
      </c>
    </row>
    <row r="97">
      <c r="A97" s="31" t="inlineStr">
        <is>
          <t>KRISHANA</t>
        </is>
      </c>
      <c r="B97" s="31" t="inlineStr">
        <is>
          <t>Krishana Phoschem Ltd</t>
        </is>
      </c>
      <c r="C97" s="31" t="inlineStr">
        <is>
          <t>chemicals</t>
        </is>
      </c>
      <c r="D97" s="31" t="inlineStr">
        <is>
          <t>fertilizers</t>
        </is>
      </c>
      <c r="E97" s="31" t="inlineStr">
        <is>
          <t>smallcap</t>
        </is>
      </c>
      <c r="F97" s="31" t="n">
        <v>1144.99</v>
      </c>
      <c r="G97" s="31" t="n">
        <v>188.23</v>
      </c>
      <c r="H97" s="31" t="n">
        <v>1.64</v>
      </c>
      <c r="I97" s="31" t="n">
        <v>1098163</v>
      </c>
      <c r="J97" s="31" t="inlineStr">
        <is>
          <t>538405</t>
        </is>
      </c>
    </row>
    <row r="98">
      <c r="A98" s="31" t="inlineStr">
        <is>
          <t>RUBYMILLS</t>
        </is>
      </c>
      <c r="B98" s="31" t="inlineStr">
        <is>
          <t>The Ruby Mills Limited</t>
        </is>
      </c>
      <c r="C98" s="31" t="inlineStr">
        <is>
          <t>textiles</t>
        </is>
      </c>
      <c r="D98" s="31" t="inlineStr">
        <is>
          <t>textiles - composite</t>
        </is>
      </c>
      <c r="E98" s="31" t="inlineStr">
        <is>
          <t>smallcap</t>
        </is>
      </c>
      <c r="F98" s="31" t="n">
        <v>1644.58</v>
      </c>
      <c r="G98" s="31" t="n">
        <v>499.75</v>
      </c>
      <c r="H98" s="31" t="n">
        <v>1.62</v>
      </c>
      <c r="I98" s="31" t="n">
        <v>15683</v>
      </c>
      <c r="J98" s="31" t="inlineStr">
        <is>
          <t>503169</t>
        </is>
      </c>
    </row>
    <row r="99">
      <c r="A99" s="31" t="inlineStr">
        <is>
          <t>SMCGLOBAL</t>
        </is>
      </c>
      <c r="B99" s="31" t="inlineStr">
        <is>
          <t>SMC Global Securities Ltd</t>
        </is>
      </c>
      <c r="C99" s="31" t="inlineStr">
        <is>
          <t>financials</t>
        </is>
      </c>
      <c r="D99" s="31" t="inlineStr">
        <is>
          <t>finance &amp; investments</t>
        </is>
      </c>
      <c r="E99" s="31" t="inlineStr">
        <is>
          <t>smallcap</t>
        </is>
      </c>
      <c r="F99" s="31" t="n">
        <v>1947</v>
      </c>
      <c r="G99" s="31" t="n">
        <v>94.48</v>
      </c>
      <c r="H99" s="31" t="n">
        <v>1.61</v>
      </c>
      <c r="I99" s="31" t="n">
        <v>6836896</v>
      </c>
      <c r="J99" s="31" t="inlineStr">
        <is>
          <t>543263</t>
        </is>
      </c>
    </row>
    <row r="100">
      <c r="A100" s="31" t="inlineStr">
        <is>
          <t>UFLEX</t>
        </is>
      </c>
      <c r="B100" s="31" t="inlineStr">
        <is>
          <t>Uflex Limited</t>
        </is>
      </c>
      <c r="C100" s="31" t="inlineStr">
        <is>
          <t>industrials</t>
        </is>
      </c>
      <c r="D100" s="31" t="inlineStr">
        <is>
          <t>packaging</t>
        </is>
      </c>
      <c r="E100" s="31" t="inlineStr">
        <is>
          <t>smallcap</t>
        </is>
      </c>
      <c r="F100" s="31" t="n">
        <v>4677.14</v>
      </c>
      <c r="G100" s="31" t="n">
        <v>657.85</v>
      </c>
      <c r="H100" s="31" t="n">
        <v>1.57</v>
      </c>
      <c r="I100" s="31" t="n">
        <v>159191</v>
      </c>
      <c r="J100" s="31" t="inlineStr">
        <is>
          <t>500148</t>
        </is>
      </c>
    </row>
    <row r="101">
      <c r="A101" s="31" t="inlineStr">
        <is>
          <t>TBZ</t>
        </is>
      </c>
      <c r="B101" s="31" t="inlineStr">
        <is>
          <t>Tribhovandas Bhimji Zaveri Limited</t>
        </is>
      </c>
      <c r="C101" s="31" t="inlineStr">
        <is>
          <t>consumer discretionary</t>
        </is>
      </c>
      <c r="D101" s="31" t="inlineStr">
        <is>
          <t>diamond cutting / jewellery</t>
        </is>
      </c>
      <c r="E101" s="31" t="inlineStr">
        <is>
          <t>smallcap</t>
        </is>
      </c>
      <c r="F101" s="31" t="n">
        <v>4176</v>
      </c>
      <c r="G101" s="31" t="n">
        <v>635.05</v>
      </c>
      <c r="H101" s="31" t="n">
        <v>1.48</v>
      </c>
      <c r="I101" s="31" t="n">
        <v>175552</v>
      </c>
      <c r="J101" s="31" t="inlineStr">
        <is>
          <t>534369</t>
        </is>
      </c>
    </row>
    <row r="102">
      <c r="A102" s="31" t="inlineStr">
        <is>
          <t>AGI</t>
        </is>
      </c>
      <c r="B102" s="31" t="inlineStr">
        <is>
          <t>AGI Greenpac Ltd</t>
        </is>
      </c>
      <c r="C102" s="31" t="inlineStr">
        <is>
          <t>industrials</t>
        </is>
      </c>
      <c r="D102" s="31" t="inlineStr">
        <is>
          <t>packaging</t>
        </is>
      </c>
      <c r="E102" s="31" t="inlineStr">
        <is>
          <t>midcap</t>
        </is>
      </c>
      <c r="F102" s="31" t="n">
        <v>5129.86</v>
      </c>
      <c r="G102" s="31" t="n">
        <v>804.4</v>
      </c>
      <c r="H102" s="31" t="n">
        <v>1.45</v>
      </c>
      <c r="I102" s="31" t="n">
        <v>112338</v>
      </c>
      <c r="J102" s="31" t="inlineStr">
        <is>
          <t>500187</t>
        </is>
      </c>
    </row>
    <row r="103">
      <c r="A103" s="31" t="inlineStr">
        <is>
          <t>STEELCAS</t>
        </is>
      </c>
      <c r="B103" s="31" t="inlineStr">
        <is>
          <t>Steelcast Ltd</t>
        </is>
      </c>
      <c r="C103" s="31" t="inlineStr">
        <is>
          <t>castings, forgings &amp; fasteners</t>
        </is>
      </c>
      <c r="D103" s="31" t="inlineStr">
        <is>
          <t>castings &amp; forgings</t>
        </is>
      </c>
      <c r="E103" s="31" t="inlineStr">
        <is>
          <t>smallcap</t>
        </is>
      </c>
      <c r="F103" s="31" t="n">
        <v>3762.62</v>
      </c>
      <c r="G103" s="31" t="n">
        <v>377.2</v>
      </c>
      <c r="H103" s="31" t="n">
        <v>1.45</v>
      </c>
      <c r="I103" s="31" t="n">
        <v>169841</v>
      </c>
      <c r="J103" s="31" t="inlineStr">
        <is>
          <t>513517</t>
        </is>
      </c>
    </row>
    <row r="104">
      <c r="A104" s="31" t="inlineStr">
        <is>
          <t>ROSSTECH</t>
        </is>
      </c>
      <c r="B104" s="31" t="inlineStr">
        <is>
          <t>Rossell Techsys Ltd</t>
        </is>
      </c>
      <c r="C104" s="31" t="inlineStr">
        <is>
          <t>aerospace &amp; defence</t>
        </is>
      </c>
      <c r="D104" s="31" t="inlineStr">
        <is>
          <t>engineering</t>
        </is>
      </c>
      <c r="E104" s="31" t="inlineStr">
        <is>
          <t>midcap</t>
        </is>
      </c>
      <c r="F104" s="31" t="n">
        <v>5585.49</v>
      </c>
      <c r="G104" s="31" t="n">
        <v>1503.2</v>
      </c>
      <c r="H104" s="31" t="n">
        <v>1.45</v>
      </c>
      <c r="I104" s="31" t="n">
        <v>253108</v>
      </c>
      <c r="J104" s="31" t="inlineStr">
        <is>
          <t>544294</t>
        </is>
      </c>
    </row>
    <row r="105">
      <c r="A105" s="31" t="inlineStr">
        <is>
          <t>GCSL</t>
        </is>
      </c>
      <c r="B105" s="31" t="inlineStr">
        <is>
          <t>Gretex Corporate Services Ltd</t>
        </is>
      </c>
      <c r="C105" s="31" t="inlineStr">
        <is>
          <t>financials</t>
        </is>
      </c>
      <c r="D105" s="31" t="inlineStr">
        <is>
          <t>finance &amp; investments</t>
        </is>
      </c>
      <c r="E105" s="31" t="inlineStr">
        <is>
          <t>smallcap</t>
        </is>
      </c>
      <c r="F105" s="31" t="n">
        <v>1665.98</v>
      </c>
      <c r="G105" s="31" t="n">
        <v>675.85</v>
      </c>
      <c r="H105" s="31" t="n">
        <v>1.44</v>
      </c>
      <c r="I105" s="31" t="n">
        <v>247015</v>
      </c>
      <c r="J105" s="31" t="inlineStr">
        <is>
          <t>543324</t>
        </is>
      </c>
    </row>
    <row r="106">
      <c r="A106" s="31" t="inlineStr">
        <is>
          <t>GESHIP</t>
        </is>
      </c>
      <c r="B106" s="31" t="inlineStr">
        <is>
          <t>The Great Eastern Shipping Company Limited</t>
        </is>
      </c>
      <c r="C106" s="31" t="inlineStr">
        <is>
          <t>transportation</t>
        </is>
      </c>
      <c r="D106" s="31" t="inlineStr">
        <is>
          <t>shipping</t>
        </is>
      </c>
      <c r="E106" s="31" t="inlineStr">
        <is>
          <t>largecap</t>
        </is>
      </c>
      <c r="F106" s="31" t="n">
        <v>21954.73</v>
      </c>
      <c r="G106" s="31" t="n">
        <v>1560</v>
      </c>
      <c r="H106" s="31" t="n">
        <v>1.44</v>
      </c>
      <c r="I106" s="31" t="n">
        <v>938291</v>
      </c>
      <c r="J106" s="31" t="inlineStr">
        <is>
          <t>500620</t>
        </is>
      </c>
    </row>
    <row r="107">
      <c r="A107" s="31" t="inlineStr">
        <is>
          <t>CEIGALL</t>
        </is>
      </c>
      <c r="B107" s="31" t="inlineStr">
        <is>
          <t>Ceigall India Ltd</t>
        </is>
      </c>
      <c r="C107" s="31" t="inlineStr">
        <is>
          <t>realty</t>
        </is>
      </c>
      <c r="D107" s="31" t="inlineStr">
        <is>
          <t>construction</t>
        </is>
      </c>
      <c r="E107" s="31" t="inlineStr">
        <is>
          <t>midcap</t>
        </is>
      </c>
      <c r="F107" s="31" t="n">
        <v>6577.1</v>
      </c>
      <c r="G107" s="31" t="n">
        <v>382.75</v>
      </c>
      <c r="H107" s="31" t="n">
        <v>1.38</v>
      </c>
      <c r="I107" s="31" t="n">
        <v>305558</v>
      </c>
      <c r="J107" s="31" t="inlineStr">
        <is>
          <t>544223</t>
        </is>
      </c>
    </row>
    <row r="108">
      <c r="A108" s="31" t="inlineStr">
        <is>
          <t>GALAXYSURF</t>
        </is>
      </c>
      <c r="B108" s="31" t="inlineStr">
        <is>
          <t>Galaxy Surfactants Ltd</t>
        </is>
      </c>
      <c r="C108" s="31" t="inlineStr">
        <is>
          <t>chemicals</t>
        </is>
      </c>
      <c r="D108" s="31" t="inlineStr">
        <is>
          <t>chemicals</t>
        </is>
      </c>
      <c r="E108" s="31" t="inlineStr">
        <is>
          <t>midcap</t>
        </is>
      </c>
      <c r="F108" s="31" t="n">
        <v>8158.85</v>
      </c>
      <c r="G108" s="31" t="n">
        <v>2332.8</v>
      </c>
      <c r="H108" s="31" t="n">
        <v>1.37</v>
      </c>
      <c r="I108" s="31" t="n">
        <v>110086</v>
      </c>
      <c r="J108" s="31" t="inlineStr">
        <is>
          <t>540935</t>
        </is>
      </c>
    </row>
    <row r="109">
      <c r="A109" s="31" t="inlineStr">
        <is>
          <t>NRAIL</t>
        </is>
      </c>
      <c r="B109" s="31" t="inlineStr">
        <is>
          <t>N R Agarwal Industries Ltd</t>
        </is>
      </c>
      <c r="C109" s="31" t="inlineStr">
        <is>
          <t>building materials</t>
        </is>
      </c>
      <c r="D109" s="31" t="inlineStr">
        <is>
          <t>paper</t>
        </is>
      </c>
      <c r="E109" s="31" t="inlineStr">
        <is>
          <t>smallcap</t>
        </is>
      </c>
      <c r="F109" s="31" t="n">
        <v>1124.11</v>
      </c>
      <c r="G109" s="31" t="n">
        <v>669.45</v>
      </c>
      <c r="H109" s="31" t="n">
        <v>1.36</v>
      </c>
      <c r="I109" s="31" t="n">
        <v>9700</v>
      </c>
      <c r="J109" s="31" t="inlineStr">
        <is>
          <t>516082</t>
        </is>
      </c>
    </row>
    <row r="110">
      <c r="A110" s="31" t="inlineStr">
        <is>
          <t>SGIL</t>
        </is>
      </c>
      <c r="B110" s="31" t="inlineStr">
        <is>
          <t>Synergy Green Industries Ltd</t>
        </is>
      </c>
      <c r="C110" s="31" t="inlineStr">
        <is>
          <t>castings, forgings &amp; fasteners</t>
        </is>
      </c>
      <c r="D110" s="31" t="inlineStr">
        <is>
          <t>castings &amp; forgings</t>
        </is>
      </c>
      <c r="E110" s="31" t="inlineStr">
        <is>
          <t>smallcap</t>
        </is>
      </c>
      <c r="F110" s="31" t="n">
        <v>1021.72</v>
      </c>
      <c r="G110" s="31" t="n">
        <v>666.2</v>
      </c>
      <c r="H110" s="31" t="n">
        <v>1.35</v>
      </c>
      <c r="I110" s="31" t="n">
        <v>4759</v>
      </c>
      <c r="J110" s="31" t="inlineStr">
        <is>
          <t>541929</t>
        </is>
      </c>
    </row>
    <row r="111">
      <c r="A111" s="31" t="inlineStr">
        <is>
          <t>PREMEXPLN</t>
        </is>
      </c>
      <c r="B111" s="31" t="inlineStr">
        <is>
          <t>Premier Explosives Limited</t>
        </is>
      </c>
      <c r="C111" s="31" t="inlineStr">
        <is>
          <t>aerospace &amp; defence</t>
        </is>
      </c>
      <c r="D111" s="31" t="inlineStr">
        <is>
          <t>chemicals</t>
        </is>
      </c>
      <c r="E111" s="31" t="inlineStr">
        <is>
          <t>smallcap</t>
        </is>
      </c>
      <c r="F111" s="31" t="n">
        <v>3630.49</v>
      </c>
      <c r="G111" s="31" t="n">
        <v>684.1</v>
      </c>
      <c r="H111" s="31" t="n">
        <v>1.3</v>
      </c>
      <c r="I111" s="31" t="n">
        <v>494973</v>
      </c>
      <c r="J111" s="31" t="inlineStr">
        <is>
          <t>526247</t>
        </is>
      </c>
    </row>
    <row r="112">
      <c r="A112" s="31" t="inlineStr">
        <is>
          <t>DBOL</t>
        </is>
      </c>
      <c r="B112" s="31" t="inlineStr">
        <is>
          <t>Dhampur Bio Organics Ltd</t>
        </is>
      </c>
      <c r="C112" s="31" t="inlineStr">
        <is>
          <t>fmcg</t>
        </is>
      </c>
      <c r="D112" s="31" t="inlineStr">
        <is>
          <t>sugar</t>
        </is>
      </c>
      <c r="E112" s="31" t="inlineStr">
        <is>
          <t>smallcap</t>
        </is>
      </c>
      <c r="F112" s="31" t="n">
        <v>826.46</v>
      </c>
      <c r="G112" s="31" t="n">
        <v>126.1</v>
      </c>
      <c r="H112" s="31" t="n">
        <v>1.29</v>
      </c>
      <c r="I112" s="31" t="n">
        <v>321088</v>
      </c>
      <c r="J112" s="31" t="inlineStr">
        <is>
          <t>543593</t>
        </is>
      </c>
    </row>
    <row r="113">
      <c r="A113" s="31" t="inlineStr">
        <is>
          <t>UNITEDPOLY</t>
        </is>
      </c>
      <c r="B113" s="31" t="inlineStr">
        <is>
          <t>United Polyfab Gujarat Ltd</t>
        </is>
      </c>
      <c r="C113" s="31" t="inlineStr">
        <is>
          <t>textiles</t>
        </is>
      </c>
      <c r="D113" s="31" t="inlineStr">
        <is>
          <t>textiles - products</t>
        </is>
      </c>
      <c r="E113" s="31" t="inlineStr">
        <is>
          <t>smallcap</t>
        </is>
      </c>
      <c r="F113" s="31" t="n">
        <v>1075.74</v>
      </c>
      <c r="G113" s="31" t="n">
        <v>47.47</v>
      </c>
      <c r="H113" s="31" t="n">
        <v>1.28</v>
      </c>
      <c r="I113" s="31" t="n">
        <v>555562</v>
      </c>
      <c r="J113" s="31" t="inlineStr">
        <is>
          <t>533024</t>
        </is>
      </c>
    </row>
    <row r="114">
      <c r="A114" s="31" t="inlineStr">
        <is>
          <t>ARIES</t>
        </is>
      </c>
      <c r="B114" s="31" t="inlineStr">
        <is>
          <t>Aries Agro Limited</t>
        </is>
      </c>
      <c r="C114" s="31" t="inlineStr">
        <is>
          <t>chemicals</t>
        </is>
      </c>
      <c r="D114" s="31" t="inlineStr">
        <is>
          <t>fertilizers</t>
        </is>
      </c>
      <c r="E114" s="31" t="inlineStr">
        <is>
          <t>smallcap</t>
        </is>
      </c>
      <c r="F114" s="31" t="n">
        <v>617.45</v>
      </c>
      <c r="G114" s="31" t="n">
        <v>480.55</v>
      </c>
      <c r="H114" s="31" t="n">
        <v>1.21</v>
      </c>
      <c r="I114" s="31" t="n">
        <v>9875</v>
      </c>
      <c r="J114" s="31" t="inlineStr">
        <is>
          <t>532935</t>
        </is>
      </c>
    </row>
    <row r="115">
      <c r="A115" s="31" t="inlineStr">
        <is>
          <t>NAZARA</t>
        </is>
      </c>
      <c r="B115" s="31" t="inlineStr">
        <is>
          <t>Nazara Technologies Ltd</t>
        </is>
      </c>
      <c r="C115" s="31" t="inlineStr">
        <is>
          <t>i.t</t>
        </is>
      </c>
      <c r="D115" s="31" t="inlineStr">
        <is>
          <t>telecommunications - service provider</t>
        </is>
      </c>
      <c r="E115" s="31" t="inlineStr">
        <is>
          <t>midcap</t>
        </is>
      </c>
      <c r="F115" s="31" t="n">
        <v>14941.59</v>
      </c>
      <c r="G115" s="31" t="n">
        <v>392.85</v>
      </c>
      <c r="H115" s="31" t="n">
        <v>1.15</v>
      </c>
      <c r="I115" s="31" t="n">
        <v>2088636</v>
      </c>
      <c r="J115" s="31" t="inlineStr">
        <is>
          <t>543280</t>
        </is>
      </c>
    </row>
    <row r="116">
      <c r="A116" s="31" t="inlineStr">
        <is>
          <t>HARSHA</t>
        </is>
      </c>
      <c r="B116" s="31" t="inlineStr">
        <is>
          <t>Harsha Engineers International Ltd</t>
        </is>
      </c>
      <c r="C116" s="31" t="inlineStr">
        <is>
          <t>industrials</t>
        </is>
      </c>
      <c r="D116" s="31" t="inlineStr">
        <is>
          <t>engineering</t>
        </is>
      </c>
      <c r="E116" s="31" t="inlineStr">
        <is>
          <t>smallcap</t>
        </is>
      </c>
      <c r="F116" s="31" t="n">
        <v>4234.01</v>
      </c>
      <c r="G116" s="31" t="n">
        <v>470.3</v>
      </c>
      <c r="H116" s="31" t="n">
        <v>1.13</v>
      </c>
      <c r="I116" s="31" t="n">
        <v>95299</v>
      </c>
      <c r="J116" s="31" t="inlineStr">
        <is>
          <t>543600</t>
        </is>
      </c>
    </row>
    <row r="117">
      <c r="A117" s="31" t="inlineStr">
        <is>
          <t>TDPOWERSYS</t>
        </is>
      </c>
      <c r="B117" s="31" t="inlineStr">
        <is>
          <t>Td Power Systems Limited</t>
        </is>
      </c>
      <c r="C117" s="31" t="inlineStr">
        <is>
          <t>industrials</t>
        </is>
      </c>
      <c r="D117" s="31" t="inlineStr">
        <is>
          <t>electric equipment</t>
        </is>
      </c>
      <c r="E117" s="31" t="inlineStr">
        <is>
          <t>midcap</t>
        </is>
      </c>
      <c r="F117" s="31" t="n">
        <v>12144.42</v>
      </c>
      <c r="G117" s="31" t="n">
        <v>786.05</v>
      </c>
      <c r="H117" s="31" t="n">
        <v>1.12</v>
      </c>
      <c r="I117" s="31" t="n">
        <v>2612869</v>
      </c>
      <c r="J117" s="31" t="inlineStr">
        <is>
          <t>533553</t>
        </is>
      </c>
    </row>
    <row r="118">
      <c r="A118" s="31" t="inlineStr">
        <is>
          <t>CONFIPET</t>
        </is>
      </c>
      <c r="B118" s="31" t="inlineStr">
        <is>
          <t>Confidence Petroleum India Ltd</t>
        </is>
      </c>
      <c r="C118" s="31" t="inlineStr">
        <is>
          <t>miscellaneous</t>
        </is>
      </c>
      <c r="D118" s="31" t="inlineStr">
        <is>
          <t>miscellaneous</t>
        </is>
      </c>
      <c r="E118" s="31" t="inlineStr">
        <is>
          <t>smallcap</t>
        </is>
      </c>
      <c r="F118" s="31" t="n">
        <v>2896.81</v>
      </c>
      <c r="G118" s="31" t="n">
        <v>88.13</v>
      </c>
      <c r="H118" s="31" t="n">
        <v>1.08</v>
      </c>
      <c r="I118" s="31" t="n">
        <v>1829935</v>
      </c>
      <c r="J118" s="31" t="inlineStr">
        <is>
          <t>526829</t>
        </is>
      </c>
    </row>
    <row r="119">
      <c r="A119" s="31" t="inlineStr">
        <is>
          <t>FINCABLES</t>
        </is>
      </c>
      <c r="B119" s="31" t="inlineStr">
        <is>
          <t>Finolex Cables Limited</t>
        </is>
      </c>
      <c r="C119" s="31" t="inlineStr">
        <is>
          <t>industrials</t>
        </is>
      </c>
      <c r="D119" s="31" t="inlineStr">
        <is>
          <t>cables - power</t>
        </is>
      </c>
      <c r="E119" s="31" t="inlineStr">
        <is>
          <t>largecap</t>
        </is>
      </c>
      <c r="F119" s="31" t="n">
        <v>21954.44</v>
      </c>
      <c r="G119" s="31" t="n">
        <v>1450.3</v>
      </c>
      <c r="H119" s="31" t="n">
        <v>1.03</v>
      </c>
      <c r="I119" s="31" t="n">
        <v>452990</v>
      </c>
      <c r="J119" s="31" t="inlineStr">
        <is>
          <t>500144</t>
        </is>
      </c>
    </row>
    <row r="120">
      <c r="A120" s="31" t="inlineStr">
        <is>
          <t>QUADFUTURE</t>
        </is>
      </c>
      <c r="B120" s="31" t="inlineStr">
        <is>
          <t>Quadrant Future Tek Ltd</t>
        </is>
      </c>
      <c r="C120" s="31" t="inlineStr">
        <is>
          <t>industrials</t>
        </is>
      </c>
      <c r="D120" s="31" t="inlineStr">
        <is>
          <t>cables - power</t>
        </is>
      </c>
      <c r="E120" s="31" t="inlineStr">
        <is>
          <t>smallcap</t>
        </is>
      </c>
      <c r="F120" s="31" t="n">
        <v>2168.6</v>
      </c>
      <c r="G120" s="31" t="n">
        <v>547.45</v>
      </c>
      <c r="H120" s="31" t="n">
        <v>0.98</v>
      </c>
      <c r="I120" s="31" t="n">
        <v>852162</v>
      </c>
      <c r="J120" s="31" t="inlineStr">
        <is>
          <t>544336</t>
        </is>
      </c>
    </row>
    <row r="121">
      <c r="A121" s="31" t="inlineStr">
        <is>
          <t>INDIAGLYCO</t>
        </is>
      </c>
      <c r="B121" s="31" t="inlineStr">
        <is>
          <t>India Glycols Limited</t>
        </is>
      </c>
      <c r="C121" s="31" t="inlineStr">
        <is>
          <t>fmcg</t>
        </is>
      </c>
      <c r="D121" s="31" t="inlineStr">
        <is>
          <t>breweries &amp; distilleries</t>
        </is>
      </c>
      <c r="E121" s="31" t="inlineStr">
        <is>
          <t>smallcap</t>
        </is>
      </c>
      <c r="F121" s="31" t="n">
        <v>2040.97</v>
      </c>
      <c r="G121" s="31" t="n">
        <v>307.4</v>
      </c>
      <c r="H121" s="31" t="n">
        <v>0.95</v>
      </c>
      <c r="I121" s="31" t="n">
        <v>321153</v>
      </c>
      <c r="J121" s="31" t="inlineStr">
        <is>
          <t>500201</t>
        </is>
      </c>
    </row>
    <row r="122">
      <c r="A122" s="31" t="inlineStr">
        <is>
          <t>WELSPUNLIV</t>
        </is>
      </c>
      <c r="B122" s="31" t="inlineStr">
        <is>
          <t>Welspun Living Ltd</t>
        </is>
      </c>
      <c r="C122" s="31" t="inlineStr">
        <is>
          <t>textiles</t>
        </is>
      </c>
      <c r="D122" s="31" t="inlineStr">
        <is>
          <t>textiles - products</t>
        </is>
      </c>
      <c r="E122" s="31" t="inlineStr">
        <is>
          <t>largecap</t>
        </is>
      </c>
      <c r="F122" s="31" t="n">
        <v>21276.77</v>
      </c>
      <c r="G122" s="31" t="n">
        <v>227.33</v>
      </c>
      <c r="H122" s="31" t="n">
        <v>0.9399999999999999</v>
      </c>
      <c r="I122" s="31" t="n">
        <v>3089710</v>
      </c>
      <c r="J122" s="31" t="inlineStr">
        <is>
          <t>514162</t>
        </is>
      </c>
    </row>
    <row r="123">
      <c r="A123" s="31" t="inlineStr">
        <is>
          <t>SHREEJISPG</t>
        </is>
      </c>
      <c r="B123" s="31" t="inlineStr">
        <is>
          <t>Shreeji Shipping Global Ltd</t>
        </is>
      </c>
      <c r="C123" s="31" t="inlineStr">
        <is>
          <t>transportation</t>
        </is>
      </c>
      <c r="D123" s="31" t="inlineStr">
        <is>
          <t>shipping</t>
        </is>
      </c>
      <c r="E123" s="31" t="inlineStr">
        <is>
          <t>midcap</t>
        </is>
      </c>
      <c r="F123" s="31" t="n">
        <v>12435.55</v>
      </c>
      <c r="G123" s="31" t="n">
        <v>770.4</v>
      </c>
      <c r="H123" s="31" t="n">
        <v>0.93</v>
      </c>
      <c r="I123" s="31" t="n">
        <v>359788</v>
      </c>
      <c r="J123" s="31" t="inlineStr">
        <is>
          <t>544490</t>
        </is>
      </c>
    </row>
    <row r="124">
      <c r="A124" s="31" t="inlineStr">
        <is>
          <t>FAIRCHEMOR</t>
        </is>
      </c>
      <c r="B124" s="31" t="inlineStr">
        <is>
          <t>Fairchem Organics Ltd</t>
        </is>
      </c>
      <c r="C124" s="31" t="inlineStr">
        <is>
          <t>chemicals</t>
        </is>
      </c>
      <c r="D124" s="31" t="inlineStr">
        <is>
          <t>chemicals</t>
        </is>
      </c>
      <c r="E124" s="31" t="inlineStr">
        <is>
          <t>smallcap</t>
        </is>
      </c>
      <c r="F124" s="31" t="n">
        <v>849.85</v>
      </c>
      <c r="G124" s="31" t="n">
        <v>680.75</v>
      </c>
      <c r="H124" s="31" t="n">
        <v>0.9</v>
      </c>
      <c r="I124" s="31" t="n">
        <v>5353</v>
      </c>
      <c r="J124" s="31" t="inlineStr">
        <is>
          <t>543252</t>
        </is>
      </c>
    </row>
    <row r="125">
      <c r="A125" s="31" t="inlineStr">
        <is>
          <t>AVADHSUGAR</t>
        </is>
      </c>
      <c r="B125" s="31" t="inlineStr">
        <is>
          <t>Avadh Sugar &amp; Energy</t>
        </is>
      </c>
      <c r="C125" s="31" t="inlineStr">
        <is>
          <t>fmcg</t>
        </is>
      </c>
      <c r="D125" s="31" t="inlineStr">
        <is>
          <t>sugar</t>
        </is>
      </c>
      <c r="E125" s="31" t="inlineStr">
        <is>
          <t>smallcap</t>
        </is>
      </c>
      <c r="F125" s="31" t="n">
        <v>1588.36</v>
      </c>
      <c r="G125" s="31" t="n">
        <v>800.2</v>
      </c>
      <c r="H125" s="31" t="n">
        <v>0.85</v>
      </c>
      <c r="I125" s="31" t="n">
        <v>100923</v>
      </c>
      <c r="J125" s="31" t="inlineStr">
        <is>
          <t>540649</t>
        </is>
      </c>
    </row>
    <row r="126">
      <c r="A126" s="31" t="inlineStr">
        <is>
          <t>HITECHCORP</t>
        </is>
      </c>
      <c r="B126" s="31" t="inlineStr">
        <is>
          <t>Hitech Corporation</t>
        </is>
      </c>
      <c r="C126" s="31" t="inlineStr">
        <is>
          <t>industrials</t>
        </is>
      </c>
      <c r="D126" s="31" t="inlineStr">
        <is>
          <t>packaging</t>
        </is>
      </c>
      <c r="E126" s="31" t="inlineStr">
        <is>
          <t>smallcap</t>
        </is>
      </c>
      <c r="F126" s="31" t="n">
        <v>588.1799999999999</v>
      </c>
      <c r="G126" s="31" t="n">
        <v>345.25</v>
      </c>
      <c r="H126" s="31" t="n">
        <v>0.82</v>
      </c>
      <c r="I126" s="31" t="n">
        <v>28964</v>
      </c>
      <c r="J126" s="31" t="inlineStr">
        <is>
          <t>526217</t>
        </is>
      </c>
    </row>
    <row r="127">
      <c r="A127" s="31" t="inlineStr">
        <is>
          <t>EMAMIPAP</t>
        </is>
      </c>
      <c r="B127" s="31" t="inlineStr">
        <is>
          <t>Emami Paper Mills Ltd</t>
        </is>
      </c>
      <c r="C127" s="31" t="inlineStr">
        <is>
          <t>building materials</t>
        </is>
      </c>
      <c r="D127" s="31" t="inlineStr">
        <is>
          <t>paper</t>
        </is>
      </c>
      <c r="E127" s="31" t="inlineStr">
        <is>
          <t>smallcap</t>
        </is>
      </c>
      <c r="F127" s="31" t="n">
        <v>717.64</v>
      </c>
      <c r="G127" s="31" t="n">
        <v>119.56</v>
      </c>
      <c r="H127" s="31" t="n">
        <v>0.79</v>
      </c>
      <c r="I127" s="31" t="n">
        <v>38369</v>
      </c>
      <c r="J127" s="31" t="inlineStr">
        <is>
          <t>533208</t>
        </is>
      </c>
    </row>
    <row r="128">
      <c r="A128" s="31" t="inlineStr">
        <is>
          <t>GNA</t>
        </is>
      </c>
      <c r="B128" s="31" t="inlineStr">
        <is>
          <t>Gna Axles Limited</t>
        </is>
      </c>
      <c r="C128" s="31" t="inlineStr">
        <is>
          <t>auto</t>
        </is>
      </c>
      <c r="D128" s="31" t="inlineStr">
        <is>
          <t>auto ancillaries</t>
        </is>
      </c>
      <c r="E128" s="31" t="inlineStr">
        <is>
          <t>smallcap</t>
        </is>
      </c>
      <c r="F128" s="31" t="n">
        <v>2549.02</v>
      </c>
      <c r="G128" s="31" t="n">
        <v>598.35</v>
      </c>
      <c r="H128" s="31" t="n">
        <v>0.77</v>
      </c>
      <c r="I128" s="31" t="n">
        <v>510171</v>
      </c>
      <c r="J128" s="31" t="inlineStr">
        <is>
          <t>540124</t>
        </is>
      </c>
    </row>
    <row r="129">
      <c r="A129" s="31" t="inlineStr">
        <is>
          <t>WHEELS</t>
        </is>
      </c>
      <c r="B129" s="31" t="inlineStr">
        <is>
          <t>Wheels India Limited</t>
        </is>
      </c>
      <c r="C129" s="31" t="inlineStr">
        <is>
          <t>auto</t>
        </is>
      </c>
      <c r="D129" s="31" t="inlineStr">
        <is>
          <t>auto ancillaries</t>
        </is>
      </c>
      <c r="E129" s="31" t="inlineStr">
        <is>
          <t>midcap</t>
        </is>
      </c>
      <c r="F129" s="31" t="n">
        <v>5385.04</v>
      </c>
      <c r="G129" s="31" t="n">
        <v>2221</v>
      </c>
      <c r="H129" s="31" t="n">
        <v>0.77</v>
      </c>
      <c r="I129" s="31" t="n">
        <v>134353</v>
      </c>
      <c r="J129" s="31" t="inlineStr">
        <is>
          <t>590073</t>
        </is>
      </c>
    </row>
    <row r="130">
      <c r="A130" s="31" t="inlineStr">
        <is>
          <t>CPPLUS</t>
        </is>
      </c>
      <c r="B130" s="31" t="inlineStr">
        <is>
          <t>Aditya Infotech Ltd</t>
        </is>
      </c>
      <c r="C130" s="31" t="inlineStr">
        <is>
          <t>consumer discretionary</t>
        </is>
      </c>
      <c r="D130" s="31" t="inlineStr">
        <is>
          <t>trading</t>
        </is>
      </c>
      <c r="E130" s="31" t="inlineStr">
        <is>
          <t>largecap</t>
        </is>
      </c>
      <c r="F130" s="31" t="n">
        <v>44990.6</v>
      </c>
      <c r="G130" s="31" t="n">
        <v>3846.5</v>
      </c>
      <c r="H130" s="31" t="n">
        <v>0.76</v>
      </c>
      <c r="I130" s="31" t="n">
        <v>237687</v>
      </c>
      <c r="J130" s="31" t="inlineStr">
        <is>
          <t>544466</t>
        </is>
      </c>
    </row>
    <row r="131">
      <c r="A131" s="31" t="inlineStr">
        <is>
          <t>NEOGEN</t>
        </is>
      </c>
      <c r="B131" s="31" t="inlineStr">
        <is>
          <t>Neogen Chemicals Ltd</t>
        </is>
      </c>
      <c r="C131" s="31" t="inlineStr">
        <is>
          <t>chemicals</t>
        </is>
      </c>
      <c r="D131" s="31" t="inlineStr">
        <is>
          <t>chemicals</t>
        </is>
      </c>
      <c r="E131" s="31" t="inlineStr">
        <is>
          <t>midcap</t>
        </is>
      </c>
      <c r="F131" s="31" t="n">
        <v>7316.23</v>
      </c>
      <c r="G131" s="31" t="n">
        <v>2451.6</v>
      </c>
      <c r="H131" s="31" t="n">
        <v>0.67</v>
      </c>
      <c r="I131" s="31" t="n">
        <v>147004</v>
      </c>
      <c r="J131" s="31" t="inlineStr">
        <is>
          <t>542665</t>
        </is>
      </c>
    </row>
    <row r="132">
      <c r="A132" s="31" t="inlineStr">
        <is>
          <t>SOMANYCERA</t>
        </is>
      </c>
      <c r="B132" s="31" t="inlineStr">
        <is>
          <t>Somany Ceramics Limited</t>
        </is>
      </c>
      <c r="C132" s="31" t="inlineStr">
        <is>
          <t>building materials</t>
        </is>
      </c>
      <c r="D132" s="31" t="inlineStr">
        <is>
          <t>ceramics - tiles / sanitaryware</t>
        </is>
      </c>
      <c r="E132" s="31" t="inlineStr">
        <is>
          <t>smallcap</t>
        </is>
      </c>
      <c r="F132" s="31" t="n">
        <v>2517.57</v>
      </c>
      <c r="G132" s="31" t="n">
        <v>617.75</v>
      </c>
      <c r="H132" s="31" t="n">
        <v>0.64</v>
      </c>
      <c r="I132" s="31" t="n">
        <v>64566</v>
      </c>
      <c r="J132" s="31" t="inlineStr">
        <is>
          <t>531548</t>
        </is>
      </c>
    </row>
    <row r="133">
      <c r="A133" s="31" t="inlineStr">
        <is>
          <t>SHANTIGOLD</t>
        </is>
      </c>
      <c r="B133" s="31" t="inlineStr">
        <is>
          <t>Shanti Gold International Ltd</t>
        </is>
      </c>
      <c r="C133" s="31" t="inlineStr">
        <is>
          <t>consumer discretionary</t>
        </is>
      </c>
      <c r="D133" s="31" t="inlineStr">
        <is>
          <t>diamond cutting / jewellery</t>
        </is>
      </c>
      <c r="E133" s="31" t="inlineStr">
        <is>
          <t>smallcap</t>
        </is>
      </c>
      <c r="F133" s="31" t="n">
        <v>2354.75</v>
      </c>
      <c r="G133" s="31" t="n">
        <v>308.6</v>
      </c>
      <c r="H133" s="31" t="n">
        <v>0.57</v>
      </c>
      <c r="I133" s="31" t="n">
        <v>3315946</v>
      </c>
      <c r="J133" s="31" t="inlineStr">
        <is>
          <t>544459</t>
        </is>
      </c>
    </row>
    <row r="134">
      <c r="A134" s="31" t="inlineStr">
        <is>
          <t>ANDHRAPAP</t>
        </is>
      </c>
      <c r="B134" s="31" t="inlineStr">
        <is>
          <t>Andhra Paper Ltd</t>
        </is>
      </c>
      <c r="C134" s="31" t="inlineStr">
        <is>
          <t>building materials</t>
        </is>
      </c>
      <c r="D134" s="31" t="inlineStr">
        <is>
          <t>paper</t>
        </is>
      </c>
      <c r="E134" s="31" t="inlineStr">
        <is>
          <t>smallcap</t>
        </is>
      </c>
      <c r="F134" s="31" t="n">
        <v>1438.08</v>
      </c>
      <c r="G134" s="31" t="n">
        <v>72.68000000000001</v>
      </c>
      <c r="H134" s="31" t="n">
        <v>0.5</v>
      </c>
      <c r="I134" s="31" t="n">
        <v>240993</v>
      </c>
      <c r="J134" s="31" t="inlineStr">
        <is>
          <t>502330</t>
        </is>
      </c>
    </row>
    <row r="135">
      <c r="A135" s="31" t="inlineStr">
        <is>
          <t>KROSS</t>
        </is>
      </c>
      <c r="B135" s="31" t="inlineStr">
        <is>
          <t>Kross Ltd</t>
        </is>
      </c>
      <c r="C135" s="31" t="inlineStr">
        <is>
          <t>auto</t>
        </is>
      </c>
      <c r="D135" s="31" t="inlineStr">
        <is>
          <t>auto ancillaries</t>
        </is>
      </c>
      <c r="E135" s="31" t="inlineStr">
        <is>
          <t>smallcap</t>
        </is>
      </c>
      <c r="F135" s="31" t="n">
        <v>1689.05</v>
      </c>
      <c r="G135" s="31" t="n">
        <v>263.05</v>
      </c>
      <c r="H135" s="31" t="n">
        <v>0.47</v>
      </c>
      <c r="I135" s="31" t="n">
        <v>623813</v>
      </c>
      <c r="J135" s="31" t="inlineStr">
        <is>
          <t>544253</t>
        </is>
      </c>
    </row>
    <row r="136">
      <c r="A136" s="31" t="inlineStr">
        <is>
          <t>RGL</t>
        </is>
      </c>
      <c r="B136" s="31" t="inlineStr">
        <is>
          <t>Renaissance Global Ltd</t>
        </is>
      </c>
      <c r="C136" s="31" t="inlineStr">
        <is>
          <t>consumer discretionary</t>
        </is>
      </c>
      <c r="D136" s="31" t="inlineStr">
        <is>
          <t>diamond cutting / jewellery</t>
        </is>
      </c>
      <c r="E136" s="31" t="inlineStr">
        <is>
          <t>smallcap</t>
        </is>
      </c>
      <c r="F136" s="31" t="n">
        <v>1763.74</v>
      </c>
      <c r="G136" s="31" t="n">
        <v>165.02</v>
      </c>
      <c r="H136" s="31" t="n">
        <v>0.46</v>
      </c>
      <c r="I136" s="31" t="n">
        <v>340639</v>
      </c>
      <c r="J136" s="31" t="inlineStr">
        <is>
          <t>532923</t>
        </is>
      </c>
    </row>
    <row r="137">
      <c r="A137" s="31" t="inlineStr">
        <is>
          <t>REDINGTON</t>
        </is>
      </c>
      <c r="B137" s="31" t="inlineStr">
        <is>
          <t>Redington (india) Limited</t>
        </is>
      </c>
      <c r="C137" s="31" t="inlineStr">
        <is>
          <t>services</t>
        </is>
      </c>
      <c r="D137" s="31" t="inlineStr">
        <is>
          <t>trading</t>
        </is>
      </c>
      <c r="E137" s="31" t="inlineStr">
        <is>
          <t>largecap</t>
        </is>
      </c>
      <c r="F137" s="31" t="n">
        <v>31697.04</v>
      </c>
      <c r="G137" s="31" t="n">
        <v>407</v>
      </c>
      <c r="H137" s="31" t="n">
        <v>0.38</v>
      </c>
      <c r="I137" s="31" t="n">
        <v>4204334</v>
      </c>
      <c r="J137" s="31" t="inlineStr">
        <is>
          <t>532805</t>
        </is>
      </c>
    </row>
    <row r="138">
      <c r="A138" s="31" t="inlineStr">
        <is>
          <t>CASTROLIND</t>
        </is>
      </c>
      <c r="B138" s="31" t="inlineStr">
        <is>
          <t>Castrol India Limited</t>
        </is>
      </c>
      <c r="C138" s="31" t="inlineStr">
        <is>
          <t>chemicals</t>
        </is>
      </c>
      <c r="D138" s="31" t="inlineStr">
        <is>
          <t>chemicals</t>
        </is>
      </c>
      <c r="E138" s="31" t="inlineStr">
        <is>
          <t>midcap</t>
        </is>
      </c>
      <c r="F138" s="31" t="n">
        <v>19765.63</v>
      </c>
      <c r="G138" s="31" t="n">
        <v>200.52</v>
      </c>
      <c r="H138" s="31" t="n">
        <v>0.35</v>
      </c>
      <c r="I138" s="31" t="n">
        <v>2564891</v>
      </c>
      <c r="J138" s="31" t="inlineStr">
        <is>
          <t>500870</t>
        </is>
      </c>
    </row>
    <row r="139">
      <c r="A139" s="31" t="inlineStr">
        <is>
          <t>ABDL</t>
        </is>
      </c>
      <c r="B139" s="31" t="inlineStr">
        <is>
          <t>Allied Blenders &amp; Distillers Ltd</t>
        </is>
      </c>
      <c r="C139" s="31" t="inlineStr">
        <is>
          <t>fmcg</t>
        </is>
      </c>
      <c r="D139" s="31" t="inlineStr">
        <is>
          <t>breweries &amp; distilleries</t>
        </is>
      </c>
      <c r="E139" s="31" t="inlineStr">
        <is>
          <t>largecap</t>
        </is>
      </c>
      <c r="F139" s="31" t="n">
        <v>20041.23</v>
      </c>
      <c r="G139" s="31" t="n">
        <v>718.9</v>
      </c>
      <c r="H139" s="31" t="n">
        <v>0.34</v>
      </c>
      <c r="I139" s="31" t="n">
        <v>319559</v>
      </c>
      <c r="J139" s="31" t="inlineStr">
        <is>
          <t>544203</t>
        </is>
      </c>
    </row>
    <row r="140">
      <c r="A140" s="31" t="inlineStr">
        <is>
          <t>IIFLCAPS</t>
        </is>
      </c>
      <c r="B140" s="31" t="inlineStr">
        <is>
          <t>IIFL Capital Services Ltd</t>
        </is>
      </c>
      <c r="C140" s="31" t="inlineStr">
        <is>
          <t>financials</t>
        </is>
      </c>
      <c r="D140" s="31" t="inlineStr">
        <is>
          <t>finance &amp; investments</t>
        </is>
      </c>
      <c r="E140" s="31" t="inlineStr">
        <is>
          <t>midcap</t>
        </is>
      </c>
      <c r="F140" s="31" t="n">
        <v>10812.48</v>
      </c>
      <c r="G140" s="31" t="n">
        <v>346</v>
      </c>
      <c r="H140" s="31" t="n">
        <v>0.3</v>
      </c>
      <c r="I140" s="31" t="n">
        <v>1333723</v>
      </c>
      <c r="J140" s="31" t="inlineStr">
        <is>
          <t>542773</t>
        </is>
      </c>
    </row>
    <row r="141">
      <c r="A141" s="31" t="inlineStr">
        <is>
          <t>ACMESOLAR</t>
        </is>
      </c>
      <c r="B141" s="31" t="inlineStr">
        <is>
          <t>ACME Solar Holdings Ltd</t>
        </is>
      </c>
      <c r="C141" s="31" t="inlineStr">
        <is>
          <t>realty</t>
        </is>
      </c>
      <c r="D141" s="31" t="inlineStr">
        <is>
          <t>engineering - turnkey services</t>
        </is>
      </c>
      <c r="E141" s="31" t="inlineStr">
        <is>
          <t>largecap</t>
        </is>
      </c>
      <c r="F141" s="31" t="n">
        <v>30957.56</v>
      </c>
      <c r="G141" s="31" t="n">
        <v>439</v>
      </c>
      <c r="H141" s="31" t="n">
        <v>0.24</v>
      </c>
      <c r="I141" s="31" t="n">
        <v>1108840</v>
      </c>
      <c r="J141" s="31" t="inlineStr">
        <is>
          <t>544283</t>
        </is>
      </c>
    </row>
    <row r="142">
      <c r="A142" s="31" t="inlineStr">
        <is>
          <t>MANBA</t>
        </is>
      </c>
      <c r="B142" s="31" t="inlineStr">
        <is>
          <t>Manba Finance Ltd</t>
        </is>
      </c>
      <c r="C142" s="31" t="inlineStr">
        <is>
          <t>financials</t>
        </is>
      </c>
      <c r="D142" s="31" t="inlineStr">
        <is>
          <t>finance &amp; investments</t>
        </is>
      </c>
      <c r="E142" s="31" t="inlineStr">
        <is>
          <t>smallcap</t>
        </is>
      </c>
      <c r="F142" s="31" t="n">
        <v>685.87</v>
      </c>
      <c r="G142" s="31" t="n">
        <v>136.84</v>
      </c>
      <c r="H142" s="31" t="n">
        <v>0.23</v>
      </c>
      <c r="I142" s="31" t="n">
        <v>93564</v>
      </c>
      <c r="J142" s="31" t="inlineStr">
        <is>
          <t>544262</t>
        </is>
      </c>
    </row>
    <row r="143">
      <c r="A143" s="31" t="inlineStr">
        <is>
          <t>LLOYDSENT</t>
        </is>
      </c>
      <c r="B143" s="31" t="inlineStr">
        <is>
          <t>Lloyds Enterprises Ltd</t>
        </is>
      </c>
      <c r="C143" s="31" t="inlineStr">
        <is>
          <t>services</t>
        </is>
      </c>
      <c r="D143" s="31" t="inlineStr">
        <is>
          <t>trading</t>
        </is>
      </c>
      <c r="E143" s="31" t="inlineStr">
        <is>
          <t>midcap</t>
        </is>
      </c>
      <c r="F143" s="31" t="n">
        <v>12079.61</v>
      </c>
      <c r="G143" s="31" t="n">
        <v>79.23</v>
      </c>
      <c r="H143" s="31" t="n">
        <v>0.13</v>
      </c>
      <c r="I143" s="31" t="n">
        <v>4337499</v>
      </c>
      <c r="J143" s="31" t="inlineStr">
        <is>
          <t>512463</t>
        </is>
      </c>
    </row>
    <row r="144">
      <c r="A144" s="31" t="inlineStr">
        <is>
          <t>KSL</t>
        </is>
      </c>
      <c r="B144" s="31" t="inlineStr">
        <is>
          <t>Kalyani Steels Limited</t>
        </is>
      </c>
      <c r="C144" s="31" t="inlineStr">
        <is>
          <t>metals &amp; mining</t>
        </is>
      </c>
      <c r="D144" s="31" t="inlineStr">
        <is>
          <t>steel - medium / small</t>
        </is>
      </c>
      <c r="E144" s="31" t="inlineStr">
        <is>
          <t>smallcap</t>
        </is>
      </c>
      <c r="F144" s="31" t="n">
        <v>4209.68</v>
      </c>
      <c r="G144" s="31" t="n">
        <v>965.4</v>
      </c>
      <c r="H144" s="31" t="n">
        <v>0.11</v>
      </c>
      <c r="I144" s="31" t="n">
        <v>76255</v>
      </c>
      <c r="J144" s="31" t="inlineStr">
        <is>
          <t>500235</t>
        </is>
      </c>
    </row>
    <row r="145">
      <c r="A145" s="31" t="inlineStr">
        <is>
          <t>SURAKSHA</t>
        </is>
      </c>
      <c r="B145" s="31" t="inlineStr">
        <is>
          <t>Suraksha Diagnostic Ltd</t>
        </is>
      </c>
      <c r="C145" s="31" t="inlineStr">
        <is>
          <t>healthcare</t>
        </is>
      </c>
      <c r="D145" s="31" t="inlineStr">
        <is>
          <t>healthcare</t>
        </is>
      </c>
      <c r="E145" s="31" t="inlineStr">
        <is>
          <t>smallcap</t>
        </is>
      </c>
      <c r="F145" s="31" t="n">
        <v>1849.13</v>
      </c>
      <c r="G145" s="31" t="n">
        <v>355.4</v>
      </c>
      <c r="H145" s="31" t="n">
        <v>0.1</v>
      </c>
      <c r="I145" s="31" t="n">
        <v>121095</v>
      </c>
      <c r="J145" s="31" t="inlineStr">
        <is>
          <t>544293</t>
        </is>
      </c>
    </row>
    <row r="146">
      <c r="A146" s="31" t="inlineStr">
        <is>
          <t>SPECIALITY</t>
        </is>
      </c>
      <c r="B146" s="31" t="inlineStr">
        <is>
          <t>Speciality Restaurants Limited</t>
        </is>
      </c>
      <c r="C146" s="31" t="inlineStr">
        <is>
          <t>services</t>
        </is>
      </c>
      <c r="D146" s="31" t="inlineStr">
        <is>
          <t>hotels</t>
        </is>
      </c>
      <c r="E146" s="31" t="inlineStr">
        <is>
          <t>smallcap</t>
        </is>
      </c>
      <c r="F146" s="31" t="n">
        <v>742.78</v>
      </c>
      <c r="G146" s="31" t="n">
        <v>154.1</v>
      </c>
      <c r="H146" s="31" t="n">
        <v>0.07000000000000001</v>
      </c>
      <c r="I146" s="31" t="n">
        <v>15753</v>
      </c>
      <c r="J146" s="31" t="inlineStr">
        <is>
          <t>534425</t>
        </is>
      </c>
    </row>
    <row r="147">
      <c r="A147" s="31" t="inlineStr">
        <is>
          <t>JAMNAAUTO</t>
        </is>
      </c>
      <c r="B147" s="31" t="inlineStr">
        <is>
          <t>Jamna Auto Industries Limited</t>
        </is>
      </c>
      <c r="C147" s="31" t="inlineStr">
        <is>
          <t>auto</t>
        </is>
      </c>
      <c r="D147" s="31" t="inlineStr">
        <is>
          <t>auto ancillaries</t>
        </is>
      </c>
      <c r="E147" s="31" t="inlineStr">
        <is>
          <t>midcap</t>
        </is>
      </c>
      <c r="F147" s="31" t="n">
        <v>5447.89</v>
      </c>
      <c r="G147" s="31" t="n">
        <v>136.35</v>
      </c>
      <c r="H147" s="31" t="n">
        <v>0.06</v>
      </c>
      <c r="I147" s="31" t="n">
        <v>2575110</v>
      </c>
      <c r="J147" s="31" t="inlineStr">
        <is>
          <t>520051</t>
        </is>
      </c>
    </row>
    <row r="148">
      <c r="A148" s="31" t="inlineStr">
        <is>
          <t>LAURUSLABS</t>
        </is>
      </c>
      <c r="B148" s="31" t="inlineStr">
        <is>
          <t>Laurus Labs Limited</t>
        </is>
      </c>
      <c r="C148" s="31" t="inlineStr">
        <is>
          <t>healthcare</t>
        </is>
      </c>
      <c r="D148" s="31" t="inlineStr">
        <is>
          <t>pharmaceuticals - indian - bulk drugs &amp; formln</t>
        </is>
      </c>
      <c r="E148" s="31" t="inlineStr">
        <is>
          <t>largecap</t>
        </is>
      </c>
      <c r="F148" s="31" t="n">
        <v>106915.39</v>
      </c>
      <c r="G148" s="31" t="n">
        <v>1980</v>
      </c>
      <c r="H148" s="31" t="n">
        <v>0.05</v>
      </c>
      <c r="I148" s="31" t="n">
        <v>1397926</v>
      </c>
      <c r="J148" s="31" t="inlineStr">
        <is>
          <t>540222</t>
        </is>
      </c>
    </row>
    <row r="149">
      <c r="A149" s="31" t="inlineStr">
        <is>
          <t>YUKEN</t>
        </is>
      </c>
      <c r="B149" s="31" t="inlineStr">
        <is>
          <t>Yuken India Ltd</t>
        </is>
      </c>
      <c r="C149" s="31" t="inlineStr">
        <is>
          <t>industrials</t>
        </is>
      </c>
      <c r="D149" s="31" t="inlineStr">
        <is>
          <t>engineering</t>
        </is>
      </c>
      <c r="E149" s="31" t="inlineStr">
        <is>
          <t>smallcap</t>
        </is>
      </c>
      <c r="F149" s="31" t="n">
        <v>1535.94</v>
      </c>
      <c r="G149" s="31" t="n">
        <v>1131.1</v>
      </c>
      <c r="H149" s="31" t="n">
        <v>0.04</v>
      </c>
      <c r="I149" s="31" t="n">
        <v>10732</v>
      </c>
      <c r="J149" s="31" t="inlineStr">
        <is>
          <t>522108</t>
        </is>
      </c>
    </row>
    <row r="150">
      <c r="A150" s="31" t="inlineStr">
        <is>
          <t>LGBBROSLTD</t>
        </is>
      </c>
      <c r="B150" s="31" t="inlineStr">
        <is>
          <t>Lg Balakrishnan &amp; Bros Limited</t>
        </is>
      </c>
      <c r="C150" s="31" t="inlineStr">
        <is>
          <t>auto</t>
        </is>
      </c>
      <c r="D150" s="31" t="inlineStr">
        <is>
          <t>bearings</t>
        </is>
      </c>
      <c r="E150" s="31" t="inlineStr">
        <is>
          <t>midcap</t>
        </is>
      </c>
      <c r="F150" s="31" t="n">
        <v>5517.71</v>
      </c>
      <c r="G150" s="31" t="n">
        <v>1730.1</v>
      </c>
      <c r="H150" s="31" t="n">
        <v>0</v>
      </c>
      <c r="I150" s="31" t="n">
        <v>9738</v>
      </c>
      <c r="J150" s="31" t="inlineStr">
        <is>
          <t>500250</t>
        </is>
      </c>
    </row>
    <row r="151">
      <c r="A151" s="31" t="inlineStr">
        <is>
          <t>GRWRHITECH</t>
        </is>
      </c>
      <c r="B151" s="31" t="inlineStr">
        <is>
          <t>Garware Hi Tech Films Ltd</t>
        </is>
      </c>
      <c r="C151" s="31" t="inlineStr">
        <is>
          <t>industrials</t>
        </is>
      </c>
      <c r="D151" s="31" t="inlineStr">
        <is>
          <t>packaging</t>
        </is>
      </c>
      <c r="E151" s="31" t="inlineStr">
        <is>
          <t>midcap</t>
        </is>
      </c>
      <c r="F151" s="31" t="n">
        <v>16301.01</v>
      </c>
      <c r="G151" s="31" t="n">
        <v>7015.5</v>
      </c>
      <c r="H151" s="31" t="n">
        <v>-0.01</v>
      </c>
      <c r="I151" s="31" t="n">
        <v>84631</v>
      </c>
      <c r="J151" s="31" t="inlineStr">
        <is>
          <t>500655</t>
        </is>
      </c>
    </row>
    <row r="152">
      <c r="A152" s="31" t="inlineStr">
        <is>
          <t>MAWANASUG</t>
        </is>
      </c>
      <c r="B152" s="31" t="inlineStr">
        <is>
          <t>Mawana Sugars Limited</t>
        </is>
      </c>
      <c r="C152" s="31" t="inlineStr">
        <is>
          <t>fmcg</t>
        </is>
      </c>
      <c r="D152" s="31" t="inlineStr">
        <is>
          <t>sugar</t>
        </is>
      </c>
      <c r="E152" s="31" t="inlineStr">
        <is>
          <t>smallcap</t>
        </is>
      </c>
      <c r="F152" s="31" t="n">
        <v>567.39</v>
      </c>
      <c r="G152" s="31" t="n">
        <v>145.01</v>
      </c>
      <c r="H152" s="31" t="n">
        <v>-0.03</v>
      </c>
      <c r="I152" s="31" t="n">
        <v>253411</v>
      </c>
      <c r="J152" s="31" t="inlineStr">
        <is>
          <t>523371</t>
        </is>
      </c>
    </row>
    <row r="153">
      <c r="A153" s="31" t="inlineStr">
        <is>
          <t>ESAFSFB</t>
        </is>
      </c>
      <c r="B153" s="31" t="inlineStr">
        <is>
          <t>ESAF Small Finance Bank Ltd</t>
        </is>
      </c>
      <c r="C153" s="31" t="inlineStr">
        <is>
          <t>bank</t>
        </is>
      </c>
      <c r="D153" s="31" t="inlineStr">
        <is>
          <t>banks - private sector</t>
        </is>
      </c>
      <c r="E153" s="31" t="inlineStr">
        <is>
          <t>smallcap</t>
        </is>
      </c>
      <c r="F153" s="31" t="n">
        <v>2298.05</v>
      </c>
      <c r="G153" s="31" t="n">
        <v>44.52</v>
      </c>
      <c r="H153" s="31" t="n">
        <v>-0.04</v>
      </c>
      <c r="I153" s="31" t="n">
        <v>733692</v>
      </c>
      <c r="J153" s="31" t="inlineStr">
        <is>
          <t>544020</t>
        </is>
      </c>
    </row>
    <row r="154">
      <c r="A154" s="31" t="inlineStr">
        <is>
          <t>RATNAVEER</t>
        </is>
      </c>
      <c r="B154" s="31" t="inlineStr">
        <is>
          <t>Ratnaveer Precision Engineering Ltd</t>
        </is>
      </c>
      <c r="C154" s="31" t="inlineStr">
        <is>
          <t>metals &amp; mining</t>
        </is>
      </c>
      <c r="D154" s="31" t="inlineStr">
        <is>
          <t>steel - medium / small</t>
        </is>
      </c>
      <c r="E154" s="31" t="inlineStr">
        <is>
          <t>smallcap</t>
        </is>
      </c>
      <c r="F154" s="31" t="n">
        <v>2779.22</v>
      </c>
      <c r="G154" s="31" t="n">
        <v>330.75</v>
      </c>
      <c r="H154" s="31" t="n">
        <v>-0.12</v>
      </c>
      <c r="I154" s="31" t="n">
        <v>6063423</v>
      </c>
      <c r="J154" s="31" t="inlineStr">
        <is>
          <t>543978</t>
        </is>
      </c>
    </row>
    <row r="155">
      <c r="A155" s="31" t="inlineStr">
        <is>
          <t>AKUMS</t>
        </is>
      </c>
      <c r="B155" s="31" t="inlineStr">
        <is>
          <t>Akums Drugs &amp; Pharmaceuticals Ltd</t>
        </is>
      </c>
      <c r="C155" s="31" t="inlineStr">
        <is>
          <t>healthcare</t>
        </is>
      </c>
      <c r="D155" s="31" t="inlineStr">
        <is>
          <t>pharmaceuticals - indian - bulk drugs &amp; formln</t>
        </is>
      </c>
      <c r="E155" s="31" t="inlineStr">
        <is>
          <t>midcap</t>
        </is>
      </c>
      <c r="F155" s="31" t="n">
        <v>12899.22</v>
      </c>
      <c r="G155" s="31" t="n">
        <v>818.5</v>
      </c>
      <c r="H155" s="31" t="n">
        <v>-0.13</v>
      </c>
      <c r="I155" s="31" t="n">
        <v>196569</v>
      </c>
      <c r="J155" s="31" t="inlineStr">
        <is>
          <t>544222</t>
        </is>
      </c>
    </row>
    <row r="156">
      <c r="A156" s="31" t="inlineStr">
        <is>
          <t>NRL</t>
        </is>
      </c>
      <c r="B156" s="31" t="inlineStr">
        <is>
          <t>Nupur Recyclers Ltd</t>
        </is>
      </c>
      <c r="C156" s="31" t="inlineStr">
        <is>
          <t>services</t>
        </is>
      </c>
      <c r="D156" s="31" t="inlineStr">
        <is>
          <t>trading</t>
        </is>
      </c>
      <c r="E156" s="31" t="inlineStr">
        <is>
          <t>smallcap</t>
        </is>
      </c>
      <c r="F156" s="31" t="n">
        <v>1105.1</v>
      </c>
      <c r="G156" s="31" t="n">
        <v>159.8</v>
      </c>
      <c r="H156" s="31" t="n">
        <v>-0.13</v>
      </c>
      <c r="I156" s="31" t="n">
        <v>40280</v>
      </c>
      <c r="J156" s="31" t="inlineStr">
        <is>
          <t>535413</t>
        </is>
      </c>
    </row>
    <row r="157">
      <c r="A157" s="31" t="inlineStr">
        <is>
          <t>GLOBAL</t>
        </is>
      </c>
      <c r="B157" s="31" t="inlineStr">
        <is>
          <t>Global Education Ltd</t>
        </is>
      </c>
      <c r="C157" s="31" t="inlineStr">
        <is>
          <t>services</t>
        </is>
      </c>
      <c r="D157" s="31" t="inlineStr">
        <is>
          <t>miscellaneous</t>
        </is>
      </c>
      <c r="E157" s="31" t="inlineStr">
        <is>
          <t>smallcap</t>
        </is>
      </c>
      <c r="F157" s="31" t="n">
        <v>677.04</v>
      </c>
      <c r="G157" s="31" t="n">
        <v>132.8</v>
      </c>
      <c r="H157" s="31" t="n">
        <v>-0.16</v>
      </c>
      <c r="I157" s="31" t="n">
        <v>145033</v>
      </c>
      <c r="J157" s="31" t="inlineStr">
        <is>
          <t>538406</t>
        </is>
      </c>
    </row>
    <row r="158">
      <c r="A158" s="31" t="inlineStr">
        <is>
          <t>ENGINERSIN</t>
        </is>
      </c>
      <c r="B158" s="31" t="inlineStr">
        <is>
          <t>Engineers India Limited</t>
        </is>
      </c>
      <c r="C158" s="31" t="inlineStr">
        <is>
          <t>realty</t>
        </is>
      </c>
      <c r="D158" s="31" t="inlineStr">
        <is>
          <t>engineering - turnkey services</t>
        </is>
      </c>
      <c r="E158" s="31" t="inlineStr">
        <is>
          <t>midcap</t>
        </is>
      </c>
      <c r="F158" s="31" t="n">
        <v>17434.55</v>
      </c>
      <c r="G158" s="31" t="n">
        <v>309.6</v>
      </c>
      <c r="H158" s="31" t="n">
        <v>-0.19</v>
      </c>
      <c r="I158" s="31" t="n">
        <v>3125317</v>
      </c>
      <c r="J158" s="31" t="inlineStr">
        <is>
          <t>532178</t>
        </is>
      </c>
    </row>
    <row r="159">
      <c r="A159" s="31" t="inlineStr">
        <is>
          <t>E2E</t>
        </is>
      </c>
      <c r="B159" s="31" t="inlineStr">
        <is>
          <t>E2E Networks Ltd</t>
        </is>
      </c>
      <c r="C159" s="31" t="inlineStr">
        <is>
          <t>i.t</t>
        </is>
      </c>
      <c r="D159" s="31" t="inlineStr">
        <is>
          <t>computers - software - medium / small</t>
        </is>
      </c>
      <c r="E159" s="31" t="inlineStr">
        <is>
          <t>midcap</t>
        </is>
      </c>
      <c r="F159" s="31" t="n">
        <v>13398.72</v>
      </c>
      <c r="G159" s="31" t="n">
        <v>650.5</v>
      </c>
      <c r="H159" s="31" t="n">
        <v>-0.2</v>
      </c>
      <c r="I159" s="31" t="n">
        <v>479810</v>
      </c>
      <c r="J159" s="31" t="inlineStr">
        <is>
          <t>535080</t>
        </is>
      </c>
    </row>
    <row r="160">
      <c r="A160" s="31" t="inlineStr">
        <is>
          <t>DHAMPURSUG</t>
        </is>
      </c>
      <c r="B160" s="31" t="inlineStr">
        <is>
          <t>Dhampur Sugar Mills Limited</t>
        </is>
      </c>
      <c r="C160" s="31" t="inlineStr">
        <is>
          <t>fmcg</t>
        </is>
      </c>
      <c r="D160" s="31" t="inlineStr">
        <is>
          <t>sugar</t>
        </is>
      </c>
      <c r="E160" s="31" t="inlineStr">
        <is>
          <t>smallcap</t>
        </is>
      </c>
      <c r="F160" s="31" t="n">
        <v>1104.79</v>
      </c>
      <c r="G160" s="31" t="n">
        <v>171.42</v>
      </c>
      <c r="H160" s="31" t="n">
        <v>-0.22</v>
      </c>
      <c r="I160" s="31" t="n">
        <v>654374</v>
      </c>
      <c r="J160" s="31" t="inlineStr">
        <is>
          <t>500119</t>
        </is>
      </c>
    </row>
    <row r="161">
      <c r="A161" s="31" t="inlineStr">
        <is>
          <t>PCJEWELLER</t>
        </is>
      </c>
      <c r="B161" s="31" t="inlineStr">
        <is>
          <t>Pc Jeweller Limited</t>
        </is>
      </c>
      <c r="C161" s="31" t="inlineStr">
        <is>
          <t>consumer discretionary</t>
        </is>
      </c>
      <c r="D161" s="31" t="inlineStr">
        <is>
          <t>diamond cutting / jewellery</t>
        </is>
      </c>
      <c r="E161" s="31" t="inlineStr">
        <is>
          <t>midcap</t>
        </is>
      </c>
      <c r="F161" s="31" t="n">
        <v>12847.04</v>
      </c>
      <c r="G161" s="31" t="n">
        <v>13.2</v>
      </c>
      <c r="H161" s="31" t="n">
        <v>-0.23</v>
      </c>
      <c r="I161" s="31" t="n">
        <v>227698090</v>
      </c>
      <c r="J161" s="31" t="inlineStr">
        <is>
          <t>534809</t>
        </is>
      </c>
    </row>
    <row r="162">
      <c r="A162" s="31" t="inlineStr">
        <is>
          <t>RAMRAT</t>
        </is>
      </c>
      <c r="B162" s="31" t="inlineStr">
        <is>
          <t>Ram Ratna Wires Ltd</t>
        </is>
      </c>
      <c r="C162" s="31" t="inlineStr">
        <is>
          <t>metals &amp; mining</t>
        </is>
      </c>
      <c r="D162" s="31" t="inlineStr">
        <is>
          <t>mining / minerals / metals</t>
        </is>
      </c>
      <c r="E162" s="31" t="inlineStr">
        <is>
          <t>midcap</t>
        </is>
      </c>
      <c r="F162" s="31" t="n">
        <v>5449.72</v>
      </c>
      <c r="G162" s="31" t="n">
        <v>582.4</v>
      </c>
      <c r="H162" s="31" t="n">
        <v>-0.24</v>
      </c>
      <c r="I162" s="31" t="n">
        <v>193834</v>
      </c>
      <c r="J162" s="31" t="inlineStr">
        <is>
          <t>522281</t>
        </is>
      </c>
    </row>
    <row r="163">
      <c r="A163" s="31" t="inlineStr">
        <is>
          <t>ROLEXRINGS</t>
        </is>
      </c>
      <c r="B163" s="31" t="inlineStr">
        <is>
          <t>Rolex Rings Ltd</t>
        </is>
      </c>
      <c r="C163" s="31" t="inlineStr">
        <is>
          <t>auto</t>
        </is>
      </c>
      <c r="D163" s="31" t="inlineStr">
        <is>
          <t>auto ancillaries</t>
        </is>
      </c>
      <c r="E163" s="31" t="inlineStr">
        <is>
          <t>midcap</t>
        </is>
      </c>
      <c r="F163" s="31" t="n">
        <v>5190.12</v>
      </c>
      <c r="G163" s="31" t="n">
        <v>190.09</v>
      </c>
      <c r="H163" s="31" t="n">
        <v>-0.26</v>
      </c>
      <c r="I163" s="31" t="n">
        <v>1052365</v>
      </c>
      <c r="J163" s="31" t="inlineStr">
        <is>
          <t>543325</t>
        </is>
      </c>
    </row>
    <row r="164">
      <c r="A164" s="31" t="inlineStr">
        <is>
          <t>KRONOX</t>
        </is>
      </c>
      <c r="B164" s="31" t="inlineStr">
        <is>
          <t>Kronox Lab Sciences Ltd</t>
        </is>
      </c>
      <c r="C164" s="31" t="inlineStr">
        <is>
          <t>chemicals</t>
        </is>
      </c>
      <c r="D164" s="31" t="inlineStr">
        <is>
          <t>chemicals</t>
        </is>
      </c>
      <c r="E164" s="31" t="inlineStr">
        <is>
          <t>smallcap</t>
        </is>
      </c>
      <c r="F164" s="31" t="n">
        <v>805.3099999999999</v>
      </c>
      <c r="G164" s="31" t="n">
        <v>216.38</v>
      </c>
      <c r="H164" s="31" t="n">
        <v>-0.3</v>
      </c>
      <c r="I164" s="31" t="n">
        <v>123311</v>
      </c>
      <c r="J164" s="31" t="inlineStr">
        <is>
          <t>544187</t>
        </is>
      </c>
    </row>
    <row r="165">
      <c r="A165" s="31" t="inlineStr">
        <is>
          <t>SHAREINDIA</t>
        </is>
      </c>
      <c r="B165" s="31" t="inlineStr">
        <is>
          <t>Share India Securities Ltd</t>
        </is>
      </c>
      <c r="C165" s="31" t="inlineStr">
        <is>
          <t>financials</t>
        </is>
      </c>
      <c r="D165" s="31" t="inlineStr">
        <is>
          <t>finance &amp; investments</t>
        </is>
      </c>
      <c r="E165" s="31" t="inlineStr">
        <is>
          <t>smallcap</t>
        </is>
      </c>
      <c r="F165" s="31" t="n">
        <v>4500.8</v>
      </c>
      <c r="G165" s="31" t="n">
        <v>205.01</v>
      </c>
      <c r="H165" s="31" t="n">
        <v>-0.33</v>
      </c>
      <c r="I165" s="31" t="n">
        <v>703869</v>
      </c>
      <c r="J165" s="31" t="inlineStr">
        <is>
          <t>540725</t>
        </is>
      </c>
    </row>
    <row r="166">
      <c r="A166" s="31" t="inlineStr">
        <is>
          <t>TCPLPACK</t>
        </is>
      </c>
      <c r="B166" s="31" t="inlineStr">
        <is>
          <t>TCPL Packaging Ltd</t>
        </is>
      </c>
      <c r="C166" s="31" t="inlineStr">
        <is>
          <t>industrials</t>
        </is>
      </c>
      <c r="D166" s="31" t="inlineStr">
        <is>
          <t>packaging</t>
        </is>
      </c>
      <c r="E166" s="31" t="inlineStr">
        <is>
          <t>smallcap</t>
        </is>
      </c>
      <c r="F166" s="31" t="n">
        <v>3746.83</v>
      </c>
      <c r="G166" s="31" t="n">
        <v>4102.6</v>
      </c>
      <c r="H166" s="31" t="n">
        <v>-0.36</v>
      </c>
      <c r="I166" s="31" t="n">
        <v>5095</v>
      </c>
      <c r="J166" s="31" t="inlineStr">
        <is>
          <t>523301</t>
        </is>
      </c>
    </row>
    <row r="167">
      <c r="A167" s="31" t="inlineStr">
        <is>
          <t>RAYMONDREL</t>
        </is>
      </c>
      <c r="B167" s="31" t="inlineStr">
        <is>
          <t>Raymond Realty Ltd</t>
        </is>
      </c>
      <c r="C167" s="31" t="inlineStr">
        <is>
          <t>realty</t>
        </is>
      </c>
      <c r="D167" s="31" t="inlineStr">
        <is>
          <t>construction</t>
        </is>
      </c>
      <c r="E167" s="31" t="inlineStr">
        <is>
          <t>smallcap</t>
        </is>
      </c>
      <c r="F167" s="31" t="n">
        <v>4477.42</v>
      </c>
      <c r="G167" s="31" t="n">
        <v>669.95</v>
      </c>
      <c r="H167" s="31" t="n">
        <v>-0.39</v>
      </c>
      <c r="I167" s="31" t="n">
        <v>620734</v>
      </c>
      <c r="J167" s="31" t="inlineStr">
        <is>
          <t>544420</t>
        </is>
      </c>
    </row>
    <row r="168">
      <c r="A168" s="31" t="inlineStr">
        <is>
          <t>EIMCOELECO</t>
        </is>
      </c>
      <c r="B168" s="31" t="inlineStr">
        <is>
          <t>Eimco Elecon (india) Limited</t>
        </is>
      </c>
      <c r="C168" s="31" t="inlineStr">
        <is>
          <t>industrials</t>
        </is>
      </c>
      <c r="D168" s="31" t="inlineStr">
        <is>
          <t>engineering</t>
        </is>
      </c>
      <c r="E168" s="31" t="inlineStr">
        <is>
          <t>smallcap</t>
        </is>
      </c>
      <c r="F168" s="31" t="n">
        <v>1314.21</v>
      </c>
      <c r="G168" s="31" t="n">
        <v>2269.2</v>
      </c>
      <c r="H168" s="31" t="n">
        <v>-0.4</v>
      </c>
      <c r="I168" s="31" t="n">
        <v>14680</v>
      </c>
      <c r="J168" s="31" t="inlineStr">
        <is>
          <t>523708</t>
        </is>
      </c>
    </row>
    <row r="169">
      <c r="A169" s="31" t="inlineStr">
        <is>
          <t>WINDLAS</t>
        </is>
      </c>
      <c r="B169" s="31" t="inlineStr">
        <is>
          <t>Windlas Biotech Ltd</t>
        </is>
      </c>
      <c r="C169" s="31" t="inlineStr">
        <is>
          <t>healthcare</t>
        </is>
      </c>
      <c r="D169" s="31" t="inlineStr">
        <is>
          <t>pharmaceuticals - indian - formulations</t>
        </is>
      </c>
      <c r="E169" s="31" t="inlineStr">
        <is>
          <t>smallcap</t>
        </is>
      </c>
      <c r="F169" s="31" t="n">
        <v>2262.25</v>
      </c>
      <c r="G169" s="31" t="n">
        <v>1091.3</v>
      </c>
      <c r="H169" s="31" t="n">
        <v>-0.45</v>
      </c>
      <c r="I169" s="31" t="n">
        <v>56202</v>
      </c>
      <c r="J169" s="31" t="inlineStr">
        <is>
          <t>543329</t>
        </is>
      </c>
    </row>
    <row r="170">
      <c r="A170" s="31" t="inlineStr">
        <is>
          <t>ALBERTDAVD</t>
        </is>
      </c>
      <c r="B170" s="31" t="inlineStr">
        <is>
          <t>Albert David Limited</t>
        </is>
      </c>
      <c r="C170" s="31" t="inlineStr">
        <is>
          <t>healthcare</t>
        </is>
      </c>
      <c r="D170" s="31" t="inlineStr">
        <is>
          <t>pharmaceuticals - indian - bulk drugs &amp; formln</t>
        </is>
      </c>
      <c r="E170" s="31" t="inlineStr">
        <is>
          <t>smallcap</t>
        </is>
      </c>
      <c r="F170" s="31" t="n">
        <v>500.15</v>
      </c>
      <c r="G170" s="31" t="n">
        <v>872.25</v>
      </c>
      <c r="H170" s="31" t="n">
        <v>-0.47</v>
      </c>
      <c r="I170" s="31" t="n">
        <v>6427</v>
      </c>
      <c r="J170" s="31" t="inlineStr">
        <is>
          <t>524075</t>
        </is>
      </c>
    </row>
    <row r="171">
      <c r="A171" s="31" t="inlineStr">
        <is>
          <t>VIDHIING</t>
        </is>
      </c>
      <c r="B171" s="31" t="inlineStr">
        <is>
          <t>Vidhi Specialty Food Ingredients</t>
        </is>
      </c>
      <c r="C171" s="31" t="inlineStr">
        <is>
          <t>chemicals</t>
        </is>
      </c>
      <c r="D171" s="31" t="inlineStr">
        <is>
          <t>dyes and pigments</t>
        </is>
      </c>
      <c r="E171" s="31" t="inlineStr">
        <is>
          <t>smallcap</t>
        </is>
      </c>
      <c r="F171" s="31" t="n">
        <v>1795.02</v>
      </c>
      <c r="G171" s="31" t="n">
        <v>357.6</v>
      </c>
      <c r="H171" s="31" t="n">
        <v>-0.5</v>
      </c>
      <c r="I171" s="31" t="n">
        <v>22528</v>
      </c>
      <c r="J171" s="31" t="inlineStr">
        <is>
          <t>531717</t>
        </is>
      </c>
    </row>
    <row r="172">
      <c r="A172" s="31" t="inlineStr">
        <is>
          <t>PRIVISCL</t>
        </is>
      </c>
      <c r="B172" s="31" t="inlineStr">
        <is>
          <t>Privi Speciality Chemicals Ltd</t>
        </is>
      </c>
      <c r="C172" s="31" t="inlineStr">
        <is>
          <t>chemicals</t>
        </is>
      </c>
      <c r="D172" s="31" t="inlineStr">
        <is>
          <t>chemicals</t>
        </is>
      </c>
      <c r="E172" s="31" t="inlineStr">
        <is>
          <t>midcap</t>
        </is>
      </c>
      <c r="F172" s="31" t="n">
        <v>14084.06</v>
      </c>
      <c r="G172" s="31" t="n">
        <v>3586.6</v>
      </c>
      <c r="H172" s="31" t="n">
        <v>-0.52</v>
      </c>
      <c r="I172" s="31" t="n">
        <v>102693</v>
      </c>
      <c r="J172" s="31" t="inlineStr">
        <is>
          <t>530117</t>
        </is>
      </c>
    </row>
    <row r="173">
      <c r="A173" s="31" t="inlineStr">
        <is>
          <t>VHLTD</t>
        </is>
      </c>
      <c r="B173" s="31" t="inlineStr">
        <is>
          <t>Viceroy Hotels Ltd</t>
        </is>
      </c>
      <c r="C173" s="31" t="inlineStr">
        <is>
          <t>services</t>
        </is>
      </c>
      <c r="D173" s="31" t="inlineStr">
        <is>
          <t>hotels</t>
        </is>
      </c>
      <c r="E173" s="31" t="inlineStr">
        <is>
          <t>smallcap</t>
        </is>
      </c>
      <c r="F173" s="31" t="n">
        <v>1001.08</v>
      </c>
      <c r="G173" s="31" t="n">
        <v>129.66</v>
      </c>
      <c r="H173" s="31" t="n">
        <v>-0.55</v>
      </c>
      <c r="I173" s="31" t="n">
        <v>3118</v>
      </c>
      <c r="J173" s="31" t="inlineStr">
        <is>
          <t>523796</t>
        </is>
      </c>
    </row>
    <row r="174">
      <c r="A174" s="31" t="inlineStr">
        <is>
          <t>AEROFLEX</t>
        </is>
      </c>
      <c r="B174" s="31" t="inlineStr">
        <is>
          <t>Aeroflex Industries Ltd</t>
        </is>
      </c>
      <c r="C174" s="31" t="inlineStr">
        <is>
          <t>metals &amp; mining</t>
        </is>
      </c>
      <c r="D174" s="31" t="inlineStr">
        <is>
          <t>steel - medium / small</t>
        </is>
      </c>
      <c r="E174" s="31" t="inlineStr">
        <is>
          <t>midcap</t>
        </is>
      </c>
      <c r="F174" s="31" t="n">
        <v>7140.57</v>
      </c>
      <c r="G174" s="31" t="n">
        <v>536.6</v>
      </c>
      <c r="H174" s="31" t="n">
        <v>-0.5600000000000001</v>
      </c>
      <c r="I174" s="31" t="n">
        <v>981031</v>
      </c>
      <c r="J174" s="31" t="inlineStr">
        <is>
          <t>543972</t>
        </is>
      </c>
    </row>
    <row r="175">
      <c r="A175" s="31" t="inlineStr">
        <is>
          <t>BIL</t>
        </is>
      </c>
      <c r="B175" s="31" t="inlineStr">
        <is>
          <t>Bhartiya International Limited</t>
        </is>
      </c>
      <c r="C175" s="31" t="inlineStr">
        <is>
          <t>consumer discretionary</t>
        </is>
      </c>
      <c r="D175" s="31" t="inlineStr">
        <is>
          <t>leather / leather products</t>
        </is>
      </c>
      <c r="E175" s="31" t="inlineStr">
        <is>
          <t>smallcap</t>
        </is>
      </c>
      <c r="F175" s="31" t="n">
        <v>1341.98</v>
      </c>
      <c r="G175" s="31" t="n">
        <v>995.1</v>
      </c>
      <c r="H175" s="31" t="n">
        <v>-0.5600000000000001</v>
      </c>
      <c r="I175" s="31" t="n">
        <v>7093</v>
      </c>
      <c r="J175" s="31" t="inlineStr">
        <is>
          <t>526666</t>
        </is>
      </c>
    </row>
    <row r="176">
      <c r="A176" s="31" t="inlineStr">
        <is>
          <t>SMLMAH</t>
        </is>
      </c>
      <c r="B176" s="31" t="inlineStr">
        <is>
          <t>SML Mahindra Ltd</t>
        </is>
      </c>
      <c r="C176" s="31" t="inlineStr">
        <is>
          <t>auto</t>
        </is>
      </c>
      <c r="D176" s="31" t="inlineStr">
        <is>
          <t>automobiles - lcvs / hcvs</t>
        </is>
      </c>
      <c r="E176" s="31" t="inlineStr">
        <is>
          <t>midcap</t>
        </is>
      </c>
      <c r="F176" s="31" t="n">
        <v>9575.16</v>
      </c>
      <c r="G176" s="31" t="n">
        <v>6578</v>
      </c>
      <c r="H176" s="31" t="n">
        <v>-0.58</v>
      </c>
      <c r="I176" s="31" t="n">
        <v>48022</v>
      </c>
      <c r="J176" s="31" t="inlineStr">
        <is>
          <t>505192</t>
        </is>
      </c>
    </row>
    <row r="177">
      <c r="A177" s="31" t="inlineStr">
        <is>
          <t>SMSPHARMA</t>
        </is>
      </c>
      <c r="B177" s="31" t="inlineStr">
        <is>
          <t>Sms Pharmaceuticals Limited</t>
        </is>
      </c>
      <c r="C177" s="31" t="inlineStr">
        <is>
          <t>healthcare</t>
        </is>
      </c>
      <c r="D177" s="31" t="inlineStr">
        <is>
          <t>pharmaceuticals - indian - bulk drugs</t>
        </is>
      </c>
      <c r="E177" s="31" t="inlineStr">
        <is>
          <t>smallcap</t>
        </is>
      </c>
      <c r="F177" s="31" t="n">
        <v>4489.68</v>
      </c>
      <c r="G177" s="31" t="n">
        <v>476.6</v>
      </c>
      <c r="H177" s="31" t="n">
        <v>-0.58</v>
      </c>
      <c r="I177" s="31" t="n">
        <v>372222</v>
      </c>
      <c r="J177" s="31" t="inlineStr">
        <is>
          <t>532815</t>
        </is>
      </c>
    </row>
    <row r="178">
      <c r="A178" s="31" t="inlineStr">
        <is>
          <t>KANORICHEM</t>
        </is>
      </c>
      <c r="B178" s="31" t="inlineStr">
        <is>
          <t>Kanoria Chemicals &amp; Industries Limited</t>
        </is>
      </c>
      <c r="C178" s="31" t="inlineStr">
        <is>
          <t>chemicals</t>
        </is>
      </c>
      <c r="D178" s="31" t="inlineStr">
        <is>
          <t>chemicals</t>
        </is>
      </c>
      <c r="E178" s="31" t="inlineStr">
        <is>
          <t>smallcap</t>
        </is>
      </c>
      <c r="F178" s="31" t="n">
        <v>873.6</v>
      </c>
      <c r="G178" s="31" t="n">
        <v>198.77</v>
      </c>
      <c r="H178" s="31" t="n">
        <v>-0.59</v>
      </c>
      <c r="I178" s="31" t="n">
        <v>40917</v>
      </c>
      <c r="J178" s="31" t="inlineStr">
        <is>
          <t>506525</t>
        </is>
      </c>
    </row>
    <row r="179">
      <c r="A179" s="31" t="inlineStr">
        <is>
          <t>PGIL</t>
        </is>
      </c>
      <c r="B179" s="31" t="inlineStr">
        <is>
          <t>Pearl Global Industries Limited</t>
        </is>
      </c>
      <c r="C179" s="31" t="inlineStr">
        <is>
          <t>readymade garments/apparels</t>
        </is>
      </c>
      <c r="D179" s="31" t="inlineStr">
        <is>
          <t>textiles - products</t>
        </is>
      </c>
      <c r="E179" s="31" t="inlineStr">
        <is>
          <t>midcap</t>
        </is>
      </c>
      <c r="F179" s="31" t="n">
        <v>11920.86</v>
      </c>
      <c r="G179" s="31" t="n">
        <v>1282.1</v>
      </c>
      <c r="H179" s="31" t="n">
        <v>-0.64</v>
      </c>
      <c r="I179" s="31" t="n">
        <v>87275</v>
      </c>
      <c r="J179" s="31" t="inlineStr">
        <is>
          <t>532808</t>
        </is>
      </c>
    </row>
    <row r="180">
      <c r="A180" s="31" t="inlineStr">
        <is>
          <t>KINGFA</t>
        </is>
      </c>
      <c r="B180" s="31" t="inlineStr">
        <is>
          <t>Kingfa Science &amp; Technology (india) Limited</t>
        </is>
      </c>
      <c r="C180" s="31" t="inlineStr">
        <is>
          <t>plastic products</t>
        </is>
      </c>
      <c r="D180" s="31" t="inlineStr">
        <is>
          <t>plastics products</t>
        </is>
      </c>
      <c r="E180" s="31" t="inlineStr">
        <is>
          <t>midcap</t>
        </is>
      </c>
      <c r="F180" s="31" t="n">
        <v>8841.6</v>
      </c>
      <c r="G180" s="31" t="n">
        <v>6482.5</v>
      </c>
      <c r="H180" s="31" t="n">
        <v>-0.64</v>
      </c>
      <c r="I180" s="31" t="n">
        <v>19393</v>
      </c>
      <c r="J180" s="31" t="inlineStr">
        <is>
          <t>524019</t>
        </is>
      </c>
    </row>
    <row r="181">
      <c r="A181" s="31" t="inlineStr">
        <is>
          <t>GMMPFAUDLR</t>
        </is>
      </c>
      <c r="B181" s="31" t="inlineStr">
        <is>
          <t>GMM Pfaudler Ltd</t>
        </is>
      </c>
      <c r="C181" s="31" t="inlineStr">
        <is>
          <t>industrials</t>
        </is>
      </c>
      <c r="D181" s="31" t="inlineStr">
        <is>
          <t>engineering</t>
        </is>
      </c>
      <c r="E181" s="31" t="inlineStr">
        <is>
          <t>midcap</t>
        </is>
      </c>
      <c r="F181" s="31" t="n">
        <v>6640.63</v>
      </c>
      <c r="G181" s="31" t="n">
        <v>1466.7</v>
      </c>
      <c r="H181" s="31" t="n">
        <v>-0.7</v>
      </c>
      <c r="I181" s="31" t="n">
        <v>164451</v>
      </c>
      <c r="J181" s="31" t="inlineStr">
        <is>
          <t>505255</t>
        </is>
      </c>
    </row>
    <row r="182">
      <c r="A182" s="31" t="inlineStr">
        <is>
          <t>SUNDROP</t>
        </is>
      </c>
      <c r="B182" s="31" t="inlineStr">
        <is>
          <t>Sundrop Brands Ltd</t>
        </is>
      </c>
      <c r="C182" s="31" t="inlineStr">
        <is>
          <t>fmcg</t>
        </is>
      </c>
      <c r="D182" s="31" t="inlineStr">
        <is>
          <t>food - processing - indian</t>
        </is>
      </c>
      <c r="E182" s="31" t="inlineStr">
        <is>
          <t>smallcap</t>
        </is>
      </c>
      <c r="F182" s="31" t="n">
        <v>2830.09</v>
      </c>
      <c r="G182" s="31" t="n">
        <v>745.2</v>
      </c>
      <c r="H182" s="31" t="n">
        <v>-0.74</v>
      </c>
      <c r="I182" s="31" t="n">
        <v>6739</v>
      </c>
      <c r="J182" s="31" t="inlineStr">
        <is>
          <t>500215</t>
        </is>
      </c>
    </row>
    <row r="183">
      <c r="A183" s="31" t="inlineStr">
        <is>
          <t>KMEW</t>
        </is>
      </c>
      <c r="B183" s="31" t="inlineStr">
        <is>
          <t>Knowledge Marine &amp; Engineering Works Ltd</t>
        </is>
      </c>
      <c r="C183" s="31" t="inlineStr">
        <is>
          <t>transportation</t>
        </is>
      </c>
      <c r="D183" s="31" t="inlineStr">
        <is>
          <t>miscellaneous</t>
        </is>
      </c>
      <c r="E183" s="31" t="inlineStr">
        <is>
          <t>midcap</t>
        </is>
      </c>
      <c r="F183" s="31" t="n">
        <v>7491.63</v>
      </c>
      <c r="G183" s="31" t="n">
        <v>3041.5</v>
      </c>
      <c r="H183" s="31" t="n">
        <v>-0.76</v>
      </c>
      <c r="I183" s="31" t="n">
        <v>217728</v>
      </c>
      <c r="J183" s="31" t="inlineStr">
        <is>
          <t>543273</t>
        </is>
      </c>
    </row>
    <row r="184">
      <c r="A184" s="31" t="inlineStr">
        <is>
          <t>CYIENTDLM</t>
        </is>
      </c>
      <c r="B184" s="31" t="inlineStr">
        <is>
          <t>Cyient DLM Ltd</t>
        </is>
      </c>
      <c r="C184" s="31" t="inlineStr">
        <is>
          <t>aerospace &amp; defence</t>
        </is>
      </c>
      <c r="D184" s="31" t="inlineStr">
        <is>
          <t>electronics - components</t>
        </is>
      </c>
      <c r="E184" s="31" t="inlineStr">
        <is>
          <t>midcap</t>
        </is>
      </c>
      <c r="F184" s="31" t="n">
        <v>7312.4</v>
      </c>
      <c r="G184" s="31" t="n">
        <v>914.1</v>
      </c>
      <c r="H184" s="31" t="n">
        <v>-0.77</v>
      </c>
      <c r="I184" s="31" t="n">
        <v>203064</v>
      </c>
      <c r="J184" s="31" t="inlineStr">
        <is>
          <t>543933</t>
        </is>
      </c>
    </row>
    <row r="185">
      <c r="A185" s="31" t="inlineStr">
        <is>
          <t>IGPL</t>
        </is>
      </c>
      <c r="B185" s="31" t="inlineStr">
        <is>
          <t>Ig Petrochemicals Limited</t>
        </is>
      </c>
      <c r="C185" s="31" t="inlineStr">
        <is>
          <t>chemicals</t>
        </is>
      </c>
      <c r="D185" s="31" t="inlineStr">
        <is>
          <t>chemicals</t>
        </is>
      </c>
      <c r="E185" s="31" t="inlineStr">
        <is>
          <t>smallcap</t>
        </is>
      </c>
      <c r="F185" s="31" t="n">
        <v>1799.34</v>
      </c>
      <c r="G185" s="31" t="n">
        <v>579.75</v>
      </c>
      <c r="H185" s="31" t="n">
        <v>-0.78</v>
      </c>
      <c r="I185" s="31" t="n">
        <v>37036</v>
      </c>
      <c r="J185" s="31" t="inlineStr">
        <is>
          <t>500199</t>
        </is>
      </c>
    </row>
    <row r="186">
      <c r="A186" s="31" t="inlineStr">
        <is>
          <t>SHILPAMED</t>
        </is>
      </c>
      <c r="B186" s="31" t="inlineStr">
        <is>
          <t>Shilpa Medicare Limited</t>
        </is>
      </c>
      <c r="C186" s="31" t="inlineStr">
        <is>
          <t>healthcare</t>
        </is>
      </c>
      <c r="D186" s="31" t="inlineStr">
        <is>
          <t>pharmaceuticals - indian - formulations</t>
        </is>
      </c>
      <c r="E186" s="31" t="inlineStr">
        <is>
          <t>largecap</t>
        </is>
      </c>
      <c r="F186" s="31" t="n">
        <v>20648.55</v>
      </c>
      <c r="G186" s="31" t="n">
        <v>1047.2</v>
      </c>
      <c r="H186" s="31" t="n">
        <v>-0.8100000000000001</v>
      </c>
      <c r="I186" s="31" t="n">
        <v>492219</v>
      </c>
      <c r="J186" s="31" t="inlineStr">
        <is>
          <t>530549</t>
        </is>
      </c>
    </row>
    <row r="187">
      <c r="A187" s="31" t="inlineStr">
        <is>
          <t>MANINFRA</t>
        </is>
      </c>
      <c r="B187" s="31" t="inlineStr">
        <is>
          <t>Man Infraconstruction Limited</t>
        </is>
      </c>
      <c r="C187" s="31" t="inlineStr">
        <is>
          <t>realty</t>
        </is>
      </c>
      <c r="D187" s="31" t="inlineStr">
        <is>
          <t>construction</t>
        </is>
      </c>
      <c r="E187" s="31" t="inlineStr">
        <is>
          <t>midcap</t>
        </is>
      </c>
      <c r="F187" s="31" t="n">
        <v>5162.89</v>
      </c>
      <c r="G187" s="31" t="n">
        <v>126.86</v>
      </c>
      <c r="H187" s="31" t="n">
        <v>-0.8100000000000001</v>
      </c>
      <c r="I187" s="31" t="n">
        <v>1599762</v>
      </c>
      <c r="J187" s="31" t="inlineStr">
        <is>
          <t>533169</t>
        </is>
      </c>
    </row>
    <row r="188">
      <c r="A188" s="31" t="inlineStr">
        <is>
          <t>UTTAMSUGAR</t>
        </is>
      </c>
      <c r="B188" s="31" t="inlineStr">
        <is>
          <t>Uttam Sugar Mills Limited</t>
        </is>
      </c>
      <c r="C188" s="31" t="inlineStr">
        <is>
          <t>fmcg</t>
        </is>
      </c>
      <c r="D188" s="31" t="inlineStr">
        <is>
          <t>sugar</t>
        </is>
      </c>
      <c r="E188" s="31" t="inlineStr">
        <is>
          <t>smallcap</t>
        </is>
      </c>
      <c r="F188" s="31" t="n">
        <v>1109.06</v>
      </c>
      <c r="G188" s="31" t="n">
        <v>288.4</v>
      </c>
      <c r="H188" s="31" t="n">
        <v>-0.83</v>
      </c>
      <c r="I188" s="31" t="n">
        <v>153061</v>
      </c>
      <c r="J188" s="31" t="inlineStr">
        <is>
          <t>532729</t>
        </is>
      </c>
    </row>
    <row r="189">
      <c r="A189" s="31" t="inlineStr">
        <is>
          <t>FCL</t>
        </is>
      </c>
      <c r="B189" s="31" t="inlineStr">
        <is>
          <t>Fineotex Chemical Limited</t>
        </is>
      </c>
      <c r="C189" s="31" t="inlineStr">
        <is>
          <t>chemicals</t>
        </is>
      </c>
      <c r="D189" s="31" t="inlineStr">
        <is>
          <t>chemicals</t>
        </is>
      </c>
      <c r="E189" s="31" t="inlineStr">
        <is>
          <t>midcap</t>
        </is>
      </c>
      <c r="F189" s="31" t="n">
        <v>6747.12</v>
      </c>
      <c r="G189" s="31" t="n">
        <v>57.45</v>
      </c>
      <c r="H189" s="31" t="n">
        <v>-0.85</v>
      </c>
      <c r="I189" s="31" t="n">
        <v>16165821</v>
      </c>
      <c r="J189" s="31" t="inlineStr">
        <is>
          <t>533333</t>
        </is>
      </c>
    </row>
    <row r="190">
      <c r="A190" s="31" t="inlineStr">
        <is>
          <t>DMCC</t>
        </is>
      </c>
      <c r="B190" s="31" t="inlineStr">
        <is>
          <t>DMCC Speciality Chemicals Ltd</t>
        </is>
      </c>
      <c r="C190" s="31" t="inlineStr">
        <is>
          <t>chemicals</t>
        </is>
      </c>
      <c r="D190" s="31" t="inlineStr">
        <is>
          <t>chemicals</t>
        </is>
      </c>
      <c r="E190" s="31" t="inlineStr">
        <is>
          <t>smallcap</t>
        </is>
      </c>
      <c r="F190" s="31" t="n">
        <v>784.24</v>
      </c>
      <c r="G190" s="31" t="n">
        <v>311.7</v>
      </c>
      <c r="H190" s="31" t="n">
        <v>-0.87</v>
      </c>
      <c r="I190" s="31" t="n">
        <v>250289</v>
      </c>
      <c r="J190" s="31" t="inlineStr">
        <is>
          <t>506405</t>
        </is>
      </c>
    </row>
    <row r="191">
      <c r="A191" s="31" t="inlineStr">
        <is>
          <t>SOUTHBANK</t>
        </is>
      </c>
      <c r="B191" s="31" t="inlineStr">
        <is>
          <t>The South Indian Bank Limited</t>
        </is>
      </c>
      <c r="C191" s="31" t="inlineStr">
        <is>
          <t>bank</t>
        </is>
      </c>
      <c r="D191" s="31" t="inlineStr">
        <is>
          <t>banks - private sector</t>
        </is>
      </c>
      <c r="E191" s="31" t="inlineStr">
        <is>
          <t>midcap</t>
        </is>
      </c>
      <c r="F191" s="31" t="n">
        <v>12752.6</v>
      </c>
      <c r="G191" s="31" t="n">
        <v>48.24</v>
      </c>
      <c r="H191" s="31" t="n">
        <v>-0.96</v>
      </c>
      <c r="I191" s="31" t="n">
        <v>15754423</v>
      </c>
      <c r="J191" s="31" t="inlineStr">
        <is>
          <t>532218</t>
        </is>
      </c>
    </row>
    <row r="192">
      <c r="A192" s="31" t="inlineStr">
        <is>
          <t>BLUSPRING</t>
        </is>
      </c>
      <c r="B192" s="31" t="inlineStr">
        <is>
          <t>Bluspring Enterprises Ltd</t>
        </is>
      </c>
      <c r="C192" s="31" t="inlineStr">
        <is>
          <t>miscellaneous</t>
        </is>
      </c>
      <c r="D192" s="31" t="inlineStr">
        <is>
          <t>diversified - large</t>
        </is>
      </c>
      <c r="E192" s="31" t="inlineStr">
        <is>
          <t>smallcap</t>
        </is>
      </c>
      <c r="F192" s="31" t="n">
        <v>2138.65</v>
      </c>
      <c r="G192" s="31" t="n">
        <v>141.74</v>
      </c>
      <c r="H192" s="31" t="n">
        <v>-0.96</v>
      </c>
      <c r="I192" s="31" t="n">
        <v>149662</v>
      </c>
      <c r="J192" s="31" t="inlineStr">
        <is>
          <t>544414</t>
        </is>
      </c>
    </row>
    <row r="193">
      <c r="A193" s="31" t="inlineStr">
        <is>
          <t>LLOYDSME</t>
        </is>
      </c>
      <c r="B193" s="31" t="inlineStr">
        <is>
          <t>Lloyds Metals &amp; Energy Ltd</t>
        </is>
      </c>
      <c r="C193" s="31" t="inlineStr">
        <is>
          <t>metals &amp; mining</t>
        </is>
      </c>
      <c r="D193" s="31" t="inlineStr">
        <is>
          <t>mining / minerals / metals</t>
        </is>
      </c>
      <c r="E193" s="31" t="inlineStr">
        <is>
          <t>largecap</t>
        </is>
      </c>
      <c r="F193" s="31" t="n">
        <v>107076.16</v>
      </c>
      <c r="G193" s="31" t="n">
        <v>1884</v>
      </c>
      <c r="H193" s="31" t="n">
        <v>-0.96</v>
      </c>
      <c r="I193" s="31" t="n">
        <v>333292</v>
      </c>
      <c r="J193" s="31" t="inlineStr">
        <is>
          <t>512455</t>
        </is>
      </c>
    </row>
    <row r="194">
      <c r="A194" s="31" t="inlineStr">
        <is>
          <t>STLNETWORK</t>
        </is>
      </c>
      <c r="B194" s="31" t="inlineStr">
        <is>
          <t>STL Networks Ltd</t>
        </is>
      </c>
      <c r="C194" s="31" t="inlineStr">
        <is>
          <t>telecom-service</t>
        </is>
      </c>
      <c r="D194" s="31" t="inlineStr">
        <is>
          <t>telecommunications - service provider</t>
        </is>
      </c>
      <c r="E194" s="31" t="inlineStr">
        <is>
          <t>smallcap</t>
        </is>
      </c>
      <c r="F194" s="31" t="n">
        <v>2414.03</v>
      </c>
      <c r="G194" s="31" t="n">
        <v>48.97</v>
      </c>
      <c r="H194" s="31" t="n">
        <v>-0.99</v>
      </c>
      <c r="I194" s="31" t="n">
        <v>26400187</v>
      </c>
      <c r="J194" s="31" t="inlineStr">
        <is>
          <t>544395</t>
        </is>
      </c>
    </row>
    <row r="195">
      <c r="A195" s="31" t="inlineStr">
        <is>
          <t>ORIENTBELL</t>
        </is>
      </c>
      <c r="B195" s="31" t="inlineStr">
        <is>
          <t>Orient Bell Limited</t>
        </is>
      </c>
      <c r="C195" s="31" t="inlineStr">
        <is>
          <t>building materials</t>
        </is>
      </c>
      <c r="D195" s="31" t="inlineStr">
        <is>
          <t>ceramics - tiles / sanitaryware</t>
        </is>
      </c>
      <c r="E195" s="31" t="inlineStr">
        <is>
          <t>smallcap</t>
        </is>
      </c>
      <c r="F195" s="31" t="n">
        <v>592.24</v>
      </c>
      <c r="G195" s="31" t="n">
        <v>398.55</v>
      </c>
      <c r="H195" s="31" t="n">
        <v>-1.01</v>
      </c>
      <c r="I195" s="31" t="n">
        <v>23214</v>
      </c>
      <c r="J195" s="31" t="inlineStr">
        <is>
          <t>530365</t>
        </is>
      </c>
    </row>
    <row r="196">
      <c r="A196" s="31" t="inlineStr">
        <is>
          <t>IBULLSLTD</t>
        </is>
      </c>
      <c r="B196" s="31" t="inlineStr">
        <is>
          <t>Indiabulls Limited</t>
        </is>
      </c>
      <c r="C196" s="31" t="inlineStr">
        <is>
          <t>miscellaneous</t>
        </is>
      </c>
      <c r="D196" s="31" t="inlineStr">
        <is>
          <t>diversified - medium / small</t>
        </is>
      </c>
      <c r="E196" s="31" t="inlineStr">
        <is>
          <t>midcap</t>
        </is>
      </c>
      <c r="F196" s="31" t="n">
        <v>6972.32</v>
      </c>
      <c r="G196" s="31" t="n">
        <v>29.61</v>
      </c>
      <c r="H196" s="31" t="n">
        <v>-1.07</v>
      </c>
      <c r="I196" s="31" t="n">
        <v>7753680</v>
      </c>
      <c r="J196" s="31" t="inlineStr">
        <is>
          <t>533520</t>
        </is>
      </c>
    </row>
    <row r="197">
      <c r="A197" s="31" t="inlineStr">
        <is>
          <t>ALEMBICLTD</t>
        </is>
      </c>
      <c r="B197" s="31" t="inlineStr">
        <is>
          <t>Alembic Limited</t>
        </is>
      </c>
      <c r="C197" s="31" t="inlineStr">
        <is>
          <t>realty</t>
        </is>
      </c>
      <c r="D197" s="31" t="inlineStr">
        <is>
          <t>construction</t>
        </is>
      </c>
      <c r="E197" s="31" t="inlineStr">
        <is>
          <t>smallcap</t>
        </is>
      </c>
      <c r="F197" s="31" t="n">
        <v>2784.54</v>
      </c>
      <c r="G197" s="31" t="n">
        <v>107.23</v>
      </c>
      <c r="H197" s="31" t="n">
        <v>-1.12</v>
      </c>
      <c r="I197" s="31" t="n">
        <v>819580</v>
      </c>
      <c r="J197" s="31" t="inlineStr">
        <is>
          <t>506235</t>
        </is>
      </c>
    </row>
    <row r="198">
      <c r="A198" s="31" t="inlineStr">
        <is>
          <t>JASH</t>
        </is>
      </c>
      <c r="B198" s="31" t="inlineStr">
        <is>
          <t>Jash Engineering Ltd</t>
        </is>
      </c>
      <c r="C198" s="31" t="inlineStr">
        <is>
          <t>industrials</t>
        </is>
      </c>
      <c r="D198" s="31" t="inlineStr">
        <is>
          <t>engineering</t>
        </is>
      </c>
      <c r="E198" s="31" t="inlineStr">
        <is>
          <t>smallcap</t>
        </is>
      </c>
      <c r="F198" s="31" t="n">
        <v>3781.51</v>
      </c>
      <c r="G198" s="31" t="n">
        <v>591.65</v>
      </c>
      <c r="H198" s="31" t="n">
        <v>-1.13</v>
      </c>
      <c r="I198" s="31" t="n">
        <v>838814</v>
      </c>
      <c r="J198" s="31" t="inlineStr">
        <is>
          <t>535019</t>
        </is>
      </c>
    </row>
    <row r="199">
      <c r="A199" s="31" t="inlineStr">
        <is>
          <t>GNFC</t>
        </is>
      </c>
      <c r="B199" s="31" t="inlineStr">
        <is>
          <t>Gujarat Narmada Valley Fertilizers And Chemicals Limited</t>
        </is>
      </c>
      <c r="C199" s="31" t="inlineStr">
        <is>
          <t>chemicals</t>
        </is>
      </c>
      <c r="D199" s="31" t="inlineStr">
        <is>
          <t>chemicals</t>
        </is>
      </c>
      <c r="E199" s="31" t="inlineStr">
        <is>
          <t>midcap</t>
        </is>
      </c>
      <c r="F199" s="31" t="n">
        <v>8985.42</v>
      </c>
      <c r="G199" s="31" t="n">
        <v>604.4</v>
      </c>
      <c r="H199" s="31" t="n">
        <v>-1.16</v>
      </c>
      <c r="I199" s="31" t="n">
        <v>973991</v>
      </c>
      <c r="J199" s="31" t="inlineStr">
        <is>
          <t>500670</t>
        </is>
      </c>
    </row>
    <row r="200">
      <c r="A200" s="31" t="inlineStr">
        <is>
          <t>ASHIANA</t>
        </is>
      </c>
      <c r="B200" s="31" t="inlineStr">
        <is>
          <t>Ashiana Housing Limited</t>
        </is>
      </c>
      <c r="C200" s="31" t="inlineStr">
        <is>
          <t>realty</t>
        </is>
      </c>
      <c r="D200" s="31" t="inlineStr">
        <is>
          <t>construction</t>
        </is>
      </c>
      <c r="E200" s="31" t="inlineStr">
        <is>
          <t>smallcap</t>
        </is>
      </c>
      <c r="F200" s="31" t="n">
        <v>3926</v>
      </c>
      <c r="G200" s="31" t="n">
        <v>386</v>
      </c>
      <c r="H200" s="31" t="n">
        <v>-1.17</v>
      </c>
      <c r="I200" s="31" t="n">
        <v>34947</v>
      </c>
      <c r="J200" s="31" t="inlineStr">
        <is>
          <t>523716</t>
        </is>
      </c>
    </row>
    <row r="201">
      <c r="A201" s="31" t="inlineStr">
        <is>
          <t>VSSL</t>
        </is>
      </c>
      <c r="B201" s="31" t="inlineStr">
        <is>
          <t>Vardhman Special Steels Limited</t>
        </is>
      </c>
      <c r="C201" s="31" t="inlineStr">
        <is>
          <t>metals &amp; mining</t>
        </is>
      </c>
      <c r="D201" s="31" t="inlineStr">
        <is>
          <t>steel - medium / small</t>
        </is>
      </c>
      <c r="E201" s="31" t="inlineStr">
        <is>
          <t>smallcap</t>
        </is>
      </c>
      <c r="F201" s="31" t="n">
        <v>3923.99</v>
      </c>
      <c r="G201" s="31" t="n">
        <v>401.05</v>
      </c>
      <c r="H201" s="31" t="n">
        <v>-1.18</v>
      </c>
      <c r="I201" s="31" t="n">
        <v>104397</v>
      </c>
      <c r="J201" s="31" t="inlineStr">
        <is>
          <t>534392</t>
        </is>
      </c>
    </row>
    <row r="202">
      <c r="A202" s="31" t="inlineStr">
        <is>
          <t>TATVA</t>
        </is>
      </c>
      <c r="B202" s="31" t="inlineStr">
        <is>
          <t>Tatva Chintan Pharma Chem Ltd</t>
        </is>
      </c>
      <c r="C202" s="31" t="inlineStr">
        <is>
          <t>chemicals</t>
        </is>
      </c>
      <c r="D202" s="31" t="inlineStr">
        <is>
          <t>chemicals</t>
        </is>
      </c>
      <c r="E202" s="31" t="inlineStr">
        <is>
          <t>smallcap</t>
        </is>
      </c>
      <c r="F202" s="31" t="n">
        <v>4225.54</v>
      </c>
      <c r="G202" s="31" t="n">
        <v>1784.2</v>
      </c>
      <c r="H202" s="31" t="n">
        <v>-1.23</v>
      </c>
      <c r="I202" s="31" t="n">
        <v>55095</v>
      </c>
      <c r="J202" s="31" t="inlineStr">
        <is>
          <t>543321</t>
        </is>
      </c>
    </row>
    <row r="203">
      <c r="A203" s="31" t="inlineStr">
        <is>
          <t>SKYGOLD</t>
        </is>
      </c>
      <c r="B203" s="31" t="inlineStr">
        <is>
          <t>Sky Gold Ltd</t>
        </is>
      </c>
      <c r="C203" s="31" t="inlineStr">
        <is>
          <t>consumer discretionary</t>
        </is>
      </c>
      <c r="D203" s="31" t="inlineStr">
        <is>
          <t>diamond cutting / jewellery</t>
        </is>
      </c>
      <c r="E203" s="31" t="inlineStr">
        <is>
          <t>midcap</t>
        </is>
      </c>
      <c r="F203" s="31" t="n">
        <v>12712.82</v>
      </c>
      <c r="G203" s="31" t="n">
        <v>810.7</v>
      </c>
      <c r="H203" s="31" t="n">
        <v>-1.24</v>
      </c>
      <c r="I203" s="31" t="n">
        <v>695736</v>
      </c>
      <c r="J203" s="31" t="inlineStr">
        <is>
          <t>541967</t>
        </is>
      </c>
    </row>
    <row r="204">
      <c r="A204" s="31" t="inlineStr">
        <is>
          <t>BANSALWIRE</t>
        </is>
      </c>
      <c r="B204" s="31" t="inlineStr">
        <is>
          <t>Bansal Wire Industries Ltd</t>
        </is>
      </c>
      <c r="C204" s="31" t="inlineStr">
        <is>
          <t>metals &amp; mining</t>
        </is>
      </c>
      <c r="D204" s="31" t="inlineStr">
        <is>
          <t>steel - medium / small</t>
        </is>
      </c>
      <c r="E204" s="31" t="inlineStr">
        <is>
          <t>midcap</t>
        </is>
      </c>
      <c r="F204" s="31" t="n">
        <v>5129.56</v>
      </c>
      <c r="G204" s="31" t="n">
        <v>323.45</v>
      </c>
      <c r="H204" s="31" t="n">
        <v>-1.28</v>
      </c>
      <c r="I204" s="31" t="n">
        <v>109681</v>
      </c>
      <c r="J204" s="31" t="inlineStr">
        <is>
          <t>544209</t>
        </is>
      </c>
    </row>
    <row r="205">
      <c r="A205" s="31" t="inlineStr">
        <is>
          <t>NRBBEARING</t>
        </is>
      </c>
      <c r="B205" s="31" t="inlineStr">
        <is>
          <t>Nrb Bearing Limited</t>
        </is>
      </c>
      <c r="C205" s="31" t="inlineStr">
        <is>
          <t>industrials</t>
        </is>
      </c>
      <c r="D205" s="31" t="inlineStr">
        <is>
          <t>bearings</t>
        </is>
      </c>
      <c r="E205" s="31" t="inlineStr">
        <is>
          <t>midcap</t>
        </is>
      </c>
      <c r="F205" s="31" t="n">
        <v>5244</v>
      </c>
      <c r="G205" s="31" t="n">
        <v>534.05</v>
      </c>
      <c r="H205" s="31" t="n">
        <v>-1.29</v>
      </c>
      <c r="I205" s="31" t="n">
        <v>557714</v>
      </c>
      <c r="J205" s="31" t="inlineStr">
        <is>
          <t>530367</t>
        </is>
      </c>
    </row>
    <row r="206">
      <c r="A206" s="31" t="inlineStr">
        <is>
          <t>ADANIPORTS</t>
        </is>
      </c>
      <c r="B206" s="31" t="inlineStr">
        <is>
          <t>Adani Ports And Special Economic Zone Limited</t>
        </is>
      </c>
      <c r="C206" s="31" t="inlineStr">
        <is>
          <t>transportation</t>
        </is>
      </c>
      <c r="D206" s="31" t="inlineStr">
        <is>
          <t>miscellaneous</t>
        </is>
      </c>
      <c r="E206" s="31" t="inlineStr">
        <is>
          <t>largecap</t>
        </is>
      </c>
      <c r="F206" s="31" t="n">
        <v>419781.35</v>
      </c>
      <c r="G206" s="31" t="n">
        <v>1798.3</v>
      </c>
      <c r="H206" s="31" t="n">
        <v>-1.3</v>
      </c>
      <c r="I206" s="31" t="n">
        <v>3199507</v>
      </c>
      <c r="J206" s="31" t="inlineStr">
        <is>
          <t>532921</t>
        </is>
      </c>
    </row>
    <row r="207">
      <c r="A207" s="31" t="inlineStr">
        <is>
          <t>SANATHAN</t>
        </is>
      </c>
      <c r="B207" s="31" t="inlineStr">
        <is>
          <t>Sanathan Textiles Ltd</t>
        </is>
      </c>
      <c r="C207" s="31" t="inlineStr">
        <is>
          <t>textiles</t>
        </is>
      </c>
      <c r="D207" s="31" t="inlineStr">
        <is>
          <t>textiles - cotton/blended</t>
        </is>
      </c>
      <c r="E207" s="31" t="inlineStr">
        <is>
          <t>smallcap</t>
        </is>
      </c>
      <c r="F207" s="31" t="n">
        <v>4346.81</v>
      </c>
      <c r="G207" s="31" t="n">
        <v>508.15</v>
      </c>
      <c r="H207" s="31" t="n">
        <v>-1.33</v>
      </c>
      <c r="I207" s="31" t="n">
        <v>99234</v>
      </c>
      <c r="J207" s="31" t="inlineStr">
        <is>
          <t>544314</t>
        </is>
      </c>
    </row>
    <row r="208">
      <c r="A208" s="31" t="inlineStr">
        <is>
          <t>ORBTEXP</t>
        </is>
      </c>
      <c r="B208" s="31" t="inlineStr">
        <is>
          <t>Orbit Exports Limited</t>
        </is>
      </c>
      <c r="C208" s="31" t="inlineStr">
        <is>
          <t>textiles</t>
        </is>
      </c>
      <c r="D208" s="31" t="inlineStr">
        <is>
          <t>textiles - processing</t>
        </is>
      </c>
      <c r="E208" s="31" t="inlineStr">
        <is>
          <t>smallcap</t>
        </is>
      </c>
      <c r="F208" s="31" t="n">
        <v>694.62</v>
      </c>
      <c r="G208" s="31" t="n">
        <v>258.51</v>
      </c>
      <c r="H208" s="31" t="n">
        <v>-1.34</v>
      </c>
      <c r="I208" s="31" t="n">
        <v>115278</v>
      </c>
      <c r="J208" s="31" t="inlineStr">
        <is>
          <t>512626</t>
        </is>
      </c>
    </row>
    <row r="209">
      <c r="A209" s="31" t="inlineStr">
        <is>
          <t>PRIMESECU</t>
        </is>
      </c>
      <c r="B209" s="31" t="inlineStr">
        <is>
          <t>Prime Securities Limited</t>
        </is>
      </c>
      <c r="C209" s="31" t="inlineStr">
        <is>
          <t>financials</t>
        </is>
      </c>
      <c r="D209" s="31" t="inlineStr">
        <is>
          <t>finance &amp; investments</t>
        </is>
      </c>
      <c r="E209" s="31" t="inlineStr">
        <is>
          <t>smallcap</t>
        </is>
      </c>
      <c r="F209" s="31" t="n">
        <v>1026.69</v>
      </c>
      <c r="G209" s="31" t="n">
        <v>298.45</v>
      </c>
      <c r="H209" s="31" t="n">
        <v>-1.34</v>
      </c>
      <c r="I209" s="31" t="n">
        <v>5435</v>
      </c>
      <c r="J209" s="31" t="inlineStr">
        <is>
          <t>500337</t>
        </is>
      </c>
    </row>
    <row r="210">
      <c r="A210" s="31" t="inlineStr">
        <is>
          <t>MGEL</t>
        </is>
      </c>
      <c r="B210" s="31" t="inlineStr">
        <is>
          <t>Mangalam Global Enterprise Ltd</t>
        </is>
      </c>
      <c r="C210" s="31" t="inlineStr">
        <is>
          <t>services</t>
        </is>
      </c>
      <c r="D210" s="31" t="inlineStr">
        <is>
          <t>trading</t>
        </is>
      </c>
      <c r="E210" s="31" t="inlineStr">
        <is>
          <t>smallcap</t>
        </is>
      </c>
      <c r="F210" s="31" t="n">
        <v>530.91</v>
      </c>
      <c r="G210" s="31" t="n">
        <v>15.89</v>
      </c>
      <c r="H210" s="31" t="n">
        <v>-1.37</v>
      </c>
      <c r="I210" s="31" t="n">
        <v>235063</v>
      </c>
      <c r="J210" s="31" t="inlineStr">
        <is>
          <t>535349</t>
        </is>
      </c>
    </row>
    <row r="211">
      <c r="A211" s="31" t="inlineStr">
        <is>
          <t>VINCOFE</t>
        </is>
      </c>
      <c r="B211" s="31" t="inlineStr">
        <is>
          <t>Vintage Coffee &amp; Beverages Ltd</t>
        </is>
      </c>
      <c r="C211" s="31" t="inlineStr">
        <is>
          <t>consumer discretionary</t>
        </is>
      </c>
      <c r="D211" s="31" t="inlineStr">
        <is>
          <t>trading</t>
        </is>
      </c>
      <c r="E211" s="31" t="inlineStr">
        <is>
          <t>smallcap</t>
        </is>
      </c>
      <c r="F211" s="31" t="n">
        <v>2659.69</v>
      </c>
      <c r="G211" s="31" t="n">
        <v>179.96</v>
      </c>
      <c r="H211" s="31" t="n">
        <v>-1.42</v>
      </c>
      <c r="I211" s="31" t="n">
        <v>817945</v>
      </c>
      <c r="J211" s="31" t="inlineStr">
        <is>
          <t>538920</t>
        </is>
      </c>
    </row>
    <row r="212">
      <c r="A212" s="31" t="inlineStr">
        <is>
          <t>SETL</t>
        </is>
      </c>
      <c r="B212" s="31" t="inlineStr">
        <is>
          <t>Standard Enginnering Technology Ltd</t>
        </is>
      </c>
      <c r="C212" s="31" t="inlineStr">
        <is>
          <t>industrials</t>
        </is>
      </c>
      <c r="D212" s="31" t="inlineStr">
        <is>
          <t>engineering</t>
        </is>
      </c>
      <c r="E212" s="31" t="inlineStr">
        <is>
          <t>midcap</t>
        </is>
      </c>
      <c r="F212" s="31" t="n">
        <v>8557.190000000001</v>
      </c>
      <c r="G212" s="31" t="n">
        <v>422.8</v>
      </c>
      <c r="H212" s="31" t="n">
        <v>-1.43</v>
      </c>
      <c r="I212" s="31" t="n">
        <v>407519</v>
      </c>
      <c r="J212" s="31" t="inlineStr">
        <is>
          <t>544333</t>
        </is>
      </c>
    </row>
    <row r="213">
      <c r="A213" s="31" t="inlineStr">
        <is>
          <t>SHARDAMOTR</t>
        </is>
      </c>
      <c r="B213" s="31" t="inlineStr">
        <is>
          <t>Sharda Motor Industries Limited</t>
        </is>
      </c>
      <c r="C213" s="31" t="inlineStr">
        <is>
          <t>auto</t>
        </is>
      </c>
      <c r="D213" s="31" t="inlineStr">
        <is>
          <t>auto ancillaries</t>
        </is>
      </c>
      <c r="E213" s="31" t="inlineStr">
        <is>
          <t>midcap</t>
        </is>
      </c>
      <c r="F213" s="31" t="n">
        <v>5575.72</v>
      </c>
      <c r="G213" s="31" t="n">
        <v>956.95</v>
      </c>
      <c r="H213" s="31" t="n">
        <v>-1.47</v>
      </c>
      <c r="I213" s="31" t="n">
        <v>37174</v>
      </c>
      <c r="J213" s="31" t="inlineStr">
        <is>
          <t>535602</t>
        </is>
      </c>
    </row>
    <row r="214">
      <c r="A214" s="31" t="inlineStr">
        <is>
          <t>MACPOWER</t>
        </is>
      </c>
      <c r="B214" s="31" t="inlineStr">
        <is>
          <t>Macpower CNC Machines Ltd</t>
        </is>
      </c>
      <c r="C214" s="31" t="inlineStr">
        <is>
          <t>industrials</t>
        </is>
      </c>
      <c r="D214" s="31" t="inlineStr">
        <is>
          <t>engineering</t>
        </is>
      </c>
      <c r="E214" s="31" t="inlineStr">
        <is>
          <t>smallcap</t>
        </is>
      </c>
      <c r="F214" s="31" t="n">
        <v>2128.99</v>
      </c>
      <c r="G214" s="31" t="n">
        <v>2096</v>
      </c>
      <c r="H214" s="31" t="n">
        <v>-1.51</v>
      </c>
      <c r="I214" s="31" t="n">
        <v>40395</v>
      </c>
      <c r="J214" s="31" t="inlineStr">
        <is>
          <t>535057</t>
        </is>
      </c>
    </row>
    <row r="215">
      <c r="A215" s="31" t="inlineStr">
        <is>
          <t>PRECWIRE</t>
        </is>
      </c>
      <c r="B215" s="31" t="inlineStr">
        <is>
          <t>Precision Wires India Limited</t>
        </is>
      </c>
      <c r="C215" s="31" t="inlineStr">
        <is>
          <t>metals &amp; mining</t>
        </is>
      </c>
      <c r="D215" s="31" t="inlineStr">
        <is>
          <t>mining / minerals / metals</t>
        </is>
      </c>
      <c r="E215" s="31" t="inlineStr">
        <is>
          <t>midcap</t>
        </is>
      </c>
      <c r="F215" s="31" t="n">
        <v>9143.139999999999</v>
      </c>
      <c r="G215" s="31" t="n">
        <v>492.45</v>
      </c>
      <c r="H215" s="31" t="n">
        <v>-1.54</v>
      </c>
      <c r="I215" s="31" t="n">
        <v>310956</v>
      </c>
      <c r="J215" s="31" t="inlineStr">
        <is>
          <t>523539</t>
        </is>
      </c>
    </row>
    <row r="216">
      <c r="A216" s="31" t="inlineStr">
        <is>
          <t>GANDHITUBE</t>
        </is>
      </c>
      <c r="B216" s="31" t="inlineStr">
        <is>
          <t>Gandhi Special Tubes Limited</t>
        </is>
      </c>
      <c r="C216" s="31" t="inlineStr">
        <is>
          <t>metals &amp; mining</t>
        </is>
      </c>
      <c r="D216" s="31" t="inlineStr">
        <is>
          <t>steel - medium / small</t>
        </is>
      </c>
      <c r="E216" s="31" t="inlineStr">
        <is>
          <t>smallcap</t>
        </is>
      </c>
      <c r="F216" s="31" t="n">
        <v>1090.65</v>
      </c>
      <c r="G216" s="31" t="n">
        <v>951.55</v>
      </c>
      <c r="H216" s="31" t="n">
        <v>-1.55</v>
      </c>
      <c r="I216" s="31" t="n">
        <v>5516</v>
      </c>
      <c r="J216" s="31" t="inlineStr">
        <is>
          <t>513108</t>
        </is>
      </c>
    </row>
    <row r="217">
      <c r="A217" s="31" t="inlineStr">
        <is>
          <t>KILITCH</t>
        </is>
      </c>
      <c r="B217" s="31" t="inlineStr">
        <is>
          <t>Kilitch Drugs (india) Limited</t>
        </is>
      </c>
      <c r="C217" s="31" t="inlineStr">
        <is>
          <t>healthcare</t>
        </is>
      </c>
      <c r="D217" s="31" t="inlineStr">
        <is>
          <t>pharmaceuticals - indian - formulations</t>
        </is>
      </c>
      <c r="E217" s="31" t="inlineStr">
        <is>
          <t>smallcap</t>
        </is>
      </c>
      <c r="F217" s="31" t="n">
        <v>757.83</v>
      </c>
      <c r="G217" s="31" t="n">
        <v>213.32</v>
      </c>
      <c r="H217" s="31" t="n">
        <v>-1.59</v>
      </c>
      <c r="I217" s="31" t="n">
        <v>33773</v>
      </c>
      <c r="J217" s="31" t="inlineStr">
        <is>
          <t>524500</t>
        </is>
      </c>
    </row>
    <row r="218">
      <c r="A218" s="31" t="inlineStr">
        <is>
          <t>OAL</t>
        </is>
      </c>
      <c r="B218" s="31" t="inlineStr">
        <is>
          <t>Oriental Aromatics Ltd</t>
        </is>
      </c>
      <c r="C218" s="31" t="inlineStr">
        <is>
          <t>chemicals</t>
        </is>
      </c>
      <c r="D218" s="31" t="inlineStr">
        <is>
          <t>chemicals</t>
        </is>
      </c>
      <c r="E218" s="31" t="inlineStr">
        <is>
          <t>smallcap</t>
        </is>
      </c>
      <c r="F218" s="31" t="n">
        <v>1823.52</v>
      </c>
      <c r="G218" s="31" t="n">
        <v>533.25</v>
      </c>
      <c r="H218" s="31" t="n">
        <v>-1.59</v>
      </c>
      <c r="I218" s="31" t="n">
        <v>15746</v>
      </c>
      <c r="J218" s="31" t="inlineStr">
        <is>
          <t>500078</t>
        </is>
      </c>
    </row>
    <row r="219">
      <c r="A219" s="31" t="inlineStr">
        <is>
          <t>MANKIND</t>
        </is>
      </c>
      <c r="B219" s="31" t="inlineStr">
        <is>
          <t>Mankind Pharma Ltd</t>
        </is>
      </c>
      <c r="C219" s="31" t="inlineStr">
        <is>
          <t>healthcare</t>
        </is>
      </c>
      <c r="D219" s="31" t="inlineStr">
        <is>
          <t>pharmaceuticals - indian - bulk drugs &amp; formln</t>
        </is>
      </c>
      <c r="E219" s="31" t="inlineStr">
        <is>
          <t>largecap</t>
        </is>
      </c>
      <c r="F219" s="31" t="n">
        <v>105107.48</v>
      </c>
      <c r="G219" s="31" t="n">
        <v>2503.8</v>
      </c>
      <c r="H219" s="31" t="n">
        <v>-1.62</v>
      </c>
      <c r="I219" s="31" t="n">
        <v>1311278</v>
      </c>
      <c r="J219" s="31" t="inlineStr">
        <is>
          <t>543904</t>
        </is>
      </c>
    </row>
    <row r="220">
      <c r="A220" s="31" t="inlineStr">
        <is>
          <t>RPGLIFE</t>
        </is>
      </c>
      <c r="B220" s="31" t="inlineStr">
        <is>
          <t>Rpg Life Sciences Limited</t>
        </is>
      </c>
      <c r="C220" s="31" t="inlineStr">
        <is>
          <t>healthcare</t>
        </is>
      </c>
      <c r="D220" s="31" t="inlineStr">
        <is>
          <t>pharmaceuticals - indian - bulk drugs &amp; formln</t>
        </is>
      </c>
      <c r="E220" s="31" t="inlineStr">
        <is>
          <t>midcap</t>
        </is>
      </c>
      <c r="F220" s="31" t="n">
        <v>5109.23</v>
      </c>
      <c r="G220" s="31" t="n">
        <v>3037.1</v>
      </c>
      <c r="H220" s="31" t="n">
        <v>-1.69</v>
      </c>
      <c r="I220" s="31" t="n">
        <v>46586</v>
      </c>
      <c r="J220" s="31" t="inlineStr">
        <is>
          <t>532983</t>
        </is>
      </c>
    </row>
    <row r="221">
      <c r="A221" s="31" t="inlineStr">
        <is>
          <t>SUNFLAG</t>
        </is>
      </c>
      <c r="B221" s="31" t="inlineStr">
        <is>
          <t>Sunflag Iron And Steel Company Limited</t>
        </is>
      </c>
      <c r="C221" s="31" t="inlineStr">
        <is>
          <t>metals &amp; mining</t>
        </is>
      </c>
      <c r="D221" s="31" t="inlineStr">
        <is>
          <t>steel - medium / small</t>
        </is>
      </c>
      <c r="E221" s="31" t="inlineStr">
        <is>
          <t>midcap</t>
        </is>
      </c>
      <c r="F221" s="31" t="n">
        <v>8367.59</v>
      </c>
      <c r="G221" s="31" t="n">
        <v>456.05</v>
      </c>
      <c r="H221" s="31" t="n">
        <v>-1.78</v>
      </c>
      <c r="I221" s="31" t="n">
        <v>624779</v>
      </c>
      <c r="J221" s="31" t="inlineStr">
        <is>
          <t>500404</t>
        </is>
      </c>
    </row>
    <row r="222">
      <c r="A222" s="31" t="inlineStr">
        <is>
          <t>QPOWER</t>
        </is>
      </c>
      <c r="B222" s="31" t="inlineStr">
        <is>
          <t>Quality Power Electrical Equipments Ltd</t>
        </is>
      </c>
      <c r="C222" s="31" t="inlineStr">
        <is>
          <t>industrials</t>
        </is>
      </c>
      <c r="D222" s="31" t="inlineStr">
        <is>
          <t>electric equipment</t>
        </is>
      </c>
      <c r="E222" s="31" t="inlineStr">
        <is>
          <t>midcap</t>
        </is>
      </c>
      <c r="F222" s="31" t="n">
        <v>12501.8</v>
      </c>
      <c r="G222" s="31" t="n">
        <v>1584.8</v>
      </c>
      <c r="H222" s="31" t="n">
        <v>-1.83</v>
      </c>
      <c r="I222" s="31" t="n">
        <v>267707</v>
      </c>
      <c r="J222" s="31" t="inlineStr">
        <is>
          <t>544367</t>
        </is>
      </c>
    </row>
    <row r="223">
      <c r="A223" s="31" t="inlineStr">
        <is>
          <t>JUBLPHARMA</t>
        </is>
      </c>
      <c r="B223" s="31" t="inlineStr">
        <is>
          <t>Jubilant Pharmova Ltd</t>
        </is>
      </c>
      <c r="C223" s="31" t="inlineStr">
        <is>
          <t>healthcare</t>
        </is>
      </c>
      <c r="D223" s="31" t="inlineStr">
        <is>
          <t>pharmaceuticals - indian - bulk drugs</t>
        </is>
      </c>
      <c r="E223" s="31" t="inlineStr">
        <is>
          <t>midcap</t>
        </is>
      </c>
      <c r="F223" s="31" t="n">
        <v>16695.85</v>
      </c>
      <c r="G223" s="31" t="n">
        <v>1028.8</v>
      </c>
      <c r="H223" s="31" t="n">
        <v>-1.85</v>
      </c>
      <c r="I223" s="31" t="n">
        <v>460073</v>
      </c>
      <c r="J223" s="31" t="inlineStr">
        <is>
          <t>530019</t>
        </is>
      </c>
    </row>
    <row r="224">
      <c r="A224" s="31" t="inlineStr">
        <is>
          <t>SOFTTECH</t>
        </is>
      </c>
      <c r="B224" s="31" t="inlineStr">
        <is>
          <t>Softtech Engineers Ltd</t>
        </is>
      </c>
      <c r="C224" s="31" t="inlineStr">
        <is>
          <t>i.t</t>
        </is>
      </c>
      <c r="D224" s="31" t="inlineStr">
        <is>
          <t>computers - software - medium / small</t>
        </is>
      </c>
      <c r="E224" s="31" t="inlineStr">
        <is>
          <t>smallcap</t>
        </is>
      </c>
      <c r="F224" s="31" t="n">
        <v>696.05</v>
      </c>
      <c r="G224" s="31" t="n">
        <v>493.5</v>
      </c>
      <c r="H224" s="31" t="n">
        <v>-1.86</v>
      </c>
      <c r="I224" s="31" t="n">
        <v>17609</v>
      </c>
      <c r="J224" s="31" t="inlineStr">
        <is>
          <t>535078</t>
        </is>
      </c>
    </row>
    <row r="225">
      <c r="A225" s="31" t="inlineStr">
        <is>
          <t>ARROWGREEN</t>
        </is>
      </c>
      <c r="B225" s="31" t="inlineStr">
        <is>
          <t>Arrow Greentech Limited</t>
        </is>
      </c>
      <c r="C225" s="31" t="inlineStr">
        <is>
          <t>plastic products</t>
        </is>
      </c>
      <c r="D225" s="31" t="inlineStr">
        <is>
          <t>plastics products</t>
        </is>
      </c>
      <c r="E225" s="31" t="inlineStr">
        <is>
          <t>smallcap</t>
        </is>
      </c>
      <c r="F225" s="31" t="n">
        <v>1316.42</v>
      </c>
      <c r="G225" s="31" t="n">
        <v>856.05</v>
      </c>
      <c r="H225" s="31" t="n">
        <v>-1.89</v>
      </c>
      <c r="I225" s="31" t="n">
        <v>48123</v>
      </c>
      <c r="J225" s="31" t="inlineStr">
        <is>
          <t>516064</t>
        </is>
      </c>
    </row>
    <row r="226">
      <c r="A226" s="31" t="inlineStr">
        <is>
          <t>SHIVALIK</t>
        </is>
      </c>
      <c r="B226" s="31" t="inlineStr">
        <is>
          <t>Shivalik Rasayan Ltd</t>
        </is>
      </c>
      <c r="C226" s="31" t="inlineStr">
        <is>
          <t>chemicals</t>
        </is>
      </c>
      <c r="D226" s="31" t="inlineStr">
        <is>
          <t>pesticides / agrochemicals - indian</t>
        </is>
      </c>
      <c r="E226" s="31" t="inlineStr">
        <is>
          <t>smallcap</t>
        </is>
      </c>
      <c r="F226" s="31" t="n">
        <v>659.49</v>
      </c>
      <c r="G226" s="31" t="n">
        <v>403.45</v>
      </c>
      <c r="H226" s="31" t="n">
        <v>-1.92</v>
      </c>
      <c r="I226" s="31" t="n">
        <v>45380</v>
      </c>
      <c r="J226" s="31" t="inlineStr">
        <is>
          <t>539148</t>
        </is>
      </c>
    </row>
    <row r="227">
      <c r="A227" s="31" t="inlineStr">
        <is>
          <t>AARTIPHARM</t>
        </is>
      </c>
      <c r="B227" s="31" t="inlineStr">
        <is>
          <t>Aarti Pharmalabs Ltd</t>
        </is>
      </c>
      <c r="C227" s="31" t="inlineStr">
        <is>
          <t>healthcare</t>
        </is>
      </c>
      <c r="D227" s="31" t="inlineStr">
        <is>
          <t>pharmaceuticals - indian - bulk drugs &amp; formln</t>
        </is>
      </c>
      <c r="E227" s="31" t="inlineStr">
        <is>
          <t>midcap</t>
        </is>
      </c>
      <c r="F227" s="31" t="n">
        <v>8821.33</v>
      </c>
      <c r="G227" s="31" t="n">
        <v>953.75</v>
      </c>
      <c r="H227" s="31" t="n">
        <v>-1.96</v>
      </c>
      <c r="I227" s="31" t="n">
        <v>951362</v>
      </c>
      <c r="J227" s="31" t="inlineStr">
        <is>
          <t>543748</t>
        </is>
      </c>
    </row>
    <row r="228">
      <c r="A228" s="31" t="inlineStr">
        <is>
          <t>MARINE</t>
        </is>
      </c>
      <c r="B228" s="31" t="inlineStr">
        <is>
          <t>Marine Electricals (India) Ltd</t>
        </is>
      </c>
      <c r="C228" s="31" t="inlineStr">
        <is>
          <t>industrials</t>
        </is>
      </c>
      <c r="D228" s="31" t="inlineStr">
        <is>
          <t>electric equipment</t>
        </is>
      </c>
      <c r="E228" s="31" t="inlineStr">
        <is>
          <t>midcap</t>
        </is>
      </c>
      <c r="F228" s="31" t="n">
        <v>6133.06</v>
      </c>
      <c r="G228" s="31" t="n">
        <v>429.55</v>
      </c>
      <c r="H228" s="31" t="n">
        <v>-1.99</v>
      </c>
      <c r="I228" s="31" t="n">
        <v>1225757</v>
      </c>
      <c r="J228" s="31" t="inlineStr">
        <is>
          <t>535119</t>
        </is>
      </c>
    </row>
    <row r="229">
      <c r="A229" s="31" t="inlineStr">
        <is>
          <t>MANAKSTEEL</t>
        </is>
      </c>
      <c r="B229" s="31" t="inlineStr">
        <is>
          <t>Manaksia Steels Limited</t>
        </is>
      </c>
      <c r="C229" s="31" t="inlineStr">
        <is>
          <t>metals &amp; mining</t>
        </is>
      </c>
      <c r="D229" s="31" t="inlineStr">
        <is>
          <t>steel - medium / small</t>
        </is>
      </c>
      <c r="E229" s="31" t="inlineStr">
        <is>
          <t>smallcap</t>
        </is>
      </c>
      <c r="F229" s="31" t="n">
        <v>737.72</v>
      </c>
      <c r="G229" s="31" t="n">
        <v>110.33</v>
      </c>
      <c r="H229" s="31" t="n">
        <v>-1.99</v>
      </c>
      <c r="I229" s="31" t="n">
        <v>18922</v>
      </c>
      <c r="J229" s="31" t="inlineStr">
        <is>
          <t>539044</t>
        </is>
      </c>
    </row>
    <row r="230">
      <c r="A230" s="31" t="inlineStr">
        <is>
          <t>GREAVESCOT</t>
        </is>
      </c>
      <c r="B230" s="31" t="inlineStr">
        <is>
          <t>Greaves Cotton Limited</t>
        </is>
      </c>
      <c r="C230" s="31" t="inlineStr">
        <is>
          <t>industrials</t>
        </is>
      </c>
      <c r="D230" s="31" t="inlineStr">
        <is>
          <t>engines</t>
        </is>
      </c>
      <c r="E230" s="31" t="inlineStr">
        <is>
          <t>midcap</t>
        </is>
      </c>
      <c r="F230" s="31" t="n">
        <v>5474.13</v>
      </c>
      <c r="G230" s="31" t="n">
        <v>230.28</v>
      </c>
      <c r="H230" s="31" t="n">
        <v>-2</v>
      </c>
      <c r="I230" s="31" t="n">
        <v>2034376</v>
      </c>
      <c r="J230" s="31" t="inlineStr">
        <is>
          <t>501455</t>
        </is>
      </c>
    </row>
    <row r="231">
      <c r="A231" s="31" t="inlineStr">
        <is>
          <t>SHRIPISTON</t>
        </is>
      </c>
      <c r="B231" s="31" t="inlineStr">
        <is>
          <t>Shriram Pistons &amp; Rings Limited</t>
        </is>
      </c>
      <c r="C231" s="31" t="inlineStr">
        <is>
          <t>auto</t>
        </is>
      </c>
      <c r="D231" s="31" t="inlineStr">
        <is>
          <t>auto ancillaries</t>
        </is>
      </c>
      <c r="E231" s="31" t="inlineStr">
        <is>
          <t>largecap</t>
        </is>
      </c>
      <c r="F231" s="31" t="n">
        <v>22029.77</v>
      </c>
      <c r="G231" s="31" t="n">
        <v>4653.7</v>
      </c>
      <c r="H231" s="31" t="n">
        <v>-2.01</v>
      </c>
      <c r="I231" s="31" t="n">
        <v>75703</v>
      </c>
      <c r="J231" s="31" t="n"/>
    </row>
    <row r="232">
      <c r="A232" s="31" t="inlineStr">
        <is>
          <t>SRHHYPOLTD</t>
        </is>
      </c>
      <c r="B232" s="31" t="inlineStr">
        <is>
          <t>Sree Rayalaseema Hi-strength Hypo Limited</t>
        </is>
      </c>
      <c r="C232" s="31" t="inlineStr">
        <is>
          <t>chemicals</t>
        </is>
      </c>
      <c r="D232" s="31" t="inlineStr">
        <is>
          <t>chemicals</t>
        </is>
      </c>
      <c r="E232" s="31" t="inlineStr">
        <is>
          <t>smallcap</t>
        </is>
      </c>
      <c r="F232" s="31" t="n">
        <v>987.84</v>
      </c>
      <c r="G232" s="31" t="n">
        <v>563.9</v>
      </c>
      <c r="H232" s="31" t="n">
        <v>-2.02</v>
      </c>
      <c r="I232" s="31" t="n">
        <v>17963</v>
      </c>
      <c r="J232" s="31" t="inlineStr">
        <is>
          <t>532842</t>
        </is>
      </c>
    </row>
    <row r="233">
      <c r="A233" s="31" t="inlineStr">
        <is>
          <t>PLASTIBLEN</t>
        </is>
      </c>
      <c r="B233" s="31" t="inlineStr">
        <is>
          <t>Plastiblends India Limited</t>
        </is>
      </c>
      <c r="C233" s="31" t="inlineStr">
        <is>
          <t>chemicals</t>
        </is>
      </c>
      <c r="D233" s="31" t="inlineStr">
        <is>
          <t>chemicals</t>
        </is>
      </c>
      <c r="E233" s="31" t="inlineStr">
        <is>
          <t>smallcap</t>
        </is>
      </c>
      <c r="F233" s="31" t="n">
        <v>531.48</v>
      </c>
      <c r="G233" s="31" t="n">
        <v>200.29</v>
      </c>
      <c r="H233" s="31" t="n">
        <v>-2.06</v>
      </c>
      <c r="I233" s="31" t="n">
        <v>39036</v>
      </c>
      <c r="J233" s="31" t="inlineStr">
        <is>
          <t>523648</t>
        </is>
      </c>
    </row>
    <row r="234">
      <c r="A234" s="31" t="inlineStr">
        <is>
          <t>JGCHEM</t>
        </is>
      </c>
      <c r="B234" s="31" t="inlineStr">
        <is>
          <t>J.G.Chemicals Ltd</t>
        </is>
      </c>
      <c r="C234" s="31" t="inlineStr">
        <is>
          <t>chemicals</t>
        </is>
      </c>
      <c r="D234" s="31" t="inlineStr">
        <is>
          <t>chemicals</t>
        </is>
      </c>
      <c r="E234" s="31" t="inlineStr">
        <is>
          <t>smallcap</t>
        </is>
      </c>
      <c r="F234" s="31" t="n">
        <v>2580.99</v>
      </c>
      <c r="G234" s="31" t="n">
        <v>645.1</v>
      </c>
      <c r="H234" s="31" t="n">
        <v>-2.06</v>
      </c>
      <c r="I234" s="31" t="n">
        <v>1421545</v>
      </c>
      <c r="J234" s="31" t="n"/>
    </row>
    <row r="235">
      <c r="A235" s="31" t="inlineStr">
        <is>
          <t>RML</t>
        </is>
      </c>
      <c r="B235" s="31" t="inlineStr">
        <is>
          <t>Rane (madras) Limited</t>
        </is>
      </c>
      <c r="C235" s="31" t="inlineStr">
        <is>
          <t>auto</t>
        </is>
      </c>
      <c r="D235" s="31" t="inlineStr">
        <is>
          <t>auto ancillaries</t>
        </is>
      </c>
      <c r="E235" s="31" t="inlineStr">
        <is>
          <t>smallcap</t>
        </is>
      </c>
      <c r="F235" s="31" t="n">
        <v>3816.41</v>
      </c>
      <c r="G235" s="31" t="n">
        <v>1351.9</v>
      </c>
      <c r="H235" s="31" t="n">
        <v>-2.1</v>
      </c>
      <c r="I235" s="31" t="n">
        <v>51913</v>
      </c>
      <c r="J235" s="31" t="inlineStr">
        <is>
          <t>532661</t>
        </is>
      </c>
    </row>
    <row r="236">
      <c r="A236" s="31" t="inlineStr">
        <is>
          <t>VENUSPIPES</t>
        </is>
      </c>
      <c r="B236" s="31" t="inlineStr">
        <is>
          <t>Venus Pipes &amp; Tubes Ltd</t>
        </is>
      </c>
      <c r="C236" s="31" t="inlineStr">
        <is>
          <t>metals &amp; mining</t>
        </is>
      </c>
      <c r="D236" s="31" t="inlineStr">
        <is>
          <t>steel - medium / small</t>
        </is>
      </c>
      <c r="E236" s="31" t="inlineStr">
        <is>
          <t>smallcap</t>
        </is>
      </c>
      <c r="F236" s="31" t="n">
        <v>4548.84</v>
      </c>
      <c r="G236" s="31" t="n">
        <v>2147.1</v>
      </c>
      <c r="H236" s="31" t="n">
        <v>-2.22</v>
      </c>
      <c r="I236" s="31" t="n">
        <v>125771</v>
      </c>
      <c r="J236" s="31" t="inlineStr">
        <is>
          <t>543528</t>
        </is>
      </c>
    </row>
    <row r="237">
      <c r="A237" s="31" t="inlineStr">
        <is>
          <t>BLISSGVS</t>
        </is>
      </c>
      <c r="B237" s="31" t="inlineStr">
        <is>
          <t>Bliss Gvs Pharma Limited</t>
        </is>
      </c>
      <c r="C237" s="31" t="inlineStr">
        <is>
          <t>healthcare</t>
        </is>
      </c>
      <c r="D237" s="31" t="inlineStr">
        <is>
          <t>pharmaceuticals - indian - formulations</t>
        </is>
      </c>
      <c r="E237" s="31" t="inlineStr">
        <is>
          <t>midcap</t>
        </is>
      </c>
      <c r="F237" s="31" t="n">
        <v>7539.54</v>
      </c>
      <c r="G237" s="31" t="n">
        <v>694.45</v>
      </c>
      <c r="H237" s="31" t="n">
        <v>-2.31</v>
      </c>
      <c r="I237" s="31" t="n">
        <v>209856</v>
      </c>
      <c r="J237" s="31" t="inlineStr">
        <is>
          <t>506197</t>
        </is>
      </c>
    </row>
    <row r="238">
      <c r="A238" s="31" t="inlineStr">
        <is>
          <t>SATIN</t>
        </is>
      </c>
      <c r="B238" s="31" t="inlineStr">
        <is>
          <t>Satin Creditcare Network Limited</t>
        </is>
      </c>
      <c r="C238" s="31" t="inlineStr">
        <is>
          <t>financials</t>
        </is>
      </c>
      <c r="D238" s="31" t="inlineStr">
        <is>
          <t>finance &amp; investments</t>
        </is>
      </c>
      <c r="E238" s="31" t="inlineStr">
        <is>
          <t>smallcap</t>
        </is>
      </c>
      <c r="F238" s="31" t="n">
        <v>2625.78</v>
      </c>
      <c r="G238" s="31" t="n">
        <v>232.2</v>
      </c>
      <c r="H238" s="31" t="n">
        <v>-2.31</v>
      </c>
      <c r="I238" s="31" t="n">
        <v>386106</v>
      </c>
      <c r="J238" s="31" t="inlineStr">
        <is>
          <t>539404</t>
        </is>
      </c>
    </row>
    <row r="239">
      <c r="A239" s="31" t="inlineStr">
        <is>
          <t>INDOAMIN</t>
        </is>
      </c>
      <c r="B239" s="31" t="inlineStr">
        <is>
          <t>Indo Amines Ltd</t>
        </is>
      </c>
      <c r="C239" s="31" t="inlineStr">
        <is>
          <t>chemicals</t>
        </is>
      </c>
      <c r="D239" s="31" t="inlineStr">
        <is>
          <t>chemicals</t>
        </is>
      </c>
      <c r="E239" s="31" t="inlineStr">
        <is>
          <t>smallcap</t>
        </is>
      </c>
      <c r="F239" s="31" t="n">
        <v>1055.79</v>
      </c>
      <c r="G239" s="31" t="n">
        <v>142.07</v>
      </c>
      <c r="H239" s="31" t="n">
        <v>-2.32</v>
      </c>
      <c r="I239" s="31" t="n">
        <v>208080</v>
      </c>
      <c r="J239" s="31" t="inlineStr">
        <is>
          <t>524648</t>
        </is>
      </c>
    </row>
    <row r="240">
      <c r="A240" s="31" t="inlineStr">
        <is>
          <t>CENTUM</t>
        </is>
      </c>
      <c r="B240" s="31" t="inlineStr">
        <is>
          <t>Centum Electronics Limited</t>
        </is>
      </c>
      <c r="C240" s="31" t="inlineStr">
        <is>
          <t>aerospace &amp; defence</t>
        </is>
      </c>
      <c r="D240" s="31" t="inlineStr">
        <is>
          <t>electronics - components</t>
        </is>
      </c>
      <c r="E240" s="31" t="inlineStr">
        <is>
          <t>midcap</t>
        </is>
      </c>
      <c r="F240" s="31" t="n">
        <v>7262.47</v>
      </c>
      <c r="G240" s="31" t="n">
        <v>4797.9</v>
      </c>
      <c r="H240" s="31" t="n">
        <v>-2.5</v>
      </c>
      <c r="I240" s="31" t="n">
        <v>90214</v>
      </c>
      <c r="J240" s="31" t="inlineStr">
        <is>
          <t>517544</t>
        </is>
      </c>
    </row>
    <row r="241">
      <c r="A241" s="31" t="inlineStr">
        <is>
          <t>MVGJL</t>
        </is>
      </c>
      <c r="B241" s="31" t="inlineStr">
        <is>
          <t>Manoj Vaibhav Gems N Jewellers Ltd</t>
        </is>
      </c>
      <c r="C241" s="31" t="inlineStr">
        <is>
          <t>consumer discretionary</t>
        </is>
      </c>
      <c r="D241" s="31" t="inlineStr">
        <is>
          <t>diamond cutting / jewellery</t>
        </is>
      </c>
      <c r="E241" s="31" t="inlineStr">
        <is>
          <t>smallcap</t>
        </is>
      </c>
      <c r="F241" s="31" t="n">
        <v>1038.5</v>
      </c>
      <c r="G241" s="31" t="n">
        <v>207.16</v>
      </c>
      <c r="H241" s="31" t="n">
        <v>-2.56</v>
      </c>
      <c r="I241" s="31" t="n">
        <v>143718</v>
      </c>
      <c r="J241" s="31" t="inlineStr">
        <is>
          <t>543995</t>
        </is>
      </c>
    </row>
    <row r="242">
      <c r="A242" s="31" t="inlineStr">
        <is>
          <t>PRIMO</t>
        </is>
      </c>
      <c r="B242" s="31" t="inlineStr">
        <is>
          <t>Primo Chemicals Ltd</t>
        </is>
      </c>
      <c r="C242" s="31" t="inlineStr">
        <is>
          <t>chemicals</t>
        </is>
      </c>
      <c r="D242" s="31" t="inlineStr">
        <is>
          <t>chlor alkali / soda ash</t>
        </is>
      </c>
      <c r="E242" s="31" t="inlineStr">
        <is>
          <t>smallcap</t>
        </is>
      </c>
      <c r="F242" s="31" t="n">
        <v>663.54</v>
      </c>
      <c r="G242" s="31" t="n">
        <v>26.64</v>
      </c>
      <c r="H242" s="31" t="n">
        <v>-2.7</v>
      </c>
      <c r="I242" s="31" t="n">
        <v>448253</v>
      </c>
      <c r="J242" s="31" t="inlineStr">
        <is>
          <t>506852</t>
        </is>
      </c>
    </row>
    <row r="243">
      <c r="A243" s="31" t="inlineStr">
        <is>
          <t>INDOCO</t>
        </is>
      </c>
      <c r="B243" s="31" t="inlineStr">
        <is>
          <t>Indoco Remedies Limited</t>
        </is>
      </c>
      <c r="C243" s="31" t="inlineStr">
        <is>
          <t>healthcare</t>
        </is>
      </c>
      <c r="D243" s="31" t="inlineStr">
        <is>
          <t>pharmaceuticals - indian - bulk drugs &amp; formln</t>
        </is>
      </c>
      <c r="E243" s="31" t="inlineStr">
        <is>
          <t>smallcap</t>
        </is>
      </c>
      <c r="F243" s="31" t="n">
        <v>2484.35</v>
      </c>
      <c r="G243" s="31" t="n">
        <v>261.67</v>
      </c>
      <c r="H243" s="31" t="n">
        <v>-2.78</v>
      </c>
      <c r="I243" s="31" t="n">
        <v>1088133</v>
      </c>
      <c r="J243" s="31" t="inlineStr">
        <is>
          <t>532612</t>
        </is>
      </c>
    </row>
    <row r="244">
      <c r="A244" s="31" t="inlineStr">
        <is>
          <t>SANGAMIND</t>
        </is>
      </c>
      <c r="B244" s="31" t="inlineStr">
        <is>
          <t>Sangam (india) Limited</t>
        </is>
      </c>
      <c r="C244" s="31" t="inlineStr">
        <is>
          <t>textiles</t>
        </is>
      </c>
      <c r="D244" s="31" t="inlineStr">
        <is>
          <t>textiles - spinning - synthetic / blended</t>
        </is>
      </c>
      <c r="E244" s="31" t="inlineStr">
        <is>
          <t>smallcap</t>
        </is>
      </c>
      <c r="F244" s="31" t="n">
        <v>3243.67</v>
      </c>
      <c r="G244" s="31" t="n">
        <v>626.9</v>
      </c>
      <c r="H244" s="31" t="n">
        <v>-2.89</v>
      </c>
      <c r="I244" s="31" t="n">
        <v>27711</v>
      </c>
      <c r="J244" s="31" t="inlineStr">
        <is>
          <t>514234</t>
        </is>
      </c>
    </row>
    <row r="245">
      <c r="A245" s="31" t="inlineStr">
        <is>
          <t>AETHER</t>
        </is>
      </c>
      <c r="B245" s="31" t="inlineStr">
        <is>
          <t>Aether Industries Ltd</t>
        </is>
      </c>
      <c r="C245" s="31" t="inlineStr">
        <is>
          <t>chemicals</t>
        </is>
      </c>
      <c r="D245" s="31" t="inlineStr">
        <is>
          <t>chemicals</t>
        </is>
      </c>
      <c r="E245" s="31" t="inlineStr">
        <is>
          <t>largecap</t>
        </is>
      </c>
      <c r="F245" s="31" t="n">
        <v>23223.37</v>
      </c>
      <c r="G245" s="31" t="n">
        <v>1699.3</v>
      </c>
      <c r="H245" s="31" t="n">
        <v>-2.89</v>
      </c>
      <c r="I245" s="31" t="n">
        <v>292457</v>
      </c>
      <c r="J245" s="31" t="inlineStr">
        <is>
          <t>543534</t>
        </is>
      </c>
    </row>
    <row r="246">
      <c r="A246" s="31" t="inlineStr">
        <is>
          <t>KABRAEXTRU</t>
        </is>
      </c>
      <c r="B246" s="31" t="inlineStr">
        <is>
          <t>Kabra Extrusion Technik Limited</t>
        </is>
      </c>
      <c r="C246" s="31" t="inlineStr">
        <is>
          <t>industrials</t>
        </is>
      </c>
      <c r="D246" s="31" t="inlineStr">
        <is>
          <t>engineering</t>
        </is>
      </c>
      <c r="E246" s="31" t="inlineStr">
        <is>
          <t>smallcap</t>
        </is>
      </c>
      <c r="F246" s="31" t="n">
        <v>2902.05</v>
      </c>
      <c r="G246" s="31" t="n">
        <v>805.55</v>
      </c>
      <c r="H246" s="31" t="n">
        <v>-2.92</v>
      </c>
      <c r="I246" s="31" t="n">
        <v>221415</v>
      </c>
      <c r="J246" s="31" t="inlineStr">
        <is>
          <t>524109</t>
        </is>
      </c>
    </row>
    <row r="247">
      <c r="A247" s="31" t="inlineStr">
        <is>
          <t>BOSCH-HCIL</t>
        </is>
      </c>
      <c r="B247" s="31" t="inlineStr">
        <is>
          <t>Bosch Home Comfort India Ltd</t>
        </is>
      </c>
      <c r="C247" s="31" t="inlineStr">
        <is>
          <t>consumer discretionary</t>
        </is>
      </c>
      <c r="D247" s="31" t="inlineStr">
        <is>
          <t>air-conditioners</t>
        </is>
      </c>
      <c r="E247" s="31" t="inlineStr">
        <is>
          <t>midcap</t>
        </is>
      </c>
      <c r="F247" s="31" t="n">
        <v>5259.8</v>
      </c>
      <c r="G247" s="31" t="n">
        <v>1876.7</v>
      </c>
      <c r="H247" s="31" t="n">
        <v>-2.98</v>
      </c>
      <c r="I247" s="31" t="n">
        <v>72922</v>
      </c>
      <c r="J247" s="31" t="inlineStr">
        <is>
          <t>523398</t>
        </is>
      </c>
    </row>
    <row r="248">
      <c r="A248" s="31" t="inlineStr">
        <is>
          <t>INDORAMA</t>
        </is>
      </c>
      <c r="B248" s="31" t="inlineStr">
        <is>
          <t>Indo Rama Synthetics (india) Limited</t>
        </is>
      </c>
      <c r="C248" s="31" t="inlineStr">
        <is>
          <t>textiles</t>
        </is>
      </c>
      <c r="D248" s="31" t="inlineStr">
        <is>
          <t>textiles - manmade</t>
        </is>
      </c>
      <c r="E248" s="31" t="inlineStr">
        <is>
          <t>smallcap</t>
        </is>
      </c>
      <c r="F248" s="31" t="n">
        <v>2700.95</v>
      </c>
      <c r="G248" s="31" t="n">
        <v>100.36</v>
      </c>
      <c r="H248" s="31" t="n">
        <v>-2.98</v>
      </c>
      <c r="I248" s="31" t="n">
        <v>1164796</v>
      </c>
      <c r="J248" s="31" t="inlineStr">
        <is>
          <t>500207</t>
        </is>
      </c>
    </row>
    <row r="249">
      <c r="A249" s="31" t="inlineStr">
        <is>
          <t>ANTELOPUS</t>
        </is>
      </c>
      <c r="B249" s="31" t="inlineStr">
        <is>
          <t>Antelopus Selan Energy Ltd</t>
        </is>
      </c>
      <c r="C249" s="31" t="inlineStr">
        <is>
          <t>energy</t>
        </is>
      </c>
      <c r="D249" s="31" t="inlineStr">
        <is>
          <t>oil drilling / allied services</t>
        </is>
      </c>
      <c r="E249" s="31" t="inlineStr">
        <is>
          <t>smallcap</t>
        </is>
      </c>
      <c r="F249" s="31" t="n">
        <v>4087.62</v>
      </c>
      <c r="G249" s="31" t="n">
        <v>1125.9</v>
      </c>
      <c r="H249" s="31" t="n">
        <v>-3.15</v>
      </c>
      <c r="I249" s="31" t="n">
        <v>316480</v>
      </c>
      <c r="J249" s="31" t="inlineStr">
        <is>
          <t>530075</t>
        </is>
      </c>
    </row>
    <row r="250">
      <c r="A250" s="31" t="inlineStr">
        <is>
          <t>PREMIERPOL</t>
        </is>
      </c>
      <c r="B250" s="31" t="inlineStr">
        <is>
          <t>Premier Polyfilm Limited</t>
        </is>
      </c>
      <c r="C250" s="31" t="inlineStr">
        <is>
          <t>plastic products</t>
        </is>
      </c>
      <c r="D250" s="31" t="inlineStr">
        <is>
          <t>plastics products</t>
        </is>
      </c>
      <c r="E250" s="31" t="inlineStr">
        <is>
          <t>smallcap</t>
        </is>
      </c>
      <c r="F250" s="31" t="n">
        <v>1004.38</v>
      </c>
      <c r="G250" s="31" t="n">
        <v>92.76000000000001</v>
      </c>
      <c r="H250" s="31" t="n">
        <v>-3.26</v>
      </c>
      <c r="I250" s="31" t="n">
        <v>208407</v>
      </c>
      <c r="J250" s="31" t="inlineStr">
        <is>
          <t>514354</t>
        </is>
      </c>
    </row>
    <row r="251">
      <c r="A251" s="31" t="inlineStr">
        <is>
          <t>SOLARA</t>
        </is>
      </c>
      <c r="B251" s="31" t="inlineStr">
        <is>
          <t>Solara Active Pharma Sciences Ltd</t>
        </is>
      </c>
      <c r="C251" s="31" t="inlineStr">
        <is>
          <t>healthcare</t>
        </is>
      </c>
      <c r="D251" s="31" t="inlineStr">
        <is>
          <t>pharmaceuticals - indian - bulk drugs &amp; formln</t>
        </is>
      </c>
      <c r="E251" s="31" t="inlineStr">
        <is>
          <t>smallcap</t>
        </is>
      </c>
      <c r="F251" s="31" t="n">
        <v>3617.73</v>
      </c>
      <c r="G251" s="31" t="n">
        <v>725.4</v>
      </c>
      <c r="H251" s="31" t="n">
        <v>-3.26</v>
      </c>
      <c r="I251" s="31" t="n">
        <v>177501</v>
      </c>
      <c r="J251" s="31" t="inlineStr">
        <is>
          <t>541540</t>
        </is>
      </c>
    </row>
    <row r="252">
      <c r="A252" s="31" t="inlineStr">
        <is>
          <t>PASUPTAC</t>
        </is>
      </c>
      <c r="B252" s="31" t="inlineStr">
        <is>
          <t>Pasupati Acrylon Ltd</t>
        </is>
      </c>
      <c r="C252" s="31" t="inlineStr">
        <is>
          <t>textiles</t>
        </is>
      </c>
      <c r="D252" s="31" t="inlineStr">
        <is>
          <t>textiles - manmade</t>
        </is>
      </c>
      <c r="E252" s="31" t="inlineStr">
        <is>
          <t>smallcap</t>
        </is>
      </c>
      <c r="F252" s="31" t="n">
        <v>670.28</v>
      </c>
      <c r="G252" s="31" t="n">
        <v>72.73</v>
      </c>
      <c r="H252" s="31" t="n">
        <v>-3.28</v>
      </c>
      <c r="I252" s="31" t="n">
        <v>180671</v>
      </c>
      <c r="J252" s="31" t="inlineStr">
        <is>
          <t>500456</t>
        </is>
      </c>
    </row>
    <row r="253">
      <c r="A253" s="31" t="inlineStr">
        <is>
          <t>LLOYDSENGG</t>
        </is>
      </c>
      <c r="B253" s="31" t="inlineStr">
        <is>
          <t>Lloyds Engineering Works Ltd</t>
        </is>
      </c>
      <c r="C253" s="31" t="inlineStr">
        <is>
          <t>industrials</t>
        </is>
      </c>
      <c r="D253" s="31" t="inlineStr">
        <is>
          <t>engineering</t>
        </is>
      </c>
      <c r="E253" s="31" t="inlineStr">
        <is>
          <t>midcap</t>
        </is>
      </c>
      <c r="F253" s="31" t="n">
        <v>15850.07</v>
      </c>
      <c r="G253" s="31" t="n">
        <v>98.64</v>
      </c>
      <c r="H253" s="31" t="n">
        <v>-3.47</v>
      </c>
      <c r="I253" s="31" t="n">
        <v>20659896</v>
      </c>
      <c r="J253" s="31" t="inlineStr">
        <is>
          <t>539992</t>
        </is>
      </c>
    </row>
    <row r="254">
      <c r="A254" s="31" t="inlineStr">
        <is>
          <t>SUPRIYA</t>
        </is>
      </c>
      <c r="B254" s="31" t="inlineStr">
        <is>
          <t>Supriya Lifescience Ltd</t>
        </is>
      </c>
      <c r="C254" s="31" t="inlineStr">
        <is>
          <t>healthcare</t>
        </is>
      </c>
      <c r="D254" s="31" t="inlineStr">
        <is>
          <t>pharmaceuticals - indian - bulk drugs &amp; formln</t>
        </is>
      </c>
      <c r="E254" s="31" t="inlineStr">
        <is>
          <t>midcap</t>
        </is>
      </c>
      <c r="F254" s="31" t="n">
        <v>7927.96</v>
      </c>
      <c r="G254" s="31" t="n">
        <v>950.25</v>
      </c>
      <c r="H254" s="31" t="n">
        <v>-3.53</v>
      </c>
      <c r="I254" s="31" t="n">
        <v>229715</v>
      </c>
      <c r="J254" s="31" t="inlineStr">
        <is>
          <t>543434</t>
        </is>
      </c>
    </row>
    <row r="255">
      <c r="A255" s="31" t="inlineStr">
        <is>
          <t>OPTIEMUS</t>
        </is>
      </c>
      <c r="B255" s="31" t="inlineStr">
        <is>
          <t>Optiemus Infracom Ltd</t>
        </is>
      </c>
      <c r="C255" s="31" t="inlineStr">
        <is>
          <t>telecom</t>
        </is>
      </c>
      <c r="D255" s="31" t="inlineStr">
        <is>
          <t>trading</t>
        </is>
      </c>
      <c r="E255" s="31" t="inlineStr">
        <is>
          <t>midcap</t>
        </is>
      </c>
      <c r="F255" s="31" t="n">
        <v>7179.05</v>
      </c>
      <c r="G255" s="31" t="n">
        <v>767.75</v>
      </c>
      <c r="H255" s="31" t="n">
        <v>-3.57</v>
      </c>
      <c r="I255" s="31" t="n">
        <v>716846</v>
      </c>
      <c r="J255" s="31" t="inlineStr">
        <is>
          <t>530135</t>
        </is>
      </c>
    </row>
    <row r="256">
      <c r="A256" s="31" t="inlineStr">
        <is>
          <t>FILATEX</t>
        </is>
      </c>
      <c r="B256" s="31" t="inlineStr">
        <is>
          <t>Filatex India Limited</t>
        </is>
      </c>
      <c r="C256" s="31" t="inlineStr">
        <is>
          <t>textiles</t>
        </is>
      </c>
      <c r="D256" s="31" t="inlineStr">
        <is>
          <t>textiles - manmade</t>
        </is>
      </c>
      <c r="E256" s="31" t="inlineStr">
        <is>
          <t>smallcap</t>
        </is>
      </c>
      <c r="F256" s="31" t="n">
        <v>4973.45</v>
      </c>
      <c r="G256" s="31" t="n">
        <v>107.76</v>
      </c>
      <c r="H256" s="31" t="n">
        <v>-3.79</v>
      </c>
      <c r="I256" s="31" t="n">
        <v>2227616</v>
      </c>
      <c r="J256" s="31" t="inlineStr">
        <is>
          <t>526227</t>
        </is>
      </c>
    </row>
    <row r="257">
      <c r="A257" s="31" t="inlineStr">
        <is>
          <t>KIRLOSENG</t>
        </is>
      </c>
      <c r="B257" s="31" t="inlineStr">
        <is>
          <t>Kirloskar Oil Engines Limited</t>
        </is>
      </c>
      <c r="C257" s="31" t="inlineStr">
        <is>
          <t>industrials</t>
        </is>
      </c>
      <c r="D257" s="31" t="inlineStr">
        <is>
          <t>engines</t>
        </is>
      </c>
      <c r="E257" s="31" t="inlineStr">
        <is>
          <t>largecap</t>
        </is>
      </c>
      <c r="F257" s="31" t="n">
        <v>34920.26</v>
      </c>
      <c r="G257" s="31" t="n">
        <v>2304.2</v>
      </c>
      <c r="H257" s="31" t="n">
        <v>-4.07</v>
      </c>
      <c r="I257" s="31" t="n">
        <v>1822978</v>
      </c>
      <c r="J257" s="31" t="inlineStr">
        <is>
          <t>533293</t>
        </is>
      </c>
    </row>
    <row r="258">
      <c r="A258" s="31" t="inlineStr">
        <is>
          <t>SYNCOMF</t>
        </is>
      </c>
      <c r="B258" s="31" t="inlineStr">
        <is>
          <t>Syncom Formulations (India) Ltd</t>
        </is>
      </c>
      <c r="C258" s="31" t="inlineStr">
        <is>
          <t>healthcare</t>
        </is>
      </c>
      <c r="D258" s="31" t="inlineStr">
        <is>
          <t>pharmaceuticals - indian - bulk drugs &amp; formln</t>
        </is>
      </c>
      <c r="E258" s="31" t="inlineStr">
        <is>
          <t>smallcap</t>
        </is>
      </c>
      <c r="F258" s="31" t="n">
        <v>2460.92</v>
      </c>
      <c r="G258" s="31" t="n">
        <v>25.08</v>
      </c>
      <c r="H258" s="31" t="n">
        <v>-4.2</v>
      </c>
      <c r="I258" s="31" t="n">
        <v>99577808</v>
      </c>
      <c r="J258" s="31" t="inlineStr">
        <is>
          <t>524470</t>
        </is>
      </c>
    </row>
    <row r="259">
      <c r="A259" s="31" t="inlineStr">
        <is>
          <t>KOPRAN</t>
        </is>
      </c>
      <c r="B259" s="31" t="inlineStr">
        <is>
          <t>Kopran Limited</t>
        </is>
      </c>
      <c r="C259" s="31" t="inlineStr">
        <is>
          <t>healthcare</t>
        </is>
      </c>
      <c r="D259" s="31" t="inlineStr">
        <is>
          <t>pharmaceuticals - indian - bulk drugs &amp; formln</t>
        </is>
      </c>
      <c r="E259" s="31" t="inlineStr">
        <is>
          <t>smallcap</t>
        </is>
      </c>
      <c r="F259" s="31" t="n">
        <v>1404.63</v>
      </c>
      <c r="G259" s="31" t="n">
        <v>278.32</v>
      </c>
      <c r="H259" s="31" t="n">
        <v>-4.32</v>
      </c>
      <c r="I259" s="31" t="n">
        <v>487875</v>
      </c>
      <c r="J259" s="31" t="inlineStr">
        <is>
          <t>524280</t>
        </is>
      </c>
    </row>
    <row r="260">
      <c r="A260" s="31" t="inlineStr">
        <is>
          <t>WELCORP</t>
        </is>
      </c>
      <c r="B260" s="31" t="inlineStr">
        <is>
          <t>Welspun Corp Limited</t>
        </is>
      </c>
      <c r="C260" s="31" t="inlineStr">
        <is>
          <t>industrials</t>
        </is>
      </c>
      <c r="D260" s="31" t="inlineStr">
        <is>
          <t>steel - large</t>
        </is>
      </c>
      <c r="E260" s="31" t="inlineStr">
        <is>
          <t>largecap</t>
        </is>
      </c>
      <c r="F260" s="31" t="n">
        <v>74969.3</v>
      </c>
      <c r="G260" s="31" t="n">
        <v>2717</v>
      </c>
      <c r="H260" s="31" t="n">
        <v>-4.4</v>
      </c>
      <c r="I260" s="31" t="n">
        <v>1718055</v>
      </c>
      <c r="J260" s="31" t="inlineStr">
        <is>
          <t>532144</t>
        </is>
      </c>
    </row>
    <row r="261">
      <c r="A261" s="31" t="inlineStr">
        <is>
          <t>AHCL</t>
        </is>
      </c>
      <c r="B261" s="31" t="inlineStr">
        <is>
          <t>Anlon Healthcare Ltd</t>
        </is>
      </c>
      <c r="C261" s="31" t="inlineStr">
        <is>
          <t>healthcare</t>
        </is>
      </c>
      <c r="D261" s="31" t="inlineStr">
        <is>
          <t>pharmaceuticals - indian - bulk drugs &amp; formln</t>
        </is>
      </c>
      <c r="E261" s="31" t="inlineStr">
        <is>
          <t>smallcap</t>
        </is>
      </c>
      <c r="F261" s="31" t="n">
        <v>1934.18</v>
      </c>
      <c r="G261" s="31" t="n">
        <v>34.58</v>
      </c>
      <c r="H261" s="31" t="n">
        <v>-4.97</v>
      </c>
      <c r="I261" s="31" t="n">
        <v>18707312</v>
      </c>
      <c r="J261" s="31" t="inlineStr">
        <is>
          <t>544497</t>
        </is>
      </c>
    </row>
    <row r="262">
      <c r="A262" s="31" t="inlineStr">
        <is>
          <t>MANINDS</t>
        </is>
      </c>
      <c r="B262" s="31" t="inlineStr">
        <is>
          <t>Man Industries (india) Limited</t>
        </is>
      </c>
      <c r="C262" s="31" t="inlineStr">
        <is>
          <t>metals &amp; mining</t>
        </is>
      </c>
      <c r="D262" s="31" t="inlineStr">
        <is>
          <t>steel - medium / small</t>
        </is>
      </c>
      <c r="E262" s="31" t="inlineStr">
        <is>
          <t>midcap</t>
        </is>
      </c>
      <c r="F262" s="31" t="n">
        <v>7197.92</v>
      </c>
      <c r="G262" s="31" t="n">
        <v>907.35</v>
      </c>
      <c r="H262" s="31" t="n">
        <v>-5.45</v>
      </c>
      <c r="I262" s="31" t="n">
        <v>1072563</v>
      </c>
      <c r="J262" s="31" t="inlineStr">
        <is>
          <t>513269</t>
        </is>
      </c>
    </row>
    <row r="263">
      <c r="A263" s="31" t="inlineStr">
        <is>
          <t>INDSWFTLAB</t>
        </is>
      </c>
      <c r="B263" s="31" t="inlineStr">
        <is>
          <t>Ind-swift Laboratories Limited</t>
        </is>
      </c>
      <c r="C263" s="31" t="inlineStr">
        <is>
          <t>healthcare</t>
        </is>
      </c>
      <c r="D263" s="31" t="inlineStr">
        <is>
          <t>pharmaceuticals - indian - bulk drugs &amp; formln</t>
        </is>
      </c>
      <c r="E263" s="31" t="inlineStr">
        <is>
          <t>smallcap</t>
        </is>
      </c>
      <c r="F263" s="31" t="n">
        <v>3592.38</v>
      </c>
      <c r="G263" s="31" t="n">
        <v>388.75</v>
      </c>
      <c r="H263" s="31" t="n">
        <v>-5.89</v>
      </c>
      <c r="I263" s="31" t="n">
        <v>805121</v>
      </c>
      <c r="J263" s="31" t="inlineStr">
        <is>
          <t>532305</t>
        </is>
      </c>
    </row>
  </sheetData>
  <autoFilter ref="A1:J2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BHAGERIA</t>
        </is>
      </c>
      <c r="E2" s="31" t="inlineStr">
        <is>
          <t>Bhageria Industries Limited</t>
        </is>
      </c>
      <c r="F2" s="31" t="inlineStr">
        <is>
          <t>Dyes and Pigments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28</v>
      </c>
      <c r="K2" s="31" t="n">
        <v>29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MOREPENLAB</t>
        </is>
      </c>
      <c r="E3" s="31" t="inlineStr">
        <is>
          <t>Morepen Laboratories Limited</t>
        </is>
      </c>
      <c r="F3" s="31" t="inlineStr">
        <is>
          <t>Pharma API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21</v>
      </c>
      <c r="K3" s="31" t="n">
        <v>30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LOTUSDEV</t>
        </is>
      </c>
      <c r="E4" s="31" t="inlineStr">
        <is>
          <t>Sri Lotus Developers &amp; Realty Ltd</t>
        </is>
      </c>
      <c r="F4" s="31" t="inlineStr">
        <is>
          <t>Construction Factories and Offices and Commercial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22</v>
      </c>
      <c r="K4" s="31" t="n">
        <v>25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SYRMA</t>
        </is>
      </c>
      <c r="E5" s="31" t="inlineStr">
        <is>
          <t>Syrma SGS Technology Ltd</t>
        </is>
      </c>
      <c r="F5" s="31" t="inlineStr">
        <is>
          <t>EMS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23</v>
      </c>
      <c r="K5" s="31" t="n">
        <v>21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CUPID</t>
        </is>
      </c>
      <c r="E6" s="31" t="inlineStr">
        <is>
          <t>Cupid Limited</t>
        </is>
      </c>
      <c r="F6" s="31" t="inlineStr">
        <is>
          <t>Contraceptives and Protectives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26</v>
      </c>
      <c r="K6" s="31" t="n">
        <v>22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SPECTRUM</t>
        </is>
      </c>
      <c r="E7" s="31" t="inlineStr">
        <is>
          <t>Spectrum Electrical Industries Ltd</t>
        </is>
      </c>
      <c r="F7" s="31" t="inlineStr">
        <is>
          <t>unknown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0</v>
      </c>
      <c r="K7" s="31" t="n">
        <v>19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ONEPOINT</t>
        </is>
      </c>
      <c r="E8" s="31" t="inlineStr">
        <is>
          <t>One Point One Solutions Ltd</t>
        </is>
      </c>
      <c r="F8" s="31" t="inlineStr">
        <is>
          <t>IT Enabled Services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25</v>
      </c>
      <c r="K8" s="31" t="n">
        <v>14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MUKANDLTD</t>
        </is>
      </c>
      <c r="E9" s="31" t="inlineStr">
        <is>
          <t>Mukand Limited</t>
        </is>
      </c>
      <c r="F9" s="31" t="inlineStr">
        <is>
          <t>Steel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23</v>
      </c>
      <c r="K9" s="31" t="n">
        <v>9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DYNAMATECH</t>
        </is>
      </c>
      <c r="E10" s="31" t="inlineStr">
        <is>
          <t>Dynamatic Technologies Limited</t>
        </is>
      </c>
      <c r="F10" s="31" t="inlineStr">
        <is>
          <t>Aerospace and Defence Equipment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19</v>
      </c>
      <c r="K10" s="31" t="n">
        <v>28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SAMBHV</t>
        </is>
      </c>
      <c r="E11" s="31" t="inlineStr">
        <is>
          <t>Sambhv Steel Tubes Ltd</t>
        </is>
      </c>
      <c r="F11" s="31" t="inlineStr">
        <is>
          <t>Steel Tubes and Pipes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27</v>
      </c>
      <c r="K11" s="31" t="n">
        <v>24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AXISCADES</t>
        </is>
      </c>
      <c r="E12" s="31" t="inlineStr">
        <is>
          <t>AXISCADES Technologies Ltd</t>
        </is>
      </c>
      <c r="F12" s="31" t="inlineStr">
        <is>
          <t>Aerospace and Defence Equipment</t>
        </is>
      </c>
      <c r="G12" s="31" t="n">
        <v>3</v>
      </c>
      <c r="H12" s="31" t="inlineStr">
        <is>
          <t>52W Breakout</t>
        </is>
      </c>
      <c r="I12" s="31" t="inlineStr">
        <is>
          <t>Yes</t>
        </is>
      </c>
      <c r="J12" s="31" t="n">
        <v>21</v>
      </c>
      <c r="K12" s="31" t="n">
        <v>16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ROSSTECH</t>
        </is>
      </c>
      <c r="E13" s="31" t="inlineStr">
        <is>
          <t>Rossell Techsys Ltd</t>
        </is>
      </c>
      <c r="F13" s="31" t="inlineStr">
        <is>
          <t>Aerospace and Defence Equipment</t>
        </is>
      </c>
      <c r="G13" s="31" t="n">
        <v>3</v>
      </c>
      <c r="H13" s="31" t="inlineStr">
        <is>
          <t>52W Breakout</t>
        </is>
      </c>
      <c r="I13" s="31" t="inlineStr">
        <is>
          <t>Yes</t>
        </is>
      </c>
      <c r="J13" s="31" t="n">
        <v>19</v>
      </c>
      <c r="K13" s="31" t="n">
        <v>28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SBC</t>
        </is>
      </c>
      <c r="E14" s="31" t="inlineStr">
        <is>
          <t>SBC Exports Ltd</t>
        </is>
      </c>
      <c r="F14" s="31" t="inlineStr">
        <is>
          <t>Textiles Readymade Apparel</t>
        </is>
      </c>
      <c r="G14" s="31" t="n">
        <v>3</v>
      </c>
      <c r="H14" s="31" t="inlineStr">
        <is>
          <t>52W Breakout</t>
        </is>
      </c>
      <c r="I14" s="31" t="inlineStr">
        <is>
          <t>Yes</t>
        </is>
      </c>
      <c r="J14" s="31" t="n">
        <v>25</v>
      </c>
      <c r="K14" s="31" t="n">
        <v>25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RPTECH</t>
        </is>
      </c>
      <c r="E15" s="31" t="inlineStr">
        <is>
          <t>Rashi Peripherals Ltd</t>
        </is>
      </c>
      <c r="F15" s="31" t="inlineStr">
        <is>
          <t>Trading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23</v>
      </c>
      <c r="K15" s="31" t="n">
        <v>11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JGCHEM</t>
        </is>
      </c>
      <c r="E16" s="31" t="inlineStr">
        <is>
          <t>J.G.Chemicals Ltd</t>
        </is>
      </c>
      <c r="F16" s="31" t="inlineStr">
        <is>
          <t>Chemicals Inorganic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19</v>
      </c>
      <c r="K16" s="31" t="n">
        <v>18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KINGFA</t>
        </is>
      </c>
      <c r="E17" s="31" t="inlineStr">
        <is>
          <t>Kingfa Science &amp; Technology (india) Limited</t>
        </is>
      </c>
      <c r="F17" s="31" t="inlineStr">
        <is>
          <t>Plastics Plastic and Plastic Products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22</v>
      </c>
      <c r="K17" s="31" t="n">
        <v>26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GNA</t>
        </is>
      </c>
      <c r="E18" s="31" t="inlineStr">
        <is>
          <t>Gna Axles Limited</t>
        </is>
      </c>
      <c r="F18" s="31" t="inlineStr">
        <is>
          <t>Auto Axles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22</v>
      </c>
      <c r="K18" s="31" t="n">
        <v>16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NRL</t>
        </is>
      </c>
      <c r="E19" s="31" t="inlineStr">
        <is>
          <t>Nupur Recyclers Ltd</t>
        </is>
      </c>
      <c r="F19" s="31" t="inlineStr">
        <is>
          <t>Trading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20</v>
      </c>
      <c r="K19" s="31" t="n">
        <v>26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TBZ</t>
        </is>
      </c>
      <c r="E20" s="31" t="inlineStr">
        <is>
          <t>Tribhovandas Bhimji Zaveri Limited</t>
        </is>
      </c>
      <c r="F20" s="31" t="inlineStr">
        <is>
          <t>Diamond Gems and Jewellery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21</v>
      </c>
      <c r="K20" s="31" t="n">
        <v>29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SHAREINDIA</t>
        </is>
      </c>
      <c r="E21" s="31" t="inlineStr">
        <is>
          <t>Share India Securities Ltd</t>
        </is>
      </c>
      <c r="F21" s="31" t="inlineStr">
        <is>
          <t>Finance Capital Markets Brokers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19</v>
      </c>
      <c r="K21" s="31" t="n">
        <v>16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IBULLSLTD</t>
        </is>
      </c>
      <c r="E22" s="31" t="inlineStr">
        <is>
          <t>Indiabulls Limited</t>
        </is>
      </c>
      <c r="F22" s="31" t="inlineStr">
        <is>
          <t>Diversified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19</v>
      </c>
      <c r="K22" s="31" t="n">
        <v>11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DPABHUSHAN</t>
        </is>
      </c>
      <c r="E23" s="31" t="inlineStr">
        <is>
          <t>D.P. Abhushan Ltd</t>
        </is>
      </c>
      <c r="F23" s="31" t="inlineStr">
        <is>
          <t>Diamond Gems and Jewellery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30</v>
      </c>
      <c r="K23" s="31" t="n">
        <v>13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MBECL</t>
        </is>
      </c>
      <c r="E24" s="31" t="inlineStr">
        <is>
          <t>Mcnally Bharat Engineering Company Limited</t>
        </is>
      </c>
      <c r="F24" s="31" t="inlineStr">
        <is>
          <t>Engineering Turnkey Services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20</v>
      </c>
      <c r="K24" s="31" t="n">
        <v>13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RPEL</t>
        </is>
      </c>
      <c r="E25" s="31" t="inlineStr">
        <is>
          <t>Raghav Productivity Enhancers Ltd</t>
        </is>
      </c>
      <c r="F25" s="31" t="inlineStr">
        <is>
          <t>Refractories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18</v>
      </c>
      <c r="K25" s="31" t="n">
        <v>20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CASTROLIND</t>
        </is>
      </c>
      <c r="E26" s="31" t="inlineStr">
        <is>
          <t>Castrol India Limited</t>
        </is>
      </c>
      <c r="F26" s="31" t="inlineStr">
        <is>
          <t>Lubricants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22</v>
      </c>
      <c r="K26" s="31" t="n">
        <v>15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VALIANTORG</t>
        </is>
      </c>
      <c r="E27" s="31" t="inlineStr">
        <is>
          <t>Valiant Organics Ltd</t>
        </is>
      </c>
      <c r="F27" s="31" t="inlineStr">
        <is>
          <t>Chemicals Organic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22</v>
      </c>
      <c r="K27" s="31" t="n">
        <v>19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QUADFUTURE</t>
        </is>
      </c>
      <c r="E28" s="31" t="inlineStr">
        <is>
          <t>Quadrant Future Tek Ltd</t>
        </is>
      </c>
      <c r="F28" s="31" t="inlineStr">
        <is>
          <t>Railways Kavach and Springs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18</v>
      </c>
      <c r="K28" s="31" t="n">
        <v>29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KMEW</t>
        </is>
      </c>
      <c r="E29" s="31" t="inlineStr">
        <is>
          <t>Knowledge Marine &amp; Engineering Works Ltd</t>
        </is>
      </c>
      <c r="F29" s="31" t="inlineStr">
        <is>
          <t>Shipping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20</v>
      </c>
      <c r="K29" s="31" t="n">
        <v>20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OCCLLTD</t>
        </is>
      </c>
      <c r="E30" s="31" t="inlineStr">
        <is>
          <t>OCCL Ltd</t>
        </is>
      </c>
      <c r="F30" s="31" t="inlineStr">
        <is>
          <t>unknown</t>
        </is>
      </c>
      <c r="G30" s="31" t="n">
        <v>2</v>
      </c>
      <c r="H30" s="31" t="inlineStr">
        <is>
          <t>52W Breakout</t>
        </is>
      </c>
      <c r="I30" s="31" t="inlineStr">
        <is>
          <t>Yes</t>
        </is>
      </c>
      <c r="J30" s="31" t="n">
        <v>0</v>
      </c>
      <c r="K30" s="31" t="n">
        <v>18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SSWL</t>
        </is>
      </c>
      <c r="E31" s="31" t="inlineStr">
        <is>
          <t>Steel Strips Wheels Limited</t>
        </is>
      </c>
      <c r="F31" s="31" t="inlineStr">
        <is>
          <t>unknown</t>
        </is>
      </c>
      <c r="G31" s="31" t="n">
        <v>2</v>
      </c>
      <c r="H31" s="31" t="inlineStr">
        <is>
          <t>52W Breakout</t>
        </is>
      </c>
      <c r="I31" s="31" t="inlineStr">
        <is>
          <t>Yes</t>
        </is>
      </c>
      <c r="J31" s="31" t="n">
        <v>0</v>
      </c>
      <c r="K31" s="31" t="n">
        <v>23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AHCL</t>
        </is>
      </c>
      <c r="E32" s="31" t="inlineStr">
        <is>
          <t>Anlon Healthcare Ltd</t>
        </is>
      </c>
      <c r="F32" s="31" t="inlineStr">
        <is>
          <t>Pharma API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18</v>
      </c>
      <c r="K32" s="31" t="n">
        <v>17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INDSWFTLAB</t>
        </is>
      </c>
      <c r="E33" s="31" t="inlineStr">
        <is>
          <t>Ind-swift Laboratories Limited</t>
        </is>
      </c>
      <c r="F33" s="31" t="inlineStr">
        <is>
          <t>Pharma Formulations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19</v>
      </c>
      <c r="K33" s="31" t="n">
        <v>30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SKYGOLD</t>
        </is>
      </c>
      <c r="E34" s="31" t="inlineStr">
        <is>
          <t>Sky Gold Ltd</t>
        </is>
      </c>
      <c r="F34" s="31" t="inlineStr">
        <is>
          <t>Diamond Gems and Jewellery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24</v>
      </c>
      <c r="K34" s="31" t="n">
        <v>17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MOTISONS</t>
        </is>
      </c>
      <c r="E35" s="31" t="inlineStr">
        <is>
          <t>Motisons Jewellers Ltd</t>
        </is>
      </c>
      <c r="F35" s="31" t="inlineStr">
        <is>
          <t>Diamond Gems and Jewellery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20</v>
      </c>
      <c r="K35" s="31" t="n">
        <v>15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AZAD</t>
        </is>
      </c>
      <c r="E36" s="31" t="inlineStr">
        <is>
          <t>Azad Engineering Ltd</t>
        </is>
      </c>
      <c r="F36" s="31" t="inlineStr">
        <is>
          <t>Aerospace and Defence Equipment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19</v>
      </c>
      <c r="K36" s="31" t="n">
        <v>20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MACPOWER</t>
        </is>
      </c>
      <c r="E37" s="31" t="inlineStr">
        <is>
          <t>Macpower CNC Machines Ltd</t>
        </is>
      </c>
      <c r="F37" s="31" t="inlineStr">
        <is>
          <t>CNC Machines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22</v>
      </c>
      <c r="K37" s="31" t="n">
        <v>26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SHANTIGOLD</t>
        </is>
      </c>
      <c r="E38" s="31" t="inlineStr">
        <is>
          <t>Shanti Gold International Ltd</t>
        </is>
      </c>
      <c r="F38" s="31" t="inlineStr">
        <is>
          <t>Diamond Gems and Jewellery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20</v>
      </c>
      <c r="K38" s="31" t="n">
        <v>20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BODALCHEM</t>
        </is>
      </c>
      <c r="E39" s="31" t="inlineStr">
        <is>
          <t>Bodal Chemicals Limited</t>
        </is>
      </c>
      <c r="F39" s="31" t="inlineStr">
        <is>
          <t>Dyes and Pigments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27</v>
      </c>
      <c r="K39" s="31" t="n">
        <v>30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WELSPUNLIV</t>
        </is>
      </c>
      <c r="E40" s="31" t="inlineStr">
        <is>
          <t>Welspun Living Ltd</t>
        </is>
      </c>
      <c r="F40" s="31" t="inlineStr">
        <is>
          <t>Textiles Home Textile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20</v>
      </c>
      <c r="K40" s="31" t="n">
        <v>30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THELEELA</t>
        </is>
      </c>
      <c r="E41" s="31" t="inlineStr">
        <is>
          <t>Leela Palaces Hotels &amp; Resorts Ltd</t>
        </is>
      </c>
      <c r="F41" s="31" t="inlineStr">
        <is>
          <t>Hotels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19</v>
      </c>
      <c r="K41" s="31" t="n">
        <v>14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KABRAEXTRU</t>
        </is>
      </c>
      <c r="E42" s="31" t="inlineStr">
        <is>
          <t>Kabra Extrusion Technik Limited</t>
        </is>
      </c>
      <c r="F42" s="31" t="inlineStr">
        <is>
          <t>unknown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0</v>
      </c>
      <c r="K42" s="31" t="n">
        <v>30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LAURUSLABS</t>
        </is>
      </c>
      <c r="E43" s="31" t="inlineStr">
        <is>
          <t>Laurus Labs Limited</t>
        </is>
      </c>
      <c r="F43" s="31" t="inlineStr">
        <is>
          <t>Pharma API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20</v>
      </c>
      <c r="K43" s="31" t="n">
        <v>29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SHILPAMED</t>
        </is>
      </c>
      <c r="E44" s="31" t="inlineStr">
        <is>
          <t>Shilpa Medicare Limited</t>
        </is>
      </c>
      <c r="F44" s="31" t="inlineStr">
        <is>
          <t>Pharma API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21</v>
      </c>
      <c r="K44" s="31" t="n">
        <v>30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LALPATHLAB</t>
        </is>
      </c>
      <c r="E45" s="31" t="inlineStr">
        <is>
          <t>Dr. Lal Path Labs Ltd.</t>
        </is>
      </c>
      <c r="F45" s="31" t="inlineStr">
        <is>
          <t>unknown</t>
        </is>
      </c>
      <c r="G45" s="31" t="n">
        <v>2</v>
      </c>
      <c r="H45" s="31" t="inlineStr">
        <is>
          <t>52W Breakout</t>
        </is>
      </c>
      <c r="I45" s="31" t="inlineStr">
        <is>
          <t>Yes</t>
        </is>
      </c>
      <c r="J45" s="31" t="n">
        <v>0</v>
      </c>
      <c r="K45" s="31" t="n">
        <v>19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ENGINERSIN</t>
        </is>
      </c>
      <c r="E46" s="31" t="inlineStr">
        <is>
          <t>Engineers India Limited</t>
        </is>
      </c>
      <c r="F46" s="31" t="inlineStr">
        <is>
          <t>Infra Engineering General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22</v>
      </c>
      <c r="K46" s="31" t="n">
        <v>26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NRBBEARING</t>
        </is>
      </c>
      <c r="E47" s="31" t="inlineStr">
        <is>
          <t>Nrb Bearing Limited</t>
        </is>
      </c>
      <c r="F47" s="31" t="inlineStr">
        <is>
          <t>Bearings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20</v>
      </c>
      <c r="K47" s="31" t="n">
        <v>22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FINCABLES</t>
        </is>
      </c>
      <c r="E48" s="31" t="inlineStr">
        <is>
          <t>Finolex Cables Limited</t>
        </is>
      </c>
      <c r="F48" s="31" t="inlineStr">
        <is>
          <t>Cables Telecom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20</v>
      </c>
      <c r="K48" s="31" t="n">
        <v>27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STEELCAS</t>
        </is>
      </c>
      <c r="E49" s="31" t="inlineStr">
        <is>
          <t>Steelcast Ltd</t>
        </is>
      </c>
      <c r="F49" s="31" t="inlineStr">
        <is>
          <t>unknown</t>
        </is>
      </c>
      <c r="G49" s="31" t="n">
        <v>2</v>
      </c>
      <c r="H49" s="31" t="inlineStr">
        <is>
          <t>52W Breakout</t>
        </is>
      </c>
      <c r="I49" s="31" t="inlineStr">
        <is>
          <t>Yes</t>
        </is>
      </c>
      <c r="J49" s="31" t="n">
        <v>0</v>
      </c>
      <c r="K49" s="31" t="n">
        <v>12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SYNCOMF</t>
        </is>
      </c>
      <c r="E50" s="31" t="inlineStr">
        <is>
          <t>Syncom Formulations (India) Ltd</t>
        </is>
      </c>
      <c r="F50" s="31" t="inlineStr">
        <is>
          <t>Pharma Others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19</v>
      </c>
      <c r="K50" s="31" t="n">
        <v>28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AARTIPHARM</t>
        </is>
      </c>
      <c r="E51" s="31" t="inlineStr">
        <is>
          <t>Aarti Pharmalabs Ltd</t>
        </is>
      </c>
      <c r="F51" s="31" t="inlineStr">
        <is>
          <t>Pharma API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25</v>
      </c>
      <c r="K51" s="31" t="n">
        <v>22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FCL</t>
        </is>
      </c>
      <c r="E52" s="31" t="inlineStr">
        <is>
          <t>Fineotex Chemical Limited</t>
        </is>
      </c>
      <c r="F52" s="31" t="inlineStr">
        <is>
          <t>Specialty Chemicals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22</v>
      </c>
      <c r="K52" s="31" t="n">
        <v>30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SANSERA</t>
        </is>
      </c>
      <c r="E53" s="31" t="inlineStr">
        <is>
          <t>Sansera Engineering Ltd</t>
        </is>
      </c>
      <c r="F53" s="31" t="inlineStr">
        <is>
          <t>Diversified Auto Components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19</v>
      </c>
      <c r="K53" s="31" t="n">
        <v>26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ARROWGREEN</t>
        </is>
      </c>
      <c r="E54" s="31" t="inlineStr">
        <is>
          <t>Arrow Greentech Limited</t>
        </is>
      </c>
      <c r="F54" s="31" t="inlineStr">
        <is>
          <t>Plastics Plastic and Plastic Products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19</v>
      </c>
      <c r="K54" s="31" t="n">
        <v>21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BIRLACABLE</t>
        </is>
      </c>
      <c r="E55" s="31" t="inlineStr">
        <is>
          <t>Birla Cable Limited</t>
        </is>
      </c>
      <c r="F55" s="31" t="inlineStr">
        <is>
          <t>Cables Telecom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29</v>
      </c>
      <c r="K55" s="31" t="n">
        <v>28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TATVA</t>
        </is>
      </c>
      <c r="E56" s="31" t="inlineStr">
        <is>
          <t>Tatva Chintan Pharma Chem Ltd</t>
        </is>
      </c>
      <c r="F56" s="31" t="inlineStr">
        <is>
          <t>Specialty Chemicals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22</v>
      </c>
      <c r="K56" s="31" t="n">
        <v>14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PCJEWELLER</t>
        </is>
      </c>
      <c r="E57" s="31" t="inlineStr">
        <is>
          <t>Pc Jeweller Limited</t>
        </is>
      </c>
      <c r="F57" s="31" t="inlineStr">
        <is>
          <t>Diamond Gems and Jewellery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19</v>
      </c>
      <c r="K57" s="31" t="n">
        <v>18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ACMESOLAR</t>
        </is>
      </c>
      <c r="E58" s="31" t="inlineStr">
        <is>
          <t>ACME Solar Holdings Ltd</t>
        </is>
      </c>
      <c r="F58" s="31" t="inlineStr">
        <is>
          <t>Power Generation and Distribution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19</v>
      </c>
      <c r="K58" s="31" t="n">
        <v>28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RGL</t>
        </is>
      </c>
      <c r="E59" s="31" t="inlineStr">
        <is>
          <t>Renaissance Global Ltd</t>
        </is>
      </c>
      <c r="F59" s="31" t="inlineStr">
        <is>
          <t>Lab Grown Diamonds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19</v>
      </c>
      <c r="K59" s="31" t="n">
        <v>30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JASH</t>
        </is>
      </c>
      <c r="E60" s="31" t="inlineStr">
        <is>
          <t>Jash Engineering Ltd</t>
        </is>
      </c>
      <c r="F60" s="31" t="inlineStr">
        <is>
          <t>Water Treatment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20</v>
      </c>
      <c r="K60" s="31" t="n">
        <v>16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GANDHAR</t>
        </is>
      </c>
      <c r="E61" s="31" t="inlineStr">
        <is>
          <t>Gandhar Oil Refinery (India) Ltd</t>
        </is>
      </c>
      <c r="F61" s="31" t="inlineStr">
        <is>
          <t>Refineries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25</v>
      </c>
      <c r="K61" s="31" t="n">
        <v>25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SIGMAADV</t>
        </is>
      </c>
      <c r="E62" s="31" t="inlineStr">
        <is>
          <t>Sigma Advanced System Ltd</t>
        </is>
      </c>
      <c r="F62" s="31" t="inlineStr">
        <is>
          <t>unknown</t>
        </is>
      </c>
      <c r="G62" s="31" t="n">
        <v>2</v>
      </c>
      <c r="H62" s="31" t="inlineStr">
        <is>
          <t>52W Breakout</t>
        </is>
      </c>
      <c r="I62" s="31" t="inlineStr">
        <is>
          <t>Yes</t>
        </is>
      </c>
      <c r="J62" s="31" t="n">
        <v>0</v>
      </c>
      <c r="K62" s="31" t="n">
        <v>29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SHREEJISPG</t>
        </is>
      </c>
      <c r="E63" s="31" t="inlineStr">
        <is>
          <t>Shreeji Shipping Global Ltd</t>
        </is>
      </c>
      <c r="F63" s="31" t="inlineStr">
        <is>
          <t>unknown</t>
        </is>
      </c>
      <c r="G63" s="31" t="n">
        <v>2</v>
      </c>
      <c r="H63" s="31" t="inlineStr">
        <is>
          <t>52W Breakout</t>
        </is>
      </c>
      <c r="I63" s="31" t="inlineStr">
        <is>
          <t>Yes</t>
        </is>
      </c>
      <c r="J63" s="31" t="n">
        <v>0</v>
      </c>
      <c r="K63" s="31" t="n">
        <v>20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GCSL</t>
        </is>
      </c>
      <c r="E64" s="31" t="inlineStr">
        <is>
          <t>Gretex Corporate Services Ltd</t>
        </is>
      </c>
      <c r="F64" s="31" t="inlineStr">
        <is>
          <t>Finance and Investments Others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23</v>
      </c>
      <c r="K64" s="31" t="n">
        <v>15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KRISHANA</t>
        </is>
      </c>
      <c r="E65" s="31" t="inlineStr">
        <is>
          <t>Krishana Phoschem Ltd</t>
        </is>
      </c>
      <c r="F65" s="31" t="inlineStr">
        <is>
          <t>Fertilisers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18</v>
      </c>
      <c r="K65" s="31" t="n">
        <v>12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MMP</t>
        </is>
      </c>
      <c r="E66" s="31" t="inlineStr">
        <is>
          <t>MMP Industries Ltd</t>
        </is>
      </c>
      <c r="F66" s="31" t="inlineStr">
        <is>
          <t>Aluminium Products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19</v>
      </c>
      <c r="K66" s="31" t="n">
        <v>30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GESHIP</t>
        </is>
      </c>
      <c r="E67" s="31" t="inlineStr">
        <is>
          <t>The Great Eastern Shipping Company Limited</t>
        </is>
      </c>
      <c r="F67" s="31" t="inlineStr">
        <is>
          <t>Shipping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19</v>
      </c>
      <c r="K67" s="31" t="n">
        <v>8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BLSE</t>
        </is>
      </c>
      <c r="E68" s="31" t="inlineStr">
        <is>
          <t>BLS E-Services Ltd</t>
        </is>
      </c>
      <c r="F68" s="31" t="inlineStr">
        <is>
          <t>unknown</t>
        </is>
      </c>
      <c r="G68" s="31" t="n">
        <v>2</v>
      </c>
      <c r="H68" s="31" t="inlineStr">
        <is>
          <t>52W Breakout</t>
        </is>
      </c>
      <c r="I68" s="31" t="inlineStr">
        <is>
          <t>Yes</t>
        </is>
      </c>
      <c r="J68" s="31" t="n">
        <v>0</v>
      </c>
      <c r="K68" s="31" t="n">
        <v>20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LUMAXTECH</t>
        </is>
      </c>
      <c r="E69" s="31" t="inlineStr">
        <is>
          <t>Lumax Auto Technologies Limited</t>
        </is>
      </c>
      <c r="F69" s="31" t="inlineStr">
        <is>
          <t>Diversified Auto Components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19</v>
      </c>
      <c r="K69" s="31" t="n">
        <v>24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NAZARA</t>
        </is>
      </c>
      <c r="E70" s="31" t="inlineStr">
        <is>
          <t>Nazara Technologies Ltd</t>
        </is>
      </c>
      <c r="F70" s="31" t="inlineStr">
        <is>
          <t>unknown</t>
        </is>
      </c>
      <c r="G70" s="31" t="n">
        <v>2</v>
      </c>
      <c r="H70" s="31" t="inlineStr">
        <is>
          <t>52W Breakout</t>
        </is>
      </c>
      <c r="I70" s="31" t="inlineStr">
        <is>
          <t>Yes</t>
        </is>
      </c>
      <c r="J70" s="31" t="n">
        <v>0</v>
      </c>
      <c r="K70" s="31" t="n">
        <v>27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MANINDS</t>
        </is>
      </c>
      <c r="E71" s="31" t="inlineStr">
        <is>
          <t>Man Industries (india) Limited</t>
        </is>
      </c>
      <c r="F71" s="31" t="inlineStr">
        <is>
          <t>Steel Tubes and Pipes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22</v>
      </c>
      <c r="K71" s="31" t="n">
        <v>30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EMIL</t>
        </is>
      </c>
      <c r="E72" s="31" t="inlineStr">
        <is>
          <t>Electronics Mart India Ltd</t>
        </is>
      </c>
      <c r="F72" s="31" t="inlineStr">
        <is>
          <t>Retail Electronics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21</v>
      </c>
      <c r="K72" s="31" t="n">
        <v>28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MARINE</t>
        </is>
      </c>
      <c r="E73" s="31" t="inlineStr">
        <is>
          <t>Marine Electricals (India) Ltd</t>
        </is>
      </c>
      <c r="F73" s="31" t="inlineStr">
        <is>
          <t>Shipping Proxy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22</v>
      </c>
      <c r="K73" s="31" t="n">
        <v>25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STLTECH</t>
        </is>
      </c>
      <c r="E74" s="31" t="inlineStr">
        <is>
          <t>Sterlite Technologies Limited</t>
        </is>
      </c>
      <c r="F74" s="31" t="inlineStr">
        <is>
          <t>Cables Telecom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25</v>
      </c>
      <c r="K74" s="31" t="n">
        <v>30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TEGA</t>
        </is>
      </c>
      <c r="E75" s="31" t="inlineStr">
        <is>
          <t>Tega Industries Ltd</t>
        </is>
      </c>
      <c r="F75" s="31" t="inlineStr">
        <is>
          <t>Capital Goods Mining Equipment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19</v>
      </c>
      <c r="K75" s="31" t="n">
        <v>16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MTARTECH</t>
        </is>
      </c>
      <c r="E76" s="31" t="inlineStr">
        <is>
          <t>MTAR Technologies Ltd</t>
        </is>
      </c>
      <c r="F76" s="31" t="inlineStr">
        <is>
          <t>unknown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0</v>
      </c>
      <c r="K76" s="31" t="n">
        <v>14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MBAPL</t>
        </is>
      </c>
      <c r="E77" s="31" t="inlineStr">
        <is>
          <t>Madhya Bharat Agro Products Ltd</t>
        </is>
      </c>
      <c r="F77" s="31" t="inlineStr">
        <is>
          <t>unknown</t>
        </is>
      </c>
      <c r="G77" s="31" t="n">
        <v>2</v>
      </c>
      <c r="H77" s="31" t="inlineStr">
        <is>
          <t>52W Breakout</t>
        </is>
      </c>
      <c r="I77" s="31" t="inlineStr">
        <is>
          <t>Yes</t>
        </is>
      </c>
      <c r="J77" s="31" t="n">
        <v>0</v>
      </c>
      <c r="K77" s="31" t="n">
        <v>16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TFCILTD</t>
        </is>
      </c>
      <c r="E78" s="31" t="inlineStr">
        <is>
          <t>Tourism Finance Corporation Of India Limited</t>
        </is>
      </c>
      <c r="F78" s="31" t="inlineStr">
        <is>
          <t>Finance PSU Lending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22</v>
      </c>
      <c r="K78" s="31" t="n">
        <v>30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ANTELOPUS</t>
        </is>
      </c>
      <c r="E79" s="31" t="inlineStr">
        <is>
          <t>Antelopus Selan Energy Ltd</t>
        </is>
      </c>
      <c r="F79" s="31" t="inlineStr">
        <is>
          <t>Oil Drilling and Exploration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26</v>
      </c>
      <c r="K79" s="31" t="n">
        <v>21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SUNFLAG</t>
        </is>
      </c>
      <c r="E80" s="31" t="inlineStr">
        <is>
          <t>Sunflag Iron And Steel Company Limited</t>
        </is>
      </c>
      <c r="F80" s="31" t="inlineStr">
        <is>
          <t>Steel Products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18</v>
      </c>
      <c r="K80" s="31" t="n">
        <v>7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RATNAVEER</t>
        </is>
      </c>
      <c r="E81" s="31" t="inlineStr">
        <is>
          <t>Ratnaveer Precision Engineering Ltd</t>
        </is>
      </c>
      <c r="F81" s="31" t="inlineStr">
        <is>
          <t>Stainless Steel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21</v>
      </c>
      <c r="K81" s="31" t="n">
        <v>30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UNITEDPOLY</t>
        </is>
      </c>
      <c r="E82" s="31" t="inlineStr">
        <is>
          <t>United Polyfab Gujarat Ltd</t>
        </is>
      </c>
      <c r="F82" s="31" t="inlineStr">
        <is>
          <t>Textiles Others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20</v>
      </c>
      <c r="K82" s="31" t="n">
        <v>19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GNFC</t>
        </is>
      </c>
      <c r="E83" s="31" t="inlineStr">
        <is>
          <t>Gujarat Narmada Valley Fertilizers And Chemicals Limited</t>
        </is>
      </c>
      <c r="F83" s="31" t="inlineStr">
        <is>
          <t>Fertilisers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20</v>
      </c>
      <c r="K83" s="31" t="n">
        <v>24</v>
      </c>
    </row>
  </sheetData>
  <autoFilter ref="A1:K83"/>
  <conditionalFormatting sqref="G2:G8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3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249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IF(B2=0,"",RANK(B2,$B$2:$B$249,0))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RPTECH</t>
        </is>
      </c>
      <c r="D2" s="31" t="inlineStr">
        <is>
          <t>Rashi Peripherals Ltd</t>
        </is>
      </c>
      <c r="E2" s="31" t="inlineStr">
        <is>
          <t>i.t</t>
        </is>
      </c>
      <c r="F2" s="31" t="inlineStr">
        <is>
          <t>trading</t>
        </is>
      </c>
      <c r="G2" s="31" t="inlineStr">
        <is>
          <t>midcap</t>
        </is>
      </c>
      <c r="H2" s="32" t="n">
        <v>6098.03</v>
      </c>
      <c r="I2" s="32" t="n">
        <v>953.5</v>
      </c>
      <c r="J2" s="32" t="n">
        <v>3.04</v>
      </c>
      <c r="K2" s="32" t="n">
        <v>1657051</v>
      </c>
      <c r="L2" s="31" t="n">
        <v>86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74.15000000000001</v>
      </c>
      <c r="P2" s="32" t="n">
        <v>69.59999999999999</v>
      </c>
      <c r="Q2" s="32" t="n">
        <v>705.23</v>
      </c>
      <c r="R2" s="31" t="inlineStr">
        <is>
          <t>Near 52W High Breakout</t>
        </is>
      </c>
      <c r="S2" s="31" t="inlineStr">
        <is>
          <t>Nifty IT</t>
        </is>
      </c>
      <c r="T2" s="32" t="n">
        <v>-18.39</v>
      </c>
      <c r="U2" s="32" t="n">
        <v>202.53</v>
      </c>
      <c r="V2" s="32" t="n">
        <v>270.72</v>
      </c>
      <c r="W2" s="32" t="n">
        <v>35.06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IF(B3=0,"",RANK(B3,$B$2:$B$249,0))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GNA</t>
        </is>
      </c>
      <c r="D3" s="31" t="inlineStr">
        <is>
          <t>Gna Axles Limited</t>
        </is>
      </c>
      <c r="E3" s="31" t="inlineStr">
        <is>
          <t>auto</t>
        </is>
      </c>
      <c r="F3" s="31" t="inlineStr">
        <is>
          <t>auto ancillaries</t>
        </is>
      </c>
      <c r="G3" s="31" t="inlineStr">
        <is>
          <t>smallcap</t>
        </is>
      </c>
      <c r="H3" s="32" t="n">
        <v>2549.02</v>
      </c>
      <c r="I3" s="32" t="n">
        <v>598.35</v>
      </c>
      <c r="J3" s="32" t="n">
        <v>0.77</v>
      </c>
      <c r="K3" s="32" t="n">
        <v>510171</v>
      </c>
      <c r="L3" s="31" t="inlineStr"/>
      <c r="M3" s="31" t="inlineStr"/>
      <c r="N3" s="32">
        <f>IF(M3="Underperforming",-5,IF(L3&gt;=95,15,IF(L3&gt;=90,10,IF(L3&gt;=80,5,0))))</f>
        <v/>
      </c>
      <c r="O3" s="32" t="n">
        <v>68.20999999999999</v>
      </c>
      <c r="P3" s="32" t="n">
        <v>50.86</v>
      </c>
      <c r="Q3" s="32" t="n">
        <v>461.16</v>
      </c>
      <c r="R3" s="31" t="inlineStr">
        <is>
          <t>Near 52W High Breakout</t>
        </is>
      </c>
      <c r="S3" s="31" t="inlineStr">
        <is>
          <t>Nifty Auto</t>
        </is>
      </c>
      <c r="T3" s="32" t="inlineStr"/>
      <c r="U3" s="32" t="inlineStr"/>
      <c r="V3" s="32" t="inlineStr"/>
      <c r="W3" s="32" t="inlineStr"/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IF(B4=0,"",RANK(B4,$B$2:$B$249,0))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PGIL</t>
        </is>
      </c>
      <c r="D4" s="31" t="inlineStr">
        <is>
          <t>Pearl Global Industries Limited</t>
        </is>
      </c>
      <c r="E4" s="31" t="inlineStr">
        <is>
          <t>readymade garments/apparels</t>
        </is>
      </c>
      <c r="F4" s="31" t="inlineStr">
        <is>
          <t>textiles - products</t>
        </is>
      </c>
      <c r="G4" s="31" t="inlineStr">
        <is>
          <t>midcap</t>
        </is>
      </c>
      <c r="H4" s="32" t="n">
        <v>11920.86</v>
      </c>
      <c r="I4" s="32" t="n">
        <v>1282.1</v>
      </c>
      <c r="J4" s="32" t="n">
        <v>-0.64</v>
      </c>
      <c r="K4" s="32" t="n">
        <v>87275</v>
      </c>
      <c r="L4" s="31" t="n">
        <v>67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67.55</v>
      </c>
      <c r="P4" s="32" t="n">
        <v>59.25</v>
      </c>
      <c r="Q4" s="32" t="n">
        <v>1020.01</v>
      </c>
      <c r="R4" s="31" t="inlineStr">
        <is>
          <t>Near 52W High Breakout</t>
        </is>
      </c>
      <c r="S4" s="31" t="inlineStr">
        <is>
          <t>Nifty 50</t>
        </is>
      </c>
      <c r="T4" s="32" t="n">
        <v>-9.130000000000001</v>
      </c>
      <c r="U4" s="32" t="n">
        <v>107.27</v>
      </c>
      <c r="V4" s="32" t="n">
        <v>128.11</v>
      </c>
      <c r="W4" s="32" t="n">
        <v>22.72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IF(B5=0,"",RANK(B5,$B$2:$B$249,0))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KINGFA</t>
        </is>
      </c>
      <c r="D5" s="31" t="inlineStr">
        <is>
          <t>Kingfa Science &amp; Technology (india) Limited</t>
        </is>
      </c>
      <c r="E5" s="31" t="inlineStr">
        <is>
          <t>plastic products</t>
        </is>
      </c>
      <c r="F5" s="31" t="inlineStr">
        <is>
          <t>plastics products</t>
        </is>
      </c>
      <c r="G5" s="31" t="inlineStr">
        <is>
          <t>midcap</t>
        </is>
      </c>
      <c r="H5" s="32" t="n">
        <v>8841.6</v>
      </c>
      <c r="I5" s="32" t="n">
        <v>6482.5</v>
      </c>
      <c r="J5" s="32" t="n">
        <v>-0.64</v>
      </c>
      <c r="K5" s="32" t="n">
        <v>19393</v>
      </c>
      <c r="L5" s="31" t="n">
        <v>41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70.81999999999999</v>
      </c>
      <c r="P5" s="32" t="n">
        <v>41.93</v>
      </c>
      <c r="Q5" s="32" t="n">
        <v>5184.28</v>
      </c>
      <c r="R5" s="31" t="inlineStr">
        <is>
          <t>Near 52W High Breakout</t>
        </is>
      </c>
      <c r="S5" s="31" t="inlineStr">
        <is>
          <t>Nifty 50</t>
        </is>
      </c>
      <c r="T5" s="32" t="n">
        <v>-9.130000000000001</v>
      </c>
      <c r="U5" s="32" t="n">
        <v>42.77</v>
      </c>
      <c r="V5" s="32" t="n">
        <v>57.13</v>
      </c>
      <c r="W5" s="32" t="n">
        <v>13.68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IF(B6=0,"",RANK(B6,$B$2:$B$249,0))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BLUSPRING</t>
        </is>
      </c>
      <c r="D6" s="31" t="inlineStr">
        <is>
          <t>Bluspring Enterprises Ltd</t>
        </is>
      </c>
      <c r="E6" s="31" t="inlineStr">
        <is>
          <t>miscellaneous</t>
        </is>
      </c>
      <c r="F6" s="31" t="inlineStr">
        <is>
          <t>diversified - large</t>
        </is>
      </c>
      <c r="G6" s="31" t="inlineStr">
        <is>
          <t>smallcap</t>
        </is>
      </c>
      <c r="H6" s="32" t="n">
        <v>2138.65</v>
      </c>
      <c r="I6" s="32" t="n">
        <v>141.74</v>
      </c>
      <c r="J6" s="32" t="n">
        <v>-0.96</v>
      </c>
      <c r="K6" s="32" t="n">
        <v>149662</v>
      </c>
      <c r="L6" s="31" t="n">
        <v>66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67.44</v>
      </c>
      <c r="P6" s="32" t="n">
        <v>61.27</v>
      </c>
      <c r="Q6" s="32" t="n">
        <v>98.87</v>
      </c>
      <c r="R6" s="31" t="inlineStr">
        <is>
          <t>Near 52W High Breakout</t>
        </is>
      </c>
      <c r="S6" s="31" t="inlineStr">
        <is>
          <t>Nifty 50</t>
        </is>
      </c>
      <c r="T6" s="32" t="n">
        <v>-9.130000000000001</v>
      </c>
      <c r="U6" s="32" t="n">
        <v>77</v>
      </c>
      <c r="V6" s="32" t="n">
        <v>94.79000000000001</v>
      </c>
      <c r="W6" s="32" t="n">
        <v>22.46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IF(B7=0,"",RANK(B7,$B$2:$B$249,0))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JGCHEM</t>
        </is>
      </c>
      <c r="D7" s="31" t="inlineStr">
        <is>
          <t>J.G.Chemicals Ltd</t>
        </is>
      </c>
      <c r="E7" s="31" t="inlineStr">
        <is>
          <t>chemicals</t>
        </is>
      </c>
      <c r="F7" s="31" t="inlineStr">
        <is>
          <t>chemicals</t>
        </is>
      </c>
      <c r="G7" s="31" t="inlineStr">
        <is>
          <t>smallcap</t>
        </is>
      </c>
      <c r="H7" s="32" t="n">
        <v>2580.99</v>
      </c>
      <c r="I7" s="32" t="n">
        <v>645.1</v>
      </c>
      <c r="J7" s="32" t="n">
        <v>-2.06</v>
      </c>
      <c r="K7" s="32" t="n">
        <v>1421545</v>
      </c>
      <c r="L7" s="31" t="n">
        <v>65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72.54000000000001</v>
      </c>
      <c r="P7" s="32" t="n">
        <v>46.21</v>
      </c>
      <c r="Q7" s="32" t="n">
        <v>483.9</v>
      </c>
      <c r="R7" s="31" t="inlineStr">
        <is>
          <t>Near 52W High Breakout</t>
        </is>
      </c>
      <c r="S7" s="31" t="inlineStr">
        <is>
          <t>Nifty 50</t>
        </is>
      </c>
      <c r="T7" s="32" t="n">
        <v>-9.130000000000001</v>
      </c>
      <c r="U7" s="32" t="n">
        <v>52.89</v>
      </c>
      <c r="V7" s="32" t="n">
        <v>68.26000000000001</v>
      </c>
      <c r="W7" s="32" t="n">
        <v>22.03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IF(B8=0,"",RANK(B8,$B$2:$B$249,0))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PASUPTAC</t>
        </is>
      </c>
      <c r="D8" s="31" t="inlineStr">
        <is>
          <t>Pasupati Acrylon Ltd</t>
        </is>
      </c>
      <c r="E8" s="31" t="inlineStr">
        <is>
          <t>textiles</t>
        </is>
      </c>
      <c r="F8" s="31" t="inlineStr">
        <is>
          <t>textiles - manmade</t>
        </is>
      </c>
      <c r="G8" s="31" t="inlineStr">
        <is>
          <t>smallcap</t>
        </is>
      </c>
      <c r="H8" s="32" t="n">
        <v>670.28</v>
      </c>
      <c r="I8" s="32" t="n">
        <v>72.73</v>
      </c>
      <c r="J8" s="32" t="n">
        <v>-3.28</v>
      </c>
      <c r="K8" s="32" t="n">
        <v>180671</v>
      </c>
      <c r="L8" s="31" t="n">
        <v>41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63.93</v>
      </c>
      <c r="P8" s="32" t="n">
        <v>47.82</v>
      </c>
      <c r="Q8" s="32" t="n">
        <v>56.18</v>
      </c>
      <c r="R8" s="31" t="inlineStr">
        <is>
          <t>Near 52W High Breakout</t>
        </is>
      </c>
      <c r="S8" s="31" t="inlineStr">
        <is>
          <t>Nifty 50</t>
        </is>
      </c>
      <c r="T8" s="32" t="n">
        <v>-9.130000000000001</v>
      </c>
      <c r="U8" s="32" t="n">
        <v>56.24</v>
      </c>
      <c r="V8" s="32" t="n">
        <v>71.95</v>
      </c>
      <c r="W8" s="32" t="n">
        <v>13.71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IF(B9=0,"",RANK(B9,$B$2:$B$249,0))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AJANTPHARM</t>
        </is>
      </c>
      <c r="D9" s="31" t="inlineStr">
        <is>
          <t>Ajanta Pharma Limited</t>
        </is>
      </c>
      <c r="E9" s="31" t="inlineStr">
        <is>
          <t>healthcare</t>
        </is>
      </c>
      <c r="F9" s="31" t="inlineStr">
        <is>
          <t>pharmaceuticals - indian - formulations</t>
        </is>
      </c>
      <c r="G9" s="31" t="inlineStr">
        <is>
          <t>largecap</t>
        </is>
      </c>
      <c r="H9" s="32" t="n">
        <v>44445.85</v>
      </c>
      <c r="I9" s="32" t="n">
        <v>3620.8</v>
      </c>
      <c r="J9" s="32" t="n">
        <v>1.78</v>
      </c>
      <c r="K9" s="32" t="n">
        <v>344068</v>
      </c>
      <c r="L9" s="31" t="n">
        <v>37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67.09999999999999</v>
      </c>
      <c r="P9" s="32" t="n">
        <v>48.62</v>
      </c>
      <c r="Q9" s="32" t="n">
        <v>3092.94</v>
      </c>
      <c r="R9" s="31" t="inlineStr">
        <is>
          <t>Near 52W High Breakout</t>
        </is>
      </c>
      <c r="S9" s="31" t="inlineStr">
        <is>
          <t>Nifty Pharma</t>
        </is>
      </c>
      <c r="T9" s="32" t="n">
        <v>21.52</v>
      </c>
      <c r="U9" s="32" t="n">
        <v>53.84</v>
      </c>
      <c r="V9" s="32" t="n">
        <v>26.6</v>
      </c>
      <c r="W9" s="32" t="n">
        <v>11.54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IF(B10=0,"",RANK(B10,$B$2:$B$249,0))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ICIL</t>
        </is>
      </c>
      <c r="D10" s="31" t="inlineStr">
        <is>
          <t>Indo Count Industries Limited</t>
        </is>
      </c>
      <c r="E10" s="31" t="inlineStr">
        <is>
          <t>textiles</t>
        </is>
      </c>
      <c r="F10" s="31" t="inlineStr">
        <is>
          <t>textiles - cotton/blended</t>
        </is>
      </c>
      <c r="G10" s="31" t="inlineStr">
        <is>
          <t>midcap</t>
        </is>
      </c>
      <c r="H10" s="32" t="n">
        <v>8614.370000000001</v>
      </c>
      <c r="I10" s="32" t="n">
        <v>460.4</v>
      </c>
      <c r="J10" s="32" t="n">
        <v>5.85</v>
      </c>
      <c r="K10" s="32" t="n">
        <v>1020870</v>
      </c>
      <c r="L10" s="31" t="n">
        <v>48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66.68000000000001</v>
      </c>
      <c r="P10" s="32" t="n">
        <v>53.02</v>
      </c>
      <c r="Q10" s="32" t="n">
        <v>333.98</v>
      </c>
      <c r="R10" s="31" t="inlineStr">
        <is>
          <t>Near 52W High Breakout</t>
        </is>
      </c>
      <c r="S10" s="31" t="inlineStr">
        <is>
          <t>Nifty 50</t>
        </is>
      </c>
      <c r="T10" s="32" t="n">
        <v>-9.130000000000001</v>
      </c>
      <c r="U10" s="32" t="n">
        <v>70.63</v>
      </c>
      <c r="V10" s="32" t="n">
        <v>87.78</v>
      </c>
      <c r="W10" s="32" t="n">
        <v>16.17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IF(B11=0,"",RANK(B11,$B$2:$B$249,0))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SWANDEF</t>
        </is>
      </c>
      <c r="D11" s="31" t="inlineStr">
        <is>
          <t>Swan Defence and Heavy Industries Ltd</t>
        </is>
      </c>
      <c r="E11" s="31" t="inlineStr">
        <is>
          <t>transportation</t>
        </is>
      </c>
      <c r="F11" s="31" t="inlineStr">
        <is>
          <t>miscellaneous</t>
        </is>
      </c>
      <c r="G11" s="31" t="inlineStr">
        <is>
          <t>midcap</t>
        </is>
      </c>
      <c r="H11" s="32" t="n">
        <v>14247.36</v>
      </c>
      <c r="I11" s="32" t="n">
        <v>2756.6</v>
      </c>
      <c r="J11" s="32" t="n">
        <v>1.93</v>
      </c>
      <c r="K11" s="32" t="n">
        <v>19651</v>
      </c>
      <c r="L11" s="31" t="n">
        <v>95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67.56999999999999</v>
      </c>
      <c r="P11" s="32" t="n">
        <v>56.92</v>
      </c>
      <c r="Q11" s="32" t="n">
        <v>2096.67</v>
      </c>
      <c r="R11" s="31" t="inlineStr">
        <is>
          <t>Near 52W High Breakout</t>
        </is>
      </c>
      <c r="S11" s="31" t="inlineStr">
        <is>
          <t>Nifty 50</t>
        </is>
      </c>
      <c r="T11" s="32" t="n">
        <v>-9.130000000000001</v>
      </c>
      <c r="U11" s="32" t="n">
        <v>354.92</v>
      </c>
      <c r="V11" s="32" t="n">
        <v>400.65</v>
      </c>
      <c r="W11" s="32" t="n">
        <v>47.67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More than 1.2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IF(B12=0,"",RANK(B12,$B$2:$B$249,0))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TBZ</t>
        </is>
      </c>
      <c r="D12" s="31" t="inlineStr">
        <is>
          <t>Tribhovandas Bhimji Zaveri Limited</t>
        </is>
      </c>
      <c r="E12" s="31" t="inlineStr">
        <is>
          <t>consumer discretionary</t>
        </is>
      </c>
      <c r="F12" s="31" t="inlineStr">
        <is>
          <t>diamond cutting / jewellery</t>
        </is>
      </c>
      <c r="G12" s="31" t="inlineStr">
        <is>
          <t>smallcap</t>
        </is>
      </c>
      <c r="H12" s="32" t="n">
        <v>4176</v>
      </c>
      <c r="I12" s="32" t="n">
        <v>635.05</v>
      </c>
      <c r="J12" s="32" t="n">
        <v>1.48</v>
      </c>
      <c r="K12" s="32" t="n">
        <v>175552</v>
      </c>
      <c r="L12" s="31" t="n">
        <v>99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88.33</v>
      </c>
      <c r="P12" s="32" t="n">
        <v>63.54</v>
      </c>
      <c r="Q12" s="32" t="n">
        <v>495.62</v>
      </c>
      <c r="R12" s="31" t="inlineStr">
        <is>
          <t>Near 52W High Breakout</t>
        </is>
      </c>
      <c r="S12" s="31" t="inlineStr">
        <is>
          <t>Nifty 50</t>
        </is>
      </c>
      <c r="T12" s="32" t="n">
        <v>-9.130000000000001</v>
      </c>
      <c r="U12" s="32" t="n">
        <v>239.14</v>
      </c>
      <c r="V12" s="32" t="n">
        <v>273.23</v>
      </c>
      <c r="W12" s="32" t="n">
        <v>95.87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Between 0.7 to 1.2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IF(B13=0,"",RANK(B13,$B$2:$B$249,0))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SPECIALITY</t>
        </is>
      </c>
      <c r="D13" s="31" t="inlineStr">
        <is>
          <t>Speciality Restaurants Limited</t>
        </is>
      </c>
      <c r="E13" s="31" t="inlineStr">
        <is>
          <t>services</t>
        </is>
      </c>
      <c r="F13" s="31" t="inlineStr">
        <is>
          <t>hotels</t>
        </is>
      </c>
      <c r="G13" s="31" t="inlineStr">
        <is>
          <t>smallcap</t>
        </is>
      </c>
      <c r="H13" s="32" t="n">
        <v>742.78</v>
      </c>
      <c r="I13" s="32" t="n">
        <v>154.1</v>
      </c>
      <c r="J13" s="32" t="n">
        <v>0.07000000000000001</v>
      </c>
      <c r="K13" s="32" t="n">
        <v>15753</v>
      </c>
      <c r="L13" s="31" t="n">
        <v>21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69.79000000000001</v>
      </c>
      <c r="P13" s="32" t="n">
        <v>44.13</v>
      </c>
      <c r="Q13" s="32" t="n">
        <v>114.25</v>
      </c>
      <c r="R13" s="31" t="inlineStr">
        <is>
          <t>Near 52W High Breakout</t>
        </is>
      </c>
      <c r="S13" s="31" t="inlineStr">
        <is>
          <t>Nifty 50</t>
        </is>
      </c>
      <c r="T13" s="32" t="n">
        <v>-9.130000000000001</v>
      </c>
      <c r="U13" s="32" t="n">
        <v>5.59</v>
      </c>
      <c r="V13" s="32" t="n">
        <v>16.2</v>
      </c>
      <c r="W13" s="32" t="n">
        <v>7.15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IF(B14=0,"",RANK(B14,$B$2:$B$249,0))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NRL</t>
        </is>
      </c>
      <c r="D14" s="31" t="inlineStr">
        <is>
          <t>Nupur Recyclers Ltd</t>
        </is>
      </c>
      <c r="E14" s="31" t="inlineStr">
        <is>
          <t>services</t>
        </is>
      </c>
      <c r="F14" s="31" t="inlineStr">
        <is>
          <t>trading</t>
        </is>
      </c>
      <c r="G14" s="31" t="inlineStr">
        <is>
          <t>smallcap</t>
        </is>
      </c>
      <c r="H14" s="32" t="n">
        <v>1105.1</v>
      </c>
      <c r="I14" s="32" t="n">
        <v>159.8</v>
      </c>
      <c r="J14" s="32" t="n">
        <v>-0.13</v>
      </c>
      <c r="K14" s="32" t="n">
        <v>40280</v>
      </c>
      <c r="L14" s="31" t="n">
        <v>90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90.5</v>
      </c>
      <c r="P14" s="32" t="n">
        <v>76.47</v>
      </c>
      <c r="Q14" s="32" t="n">
        <v>133.95</v>
      </c>
      <c r="R14" s="31" t="inlineStr">
        <is>
          <t>Near 52W High Breakout</t>
        </is>
      </c>
      <c r="S14" s="31" t="inlineStr">
        <is>
          <t>Nifty 50</t>
        </is>
      </c>
      <c r="T14" s="32" t="n">
        <v>-9.130000000000001</v>
      </c>
      <c r="U14" s="32" t="n">
        <v>122.22</v>
      </c>
      <c r="V14" s="32" t="n">
        <v>144.56</v>
      </c>
      <c r="W14" s="32" t="n">
        <v>40.14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IF(B15=0,"",RANK(B15,$B$2:$B$249,0))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ORBTEXP</t>
        </is>
      </c>
      <c r="D15" s="31" t="inlineStr">
        <is>
          <t>Orbit Exports Limited</t>
        </is>
      </c>
      <c r="E15" s="31" t="inlineStr">
        <is>
          <t>textiles</t>
        </is>
      </c>
      <c r="F15" s="31" t="inlineStr">
        <is>
          <t>textiles - processing</t>
        </is>
      </c>
      <c r="G15" s="31" t="inlineStr">
        <is>
          <t>smallcap</t>
        </is>
      </c>
      <c r="H15" s="32" t="n">
        <v>694.62</v>
      </c>
      <c r="I15" s="32" t="n">
        <v>258.51</v>
      </c>
      <c r="J15" s="32" t="n">
        <v>-1.34</v>
      </c>
      <c r="K15" s="32" t="n">
        <v>115278</v>
      </c>
      <c r="L15" s="31" t="n">
        <v>39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65.27</v>
      </c>
      <c r="P15" s="32" t="n">
        <v>54.47</v>
      </c>
      <c r="Q15" s="32" t="n">
        <v>186.37</v>
      </c>
      <c r="R15" s="31" t="inlineStr">
        <is>
          <t>Volume Spike &amp; Near 52W High Breakout</t>
        </is>
      </c>
      <c r="S15" s="31" t="inlineStr">
        <is>
          <t>Nifty 50</t>
        </is>
      </c>
      <c r="T15" s="32" t="n">
        <v>-9.130000000000001</v>
      </c>
      <c r="U15" s="32" t="n">
        <v>44.44</v>
      </c>
      <c r="V15" s="32" t="n">
        <v>58.96</v>
      </c>
      <c r="W15" s="32" t="n">
        <v>12.54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IF(B16=0,"",RANK(B16,$B$2:$B$249,0))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FILATEX</t>
        </is>
      </c>
      <c r="D16" s="31" t="inlineStr">
        <is>
          <t>Filatex India Limited</t>
        </is>
      </c>
      <c r="E16" s="31" t="inlineStr">
        <is>
          <t>textiles</t>
        </is>
      </c>
      <c r="F16" s="31" t="inlineStr">
        <is>
          <t>textiles - manmade</t>
        </is>
      </c>
      <c r="G16" s="31" t="inlineStr">
        <is>
          <t>smallcap</t>
        </is>
      </c>
      <c r="H16" s="32" t="n">
        <v>4973.45</v>
      </c>
      <c r="I16" s="32" t="n">
        <v>107.76</v>
      </c>
      <c r="J16" s="32" t="n">
        <v>-3.79</v>
      </c>
      <c r="K16" s="32" t="n">
        <v>2227616</v>
      </c>
      <c r="L16" s="31" t="n">
        <v>91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83.31</v>
      </c>
      <c r="P16" s="32" t="n">
        <v>50.62</v>
      </c>
      <c r="Q16" s="32" t="n">
        <v>81.34</v>
      </c>
      <c r="R16" s="31" t="inlineStr">
        <is>
          <t>Near 52W High Breakout</t>
        </is>
      </c>
      <c r="S16" s="31" t="inlineStr">
        <is>
          <t>Nifty 50</t>
        </is>
      </c>
      <c r="T16" s="32" t="n">
        <v>-9.130000000000001</v>
      </c>
      <c r="U16" s="32" t="n">
        <v>108.47</v>
      </c>
      <c r="V16" s="32" t="n">
        <v>129.42</v>
      </c>
      <c r="W16" s="32" t="n">
        <v>40.36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Between 12 to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IF(B17=0,"",RANK(B17,$B$2:$B$249,0))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AURUM</t>
        </is>
      </c>
      <c r="D17" s="31" t="inlineStr">
        <is>
          <t>Aurum Proptech Ltd</t>
        </is>
      </c>
      <c r="E17" s="31" t="inlineStr">
        <is>
          <t>i.t</t>
        </is>
      </c>
      <c r="F17" s="31" t="inlineStr">
        <is>
          <t>computers - software - medium / small</t>
        </is>
      </c>
      <c r="G17" s="31" t="inlineStr">
        <is>
          <t>smallcap</t>
        </is>
      </c>
      <c r="H17" s="32" t="n">
        <v>1690.58</v>
      </c>
      <c r="I17" s="32" t="n">
        <v>232.37</v>
      </c>
      <c r="J17" s="32" t="n">
        <v>5.47</v>
      </c>
      <c r="K17" s="32" t="n">
        <v>461824</v>
      </c>
      <c r="L17" s="31" t="n">
        <v>22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62.31</v>
      </c>
      <c r="P17" s="32" t="n">
        <v>49.57</v>
      </c>
      <c r="Q17" s="32" t="n">
        <v>187.26</v>
      </c>
      <c r="R17" s="31" t="inlineStr">
        <is>
          <t>Near 52W High Breakout</t>
        </is>
      </c>
      <c r="S17" s="31" t="inlineStr">
        <is>
          <t>Nifty IT</t>
        </is>
      </c>
      <c r="T17" s="32" t="n">
        <v>-18.39</v>
      </c>
      <c r="U17" s="32" t="n">
        <v>37.87</v>
      </c>
      <c r="V17" s="32" t="n">
        <v>68.95</v>
      </c>
      <c r="W17" s="32" t="n">
        <v>7.6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IF(B18=0,"",RANK(B18,$B$2:$B$249,0))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E2E</t>
        </is>
      </c>
      <c r="D18" s="31" t="inlineStr">
        <is>
          <t>E2E Networks Ltd</t>
        </is>
      </c>
      <c r="E18" s="31" t="inlineStr">
        <is>
          <t>i.t</t>
        </is>
      </c>
      <c r="F18" s="31" t="inlineStr">
        <is>
          <t>computers - software - medium / small</t>
        </is>
      </c>
      <c r="G18" s="31" t="inlineStr">
        <is>
          <t>midcap</t>
        </is>
      </c>
      <c r="H18" s="32" t="n">
        <v>13398.72</v>
      </c>
      <c r="I18" s="32" t="n">
        <v>650.5</v>
      </c>
      <c r="J18" s="32" t="n">
        <v>-0.2</v>
      </c>
      <c r="K18" s="32" t="n">
        <v>479810</v>
      </c>
      <c r="L18" s="31" t="n">
        <v>86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72.47</v>
      </c>
      <c r="P18" s="32" t="n">
        <v>53.25</v>
      </c>
      <c r="Q18" s="32" t="n">
        <v>471.32</v>
      </c>
      <c r="R18" s="31" t="inlineStr">
        <is>
          <t>Near 52W High Breakout</t>
        </is>
      </c>
      <c r="S18" s="31" t="inlineStr">
        <is>
          <t>Nifty IT</t>
        </is>
      </c>
      <c r="T18" s="32" t="n">
        <v>-18.39</v>
      </c>
      <c r="U18" s="32" t="n">
        <v>84.14</v>
      </c>
      <c r="V18" s="32" t="n">
        <v>125.64</v>
      </c>
      <c r="W18" s="32" t="n">
        <v>35.75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IF(B19=0,"",RANK(B19,$B$2:$B$249,0))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VALIANTORG</t>
        </is>
      </c>
      <c r="D19" s="31" t="inlineStr">
        <is>
          <t>Valiant Organics Ltd</t>
        </is>
      </c>
      <c r="E19" s="31" t="inlineStr">
        <is>
          <t>chemicals</t>
        </is>
      </c>
      <c r="F19" s="31" t="inlineStr">
        <is>
          <t>chemicals</t>
        </is>
      </c>
      <c r="G19" s="31" t="inlineStr">
        <is>
          <t>smallcap</t>
        </is>
      </c>
      <c r="H19" s="32" t="n">
        <v>1134.28</v>
      </c>
      <c r="I19" s="32" t="n">
        <v>455.1</v>
      </c>
      <c r="J19" s="32" t="n">
        <v>12.48</v>
      </c>
      <c r="K19" s="32" t="n">
        <v>606539</v>
      </c>
      <c r="L19" s="31" t="n">
        <v>66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73.53</v>
      </c>
      <c r="P19" s="32" t="n">
        <v>44.22</v>
      </c>
      <c r="Q19" s="32" t="n">
        <v>332.1</v>
      </c>
      <c r="R19" s="31" t="inlineStr">
        <is>
          <t>Volume Spike &amp; Near 52W High Breakout</t>
        </is>
      </c>
      <c r="S19" s="31" t="inlineStr">
        <is>
          <t>Nifty 50</t>
        </is>
      </c>
      <c r="T19" s="32" t="n">
        <v>-9.130000000000001</v>
      </c>
      <c r="U19" s="32" t="n">
        <v>34.66</v>
      </c>
      <c r="V19" s="32" t="n">
        <v>48.2</v>
      </c>
      <c r="W19" s="32" t="n">
        <v>22.53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IF(B20=0,"",RANK(B20,$B$2:$B$249,0))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BHAGERIA</t>
        </is>
      </c>
      <c r="D20" s="31" t="inlineStr">
        <is>
          <t>Bhageria Industries Limited</t>
        </is>
      </c>
      <c r="E20" s="31" t="inlineStr">
        <is>
          <t>chemicals</t>
        </is>
      </c>
      <c r="F20" s="31" t="inlineStr">
        <is>
          <t>dyes and pigments</t>
        </is>
      </c>
      <c r="G20" s="31" t="inlineStr">
        <is>
          <t>smallcap</t>
        </is>
      </c>
      <c r="H20" s="32" t="n">
        <v>1649.1</v>
      </c>
      <c r="I20" s="32" t="n">
        <v>406.45</v>
      </c>
      <c r="J20" s="32" t="n">
        <v>7.57</v>
      </c>
      <c r="K20" s="32" t="n">
        <v>364825</v>
      </c>
      <c r="L20" s="31" t="n">
        <v>92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84.22</v>
      </c>
      <c r="P20" s="32" t="n">
        <v>43.19</v>
      </c>
      <c r="Q20" s="32" t="n">
        <v>313.71</v>
      </c>
      <c r="R20" s="31" t="inlineStr">
        <is>
          <t>Near 52W High Breakout</t>
        </is>
      </c>
      <c r="S20" s="31" t="inlineStr">
        <is>
          <t>Nifty 50</t>
        </is>
      </c>
      <c r="T20" s="32" t="n">
        <v>-9.130000000000001</v>
      </c>
      <c r="U20" s="32" t="n">
        <v>132.06</v>
      </c>
      <c r="V20" s="32" t="n">
        <v>155.39</v>
      </c>
      <c r="W20" s="32" t="n">
        <v>41.33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IF(B21=0,"",RANK(B21,$B$2:$B$249,0))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DPABHUSHAN</t>
        </is>
      </c>
      <c r="D21" s="31" t="inlineStr">
        <is>
          <t>D.P. Abhushan Ltd</t>
        </is>
      </c>
      <c r="E21" s="31" t="inlineStr">
        <is>
          <t>consumer discretionary</t>
        </is>
      </c>
      <c r="F21" s="31" t="inlineStr">
        <is>
          <t>diamond cutting / jewellery</t>
        </is>
      </c>
      <c r="G21" s="31" t="inlineStr">
        <is>
          <t>smallcap</t>
        </is>
      </c>
      <c r="H21" s="32" t="n">
        <v>3802.67</v>
      </c>
      <c r="I21" s="32" t="n">
        <v>1788.8</v>
      </c>
      <c r="J21" s="32" t="n">
        <v>7.38</v>
      </c>
      <c r="K21" s="32" t="n">
        <v>869922</v>
      </c>
      <c r="L21" s="31" t="n">
        <v>73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72.54000000000001</v>
      </c>
      <c r="P21" s="32" t="n">
        <v>35.87</v>
      </c>
      <c r="Q21" s="32" t="n">
        <v>1308.27</v>
      </c>
      <c r="R21" s="31" t="inlineStr">
        <is>
          <t>Volume Spike &amp; Near 52W High Breakout</t>
        </is>
      </c>
      <c r="S21" s="31" t="inlineStr">
        <is>
          <t>Nifty 50</t>
        </is>
      </c>
      <c r="T21" s="32" t="n">
        <v>-9.130000000000001</v>
      </c>
      <c r="U21" s="32" t="n">
        <v>23.93</v>
      </c>
      <c r="V21" s="32" t="n">
        <v>36.39</v>
      </c>
      <c r="W21" s="32" t="n">
        <v>27.05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20 to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IF(B22=0,"",RANK(B22,$B$2:$B$249,0))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RPEL</t>
        </is>
      </c>
      <c r="D22" s="31" t="inlineStr">
        <is>
          <t>Raghav Productivity Enhancers Ltd</t>
        </is>
      </c>
      <c r="E22" s="31" t="inlineStr">
        <is>
          <t>building materials</t>
        </is>
      </c>
      <c r="F22" s="31" t="inlineStr">
        <is>
          <t>refractories / intermediates</t>
        </is>
      </c>
      <c r="G22" s="31" t="inlineStr">
        <is>
          <t>midcap</t>
        </is>
      </c>
      <c r="H22" s="32" t="n">
        <v>7889.85</v>
      </c>
      <c r="I22" s="32" t="n">
        <v>1809</v>
      </c>
      <c r="J22" s="32" t="n">
        <v>5.29</v>
      </c>
      <c r="K22" s="32" t="n">
        <v>153483</v>
      </c>
      <c r="L22" s="31" t="inlineStr"/>
      <c r="M22" s="31" t="inlineStr"/>
      <c r="N22" s="32">
        <f>IF(M22="Underperforming",-5,IF(L22&gt;=95,15,IF(L22&gt;=90,10,IF(L22&gt;=80,5,0))))</f>
        <v/>
      </c>
      <c r="O22" s="32" t="n">
        <v>74.12</v>
      </c>
      <c r="P22" s="32" t="n">
        <v>62.29</v>
      </c>
      <c r="Q22" s="32" t="n">
        <v>1369.74</v>
      </c>
      <c r="R22" s="31" t="inlineStr">
        <is>
          <t>Near 52W High Breakout</t>
        </is>
      </c>
      <c r="S22" s="31" t="inlineStr">
        <is>
          <t>Nifty Infra</t>
        </is>
      </c>
      <c r="T22" s="32" t="inlineStr"/>
      <c r="U22" s="32" t="inlineStr"/>
      <c r="V22" s="32" t="inlineStr"/>
      <c r="W22" s="32" t="inlineStr"/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Between 1.5 to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IF(B23=0,"",RANK(B23,$B$2:$B$249,0))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OCCLLTD</t>
        </is>
      </c>
      <c r="D23" s="31" t="inlineStr">
        <is>
          <t>OCCL Ltd</t>
        </is>
      </c>
      <c r="E23" s="31" t="inlineStr">
        <is>
          <t>chemicals</t>
        </is>
      </c>
      <c r="F23" s="31" t="inlineStr">
        <is>
          <t>chemicals</t>
        </is>
      </c>
      <c r="G23" s="31" t="inlineStr">
        <is>
          <t>smallcap</t>
        </is>
      </c>
      <c r="H23" s="32" t="n">
        <v>891.72</v>
      </c>
      <c r="I23" s="32" t="n">
        <v>187.44</v>
      </c>
      <c r="J23" s="32" t="n">
        <v>5</v>
      </c>
      <c r="K23" s="32" t="n">
        <v>146245</v>
      </c>
      <c r="L23" s="31" t="n">
        <v>64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75.5</v>
      </c>
      <c r="P23" s="32" t="n">
        <v>48.08</v>
      </c>
      <c r="Q23" s="32" t="n">
        <v>141.71</v>
      </c>
      <c r="R23" s="31" t="inlineStr">
        <is>
          <t>Near 52W High Breakout</t>
        </is>
      </c>
      <c r="S23" s="31" t="inlineStr">
        <is>
          <t>Nifty 50</t>
        </is>
      </c>
      <c r="T23" s="32" t="n">
        <v>-9.130000000000001</v>
      </c>
      <c r="U23" s="32" t="n">
        <v>47.04</v>
      </c>
      <c r="V23" s="32" t="n">
        <v>61.82</v>
      </c>
      <c r="W23" s="32" t="n">
        <v>21.96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IF(B24=0,"",RANK(B24,$B$2:$B$249,0))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WSTCSTPAPR</t>
        </is>
      </c>
      <c r="D24" s="31" t="inlineStr">
        <is>
          <t>West Coast Paper Mills Limited</t>
        </is>
      </c>
      <c r="E24" s="31" t="inlineStr">
        <is>
          <t>building materials</t>
        </is>
      </c>
      <c r="F24" s="31" t="inlineStr">
        <is>
          <t>paper</t>
        </is>
      </c>
      <c r="G24" s="31" t="inlineStr">
        <is>
          <t>smallcap</t>
        </is>
      </c>
      <c r="H24" s="32" t="n">
        <v>4646.21</v>
      </c>
      <c r="I24" s="32" t="n">
        <v>736.6</v>
      </c>
      <c r="J24" s="32" t="n">
        <v>4.71</v>
      </c>
      <c r="K24" s="32" t="n">
        <v>270128</v>
      </c>
      <c r="L24" s="31" t="inlineStr"/>
      <c r="M24" s="31" t="inlineStr"/>
      <c r="N24" s="32">
        <f>IF(M24="Underperforming",-5,IF(L24&gt;=95,15,IF(L24&gt;=90,10,IF(L24&gt;=80,5,0))))</f>
        <v/>
      </c>
      <c r="O24" s="32" t="n">
        <v>72.47</v>
      </c>
      <c r="P24" s="32" t="n">
        <v>61.7</v>
      </c>
      <c r="Q24" s="32" t="n">
        <v>611.15</v>
      </c>
      <c r="R24" s="31" t="inlineStr">
        <is>
          <t>Near 52W High Breakout</t>
        </is>
      </c>
      <c r="S24" s="31" t="inlineStr">
        <is>
          <t>Nifty Infra</t>
        </is>
      </c>
      <c r="T24" s="32" t="inlineStr"/>
      <c r="U24" s="32" t="inlineStr"/>
      <c r="V24" s="32" t="inlineStr"/>
      <c r="W24" s="32" t="inlineStr"/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IF(B25=0,"",RANK(B25,$B$2:$B$249,0))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MBECL</t>
        </is>
      </c>
      <c r="D25" s="31" t="inlineStr">
        <is>
          <t>Mcnally Bharat Engineering Company Limited</t>
        </is>
      </c>
      <c r="E25" s="31" t="inlineStr">
        <is>
          <t>realty</t>
        </is>
      </c>
      <c r="F25" s="31" t="inlineStr">
        <is>
          <t>engineering - turnkey services</t>
        </is>
      </c>
      <c r="G25" s="31" t="inlineStr">
        <is>
          <t>smallcap</t>
        </is>
      </c>
      <c r="H25" s="32" t="n">
        <v>1582.77</v>
      </c>
      <c r="I25" s="32" t="n">
        <v>484.32</v>
      </c>
      <c r="J25" s="32" t="n">
        <v>2</v>
      </c>
      <c r="K25" s="32" t="n">
        <v>3776</v>
      </c>
      <c r="L25" s="31" t="inlineStr"/>
      <c r="M25" s="31" t="inlineStr"/>
      <c r="N25" s="32">
        <f>IF(M25="Underperforming",-5,IF(L25&gt;=95,15,IF(L25&gt;=90,10,IF(L25&gt;=80,5,0))))</f>
        <v/>
      </c>
      <c r="O25" s="32" t="n">
        <v>99.95999999999999</v>
      </c>
      <c r="P25" s="32" t="n">
        <v>72.98999999999999</v>
      </c>
      <c r="Q25" s="32" t="n">
        <v>410.98</v>
      </c>
      <c r="R25" s="31" t="inlineStr">
        <is>
          <t>Near 52W High Breakout</t>
        </is>
      </c>
      <c r="S25" s="31" t="inlineStr">
        <is>
          <t>Nifty Realty</t>
        </is>
      </c>
      <c r="T25" s="32" t="inlineStr"/>
      <c r="U25" s="32" t="inlineStr"/>
      <c r="V25" s="32" t="inlineStr"/>
      <c r="W25" s="32" t="inlineStr"/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IF(B26=0,"",RANK(B26,$B$2:$B$249,0))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SSWL</t>
        </is>
      </c>
      <c r="D26" s="31" t="inlineStr">
        <is>
          <t>Steel Strips Wheels Limited</t>
        </is>
      </c>
      <c r="E26" s="31" t="inlineStr">
        <is>
          <t>auto</t>
        </is>
      </c>
      <c r="F26" s="31" t="inlineStr">
        <is>
          <t>auto ancillaries</t>
        </is>
      </c>
      <c r="G26" s="31" t="inlineStr">
        <is>
          <t>midcap</t>
        </is>
      </c>
      <c r="H26" s="32" t="n">
        <v>6297.43</v>
      </c>
      <c r="I26" s="32" t="n">
        <v>408.1</v>
      </c>
      <c r="J26" s="32" t="n">
        <v>1.86</v>
      </c>
      <c r="K26" s="32" t="n">
        <v>1299841</v>
      </c>
      <c r="L26" s="31" t="inlineStr"/>
      <c r="M26" s="31" t="inlineStr"/>
      <c r="N26" s="32">
        <f>IF(M26="Underperforming",-5,IF(L26&gt;=95,15,IF(L26&gt;=90,10,IF(L26&gt;=80,5,0))))</f>
        <v/>
      </c>
      <c r="O26" s="32" t="n">
        <v>83.41</v>
      </c>
      <c r="P26" s="32" t="n">
        <v>48.05</v>
      </c>
      <c r="Q26" s="32" t="n">
        <v>323.34</v>
      </c>
      <c r="R26" s="31" t="inlineStr">
        <is>
          <t>Near 52W High Breakout</t>
        </is>
      </c>
      <c r="S26" s="31" t="inlineStr">
        <is>
          <t>Nifty Auto</t>
        </is>
      </c>
      <c r="T26" s="32" t="inlineStr"/>
      <c r="U26" s="32" t="inlineStr"/>
      <c r="V26" s="32" t="inlineStr"/>
      <c r="W26" s="32" t="inlineStr"/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IF(B27=0,"",RANK(B27,$B$2:$B$249,0))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SONACOMS</t>
        </is>
      </c>
      <c r="D27" s="31" t="inlineStr">
        <is>
          <t>Sona BLW Precision Forgings Ltd</t>
        </is>
      </c>
      <c r="E27" s="31" t="inlineStr">
        <is>
          <t>auto</t>
        </is>
      </c>
      <c r="F27" s="31" t="inlineStr">
        <is>
          <t>auto ancillaries</t>
        </is>
      </c>
      <c r="G27" s="31" t="inlineStr">
        <is>
          <t>largecap</t>
        </is>
      </c>
      <c r="H27" s="32" t="n">
        <v>50736.27</v>
      </c>
      <c r="I27" s="32" t="n">
        <v>830</v>
      </c>
      <c r="J27" s="32" t="n">
        <v>1.76</v>
      </c>
      <c r="K27" s="32" t="n">
        <v>2734579</v>
      </c>
      <c r="L27" s="31" t="inlineStr"/>
      <c r="M27" s="31" t="inlineStr"/>
      <c r="N27" s="32">
        <f>IF(M27="Underperforming",-5,IF(L27&gt;=95,15,IF(L27&gt;=90,10,IF(L27&gt;=80,5,0))))</f>
        <v/>
      </c>
      <c r="O27" s="32" t="n">
        <v>74.98999999999999</v>
      </c>
      <c r="P27" s="32" t="n">
        <v>63.17</v>
      </c>
      <c r="Q27" s="32" t="n">
        <v>704.1799999999999</v>
      </c>
      <c r="R27" s="31" t="inlineStr">
        <is>
          <t>Near 52W High Breakout</t>
        </is>
      </c>
      <c r="S27" s="31" t="inlineStr">
        <is>
          <t>Nifty Auto</t>
        </is>
      </c>
      <c r="T27" s="32" t="inlineStr"/>
      <c r="U27" s="32" t="inlineStr"/>
      <c r="V27" s="32" t="inlineStr"/>
      <c r="W27" s="32" t="inlineStr"/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Between 1.5 to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IF(B28=0,"",RANK(B28,$B$2:$B$249,0))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CEIGALL</t>
        </is>
      </c>
      <c r="D28" s="31" t="inlineStr">
        <is>
          <t>Ceigall India Ltd</t>
        </is>
      </c>
      <c r="E28" s="31" t="inlineStr">
        <is>
          <t>realty</t>
        </is>
      </c>
      <c r="F28" s="31" t="inlineStr">
        <is>
          <t>construction</t>
        </is>
      </c>
      <c r="G28" s="31" t="inlineStr">
        <is>
          <t>midcap</t>
        </is>
      </c>
      <c r="H28" s="32" t="n">
        <v>6577.1</v>
      </c>
      <c r="I28" s="32" t="n">
        <v>382.75</v>
      </c>
      <c r="J28" s="32" t="n">
        <v>1.38</v>
      </c>
      <c r="K28" s="32" t="n">
        <v>305558</v>
      </c>
      <c r="L28" s="31" t="inlineStr"/>
      <c r="M28" s="31" t="inlineStr"/>
      <c r="N28" s="32">
        <f>IF(M28="Underperforming",-5,IF(L28&gt;=95,15,IF(L28&gt;=90,10,IF(L28&gt;=80,5,0))))</f>
        <v/>
      </c>
      <c r="O28" s="32" t="n">
        <v>63.69</v>
      </c>
      <c r="P28" s="32" t="n">
        <v>26.73</v>
      </c>
      <c r="Q28" s="32" t="n">
        <v>305.79</v>
      </c>
      <c r="R28" s="31" t="inlineStr">
        <is>
          <t>Near 52W High Breakout</t>
        </is>
      </c>
      <c r="S28" s="31" t="inlineStr">
        <is>
          <t>Nifty Realty</t>
        </is>
      </c>
      <c r="T28" s="32" t="inlineStr"/>
      <c r="U28" s="32" t="inlineStr"/>
      <c r="V28" s="32" t="inlineStr"/>
      <c r="W28" s="32" t="inlineStr"/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IF(B29=0,"",RANK(B29,$B$2:$B$249,0))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CONFIPET</t>
        </is>
      </c>
      <c r="D29" s="31" t="inlineStr">
        <is>
          <t>Confidence Petroleum India Ltd</t>
        </is>
      </c>
      <c r="E29" s="31" t="inlineStr">
        <is>
          <t>miscellaneous</t>
        </is>
      </c>
      <c r="F29" s="31" t="inlineStr">
        <is>
          <t>miscellaneous</t>
        </is>
      </c>
      <c r="G29" s="31" t="inlineStr">
        <is>
          <t>smallcap</t>
        </is>
      </c>
      <c r="H29" s="32" t="n">
        <v>2896.81</v>
      </c>
      <c r="I29" s="32" t="n">
        <v>88.13</v>
      </c>
      <c r="J29" s="32" t="n">
        <v>1.08</v>
      </c>
      <c r="K29" s="32" t="n">
        <v>1829935</v>
      </c>
      <c r="L29" s="31" t="n">
        <v>59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67.67</v>
      </c>
      <c r="P29" s="32" t="n">
        <v>58.15</v>
      </c>
      <c r="Q29" s="32" t="n">
        <v>66.17</v>
      </c>
      <c r="R29" s="31" t="inlineStr">
        <is>
          <t>Near 52W High Breakout</t>
        </is>
      </c>
      <c r="S29" s="31" t="inlineStr">
        <is>
          <t>Nifty 50</t>
        </is>
      </c>
      <c r="T29" s="32" t="n">
        <v>-9.130000000000001</v>
      </c>
      <c r="U29" s="32" t="n">
        <v>92.52</v>
      </c>
      <c r="V29" s="32" t="n">
        <v>111.87</v>
      </c>
      <c r="W29" s="32" t="n">
        <v>20.28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IF(B30=0,"",RANK(B30,$B$2:$B$249,0))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QUADFUTURE</t>
        </is>
      </c>
      <c r="D30" s="31" t="inlineStr">
        <is>
          <t>Quadrant Future Tek Ltd</t>
        </is>
      </c>
      <c r="E30" s="31" t="inlineStr">
        <is>
          <t>industrials</t>
        </is>
      </c>
      <c r="F30" s="31" t="inlineStr">
        <is>
          <t>cables - power</t>
        </is>
      </c>
      <c r="G30" s="31" t="inlineStr">
        <is>
          <t>smallcap</t>
        </is>
      </c>
      <c r="H30" s="32" t="n">
        <v>2168.6</v>
      </c>
      <c r="I30" s="32" t="n">
        <v>547.45</v>
      </c>
      <c r="J30" s="32" t="n">
        <v>0.98</v>
      </c>
      <c r="K30" s="32" t="n">
        <v>852162</v>
      </c>
      <c r="L30" s="31" t="inlineStr"/>
      <c r="M30" s="31" t="inlineStr"/>
      <c r="N30" s="32">
        <f>IF(M30="Underperforming",-5,IF(L30&gt;=95,15,IF(L30&gt;=90,10,IF(L30&gt;=80,5,0))))</f>
        <v/>
      </c>
      <c r="O30" s="32" t="n">
        <v>71.95999999999999</v>
      </c>
      <c r="P30" s="32" t="n">
        <v>40.74</v>
      </c>
      <c r="Q30" s="32" t="n">
        <v>387.26</v>
      </c>
      <c r="R30" s="31" t="inlineStr">
        <is>
          <t>Near 52W High Breakout</t>
        </is>
      </c>
      <c r="S30" s="31" t="inlineStr">
        <is>
          <t>Nifty Energy</t>
        </is>
      </c>
      <c r="T30" s="32" t="inlineStr"/>
      <c r="U30" s="32" t="inlineStr"/>
      <c r="V30" s="32" t="inlineStr"/>
      <c r="W30" s="32" t="inlineStr"/>
      <c r="X30" s="31" t="inlineStr">
        <is>
          <t>Cyclical in an Upturn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IF(B31=0,"",RANK(B31,$B$2:$B$249,0))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WHEELS</t>
        </is>
      </c>
      <c r="D31" s="31" t="inlineStr">
        <is>
          <t>Wheels India Limited</t>
        </is>
      </c>
      <c r="E31" s="31" t="inlineStr">
        <is>
          <t>auto</t>
        </is>
      </c>
      <c r="F31" s="31" t="inlineStr">
        <is>
          <t>auto ancillaries</t>
        </is>
      </c>
      <c r="G31" s="31" t="inlineStr">
        <is>
          <t>midcap</t>
        </is>
      </c>
      <c r="H31" s="32" t="n">
        <v>5385.04</v>
      </c>
      <c r="I31" s="32" t="n">
        <v>2221</v>
      </c>
      <c r="J31" s="32" t="n">
        <v>0.77</v>
      </c>
      <c r="K31" s="32" t="n">
        <v>134353</v>
      </c>
      <c r="L31" s="31" t="inlineStr"/>
      <c r="M31" s="31" t="inlineStr"/>
      <c r="N31" s="32">
        <f>IF(M31="Underperforming",-5,IF(L31&gt;=95,15,IF(L31&gt;=90,10,IF(L31&gt;=80,5,0))))</f>
        <v/>
      </c>
      <c r="O31" s="32" t="n">
        <v>74.01000000000001</v>
      </c>
      <c r="P31" s="32" t="n">
        <v>59.44</v>
      </c>
      <c r="Q31" s="32" t="n">
        <v>1709.65</v>
      </c>
      <c r="R31" s="31" t="inlineStr">
        <is>
          <t>Near 52W High Breakout</t>
        </is>
      </c>
      <c r="S31" s="31" t="inlineStr">
        <is>
          <t>Nifty Auto</t>
        </is>
      </c>
      <c r="T31" s="32" t="inlineStr"/>
      <c r="U31" s="32" t="inlineStr"/>
      <c r="V31" s="32" t="inlineStr"/>
      <c r="W31" s="32" t="inlineStr"/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Between 0.7 to 1.2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IF(B32=0,"",RANK(B32,$B$2:$B$249,0))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KROSS</t>
        </is>
      </c>
      <c r="D32" s="31" t="inlineStr">
        <is>
          <t>Kross Ltd</t>
        </is>
      </c>
      <c r="E32" s="31" t="inlineStr">
        <is>
          <t>auto</t>
        </is>
      </c>
      <c r="F32" s="31" t="inlineStr">
        <is>
          <t>auto ancillaries</t>
        </is>
      </c>
      <c r="G32" s="31" t="inlineStr">
        <is>
          <t>smallcap</t>
        </is>
      </c>
      <c r="H32" s="32" t="n">
        <v>1689.05</v>
      </c>
      <c r="I32" s="32" t="n">
        <v>263.05</v>
      </c>
      <c r="J32" s="32" t="n">
        <v>0.47</v>
      </c>
      <c r="K32" s="32" t="n">
        <v>623813</v>
      </c>
      <c r="L32" s="31" t="inlineStr"/>
      <c r="M32" s="31" t="inlineStr"/>
      <c r="N32" s="32">
        <f>IF(M32="Underperforming",-5,IF(L32&gt;=95,15,IF(L32&gt;=90,10,IF(L32&gt;=80,5,0))))</f>
        <v/>
      </c>
      <c r="O32" s="32" t="n">
        <v>70.43000000000001</v>
      </c>
      <c r="P32" s="32" t="n">
        <v>35.98</v>
      </c>
      <c r="Q32" s="32" t="n">
        <v>204.09</v>
      </c>
      <c r="R32" s="31" t="inlineStr">
        <is>
          <t>Near 52W High Breakout</t>
        </is>
      </c>
      <c r="S32" s="31" t="inlineStr">
        <is>
          <t>Nifty Auto</t>
        </is>
      </c>
      <c r="T32" s="32" t="inlineStr"/>
      <c r="U32" s="32" t="inlineStr"/>
      <c r="V32" s="32" t="inlineStr"/>
      <c r="W32" s="32" t="inlineStr"/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IF(B33=0,"",RANK(B33,$B$2:$B$249,0))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REDINGTON</t>
        </is>
      </c>
      <c r="D33" s="31" t="inlineStr">
        <is>
          <t>Redington (india) Limited</t>
        </is>
      </c>
      <c r="E33" s="31" t="inlineStr">
        <is>
          <t>services</t>
        </is>
      </c>
      <c r="F33" s="31" t="inlineStr">
        <is>
          <t>trading</t>
        </is>
      </c>
      <c r="G33" s="31" t="inlineStr">
        <is>
          <t>largecap</t>
        </is>
      </c>
      <c r="H33" s="32" t="n">
        <v>31697.04</v>
      </c>
      <c r="I33" s="32" t="n">
        <v>407</v>
      </c>
      <c r="J33" s="32" t="n">
        <v>0.38</v>
      </c>
      <c r="K33" s="32" t="n">
        <v>4204334</v>
      </c>
      <c r="L33" s="31" t="n">
        <v>62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75.84999999999999</v>
      </c>
      <c r="P33" s="32" t="n">
        <v>50.23</v>
      </c>
      <c r="Q33" s="32" t="n">
        <v>321.44</v>
      </c>
      <c r="R33" s="31" t="inlineStr">
        <is>
          <t>Near 52W High Breakout</t>
        </is>
      </c>
      <c r="S33" s="31" t="inlineStr">
        <is>
          <t>Nifty 50</t>
        </is>
      </c>
      <c r="T33" s="32" t="n">
        <v>-9.130000000000001</v>
      </c>
      <c r="U33" s="32" t="n">
        <v>48.63</v>
      </c>
      <c r="V33" s="32" t="n">
        <v>63.57</v>
      </c>
      <c r="W33" s="32" t="n">
        <v>21.45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IF(B34=0,"",RANK(B34,$B$2:$B$249,0))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CASTROLIND</t>
        </is>
      </c>
      <c r="D34" s="31" t="inlineStr">
        <is>
          <t>Castrol India Limited</t>
        </is>
      </c>
      <c r="E34" s="31" t="inlineStr">
        <is>
          <t>chemicals</t>
        </is>
      </c>
      <c r="F34" s="31" t="inlineStr">
        <is>
          <t>chemicals</t>
        </is>
      </c>
      <c r="G34" s="31" t="inlineStr">
        <is>
          <t>midcap</t>
        </is>
      </c>
      <c r="H34" s="32" t="n">
        <v>19765.63</v>
      </c>
      <c r="I34" s="32" t="n">
        <v>200.52</v>
      </c>
      <c r="J34" s="32" t="n">
        <v>0.35</v>
      </c>
      <c r="K34" s="32" t="n">
        <v>2564891</v>
      </c>
      <c r="L34" s="31" t="n">
        <v>9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73.12</v>
      </c>
      <c r="P34" s="32" t="n">
        <v>41.92</v>
      </c>
      <c r="Q34" s="32" t="n">
        <v>184.11</v>
      </c>
      <c r="R34" s="31" t="inlineStr">
        <is>
          <t>Near 52W High Breakout</t>
        </is>
      </c>
      <c r="S34" s="31" t="inlineStr">
        <is>
          <t>Nifty 50</t>
        </is>
      </c>
      <c r="T34" s="32" t="n">
        <v>-9.130000000000001</v>
      </c>
      <c r="U34" s="32" t="n">
        <v>5.2</v>
      </c>
      <c r="V34" s="32" t="n">
        <v>15.78</v>
      </c>
      <c r="W34" s="32" t="n">
        <v>3.7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Between 50% to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IF(B35=0,"",RANK(B35,$B$2:$B$249,0))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ROLEXRINGS</t>
        </is>
      </c>
      <c r="D35" s="31" t="inlineStr">
        <is>
          <t>Rolex Rings Ltd</t>
        </is>
      </c>
      <c r="E35" s="31" t="inlineStr">
        <is>
          <t>auto</t>
        </is>
      </c>
      <c r="F35" s="31" t="inlineStr">
        <is>
          <t>auto ancillaries</t>
        </is>
      </c>
      <c r="G35" s="31" t="inlineStr">
        <is>
          <t>midcap</t>
        </is>
      </c>
      <c r="H35" s="32" t="n">
        <v>5190.12</v>
      </c>
      <c r="I35" s="32" t="n">
        <v>190.09</v>
      </c>
      <c r="J35" s="32" t="n">
        <v>-0.26</v>
      </c>
      <c r="K35" s="32" t="n">
        <v>1052365</v>
      </c>
      <c r="L35" s="31" t="inlineStr"/>
      <c r="M35" s="31" t="inlineStr"/>
      <c r="N35" s="32">
        <f>IF(M35="Underperforming",-5,IF(L35&gt;=95,15,IF(L35&gt;=90,10,IF(L35&gt;=80,5,0))))</f>
        <v/>
      </c>
      <c r="O35" s="32" t="n">
        <v>65.48999999999999</v>
      </c>
      <c r="P35" s="32" t="n">
        <v>44.34</v>
      </c>
      <c r="Q35" s="32" t="n">
        <v>151.38</v>
      </c>
      <c r="R35" s="31" t="inlineStr">
        <is>
          <t>Near 52W High Breakout</t>
        </is>
      </c>
      <c r="S35" s="31" t="inlineStr">
        <is>
          <t>Nifty Auto</t>
        </is>
      </c>
      <c r="T35" s="32" t="inlineStr"/>
      <c r="U35" s="32" t="inlineStr"/>
      <c r="V35" s="32" t="inlineStr"/>
      <c r="W35" s="32" t="inlineStr"/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Between 1.5 to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IF(B36=0,"",RANK(B36,$B$2:$B$249,0))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KRONOX</t>
        </is>
      </c>
      <c r="D36" s="31" t="inlineStr">
        <is>
          <t>Kronox Lab Sciences Ltd</t>
        </is>
      </c>
      <c r="E36" s="31" t="inlineStr">
        <is>
          <t>chemicals</t>
        </is>
      </c>
      <c r="F36" s="31" t="inlineStr">
        <is>
          <t>chemicals</t>
        </is>
      </c>
      <c r="G36" s="31" t="inlineStr">
        <is>
          <t>smallcap</t>
        </is>
      </c>
      <c r="H36" s="32" t="n">
        <v>805.3099999999999</v>
      </c>
      <c r="I36" s="32" t="n">
        <v>216.38</v>
      </c>
      <c r="J36" s="32" t="n">
        <v>-0.3</v>
      </c>
      <c r="K36" s="32" t="n">
        <v>123311</v>
      </c>
      <c r="L36" s="31" t="n">
        <v>47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66.67</v>
      </c>
      <c r="P36" s="32" t="n">
        <v>49.59</v>
      </c>
      <c r="Q36" s="32" t="n">
        <v>148.31</v>
      </c>
      <c r="R36" s="31" t="inlineStr">
        <is>
          <t>Near 52W High Breakout</t>
        </is>
      </c>
      <c r="S36" s="31" t="inlineStr">
        <is>
          <t>Nifty 50</t>
        </is>
      </c>
      <c r="T36" s="32" t="n">
        <v>-9.130000000000001</v>
      </c>
      <c r="U36" s="32" t="n">
        <v>36.14</v>
      </c>
      <c r="V36" s="32" t="n">
        <v>49.83</v>
      </c>
      <c r="W36" s="32" t="n">
        <v>16.08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Between 12 to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Between 1.5 to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IF(B37=0,"",RANK(B37,$B$2:$B$249,0))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KMEW</t>
        </is>
      </c>
      <c r="D37" s="31" t="inlineStr">
        <is>
          <t>Knowledge Marine &amp; Engineering Works Ltd</t>
        </is>
      </c>
      <c r="E37" s="31" t="inlineStr">
        <is>
          <t>transportation</t>
        </is>
      </c>
      <c r="F37" s="31" t="inlineStr">
        <is>
          <t>miscellaneous</t>
        </is>
      </c>
      <c r="G37" s="31" t="inlineStr">
        <is>
          <t>midcap</t>
        </is>
      </c>
      <c r="H37" s="32" t="n">
        <v>7491.63</v>
      </c>
      <c r="I37" s="32" t="n">
        <v>3041.5</v>
      </c>
      <c r="J37" s="32" t="n">
        <v>-0.76</v>
      </c>
      <c r="K37" s="32" t="n">
        <v>217728</v>
      </c>
      <c r="L37" s="31" t="n">
        <v>81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74.72</v>
      </c>
      <c r="P37" s="32" t="n">
        <v>58.35</v>
      </c>
      <c r="Q37" s="32" t="n">
        <v>2209.36</v>
      </c>
      <c r="R37" s="31" t="inlineStr">
        <is>
          <t>Volume Spike &amp; Near 52W High Breakout</t>
        </is>
      </c>
      <c r="S37" s="31" t="inlineStr">
        <is>
          <t>Nifty 50</t>
        </is>
      </c>
      <c r="T37" s="32" t="n">
        <v>-9.130000000000001</v>
      </c>
      <c r="U37" s="32" t="n">
        <v>158.82</v>
      </c>
      <c r="V37" s="32" t="n">
        <v>184.83</v>
      </c>
      <c r="W37" s="32" t="n">
        <v>31.31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IF(B38=0,"",RANK(B38,$B$2:$B$249,0))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IGPL</t>
        </is>
      </c>
      <c r="D38" s="31" t="inlineStr">
        <is>
          <t>Ig Petrochemicals Limited</t>
        </is>
      </c>
      <c r="E38" s="31" t="inlineStr">
        <is>
          <t>chemicals</t>
        </is>
      </c>
      <c r="F38" s="31" t="inlineStr">
        <is>
          <t>chemicals</t>
        </is>
      </c>
      <c r="G38" s="31" t="inlineStr">
        <is>
          <t>smallcap</t>
        </is>
      </c>
      <c r="H38" s="32" t="n">
        <v>1799.34</v>
      </c>
      <c r="I38" s="32" t="n">
        <v>579.75</v>
      </c>
      <c r="J38" s="32" t="n">
        <v>-0.78</v>
      </c>
      <c r="K38" s="32" t="n">
        <v>37036</v>
      </c>
      <c r="L38" s="31" t="n">
        <v>42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68.41</v>
      </c>
      <c r="P38" s="32" t="n">
        <v>35.4</v>
      </c>
      <c r="Q38" s="32" t="n">
        <v>465.33</v>
      </c>
      <c r="R38" s="31" t="inlineStr">
        <is>
          <t>Near 52W High Breakout</t>
        </is>
      </c>
      <c r="S38" s="31" t="inlineStr">
        <is>
          <t>Nifty 50</t>
        </is>
      </c>
      <c r="T38" s="32" t="n">
        <v>-9.130000000000001</v>
      </c>
      <c r="U38" s="32" t="n">
        <v>37.46</v>
      </c>
      <c r="V38" s="32" t="n">
        <v>51.28</v>
      </c>
      <c r="W38" s="32" t="n">
        <v>13.78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IF(B39=0,"",RANK(B39,$B$2:$B$249,0))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IBULLSLTD</t>
        </is>
      </c>
      <c r="D39" s="31" t="inlineStr">
        <is>
          <t>Indiabulls Limited</t>
        </is>
      </c>
      <c r="E39" s="31" t="inlineStr">
        <is>
          <t>miscellaneous</t>
        </is>
      </c>
      <c r="F39" s="31" t="inlineStr">
        <is>
          <t>diversified - medium / small</t>
        </is>
      </c>
      <c r="G39" s="31" t="inlineStr">
        <is>
          <t>midcap</t>
        </is>
      </c>
      <c r="H39" s="32" t="n">
        <v>6972.32</v>
      </c>
      <c r="I39" s="32" t="n">
        <v>29.61</v>
      </c>
      <c r="J39" s="32" t="n">
        <v>-1.07</v>
      </c>
      <c r="K39" s="32" t="n">
        <v>7753680</v>
      </c>
      <c r="L39" s="31" t="n">
        <v>74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63.69</v>
      </c>
      <c r="P39" s="32" t="n">
        <v>39.66</v>
      </c>
      <c r="Q39" s="32" t="n">
        <v>21.16</v>
      </c>
      <c r="R39" s="31" t="inlineStr">
        <is>
          <t>Near 52W High Breakout</t>
        </is>
      </c>
      <c r="S39" s="31" t="inlineStr">
        <is>
          <t>Nifty 50</t>
        </is>
      </c>
      <c r="T39" s="32" t="n">
        <v>-9.130000000000001</v>
      </c>
      <c r="U39" s="32" t="n">
        <v>66.25</v>
      </c>
      <c r="V39" s="32" t="n">
        <v>82.97</v>
      </c>
      <c r="W39" s="32" t="n">
        <v>27.36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IF(B40=0,"",RANK(B40,$B$2:$B$249,0))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VINCOFE</t>
        </is>
      </c>
      <c r="D40" s="31" t="inlineStr">
        <is>
          <t>Vintage Coffee &amp; Beverages Ltd</t>
        </is>
      </c>
      <c r="E40" s="31" t="inlineStr">
        <is>
          <t>consumer discretionary</t>
        </is>
      </c>
      <c r="F40" s="31" t="inlineStr">
        <is>
          <t>trading</t>
        </is>
      </c>
      <c r="G40" s="31" t="inlineStr">
        <is>
          <t>smallcap</t>
        </is>
      </c>
      <c r="H40" s="32" t="n">
        <v>2659.69</v>
      </c>
      <c r="I40" s="32" t="n">
        <v>179.96</v>
      </c>
      <c r="J40" s="32" t="n">
        <v>-1.42</v>
      </c>
      <c r="K40" s="32" t="n">
        <v>817945</v>
      </c>
      <c r="L40" s="31" t="n">
        <v>26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63.98</v>
      </c>
      <c r="P40" s="32" t="n">
        <v>29.12</v>
      </c>
      <c r="Q40" s="32" t="n">
        <v>138.11</v>
      </c>
      <c r="R40" s="31" t="inlineStr">
        <is>
          <t>Near 52W High Breakout</t>
        </is>
      </c>
      <c r="S40" s="31" t="inlineStr">
        <is>
          <t>Nifty 50</t>
        </is>
      </c>
      <c r="T40" s="32" t="n">
        <v>-9.130000000000001</v>
      </c>
      <c r="U40" s="32" t="n">
        <v>23.08</v>
      </c>
      <c r="V40" s="32" t="n">
        <v>35.45</v>
      </c>
      <c r="W40" s="32" t="n">
        <v>8.42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IF(B41=0,"",RANK(B41,$B$2:$B$249,0))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RML</t>
        </is>
      </c>
      <c r="D41" s="31" t="inlineStr">
        <is>
          <t>Rane (madras) Limited</t>
        </is>
      </c>
      <c r="E41" s="31" t="inlineStr">
        <is>
          <t>auto</t>
        </is>
      </c>
      <c r="F41" s="31" t="inlineStr">
        <is>
          <t>auto ancillaries</t>
        </is>
      </c>
      <c r="G41" s="31" t="inlineStr">
        <is>
          <t>smallcap</t>
        </is>
      </c>
      <c r="H41" s="32" t="n">
        <v>3816.41</v>
      </c>
      <c r="I41" s="32" t="n">
        <v>1351.9</v>
      </c>
      <c r="J41" s="32" t="n">
        <v>-2.1</v>
      </c>
      <c r="K41" s="32" t="n">
        <v>51913</v>
      </c>
      <c r="L41" s="31" t="inlineStr"/>
      <c r="M41" s="31" t="inlineStr"/>
      <c r="N41" s="32">
        <f>IF(M41="Underperforming",-5,IF(L41&gt;=95,15,IF(L41&gt;=90,10,IF(L41&gt;=80,5,0))))</f>
        <v/>
      </c>
      <c r="O41" s="32" t="n">
        <v>67.65000000000001</v>
      </c>
      <c r="P41" s="32" t="n">
        <v>57.35</v>
      </c>
      <c r="Q41" s="32" t="n">
        <v>1011.91</v>
      </c>
      <c r="R41" s="31" t="inlineStr">
        <is>
          <t>Near 52W High Breakout</t>
        </is>
      </c>
      <c r="S41" s="31" t="inlineStr">
        <is>
          <t>Nifty Auto</t>
        </is>
      </c>
      <c r="T41" s="32" t="inlineStr"/>
      <c r="U41" s="32" t="inlineStr"/>
      <c r="V41" s="32" t="inlineStr"/>
      <c r="W41" s="32" t="inlineStr"/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Between 0.7 to 1.2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IF(B42=0,"",RANK(B42,$B$2:$B$249,0))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SANGAMIND</t>
        </is>
      </c>
      <c r="D42" s="31" t="inlineStr">
        <is>
          <t>Sangam (india) Limited</t>
        </is>
      </c>
      <c r="E42" s="31" t="inlineStr">
        <is>
          <t>textiles</t>
        </is>
      </c>
      <c r="F42" s="31" t="inlineStr">
        <is>
          <t>textiles - spinning - synthetic / blended</t>
        </is>
      </c>
      <c r="G42" s="31" t="inlineStr">
        <is>
          <t>smallcap</t>
        </is>
      </c>
      <c r="H42" s="32" t="n">
        <v>3243.67</v>
      </c>
      <c r="I42" s="32" t="n">
        <v>626.9</v>
      </c>
      <c r="J42" s="32" t="n">
        <v>-2.89</v>
      </c>
      <c r="K42" s="32" t="n">
        <v>27711</v>
      </c>
      <c r="L42" s="31" t="n">
        <v>38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66.15000000000001</v>
      </c>
      <c r="P42" s="32" t="n">
        <v>45.79</v>
      </c>
      <c r="Q42" s="32" t="n">
        <v>501.52</v>
      </c>
      <c r="R42" s="31" t="inlineStr">
        <is>
          <t>Volume Spike &amp; Near 52W High Breakout</t>
        </is>
      </c>
      <c r="S42" s="31" t="inlineStr">
        <is>
          <t>Nifty 50</t>
        </is>
      </c>
      <c r="T42" s="32" t="n">
        <v>-9.130000000000001</v>
      </c>
      <c r="U42" s="32" t="n">
        <v>49.04</v>
      </c>
      <c r="V42" s="32" t="n">
        <v>64.02</v>
      </c>
      <c r="W42" s="32" t="n">
        <v>11.93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Between 0.7 to 1.2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IF(B43=0,"",RANK(B43,$B$2:$B$249,0))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LLOYDSENGG</t>
        </is>
      </c>
      <c r="D43" s="31" t="inlineStr">
        <is>
          <t>Lloyds Engineering Works Ltd</t>
        </is>
      </c>
      <c r="E43" s="31" t="inlineStr">
        <is>
          <t>industrials</t>
        </is>
      </c>
      <c r="F43" s="31" t="inlineStr">
        <is>
          <t>engineering</t>
        </is>
      </c>
      <c r="G43" s="31" t="inlineStr">
        <is>
          <t>midcap</t>
        </is>
      </c>
      <c r="H43" s="32" t="n">
        <v>15850.07</v>
      </c>
      <c r="I43" s="32" t="n">
        <v>98.64</v>
      </c>
      <c r="J43" s="32" t="n">
        <v>-3.47</v>
      </c>
      <c r="K43" s="32" t="n">
        <v>20659896</v>
      </c>
      <c r="L43" s="31" t="n">
        <v>57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69.2</v>
      </c>
      <c r="P43" s="32" t="n">
        <v>45.1</v>
      </c>
      <c r="Q43" s="32" t="n">
        <v>74.09</v>
      </c>
      <c r="R43" s="31" t="inlineStr">
        <is>
          <t>Near 52W High Breakout</t>
        </is>
      </c>
      <c r="S43" s="31" t="inlineStr">
        <is>
          <t>Nifty 50</t>
        </is>
      </c>
      <c r="T43" s="32" t="n">
        <v>-9.130000000000001</v>
      </c>
      <c r="U43" s="32" t="n">
        <v>59.92</v>
      </c>
      <c r="V43" s="32" t="n">
        <v>76</v>
      </c>
      <c r="W43" s="32" t="n">
        <v>20.17</v>
      </c>
      <c r="X43" s="31" t="inlineStr">
        <is>
          <t>Cyclical in an Upturn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IF(B44=0,"",RANK(B44,$B$2:$B$249,0))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MOREPENLAB</t>
        </is>
      </c>
      <c r="D44" s="31" t="inlineStr">
        <is>
          <t>Morepen Laboratories Limited</t>
        </is>
      </c>
      <c r="E44" s="31" t="inlineStr">
        <is>
          <t>healthcare</t>
        </is>
      </c>
      <c r="F44" s="31" t="inlineStr">
        <is>
          <t>pharmaceuticals - indian - bulk drugs &amp; formln</t>
        </is>
      </c>
      <c r="G44" s="31" t="inlineStr">
        <is>
          <t>midcap</t>
        </is>
      </c>
      <c r="H44" s="32" t="n">
        <v>6509.69</v>
      </c>
      <c r="I44" s="32" t="n">
        <v>125.99</v>
      </c>
      <c r="J44" s="32" t="n">
        <v>6.05</v>
      </c>
      <c r="K44" s="32" t="n">
        <v>26169666</v>
      </c>
      <c r="L44" s="31" t="n">
        <v>96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88.97</v>
      </c>
      <c r="P44" s="32" t="n">
        <v>56.52</v>
      </c>
      <c r="Q44" s="32" t="n">
        <v>94.54000000000001</v>
      </c>
      <c r="R44" s="31" t="inlineStr">
        <is>
          <t>Near 52W High Breakout</t>
        </is>
      </c>
      <c r="S44" s="31" t="inlineStr">
        <is>
          <t>Nifty Pharma</t>
        </is>
      </c>
      <c r="T44" s="32" t="n">
        <v>21.52</v>
      </c>
      <c r="U44" s="32" t="n">
        <v>156.35</v>
      </c>
      <c r="V44" s="32" t="n">
        <v>110.95</v>
      </c>
      <c r="W44" s="32" t="n">
        <v>51.77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IF(B45=0,"",RANK(B45,$B$2:$B$249,0))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IOLCP</t>
        </is>
      </c>
      <c r="D45" s="31" t="inlineStr">
        <is>
          <t>Iol Chemicals And Pharmaceuticals Limited</t>
        </is>
      </c>
      <c r="E45" s="31" t="inlineStr">
        <is>
          <t>healthcare</t>
        </is>
      </c>
      <c r="F45" s="31" t="inlineStr">
        <is>
          <t>pharmaceuticals - indian - bulk drugs &amp; formln</t>
        </is>
      </c>
      <c r="G45" s="31" t="inlineStr">
        <is>
          <t>midcap</t>
        </is>
      </c>
      <c r="H45" s="32" t="n">
        <v>5913.99</v>
      </c>
      <c r="I45" s="32" t="n">
        <v>207.08</v>
      </c>
      <c r="J45" s="32" t="n">
        <v>2.78</v>
      </c>
      <c r="K45" s="32" t="n">
        <v>3390524</v>
      </c>
      <c r="L45" s="31" t="n">
        <v>78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78.06999999999999</v>
      </c>
      <c r="P45" s="32" t="n">
        <v>79.37</v>
      </c>
      <c r="Q45" s="32" t="n">
        <v>150.34</v>
      </c>
      <c r="R45" s="31" t="inlineStr">
        <is>
          <t>Near 52W High Breakout</t>
        </is>
      </c>
      <c r="S45" s="31" t="inlineStr">
        <is>
          <t>Nifty Pharma</t>
        </is>
      </c>
      <c r="T45" s="32" t="n">
        <v>21.52</v>
      </c>
      <c r="U45" s="32" t="n">
        <v>98.64</v>
      </c>
      <c r="V45" s="32" t="n">
        <v>63.47</v>
      </c>
      <c r="W45" s="32" t="n">
        <v>29.48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IF(B46=0,"",RANK(B46,$B$2:$B$249,0))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AHCL</t>
        </is>
      </c>
      <c r="D46" s="31" t="inlineStr">
        <is>
          <t>Anlon Healthcare Ltd</t>
        </is>
      </c>
      <c r="E46" s="31" t="inlineStr">
        <is>
          <t>healthcare</t>
        </is>
      </c>
      <c r="F46" s="31" t="inlineStr">
        <is>
          <t>pharmaceuticals - indian - bulk drugs &amp; formln</t>
        </is>
      </c>
      <c r="G46" s="31" t="inlineStr">
        <is>
          <t>smallcap</t>
        </is>
      </c>
      <c r="H46" s="32" t="n">
        <v>1934.18</v>
      </c>
      <c r="I46" s="32" t="n">
        <v>34.58</v>
      </c>
      <c r="J46" s="32" t="n">
        <v>-4.97</v>
      </c>
      <c r="K46" s="32" t="n">
        <v>18707312</v>
      </c>
      <c r="L46" s="31" t="n">
        <v>97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89.06</v>
      </c>
      <c r="P46" s="32" t="n">
        <v>47.36</v>
      </c>
      <c r="Q46" s="32" t="n">
        <v>26.7</v>
      </c>
      <c r="R46" s="31" t="inlineStr">
        <is>
          <t>Near 52W High Breakout</t>
        </is>
      </c>
      <c r="S46" s="31" t="inlineStr">
        <is>
          <t>Nifty Pharma</t>
        </is>
      </c>
      <c r="T46" s="32" t="n">
        <v>21.52</v>
      </c>
      <c r="U46" s="32" t="n">
        <v>172.63</v>
      </c>
      <c r="V46" s="32" t="n">
        <v>124.35</v>
      </c>
      <c r="W46" s="32" t="n">
        <v>54.23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IF(B47=0,"",RANK(B47,$B$2:$B$249,0))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INDSWFTLAB</t>
        </is>
      </c>
      <c r="D47" s="31" t="inlineStr">
        <is>
          <t>Ind-swift Laboratories Limited</t>
        </is>
      </c>
      <c r="E47" s="31" t="inlineStr">
        <is>
          <t>healthcare</t>
        </is>
      </c>
      <c r="F47" s="31" t="inlineStr">
        <is>
          <t>pharmaceuticals - indian - bulk drugs &amp; formln</t>
        </is>
      </c>
      <c r="G47" s="31" t="inlineStr">
        <is>
          <t>smallcap</t>
        </is>
      </c>
      <c r="H47" s="32" t="n">
        <v>3592.38</v>
      </c>
      <c r="I47" s="32" t="n">
        <v>388.75</v>
      </c>
      <c r="J47" s="32" t="n">
        <v>-5.89</v>
      </c>
      <c r="K47" s="32" t="n">
        <v>805121</v>
      </c>
      <c r="L47" s="31" t="n">
        <v>97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79.70999999999999</v>
      </c>
      <c r="P47" s="32" t="n">
        <v>76.16</v>
      </c>
      <c r="Q47" s="32" t="n">
        <v>296.43</v>
      </c>
      <c r="R47" s="31" t="inlineStr">
        <is>
          <t>Near 52W High Breakout</t>
        </is>
      </c>
      <c r="S47" s="31" t="inlineStr">
        <is>
          <t>Nifty Pharma</t>
        </is>
      </c>
      <c r="T47" s="32" t="n">
        <v>21.52</v>
      </c>
      <c r="U47" s="32" t="n">
        <v>299.78</v>
      </c>
      <c r="V47" s="32" t="n">
        <v>228.99</v>
      </c>
      <c r="W47" s="32" t="n">
        <v>52.62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IF(B48=0,"",RANK(B48,$B$2:$B$249,0))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THELEELA</t>
        </is>
      </c>
      <c r="D48" s="31" t="inlineStr">
        <is>
          <t>Leela Palaces Hotels &amp; Resorts Ltd</t>
        </is>
      </c>
      <c r="E48" s="31" t="inlineStr">
        <is>
          <t>services</t>
        </is>
      </c>
      <c r="F48" s="31" t="inlineStr">
        <is>
          <t>hotels</t>
        </is>
      </c>
      <c r="G48" s="31" t="inlineStr">
        <is>
          <t>midcap</t>
        </is>
      </c>
      <c r="H48" s="32" t="n">
        <v>17819.99</v>
      </c>
      <c r="I48" s="32" t="n">
        <v>573.8</v>
      </c>
      <c r="J48" s="32" t="n">
        <v>7.53</v>
      </c>
      <c r="K48" s="32" t="n">
        <v>1251659</v>
      </c>
      <c r="L48" s="31" t="n">
        <v>33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69.89</v>
      </c>
      <c r="P48" s="32" t="n">
        <v>41.38</v>
      </c>
      <c r="Q48" s="32" t="n">
        <v>465.44</v>
      </c>
      <c r="R48" s="31" t="inlineStr">
        <is>
          <t>Near 52W High Breakout</t>
        </is>
      </c>
      <c r="S48" s="31" t="inlineStr">
        <is>
          <t>Nifty 50</t>
        </is>
      </c>
      <c r="T48" s="32" t="n">
        <v>-9.130000000000001</v>
      </c>
      <c r="U48" s="32" t="n">
        <v>32.96</v>
      </c>
      <c r="V48" s="32" t="n">
        <v>46.33</v>
      </c>
      <c r="W48" s="32" t="n">
        <v>10.44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IF(B49=0,"",RANK(B49,$B$2:$B$249,0))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SYRMA</t>
        </is>
      </c>
      <c r="D49" s="31" t="inlineStr">
        <is>
          <t>Syrma SGS Technology Ltd</t>
        </is>
      </c>
      <c r="E49" s="31" t="inlineStr">
        <is>
          <t>consumer discretionary</t>
        </is>
      </c>
      <c r="F49" s="31" t="inlineStr">
        <is>
          <t>electronics - components</t>
        </is>
      </c>
      <c r="G49" s="31" t="inlineStr">
        <is>
          <t>largecap</t>
        </is>
      </c>
      <c r="H49" s="32" t="n">
        <v>32638.49</v>
      </c>
      <c r="I49" s="32" t="n">
        <v>1782.9</v>
      </c>
      <c r="J49" s="32" t="n">
        <v>5.34</v>
      </c>
      <c r="K49" s="32" t="n">
        <v>3788979</v>
      </c>
      <c r="L49" s="31" t="n">
        <v>73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78.06</v>
      </c>
      <c r="P49" s="32" t="n">
        <v>60.33</v>
      </c>
      <c r="Q49" s="32" t="n">
        <v>1387.79</v>
      </c>
      <c r="R49" s="31" t="inlineStr">
        <is>
          <t>Near 52W High Breakout</t>
        </is>
      </c>
      <c r="S49" s="31" t="inlineStr">
        <is>
          <t>Nifty 50</t>
        </is>
      </c>
      <c r="T49" s="32" t="n">
        <v>-9.130000000000001</v>
      </c>
      <c r="U49" s="32" t="n">
        <v>115.42</v>
      </c>
      <c r="V49" s="32" t="n">
        <v>137.07</v>
      </c>
      <c r="W49" s="32" t="n">
        <v>25.82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IF(B50=0,"",RANK(B50,$B$2:$B$249,0))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LOTUSDEV</t>
        </is>
      </c>
      <c r="D50" s="31" t="inlineStr">
        <is>
          <t>Sri Lotus Developers &amp; Realty Ltd</t>
        </is>
      </c>
      <c r="E50" s="31" t="inlineStr">
        <is>
          <t>realty</t>
        </is>
      </c>
      <c r="F50" s="31" t="inlineStr">
        <is>
          <t>construction</t>
        </is>
      </c>
      <c r="G50" s="31" t="inlineStr">
        <is>
          <t>midcap</t>
        </is>
      </c>
      <c r="H50" s="32" t="n">
        <v>10466.02</v>
      </c>
      <c r="I50" s="32" t="n">
        <v>224.53</v>
      </c>
      <c r="J50" s="32" t="n">
        <v>4.85</v>
      </c>
      <c r="K50" s="32" t="n">
        <v>1330015</v>
      </c>
      <c r="L50" s="31" t="inlineStr"/>
      <c r="M50" s="31" t="inlineStr"/>
      <c r="N50" s="32">
        <f>IF(M50="Underperforming",-5,IF(L50&gt;=95,15,IF(L50&gt;=90,10,IF(L50&gt;=80,5,0))))</f>
        <v/>
      </c>
      <c r="O50" s="32" t="n">
        <v>69.31999999999999</v>
      </c>
      <c r="P50" s="32" t="n">
        <v>28.67</v>
      </c>
      <c r="Q50" s="32" t="n">
        <v>171.47</v>
      </c>
      <c r="R50" s="31" t="inlineStr">
        <is>
          <t>Near 52W High Breakout</t>
        </is>
      </c>
      <c r="S50" s="31" t="inlineStr">
        <is>
          <t>Nifty Realty</t>
        </is>
      </c>
      <c r="T50" s="32" t="inlineStr"/>
      <c r="U50" s="32" t="inlineStr"/>
      <c r="V50" s="32" t="inlineStr"/>
      <c r="W50" s="32" t="inlineStr"/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IF(B51=0,"",RANK(B51,$B$2:$B$249,0))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RBZJEWEL</t>
        </is>
      </c>
      <c r="D51" s="31" t="inlineStr">
        <is>
          <t>RBZ Jewellers Ltd</t>
        </is>
      </c>
      <c r="E51" s="31" t="inlineStr">
        <is>
          <t>consumer discretionary</t>
        </is>
      </c>
      <c r="F51" s="31" t="inlineStr">
        <is>
          <t>diamond cutting / jewellery</t>
        </is>
      </c>
      <c r="G51" s="31" t="inlineStr">
        <is>
          <t>smallcap</t>
        </is>
      </c>
      <c r="H51" s="32" t="n">
        <v>791.12</v>
      </c>
      <c r="I51" s="32" t="n">
        <v>207.23</v>
      </c>
      <c r="J51" s="32" t="n">
        <v>4.78</v>
      </c>
      <c r="K51" s="32" t="n">
        <v>238976</v>
      </c>
      <c r="L51" s="31" t="n">
        <v>55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67.15000000000001</v>
      </c>
      <c r="P51" s="32" t="n">
        <v>35.43</v>
      </c>
      <c r="Q51" s="32" t="n">
        <v>149.19</v>
      </c>
      <c r="R51" s="31" t="inlineStr">
        <is>
          <t>Near 52W High Breakout</t>
        </is>
      </c>
      <c r="S51" s="31" t="inlineStr">
        <is>
          <t>Nifty 50</t>
        </is>
      </c>
      <c r="T51" s="32" t="n">
        <v>-9.130000000000001</v>
      </c>
      <c r="U51" s="32" t="n">
        <v>52.82</v>
      </c>
      <c r="V51" s="32" t="n">
        <v>68.19</v>
      </c>
      <c r="W51" s="32" t="n">
        <v>19.26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IF(B52=0,"",RANK(B52,$B$2:$B$249,0))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GALAPREC</t>
        </is>
      </c>
      <c r="D52" s="31" t="inlineStr">
        <is>
          <t>Gala Precision Engineering Ltd</t>
        </is>
      </c>
      <c r="E52" s="31" t="inlineStr">
        <is>
          <t>castings, forgings &amp; fasteners</t>
        </is>
      </c>
      <c r="F52" s="31" t="inlineStr">
        <is>
          <t>fasteners</t>
        </is>
      </c>
      <c r="G52" s="31" t="inlineStr">
        <is>
          <t>smallcap</t>
        </is>
      </c>
      <c r="H52" s="32" t="n">
        <v>1483.73</v>
      </c>
      <c r="I52" s="32" t="n">
        <v>1197.2</v>
      </c>
      <c r="J52" s="32" t="n">
        <v>3.41</v>
      </c>
      <c r="K52" s="32" t="n">
        <v>103371</v>
      </c>
      <c r="L52" s="31" t="n">
        <v>38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66.76000000000001</v>
      </c>
      <c r="P52" s="32" t="n">
        <v>46.08</v>
      </c>
      <c r="Q52" s="32" t="n">
        <v>890.11</v>
      </c>
      <c r="R52" s="31" t="inlineStr">
        <is>
          <t>Near 52W High Breakout</t>
        </is>
      </c>
      <c r="S52" s="31" t="inlineStr">
        <is>
          <t>Nifty 50</t>
        </is>
      </c>
      <c r="T52" s="32" t="n">
        <v>-9.130000000000001</v>
      </c>
      <c r="U52" s="32" t="n">
        <v>56.13</v>
      </c>
      <c r="V52" s="32" t="n">
        <v>71.81999999999999</v>
      </c>
      <c r="W52" s="32" t="n">
        <v>11.9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Between 1.5 to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IF(B53=0,"",RANK(B53,$B$2:$B$249,0))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BODALCHEM</t>
        </is>
      </c>
      <c r="D53" s="31" t="inlineStr">
        <is>
          <t>Bodal Chemicals Limited</t>
        </is>
      </c>
      <c r="E53" s="31" t="inlineStr">
        <is>
          <t>chemicals</t>
        </is>
      </c>
      <c r="F53" s="31" t="inlineStr">
        <is>
          <t>dyes and pigments</t>
        </is>
      </c>
      <c r="G53" s="31" t="inlineStr">
        <is>
          <t>smallcap</t>
        </is>
      </c>
      <c r="H53" s="32" t="n">
        <v>2418</v>
      </c>
      <c r="I53" s="32" t="n">
        <v>198.35</v>
      </c>
      <c r="J53" s="32" t="n">
        <v>3.31</v>
      </c>
      <c r="K53" s="32" t="n">
        <v>789248</v>
      </c>
      <c r="L53" s="31" t="n">
        <v>99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88.59</v>
      </c>
      <c r="P53" s="32" t="n">
        <v>48.06</v>
      </c>
      <c r="Q53" s="32" t="n">
        <v>156.98</v>
      </c>
      <c r="R53" s="31" t="inlineStr">
        <is>
          <t>Near 52W High Breakout</t>
        </is>
      </c>
      <c r="S53" s="31" t="inlineStr">
        <is>
          <t>Nifty 50</t>
        </is>
      </c>
      <c r="T53" s="32" t="n">
        <v>-9.130000000000001</v>
      </c>
      <c r="U53" s="32" t="n">
        <v>215.74</v>
      </c>
      <c r="V53" s="32" t="n">
        <v>247.48</v>
      </c>
      <c r="W53" s="32" t="n">
        <v>86.64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Between 0.7 to 1.2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IF(B54=0,"",RANK(B54,$B$2:$B$249,0))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THEJO</t>
        </is>
      </c>
      <c r="D54" s="31" t="inlineStr">
        <is>
          <t>Thejo Engineering Ltd</t>
        </is>
      </c>
      <c r="E54" s="31" t="inlineStr">
        <is>
          <t>industrials</t>
        </is>
      </c>
      <c r="F54" s="31" t="inlineStr">
        <is>
          <t>engineering</t>
        </is>
      </c>
      <c r="G54" s="31" t="inlineStr">
        <is>
          <t>smallcap</t>
        </is>
      </c>
      <c r="H54" s="32" t="n">
        <v>2289.14</v>
      </c>
      <c r="I54" s="32" t="n">
        <v>2175.4</v>
      </c>
      <c r="J54" s="32" t="n">
        <v>3.08</v>
      </c>
      <c r="K54" s="32" t="n">
        <v>11455</v>
      </c>
      <c r="L54" s="31" t="n">
        <v>20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64.5</v>
      </c>
      <c r="P54" s="32" t="n">
        <v>43.74</v>
      </c>
      <c r="Q54" s="32" t="n">
        <v>1763.28</v>
      </c>
      <c r="R54" s="31" t="inlineStr">
        <is>
          <t>Near 52W High Breakout</t>
        </is>
      </c>
      <c r="S54" s="31" t="inlineStr">
        <is>
          <t>Nifty 50</t>
        </is>
      </c>
      <c r="T54" s="32" t="n">
        <v>-9.130000000000001</v>
      </c>
      <c r="U54" s="32" t="n">
        <v>18.7</v>
      </c>
      <c r="V54" s="32" t="n">
        <v>30.63</v>
      </c>
      <c r="W54" s="32" t="n">
        <v>7.04</v>
      </c>
      <c r="X54" s="31" t="inlineStr">
        <is>
          <t>Cyclical in an Upturn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IF(B55=0,"",RANK(B55,$B$2:$B$249,0))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DELTACORP</t>
        </is>
      </c>
      <c r="D55" s="31" t="inlineStr">
        <is>
          <t>Delta Corp Limited</t>
        </is>
      </c>
      <c r="E55" s="31" t="inlineStr">
        <is>
          <t>miscellaneous</t>
        </is>
      </c>
      <c r="F55" s="31" t="inlineStr">
        <is>
          <t>recreation / amusement parks</t>
        </is>
      </c>
      <c r="G55" s="31" t="inlineStr">
        <is>
          <t>smallcap</t>
        </is>
      </c>
      <c r="H55" s="32" t="n">
        <v>2107.09</v>
      </c>
      <c r="I55" s="32" t="n">
        <v>80.51000000000001</v>
      </c>
      <c r="J55" s="32" t="n">
        <v>2.31</v>
      </c>
      <c r="K55" s="32" t="n">
        <v>84962418</v>
      </c>
      <c r="L55" s="31" t="n">
        <v>16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66.54000000000001</v>
      </c>
      <c r="P55" s="32" t="n">
        <v>23.63</v>
      </c>
      <c r="Q55" s="32" t="n">
        <v>58.45</v>
      </c>
      <c r="R55" s="31" t="inlineStr">
        <is>
          <t>Volume Spike &amp; Near 52W High Breakout</t>
        </is>
      </c>
      <c r="S55" s="31" t="inlineStr">
        <is>
          <t>Nifty 50</t>
        </is>
      </c>
      <c r="T55" s="32" t="n">
        <v>-9.130000000000001</v>
      </c>
      <c r="U55" s="32" t="n">
        <v>-0.89</v>
      </c>
      <c r="V55" s="32" t="n">
        <v>9.07</v>
      </c>
      <c r="W55" s="32" t="n">
        <v>5.78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IF(B56=0,"",RANK(B56,$B$2:$B$249,0))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MOTISONS</t>
        </is>
      </c>
      <c r="D56" s="31" t="inlineStr">
        <is>
          <t>Motisons Jewellers Ltd</t>
        </is>
      </c>
      <c r="E56" s="31" t="inlineStr">
        <is>
          <t>consumer discretionary</t>
        </is>
      </c>
      <c r="F56" s="31" t="inlineStr">
        <is>
          <t>diamond cutting / jewellery</t>
        </is>
      </c>
      <c r="G56" s="31" t="inlineStr">
        <is>
          <t>smallcap</t>
        </is>
      </c>
      <c r="H56" s="32" t="n">
        <v>2004.29</v>
      </c>
      <c r="I56" s="32" t="n">
        <v>18</v>
      </c>
      <c r="J56" s="32" t="n">
        <v>2.16</v>
      </c>
      <c r="K56" s="32" t="n">
        <v>39407577</v>
      </c>
      <c r="L56" s="31" t="n">
        <v>17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64.09999999999999</v>
      </c>
      <c r="P56" s="32" t="n">
        <v>26.29</v>
      </c>
      <c r="Q56" s="32" t="n">
        <v>12.63</v>
      </c>
      <c r="R56" s="31" t="inlineStr">
        <is>
          <t>Near 52W High Breakout</t>
        </is>
      </c>
      <c r="S56" s="31" t="inlineStr">
        <is>
          <t>Nifty 50</t>
        </is>
      </c>
      <c r="T56" s="32" t="n">
        <v>-9.130000000000001</v>
      </c>
      <c r="U56" s="32" t="n">
        <v>-2.44</v>
      </c>
      <c r="V56" s="32" t="n">
        <v>7.37</v>
      </c>
      <c r="W56" s="32" t="n">
        <v>6.46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IF(B57=0,"",RANK(B57,$B$2:$B$249,0))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TREL</t>
        </is>
      </c>
      <c r="D57" s="31" t="inlineStr">
        <is>
          <t>TransIndia Real Estate Ltd</t>
        </is>
      </c>
      <c r="E57" s="31" t="inlineStr">
        <is>
          <t>transportation</t>
        </is>
      </c>
      <c r="F57" s="31" t="inlineStr">
        <is>
          <t>miscellaneous</t>
        </is>
      </c>
      <c r="G57" s="31" t="inlineStr">
        <is>
          <t>smallcap</t>
        </is>
      </c>
      <c r="H57" s="32" t="n">
        <v>697.78</v>
      </c>
      <c r="I57" s="32" t="n">
        <v>28.89</v>
      </c>
      <c r="J57" s="32" t="n">
        <v>1.73</v>
      </c>
      <c r="K57" s="32" t="n">
        <v>205678</v>
      </c>
      <c r="L57" s="31" t="n">
        <v>3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59.3</v>
      </c>
      <c r="P57" s="32" t="n">
        <v>22.41</v>
      </c>
      <c r="Q57" s="32" t="n">
        <v>21.64</v>
      </c>
      <c r="R57" s="31" t="inlineStr">
        <is>
          <t>Near 52W High Breakout</t>
        </is>
      </c>
      <c r="S57" s="31" t="inlineStr">
        <is>
          <t>Nifty 50</t>
        </is>
      </c>
      <c r="T57" s="32" t="n">
        <v>-9.130000000000001</v>
      </c>
      <c r="U57" s="32" t="n">
        <v>-6.23</v>
      </c>
      <c r="V57" s="32" t="n">
        <v>3.19</v>
      </c>
      <c r="W57" s="32" t="n">
        <v>0.77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IF(B58=0,"",RANK(B58,$B$2:$B$249,0))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AZAD</t>
        </is>
      </c>
      <c r="D58" s="31" t="inlineStr">
        <is>
          <t>Azad Engineering Ltd</t>
        </is>
      </c>
      <c r="E58" s="31" t="inlineStr">
        <is>
          <t>aerospace &amp; defence</t>
        </is>
      </c>
      <c r="F58" s="31" t="inlineStr">
        <is>
          <t>engineering</t>
        </is>
      </c>
      <c r="G58" s="31" t="inlineStr">
        <is>
          <t>midcap</t>
        </is>
      </c>
      <c r="H58" s="32" t="n">
        <v>18820.41</v>
      </c>
      <c r="I58" s="32" t="n">
        <v>2963.2</v>
      </c>
      <c r="J58" s="32" t="n">
        <v>1.68</v>
      </c>
      <c r="K58" s="32" t="n">
        <v>5708538</v>
      </c>
      <c r="L58" s="31" t="n">
        <v>61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69.02</v>
      </c>
      <c r="P58" s="32" t="n">
        <v>43</v>
      </c>
      <c r="Q58" s="32" t="n">
        <v>2252.24</v>
      </c>
      <c r="R58" s="31" t="inlineStr">
        <is>
          <t>Volume Spike &amp; Near 52W High Breakout</t>
        </is>
      </c>
      <c r="S58" s="31" t="inlineStr">
        <is>
          <t>Nifty 50</t>
        </is>
      </c>
      <c r="T58" s="32" t="n">
        <v>-9.130000000000001</v>
      </c>
      <c r="U58" s="32" t="n">
        <v>71.44</v>
      </c>
      <c r="V58" s="32" t="n">
        <v>88.68000000000001</v>
      </c>
      <c r="W58" s="32" t="n">
        <v>20.79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IF(B59=0,"",RANK(B59,$B$2:$B$249,0))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FINCABLES</t>
        </is>
      </c>
      <c r="D59" s="31" t="inlineStr">
        <is>
          <t>Finolex Cables Limited</t>
        </is>
      </c>
      <c r="E59" s="31" t="inlineStr">
        <is>
          <t>industrials</t>
        </is>
      </c>
      <c r="F59" s="31" t="inlineStr">
        <is>
          <t>cables - power</t>
        </is>
      </c>
      <c r="G59" s="31" t="inlineStr">
        <is>
          <t>largecap</t>
        </is>
      </c>
      <c r="H59" s="32" t="n">
        <v>21954.44</v>
      </c>
      <c r="I59" s="32" t="n">
        <v>1450.3</v>
      </c>
      <c r="J59" s="32" t="n">
        <v>1.03</v>
      </c>
      <c r="K59" s="32" t="n">
        <v>452990</v>
      </c>
      <c r="L59" s="31" t="inlineStr"/>
      <c r="M59" s="31" t="inlineStr"/>
      <c r="N59" s="32">
        <f>IF(M59="Underperforming",-5,IF(L59&gt;=95,15,IF(L59&gt;=90,10,IF(L59&gt;=80,5,0))))</f>
        <v/>
      </c>
      <c r="O59" s="32" t="n">
        <v>70.28</v>
      </c>
      <c r="P59" s="32" t="n">
        <v>39.08</v>
      </c>
      <c r="Q59" s="32" t="n">
        <v>1118.24</v>
      </c>
      <c r="R59" s="31" t="inlineStr">
        <is>
          <t>Near 52W High Breakout</t>
        </is>
      </c>
      <c r="S59" s="31" t="inlineStr">
        <is>
          <t>Nifty Energy</t>
        </is>
      </c>
      <c r="T59" s="32" t="inlineStr"/>
      <c r="U59" s="32" t="inlineStr"/>
      <c r="V59" s="32" t="inlineStr"/>
      <c r="W59" s="32" t="inlineStr"/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IF(B60=0,"",RANK(B60,$B$2:$B$249,0))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WELSPUNLIV</t>
        </is>
      </c>
      <c r="D60" s="31" t="inlineStr">
        <is>
          <t>Welspun Living Ltd</t>
        </is>
      </c>
      <c r="E60" s="31" t="inlineStr">
        <is>
          <t>textiles</t>
        </is>
      </c>
      <c r="F60" s="31" t="inlineStr">
        <is>
          <t>textiles - products</t>
        </is>
      </c>
      <c r="G60" s="31" t="inlineStr">
        <is>
          <t>largecap</t>
        </is>
      </c>
      <c r="H60" s="32" t="n">
        <v>21276.77</v>
      </c>
      <c r="I60" s="32" t="n">
        <v>227.33</v>
      </c>
      <c r="J60" s="32" t="n">
        <v>0.9399999999999999</v>
      </c>
      <c r="K60" s="32" t="n">
        <v>3089710</v>
      </c>
      <c r="L60" s="31" t="n">
        <v>67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82.48</v>
      </c>
      <c r="P60" s="32" t="n">
        <v>44.94</v>
      </c>
      <c r="Q60" s="32" t="n">
        <v>184.08</v>
      </c>
      <c r="R60" s="31" t="inlineStr">
        <is>
          <t>Near 52W High Breakout</t>
        </is>
      </c>
      <c r="S60" s="31" t="inlineStr">
        <is>
          <t>Nifty 50</t>
        </is>
      </c>
      <c r="T60" s="32" t="n">
        <v>-9.130000000000001</v>
      </c>
      <c r="U60" s="32" t="n">
        <v>94.06999999999999</v>
      </c>
      <c r="V60" s="32" t="n">
        <v>113.58</v>
      </c>
      <c r="W60" s="32" t="n">
        <v>22.82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IF(B61=0,"",RANK(B61,$B$2:$B$249,0))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HITECHCORP</t>
        </is>
      </c>
      <c r="D61" s="31" t="inlineStr">
        <is>
          <t>Hitech Corporation</t>
        </is>
      </c>
      <c r="E61" s="31" t="inlineStr">
        <is>
          <t>industrials</t>
        </is>
      </c>
      <c r="F61" s="31" t="inlineStr">
        <is>
          <t>packaging</t>
        </is>
      </c>
      <c r="G61" s="31" t="inlineStr">
        <is>
          <t>smallcap</t>
        </is>
      </c>
      <c r="H61" s="32" t="n">
        <v>588.1799999999999</v>
      </c>
      <c r="I61" s="32" t="n">
        <v>345.25</v>
      </c>
      <c r="J61" s="32" t="n">
        <v>0.82</v>
      </c>
      <c r="K61" s="32" t="n">
        <v>28964</v>
      </c>
      <c r="L61" s="31" t="n">
        <v>69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79.65000000000001</v>
      </c>
      <c r="P61" s="32" t="n">
        <v>65.62</v>
      </c>
      <c r="Q61" s="32" t="n">
        <v>290.63</v>
      </c>
      <c r="R61" s="31" t="inlineStr">
        <is>
          <t>Near 52W High Breakout</t>
        </is>
      </c>
      <c r="S61" s="31" t="inlineStr">
        <is>
          <t>Nifty 50</t>
        </is>
      </c>
      <c r="T61" s="32" t="n">
        <v>-9.130000000000001</v>
      </c>
      <c r="U61" s="32" t="n">
        <v>72.81</v>
      </c>
      <c r="V61" s="32" t="n">
        <v>90.18000000000001</v>
      </c>
      <c r="W61" s="32" t="n">
        <v>23.93</v>
      </c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IF(B62=0,"",RANK(B62,$B$2:$B$249,0))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CPPLUS</t>
        </is>
      </c>
      <c r="D62" s="31" t="inlineStr">
        <is>
          <t>Aditya Infotech Ltd</t>
        </is>
      </c>
      <c r="E62" s="31" t="inlineStr">
        <is>
          <t>consumer discretionary</t>
        </is>
      </c>
      <c r="F62" s="31" t="inlineStr">
        <is>
          <t>trading</t>
        </is>
      </c>
      <c r="G62" s="31" t="inlineStr">
        <is>
          <t>largecap</t>
        </is>
      </c>
      <c r="H62" s="32" t="n">
        <v>44990.6</v>
      </c>
      <c r="I62" s="32" t="n">
        <v>3846.5</v>
      </c>
      <c r="J62" s="32" t="n">
        <v>0.76</v>
      </c>
      <c r="K62" s="32" t="n">
        <v>237687</v>
      </c>
      <c r="L62" s="31" t="n">
        <v>77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65.44</v>
      </c>
      <c r="P62" s="32" t="n">
        <v>46.8</v>
      </c>
      <c r="Q62" s="32" t="n">
        <v>2825.72</v>
      </c>
      <c r="R62" s="31" t="inlineStr">
        <is>
          <t>Near 52W High Breakout</t>
        </is>
      </c>
      <c r="S62" s="31" t="inlineStr">
        <is>
          <t>Nifty 50</t>
        </is>
      </c>
      <c r="T62" s="32" t="n">
        <v>-9.130000000000001</v>
      </c>
      <c r="U62" s="32" t="n">
        <v>183.52</v>
      </c>
      <c r="V62" s="32" t="n">
        <v>212.02</v>
      </c>
      <c r="W62" s="32" t="n">
        <v>28.87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IF(B63=0,"",RANK(B63,$B$2:$B$249,0))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SHANTIGOLD</t>
        </is>
      </c>
      <c r="D63" s="31" t="inlineStr">
        <is>
          <t>Shanti Gold International Ltd</t>
        </is>
      </c>
      <c r="E63" s="31" t="inlineStr">
        <is>
          <t>consumer discretionary</t>
        </is>
      </c>
      <c r="F63" s="31" t="inlineStr">
        <is>
          <t>diamond cutting / jewellery</t>
        </is>
      </c>
      <c r="G63" s="31" t="inlineStr">
        <is>
          <t>smallcap</t>
        </is>
      </c>
      <c r="H63" s="32" t="n">
        <v>2354.75</v>
      </c>
      <c r="I63" s="32" t="n">
        <v>308.6</v>
      </c>
      <c r="J63" s="32" t="n">
        <v>0.57</v>
      </c>
      <c r="K63" s="32" t="n">
        <v>3315946</v>
      </c>
      <c r="L63" s="31" t="n">
        <v>52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68.17</v>
      </c>
      <c r="P63" s="32" t="n">
        <v>41.32</v>
      </c>
      <c r="Q63" s="32" t="n">
        <v>241.14</v>
      </c>
      <c r="R63" s="31" t="inlineStr">
        <is>
          <t>Earnings / Momentum Support</t>
        </is>
      </c>
      <c r="S63" s="31" t="inlineStr">
        <is>
          <t>Nifty 50</t>
        </is>
      </c>
      <c r="T63" s="32" t="n">
        <v>-9.130000000000001</v>
      </c>
      <c r="U63" s="32" t="n">
        <v>44.54</v>
      </c>
      <c r="V63" s="32" t="n">
        <v>59.07</v>
      </c>
      <c r="W63" s="32" t="n">
        <v>17.47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IF(B64=0,"",RANK(B64,$B$2:$B$249,0))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VIDHIING</t>
        </is>
      </c>
      <c r="D64" s="31" t="inlineStr">
        <is>
          <t>Vidhi Specialty Food Ingredients</t>
        </is>
      </c>
      <c r="E64" s="31" t="inlineStr">
        <is>
          <t>chemicals</t>
        </is>
      </c>
      <c r="F64" s="31" t="inlineStr">
        <is>
          <t>dyes and pigments</t>
        </is>
      </c>
      <c r="G64" s="31" t="inlineStr">
        <is>
          <t>smallcap</t>
        </is>
      </c>
      <c r="H64" s="32" t="n">
        <v>1795.02</v>
      </c>
      <c r="I64" s="32" t="n">
        <v>357.6</v>
      </c>
      <c r="J64" s="32" t="n">
        <v>-0.5</v>
      </c>
      <c r="K64" s="32" t="n">
        <v>22528</v>
      </c>
      <c r="L64" s="31" t="n">
        <v>15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62.21</v>
      </c>
      <c r="P64" s="32" t="n">
        <v>24.24</v>
      </c>
      <c r="Q64" s="32" t="n">
        <v>276.37</v>
      </c>
      <c r="R64" s="31" t="inlineStr">
        <is>
          <t>Near 52W High Breakout</t>
        </is>
      </c>
      <c r="S64" s="31" t="inlineStr">
        <is>
          <t>Nifty 50</t>
        </is>
      </c>
      <c r="T64" s="32" t="n">
        <v>-9.130000000000001</v>
      </c>
      <c r="U64" s="32" t="n">
        <v>-0.19</v>
      </c>
      <c r="V64" s="32" t="n">
        <v>9.84</v>
      </c>
      <c r="W64" s="32" t="n">
        <v>5.73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IF(B65=0,"",RANK(B65,$B$2:$B$249,0))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KANORICHEM</t>
        </is>
      </c>
      <c r="D65" s="31" t="inlineStr">
        <is>
          <t>Kanoria Chemicals &amp; Industries Limited</t>
        </is>
      </c>
      <c r="E65" s="31" t="inlineStr">
        <is>
          <t>chemicals</t>
        </is>
      </c>
      <c r="F65" s="31" t="inlineStr">
        <is>
          <t>chemicals</t>
        </is>
      </c>
      <c r="G65" s="31" t="inlineStr">
        <is>
          <t>smallcap</t>
        </is>
      </c>
      <c r="H65" s="32" t="n">
        <v>873.6</v>
      </c>
      <c r="I65" s="32" t="n">
        <v>198.77</v>
      </c>
      <c r="J65" s="32" t="n">
        <v>-0.59</v>
      </c>
      <c r="K65" s="32" t="n">
        <v>40917</v>
      </c>
      <c r="L65" s="31" t="n">
        <v>87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80.54000000000001</v>
      </c>
      <c r="P65" s="32" t="n">
        <v>72.3</v>
      </c>
      <c r="Q65" s="32" t="n">
        <v>149.19</v>
      </c>
      <c r="R65" s="31" t="inlineStr">
        <is>
          <t>Near 52W High Breakout</t>
        </is>
      </c>
      <c r="S65" s="31" t="inlineStr">
        <is>
          <t>Nifty 50</t>
        </is>
      </c>
      <c r="T65" s="32" t="n">
        <v>-9.130000000000001</v>
      </c>
      <c r="U65" s="32" t="n">
        <v>148.52</v>
      </c>
      <c r="V65" s="32" t="n">
        <v>173.51</v>
      </c>
      <c r="W65" s="32" t="n">
        <v>36.74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IF(B66=0,"",RANK(B66,$B$2:$B$249,0))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CYIENTDLM</t>
        </is>
      </c>
      <c r="D66" s="31" t="inlineStr">
        <is>
          <t>Cyient DLM Ltd</t>
        </is>
      </c>
      <c r="E66" s="31" t="inlineStr">
        <is>
          <t>aerospace &amp; defence</t>
        </is>
      </c>
      <c r="F66" s="31" t="inlineStr">
        <is>
          <t>electronics - components</t>
        </is>
      </c>
      <c r="G66" s="31" t="inlineStr">
        <is>
          <t>midcap</t>
        </is>
      </c>
      <c r="H66" s="32" t="n">
        <v>7312.4</v>
      </c>
      <c r="I66" s="32" t="n">
        <v>914.1</v>
      </c>
      <c r="J66" s="32" t="n">
        <v>-0.77</v>
      </c>
      <c r="K66" s="32" t="n">
        <v>203064</v>
      </c>
      <c r="L66" s="31" t="n">
        <v>91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85.94</v>
      </c>
      <c r="P66" s="32" t="n">
        <v>78.25</v>
      </c>
      <c r="Q66" s="32" t="n">
        <v>726.25</v>
      </c>
      <c r="R66" s="31" t="inlineStr">
        <is>
          <t>Near 52W High Breakout</t>
        </is>
      </c>
      <c r="S66" s="31" t="inlineStr">
        <is>
          <t>Nifty 50</t>
        </is>
      </c>
      <c r="T66" s="32" t="n">
        <v>-9.130000000000001</v>
      </c>
      <c r="U66" s="32" t="n">
        <v>109.34</v>
      </c>
      <c r="V66" s="32" t="n">
        <v>130.39</v>
      </c>
      <c r="W66" s="32" t="n">
        <v>40.67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IF(B67=0,"",RANK(B67,$B$2:$B$249,0))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SKYGOLD</t>
        </is>
      </c>
      <c r="D67" s="31" t="inlineStr">
        <is>
          <t>Sky Gold Ltd</t>
        </is>
      </c>
      <c r="E67" s="31" t="inlineStr">
        <is>
          <t>consumer discretionary</t>
        </is>
      </c>
      <c r="F67" s="31" t="inlineStr">
        <is>
          <t>diamond cutting / jewellery</t>
        </is>
      </c>
      <c r="G67" s="31" t="inlineStr">
        <is>
          <t>midcap</t>
        </is>
      </c>
      <c r="H67" s="32" t="n">
        <v>12712.82</v>
      </c>
      <c r="I67" s="32" t="n">
        <v>810.7</v>
      </c>
      <c r="J67" s="32" t="n">
        <v>-1.24</v>
      </c>
      <c r="K67" s="32" t="n">
        <v>695736</v>
      </c>
      <c r="L67" s="31" t="n">
        <v>84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72.81</v>
      </c>
      <c r="P67" s="32" t="n">
        <v>67.92</v>
      </c>
      <c r="Q67" s="32" t="n">
        <v>629.28</v>
      </c>
      <c r="R67" s="31" t="inlineStr">
        <is>
          <t>Near 52W High Breakout</t>
        </is>
      </c>
      <c r="S67" s="31" t="inlineStr">
        <is>
          <t>Nifty 50</t>
        </is>
      </c>
      <c r="T67" s="32" t="n">
        <v>-9.130000000000001</v>
      </c>
      <c r="U67" s="32" t="n">
        <v>185.01</v>
      </c>
      <c r="V67" s="32" t="n">
        <v>213.65</v>
      </c>
      <c r="W67" s="32" t="n">
        <v>34.68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Between 0.7 to 1.2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IF(B68=0,"",RANK(B68,$B$2:$B$249,0))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MACPOWER</t>
        </is>
      </c>
      <c r="D68" s="31" t="inlineStr">
        <is>
          <t>Macpower CNC Machines Ltd</t>
        </is>
      </c>
      <c r="E68" s="31" t="inlineStr">
        <is>
          <t>industrials</t>
        </is>
      </c>
      <c r="F68" s="31" t="inlineStr">
        <is>
          <t>engineering</t>
        </is>
      </c>
      <c r="G68" s="31" t="inlineStr">
        <is>
          <t>smallcap</t>
        </is>
      </c>
      <c r="H68" s="32" t="n">
        <v>2128.99</v>
      </c>
      <c r="I68" s="32" t="n">
        <v>2096</v>
      </c>
      <c r="J68" s="32" t="n">
        <v>-1.51</v>
      </c>
      <c r="K68" s="32" t="n">
        <v>40395</v>
      </c>
      <c r="L68" s="31" t="n">
        <v>84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73.84999999999999</v>
      </c>
      <c r="P68" s="32" t="n">
        <v>55.08</v>
      </c>
      <c r="Q68" s="32" t="n">
        <v>1494.69</v>
      </c>
      <c r="R68" s="31" t="inlineStr">
        <is>
          <t>Near 52W High Breakout</t>
        </is>
      </c>
      <c r="S68" s="31" t="inlineStr">
        <is>
          <t>Nifty 50</t>
        </is>
      </c>
      <c r="T68" s="32" t="n">
        <v>-9.130000000000001</v>
      </c>
      <c r="U68" s="32" t="n">
        <v>156.03</v>
      </c>
      <c r="V68" s="32" t="n">
        <v>181.77</v>
      </c>
      <c r="W68" s="32" t="n">
        <v>33.83</v>
      </c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IF(B69=0,"",RANK(B69,$B$2:$B$249,0))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PLASTIBLEN</t>
        </is>
      </c>
      <c r="D69" s="31" t="inlineStr">
        <is>
          <t>Plastiblends India Limited</t>
        </is>
      </c>
      <c r="E69" s="31" t="inlineStr">
        <is>
          <t>chemicals</t>
        </is>
      </c>
      <c r="F69" s="31" t="inlineStr">
        <is>
          <t>chemicals</t>
        </is>
      </c>
      <c r="G69" s="31" t="inlineStr">
        <is>
          <t>smallcap</t>
        </is>
      </c>
      <c r="H69" s="32" t="n">
        <v>531.48</v>
      </c>
      <c r="I69" s="32" t="n">
        <v>200.29</v>
      </c>
      <c r="J69" s="32" t="n">
        <v>-2.06</v>
      </c>
      <c r="K69" s="32" t="n">
        <v>39036</v>
      </c>
      <c r="L69" s="31" t="n">
        <v>18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63.13</v>
      </c>
      <c r="P69" s="32" t="n">
        <v>34.77</v>
      </c>
      <c r="Q69" s="32" t="n">
        <v>158.36</v>
      </c>
      <c r="R69" s="31" t="inlineStr">
        <is>
          <t>Near 52W High Breakout</t>
        </is>
      </c>
      <c r="S69" s="31" t="inlineStr">
        <is>
          <t>Nifty 50</t>
        </is>
      </c>
      <c r="T69" s="32" t="n">
        <v>-9.130000000000001</v>
      </c>
      <c r="U69" s="32" t="n">
        <v>7.93</v>
      </c>
      <c r="V69" s="32" t="n">
        <v>18.78</v>
      </c>
      <c r="W69" s="32" t="n">
        <v>6.62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IF(B70=0,"",RANK(B70,$B$2:$B$249,0))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AETHER</t>
        </is>
      </c>
      <c r="D70" s="31" t="inlineStr">
        <is>
          <t>Aether Industries Ltd</t>
        </is>
      </c>
      <c r="E70" s="31" t="inlineStr">
        <is>
          <t>chemicals</t>
        </is>
      </c>
      <c r="F70" s="31" t="inlineStr">
        <is>
          <t>chemicals</t>
        </is>
      </c>
      <c r="G70" s="31" t="inlineStr">
        <is>
          <t>largecap</t>
        </is>
      </c>
      <c r="H70" s="32" t="n">
        <v>23223.37</v>
      </c>
      <c r="I70" s="32" t="n">
        <v>1699.3</v>
      </c>
      <c r="J70" s="32" t="n">
        <v>-2.89</v>
      </c>
      <c r="K70" s="32" t="n">
        <v>292457</v>
      </c>
      <c r="L70" s="31" t="n">
        <v>68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67.68000000000001</v>
      </c>
      <c r="P70" s="32" t="n">
        <v>60.75</v>
      </c>
      <c r="Q70" s="32" t="n">
        <v>1426.61</v>
      </c>
      <c r="R70" s="31" t="inlineStr">
        <is>
          <t>Near 52W High Breakout</t>
        </is>
      </c>
      <c r="S70" s="31" t="inlineStr">
        <is>
          <t>Nifty 50</t>
        </is>
      </c>
      <c r="T70" s="32" t="n">
        <v>-9.130000000000001</v>
      </c>
      <c r="U70" s="32" t="n">
        <v>124.57</v>
      </c>
      <c r="V70" s="32" t="n">
        <v>147.14</v>
      </c>
      <c r="W70" s="32" t="n">
        <v>22.97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IF(B71=0,"",RANK(B71,$B$2:$B$249,0))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KABRAEXTRU</t>
        </is>
      </c>
      <c r="D71" s="31" t="inlineStr">
        <is>
          <t>Kabra Extrusion Technik Limited</t>
        </is>
      </c>
      <c r="E71" s="31" t="inlineStr">
        <is>
          <t>industrials</t>
        </is>
      </c>
      <c r="F71" s="31" t="inlineStr">
        <is>
          <t>engineering</t>
        </is>
      </c>
      <c r="G71" s="31" t="inlineStr">
        <is>
          <t>smallcap</t>
        </is>
      </c>
      <c r="H71" s="32" t="n">
        <v>2902.05</v>
      </c>
      <c r="I71" s="32" t="n">
        <v>805.55</v>
      </c>
      <c r="J71" s="32" t="n">
        <v>-2.92</v>
      </c>
      <c r="K71" s="32" t="n">
        <v>221415</v>
      </c>
      <c r="L71" s="31" t="n">
        <v>98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80.38</v>
      </c>
      <c r="P71" s="32" t="n">
        <v>71.33</v>
      </c>
      <c r="Q71" s="32" t="n">
        <v>630.55</v>
      </c>
      <c r="R71" s="31" t="inlineStr">
        <is>
          <t>Near 52W High Breakout</t>
        </is>
      </c>
      <c r="S71" s="31" t="inlineStr">
        <is>
          <t>Nifty 50</t>
        </is>
      </c>
      <c r="T71" s="32" t="n">
        <v>-9.130000000000001</v>
      </c>
      <c r="U71" s="32" t="n">
        <v>216.09</v>
      </c>
      <c r="V71" s="32" t="n">
        <v>247.86</v>
      </c>
      <c r="W71" s="32" t="n">
        <v>80.47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IF(B72=0,"",RANK(B72,$B$2:$B$249,0))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CUPID</t>
        </is>
      </c>
      <c r="D72" s="31" t="inlineStr">
        <is>
          <t>Cupid Limited</t>
        </is>
      </c>
      <c r="E72" s="31" t="inlineStr">
        <is>
          <t>fmcg</t>
        </is>
      </c>
      <c r="F72" s="31" t="inlineStr">
        <is>
          <t>personal care - indian</t>
        </is>
      </c>
      <c r="G72" s="31" t="inlineStr">
        <is>
          <t>largecap</t>
        </is>
      </c>
      <c r="H72" s="32" t="n">
        <v>38726.23</v>
      </c>
      <c r="I72" s="32" t="n">
        <v>311.65</v>
      </c>
      <c r="J72" s="32" t="n">
        <v>8.210000000000001</v>
      </c>
      <c r="K72" s="32" t="n">
        <v>66496228</v>
      </c>
      <c r="L72" s="31" t="inlineStr"/>
      <c r="M72" s="31" t="inlineStr"/>
      <c r="N72" s="32">
        <f>IF(M72="Underperforming",-5,IF(L72&gt;=95,15,IF(L72&gt;=90,10,IF(L72&gt;=80,5,0))))</f>
        <v/>
      </c>
      <c r="O72" s="32" t="n">
        <v>82.45</v>
      </c>
      <c r="P72" s="32" t="n">
        <v>67.40000000000001</v>
      </c>
      <c r="Q72" s="32" t="n">
        <v>235.33</v>
      </c>
      <c r="R72" s="31" t="inlineStr">
        <is>
          <t>Near 52W High Breakout</t>
        </is>
      </c>
      <c r="S72" s="31" t="inlineStr">
        <is>
          <t>Nifty FMCG</t>
        </is>
      </c>
      <c r="T72" s="32" t="inlineStr"/>
      <c r="U72" s="32" t="inlineStr"/>
      <c r="V72" s="32" t="inlineStr"/>
      <c r="W72" s="32" t="inlineStr"/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B2C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Annuity, Lower One Time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IF(B73=0,"",RANK(B73,$B$2:$B$249,0))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ZIMLAB</t>
        </is>
      </c>
      <c r="D73" s="31" t="inlineStr">
        <is>
          <t>Zim Laboratories Ltd</t>
        </is>
      </c>
      <c r="E73" s="31" t="inlineStr">
        <is>
          <t>healthcare</t>
        </is>
      </c>
      <c r="F73" s="31" t="inlineStr">
        <is>
          <t>pharmaceuticals - indian - bulk drugs &amp; formln</t>
        </is>
      </c>
      <c r="G73" s="31" t="inlineStr">
        <is>
          <t>smallcap</t>
        </is>
      </c>
      <c r="H73" s="32" t="n">
        <v>722.3200000000001</v>
      </c>
      <c r="I73" s="32" t="n">
        <v>137.97</v>
      </c>
      <c r="J73" s="32" t="n">
        <v>2.28</v>
      </c>
      <c r="K73" s="32" t="n">
        <v>87891</v>
      </c>
      <c r="L73" s="31" t="n">
        <v>58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69.84</v>
      </c>
      <c r="P73" s="32" t="n">
        <v>58.33</v>
      </c>
      <c r="Q73" s="32" t="n">
        <v>101.58</v>
      </c>
      <c r="R73" s="31" t="inlineStr">
        <is>
          <t>Near 52W High Breakout</t>
        </is>
      </c>
      <c r="S73" s="31" t="inlineStr">
        <is>
          <t>Nifty Pharma</t>
        </is>
      </c>
      <c r="T73" s="32" t="n">
        <v>21.52</v>
      </c>
      <c r="U73" s="32" t="n">
        <v>92.88</v>
      </c>
      <c r="V73" s="32" t="n">
        <v>58.73</v>
      </c>
      <c r="W73" s="32" t="n">
        <v>20.25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Annuity, Lower One Time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IF(B74=0,"",RANK(B74,$B$2:$B$249,0))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LALPATHLAB</t>
        </is>
      </c>
      <c r="D74" s="31" t="inlineStr">
        <is>
          <t>Dr. Lal Path Labs Ltd.</t>
        </is>
      </c>
      <c r="E74" s="31" t="inlineStr">
        <is>
          <t>healthcare</t>
        </is>
      </c>
      <c r="F74" s="31" t="inlineStr">
        <is>
          <t>healthcare</t>
        </is>
      </c>
      <c r="G74" s="31" t="inlineStr">
        <is>
          <t>largecap</t>
        </is>
      </c>
      <c r="H74" s="32" t="n">
        <v>32696.07</v>
      </c>
      <c r="I74" s="32" t="n">
        <v>1987</v>
      </c>
      <c r="J74" s="32" t="n">
        <v>1.88</v>
      </c>
      <c r="K74" s="32" t="n">
        <v>525994</v>
      </c>
      <c r="L74" s="31" t="n">
        <v>33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71.36</v>
      </c>
      <c r="P74" s="32" t="n">
        <v>46.7</v>
      </c>
      <c r="Q74" s="32" t="n">
        <v>1662.71</v>
      </c>
      <c r="R74" s="31" t="inlineStr">
        <is>
          <t>Near 52W High Breakout</t>
        </is>
      </c>
      <c r="S74" s="31" t="inlineStr">
        <is>
          <t>Nifty Pharma</t>
        </is>
      </c>
      <c r="T74" s="32" t="n">
        <v>21.52</v>
      </c>
      <c r="U74" s="32" t="n">
        <v>28.31</v>
      </c>
      <c r="V74" s="32" t="n">
        <v>5.59</v>
      </c>
      <c r="W74" s="32" t="n">
        <v>10.22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Yes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IF(B75=0,"",RANK(B75,$B$2:$B$249,0))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LAURUSLABS</t>
        </is>
      </c>
      <c r="D75" s="31" t="inlineStr">
        <is>
          <t>Laurus Labs Limited</t>
        </is>
      </c>
      <c r="E75" s="31" t="inlineStr">
        <is>
          <t>healthcare</t>
        </is>
      </c>
      <c r="F75" s="31" t="inlineStr">
        <is>
          <t>pharmaceuticals - indian - bulk drugs &amp; formln</t>
        </is>
      </c>
      <c r="G75" s="31" t="inlineStr">
        <is>
          <t>largecap</t>
        </is>
      </c>
      <c r="H75" s="32" t="n">
        <v>106915.39</v>
      </c>
      <c r="I75" s="32" t="n">
        <v>1980</v>
      </c>
      <c r="J75" s="32" t="n">
        <v>0.05</v>
      </c>
      <c r="K75" s="32" t="n">
        <v>1397926</v>
      </c>
      <c r="L75" s="31" t="n">
        <v>72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74.95</v>
      </c>
      <c r="P75" s="32" t="n">
        <v>76.31</v>
      </c>
      <c r="Q75" s="32" t="n">
        <v>1714.49</v>
      </c>
      <c r="R75" s="31" t="inlineStr">
        <is>
          <t>Near 52W High Breakout</t>
        </is>
      </c>
      <c r="S75" s="31" t="inlineStr">
        <is>
          <t>Nifty Pharma</t>
        </is>
      </c>
      <c r="T75" s="32" t="n">
        <v>21.52</v>
      </c>
      <c r="U75" s="32" t="n">
        <v>129.48</v>
      </c>
      <c r="V75" s="32" t="n">
        <v>88.84</v>
      </c>
      <c r="W75" s="32" t="n">
        <v>25.43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Yes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Annuity, Lower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IF(B76=0,"",RANK(B76,$B$2:$B$249,0))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SHILPAMED</t>
        </is>
      </c>
      <c r="D76" s="31" t="inlineStr">
        <is>
          <t>Shilpa Medicare Limited</t>
        </is>
      </c>
      <c r="E76" s="31" t="inlineStr">
        <is>
          <t>healthcare</t>
        </is>
      </c>
      <c r="F76" s="31" t="inlineStr">
        <is>
          <t>pharmaceuticals - indian - formulations</t>
        </is>
      </c>
      <c r="G76" s="31" t="inlineStr">
        <is>
          <t>largecap</t>
        </is>
      </c>
      <c r="H76" s="32" t="n">
        <v>20648.55</v>
      </c>
      <c r="I76" s="32" t="n">
        <v>1047.2</v>
      </c>
      <c r="J76" s="32" t="n">
        <v>-0.8100000000000001</v>
      </c>
      <c r="K76" s="32" t="n">
        <v>492219</v>
      </c>
      <c r="L76" s="31" t="n">
        <v>91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91.17</v>
      </c>
      <c r="P76" s="32" t="n">
        <v>82.64</v>
      </c>
      <c r="Q76" s="32" t="n">
        <v>841.85</v>
      </c>
      <c r="R76" s="31" t="inlineStr">
        <is>
          <t>Near 52W High Breakout</t>
        </is>
      </c>
      <c r="S76" s="31" t="inlineStr">
        <is>
          <t>Nifty Pharma</t>
        </is>
      </c>
      <c r="T76" s="32" t="n">
        <v>21.52</v>
      </c>
      <c r="U76" s="32" t="n">
        <v>172.21</v>
      </c>
      <c r="V76" s="32" t="n">
        <v>124</v>
      </c>
      <c r="W76" s="32" t="n">
        <v>41.08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Annuity, Lower One Time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IF(B77=0,"",RANK(B77,$B$2:$B$249,0))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BLISSGVS</t>
        </is>
      </c>
      <c r="D77" s="31" t="inlineStr">
        <is>
          <t>Bliss Gvs Pharma Limited</t>
        </is>
      </c>
      <c r="E77" s="31" t="inlineStr">
        <is>
          <t>healthcare</t>
        </is>
      </c>
      <c r="F77" s="31" t="inlineStr">
        <is>
          <t>pharmaceuticals - indian - formulations</t>
        </is>
      </c>
      <c r="G77" s="31" t="inlineStr">
        <is>
          <t>midcap</t>
        </is>
      </c>
      <c r="H77" s="32" t="n">
        <v>7539.54</v>
      </c>
      <c r="I77" s="32" t="n">
        <v>694.45</v>
      </c>
      <c r="J77" s="32" t="n">
        <v>-2.31</v>
      </c>
      <c r="K77" s="32" t="n">
        <v>209856</v>
      </c>
      <c r="L77" s="31" t="n">
        <v>95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78.78</v>
      </c>
      <c r="P77" s="32" t="n">
        <v>72.03</v>
      </c>
      <c r="Q77" s="32" t="n">
        <v>558.25</v>
      </c>
      <c r="R77" s="31" t="inlineStr">
        <is>
          <t>Volume Spike &amp; Near 52W High Breakout</t>
        </is>
      </c>
      <c r="S77" s="31" t="inlineStr">
        <is>
          <t>Nifty Pharma</t>
        </is>
      </c>
      <c r="T77" s="32" t="n">
        <v>21.52</v>
      </c>
      <c r="U77" s="32" t="n">
        <v>360.64</v>
      </c>
      <c r="V77" s="32" t="n">
        <v>279.07</v>
      </c>
      <c r="W77" s="32" t="n">
        <v>48.56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Yes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Annuity, Lower One Time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Between 12 to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IF(B78=0,"",RANK(B78,$B$2:$B$249,0))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MAZDA</t>
        </is>
      </c>
      <c r="D78" s="31" t="inlineStr">
        <is>
          <t>Mazda Limited</t>
        </is>
      </c>
      <c r="E78" s="31" t="inlineStr">
        <is>
          <t>industrials</t>
        </is>
      </c>
      <c r="F78" s="31" t="inlineStr">
        <is>
          <t>engineering</t>
        </is>
      </c>
      <c r="G78" s="31" t="inlineStr">
        <is>
          <t>smallcap</t>
        </is>
      </c>
      <c r="H78" s="32" t="n">
        <v>578.52</v>
      </c>
      <c r="I78" s="32" t="n">
        <v>303.3</v>
      </c>
      <c r="J78" s="32" t="n">
        <v>4.98</v>
      </c>
      <c r="K78" s="32" t="n">
        <v>42578</v>
      </c>
      <c r="L78" s="31" t="n">
        <v>35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72.65000000000001</v>
      </c>
      <c r="P78" s="32" t="n">
        <v>34.32</v>
      </c>
      <c r="Q78" s="32" t="n">
        <v>235.28</v>
      </c>
      <c r="R78" s="31" t="inlineStr">
        <is>
          <t>Near 52W High Breakout</t>
        </is>
      </c>
      <c r="S78" s="31" t="inlineStr">
        <is>
          <t>Nifty 50</t>
        </is>
      </c>
      <c r="T78" s="32" t="n">
        <v>-9.130000000000001</v>
      </c>
      <c r="U78" s="32" t="n">
        <v>8.140000000000001</v>
      </c>
      <c r="V78" s="32" t="n">
        <v>19.01</v>
      </c>
      <c r="W78" s="32" t="n">
        <v>11.05</v>
      </c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IF(B79=0,"",RANK(B79,$B$2:$B$249,0))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BIRLACABLE</t>
        </is>
      </c>
      <c r="D79" s="31" t="inlineStr">
        <is>
          <t>Birla Cable Limited</t>
        </is>
      </c>
      <c r="E79" s="31" t="inlineStr">
        <is>
          <t>industrials</t>
        </is>
      </c>
      <c r="F79" s="31" t="inlineStr">
        <is>
          <t>cables - telephone</t>
        </is>
      </c>
      <c r="G79" s="31" t="inlineStr">
        <is>
          <t>smallcap</t>
        </is>
      </c>
      <c r="H79" s="32" t="n">
        <v>1106.85</v>
      </c>
      <c r="I79" s="32" t="n">
        <v>381.15</v>
      </c>
      <c r="J79" s="32" t="n">
        <v>3.31</v>
      </c>
      <c r="K79" s="32" t="n">
        <v>654414</v>
      </c>
      <c r="L79" s="31" t="inlineStr"/>
      <c r="M79" s="31" t="inlineStr"/>
      <c r="N79" s="32">
        <f>IF(M79="Underperforming",-5,IF(L79&gt;=95,15,IF(L79&gt;=90,10,IF(L79&gt;=80,5,0))))</f>
        <v/>
      </c>
      <c r="O79" s="32" t="n">
        <v>71.41</v>
      </c>
      <c r="P79" s="32" t="n">
        <v>53.26</v>
      </c>
      <c r="Q79" s="32" t="n">
        <v>290.24</v>
      </c>
      <c r="R79" s="31" t="inlineStr">
        <is>
          <t>Earnings / Momentum Support</t>
        </is>
      </c>
      <c r="S79" s="31" t="inlineStr">
        <is>
          <t>Nifty Infra</t>
        </is>
      </c>
      <c r="T79" s="32" t="inlineStr"/>
      <c r="U79" s="32" t="inlineStr"/>
      <c r="V79" s="32" t="inlineStr"/>
      <c r="W79" s="32" t="inlineStr"/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IF(B80=0,"",RANK(B80,$B$2:$B$249,0))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SHREEPUSHK</t>
        </is>
      </c>
      <c r="D80" s="31" t="inlineStr">
        <is>
          <t>Shree Pushkar Chemicals &amp; Fertilisers Limited</t>
        </is>
      </c>
      <c r="E80" s="31" t="inlineStr">
        <is>
          <t>chemicals</t>
        </is>
      </c>
      <c r="F80" s="31" t="inlineStr">
        <is>
          <t>dyes and pigments</t>
        </is>
      </c>
      <c r="G80" s="31" t="inlineStr">
        <is>
          <t>smallcap</t>
        </is>
      </c>
      <c r="H80" s="32" t="n">
        <v>1558.35</v>
      </c>
      <c r="I80" s="32" t="n">
        <v>492.75</v>
      </c>
      <c r="J80" s="32" t="n">
        <v>2.25</v>
      </c>
      <c r="K80" s="32" t="n">
        <v>70018</v>
      </c>
      <c r="L80" s="31" t="n">
        <v>28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65.83</v>
      </c>
      <c r="P80" s="32" t="n">
        <v>43.81</v>
      </c>
      <c r="Q80" s="32" t="n">
        <v>382.87</v>
      </c>
      <c r="R80" s="31" t="inlineStr">
        <is>
          <t>Near 52W High Breakout</t>
        </is>
      </c>
      <c r="S80" s="31" t="inlineStr">
        <is>
          <t>Nifty 50</t>
        </is>
      </c>
      <c r="T80" s="32" t="n">
        <v>-9.130000000000001</v>
      </c>
      <c r="U80" s="32" t="n">
        <v>13.1</v>
      </c>
      <c r="V80" s="32" t="n">
        <v>24.47</v>
      </c>
      <c r="W80" s="32" t="n">
        <v>8.69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Less than 12%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IF(B81=0,"",RANK(B81,$B$2:$B$249,0))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FOSECOIND</t>
        </is>
      </c>
      <c r="D81" s="31" t="inlineStr">
        <is>
          <t>Foseco India Limited</t>
        </is>
      </c>
      <c r="E81" s="31" t="inlineStr">
        <is>
          <t>chemicals</t>
        </is>
      </c>
      <c r="F81" s="31" t="inlineStr">
        <is>
          <t>chemicals</t>
        </is>
      </c>
      <c r="G81" s="31" t="inlineStr">
        <is>
          <t>smallcap</t>
        </is>
      </c>
      <c r="H81" s="32" t="n">
        <v>4774.85</v>
      </c>
      <c r="I81" s="32" t="n">
        <v>6462.5</v>
      </c>
      <c r="J81" s="32" t="n">
        <v>2.01</v>
      </c>
      <c r="K81" s="32" t="n">
        <v>22698</v>
      </c>
      <c r="L81" s="31" t="n">
        <v>27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66.56999999999999</v>
      </c>
      <c r="P81" s="32" t="n">
        <v>36.11</v>
      </c>
      <c r="Q81" s="32" t="n">
        <v>5183.75</v>
      </c>
      <c r="R81" s="31" t="inlineStr">
        <is>
          <t>Near 52W High Breakout</t>
        </is>
      </c>
      <c r="S81" s="31" t="inlineStr">
        <is>
          <t>Nifty 50</t>
        </is>
      </c>
      <c r="T81" s="32" t="n">
        <v>-9.130000000000001</v>
      </c>
      <c r="U81" s="32" t="n">
        <v>16.04</v>
      </c>
      <c r="V81" s="32" t="n">
        <v>27.71</v>
      </c>
      <c r="W81" s="32" t="n">
        <v>8.640000000000001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Between 1.5 to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IF(B82=0,"",RANK(B82,$B$2:$B$249,0))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STEELCAS</t>
        </is>
      </c>
      <c r="D82" s="31" t="inlineStr">
        <is>
          <t>Steelcast Ltd</t>
        </is>
      </c>
      <c r="E82" s="31" t="inlineStr">
        <is>
          <t>castings, forgings &amp; fasteners</t>
        </is>
      </c>
      <c r="F82" s="31" t="inlineStr">
        <is>
          <t>castings &amp; forgings</t>
        </is>
      </c>
      <c r="G82" s="31" t="inlineStr">
        <is>
          <t>smallcap</t>
        </is>
      </c>
      <c r="H82" s="32" t="n">
        <v>3762.62</v>
      </c>
      <c r="I82" s="32" t="n">
        <v>377.2</v>
      </c>
      <c r="J82" s="32" t="n">
        <v>1.45</v>
      </c>
      <c r="K82" s="32" t="n">
        <v>169841</v>
      </c>
      <c r="L82" s="31" t="n">
        <v>49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73.11</v>
      </c>
      <c r="P82" s="32" t="n">
        <v>42.51</v>
      </c>
      <c r="Q82" s="32" t="n">
        <v>284.06</v>
      </c>
      <c r="R82" s="31" t="inlineStr">
        <is>
          <t>Near 52W High Breakout</t>
        </is>
      </c>
      <c r="S82" s="31" t="inlineStr">
        <is>
          <t>Nifty 50</t>
        </is>
      </c>
      <c r="T82" s="32" t="n">
        <v>-9.130000000000001</v>
      </c>
      <c r="U82" s="32" t="n">
        <v>70.33</v>
      </c>
      <c r="V82" s="32" t="n">
        <v>87.45</v>
      </c>
      <c r="W82" s="32" t="n">
        <v>16.48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Between 12 to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IF(B83=0,"",RANK(B83,$B$2:$B$249,0))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NRAIL</t>
        </is>
      </c>
      <c r="D83" s="31" t="inlineStr">
        <is>
          <t>N R Agarwal Industries Ltd</t>
        </is>
      </c>
      <c r="E83" s="31" t="inlineStr">
        <is>
          <t>building materials</t>
        </is>
      </c>
      <c r="F83" s="31" t="inlineStr">
        <is>
          <t>paper</t>
        </is>
      </c>
      <c r="G83" s="31" t="inlineStr">
        <is>
          <t>smallcap</t>
        </is>
      </c>
      <c r="H83" s="32" t="n">
        <v>1124.11</v>
      </c>
      <c r="I83" s="32" t="n">
        <v>669.45</v>
      </c>
      <c r="J83" s="32" t="n">
        <v>1.36</v>
      </c>
      <c r="K83" s="32" t="n">
        <v>9700</v>
      </c>
      <c r="L83" s="31" t="inlineStr"/>
      <c r="M83" s="31" t="inlineStr"/>
      <c r="N83" s="32">
        <f>IF(M83="Underperforming",-5,IF(L83&gt;=95,15,IF(L83&gt;=90,10,IF(L83&gt;=80,5,0))))</f>
        <v/>
      </c>
      <c r="O83" s="32" t="n">
        <v>71.28</v>
      </c>
      <c r="P83" s="32" t="n">
        <v>41.8</v>
      </c>
      <c r="Q83" s="32" t="n">
        <v>496.97</v>
      </c>
      <c r="R83" s="31" t="inlineStr">
        <is>
          <t>Near 52W High Breakout</t>
        </is>
      </c>
      <c r="S83" s="31" t="inlineStr">
        <is>
          <t>Nifty Infra</t>
        </is>
      </c>
      <c r="T83" s="32" t="inlineStr"/>
      <c r="U83" s="32" t="inlineStr"/>
      <c r="V83" s="32" t="inlineStr"/>
      <c r="W83" s="32" t="inlineStr"/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Between 0.7 to 1.2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IF(B84=0,"",RANK(B84,$B$2:$B$249,0))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ENGINERSIN</t>
        </is>
      </c>
      <c r="D84" s="31" t="inlineStr">
        <is>
          <t>Engineers India Limited</t>
        </is>
      </c>
      <c r="E84" s="31" t="inlineStr">
        <is>
          <t>realty</t>
        </is>
      </c>
      <c r="F84" s="31" t="inlineStr">
        <is>
          <t>engineering - turnkey services</t>
        </is>
      </c>
      <c r="G84" s="31" t="inlineStr">
        <is>
          <t>midcap</t>
        </is>
      </c>
      <c r="H84" s="32" t="n">
        <v>17434.55</v>
      </c>
      <c r="I84" s="32" t="n">
        <v>309.6</v>
      </c>
      <c r="J84" s="32" t="n">
        <v>-0.19</v>
      </c>
      <c r="K84" s="32" t="n">
        <v>3125317</v>
      </c>
      <c r="L84" s="31" t="inlineStr"/>
      <c r="M84" s="31" t="inlineStr"/>
      <c r="N84" s="32">
        <f>IF(M84="Underperforming",-5,IF(L84&gt;=95,15,IF(L84&gt;=90,10,IF(L84&gt;=80,5,0))))</f>
        <v/>
      </c>
      <c r="O84" s="32" t="n">
        <v>70.5</v>
      </c>
      <c r="P84" s="32" t="n">
        <v>20.1</v>
      </c>
      <c r="Q84" s="32" t="n">
        <v>251.87</v>
      </c>
      <c r="R84" s="31" t="inlineStr">
        <is>
          <t>Near 52W High Breakout</t>
        </is>
      </c>
      <c r="S84" s="31" t="inlineStr">
        <is>
          <t>Nifty Realty</t>
        </is>
      </c>
      <c r="T84" s="32" t="inlineStr"/>
      <c r="U84" s="32" t="inlineStr"/>
      <c r="V84" s="32" t="inlineStr"/>
      <c r="W84" s="32" t="inlineStr"/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IF(B85=0,"",RANK(B85,$B$2:$B$249,0))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TCPLPACK</t>
        </is>
      </c>
      <c r="D85" s="31" t="inlineStr">
        <is>
          <t>TCPL Packaging Ltd</t>
        </is>
      </c>
      <c r="E85" s="31" t="inlineStr">
        <is>
          <t>industrials</t>
        </is>
      </c>
      <c r="F85" s="31" t="inlineStr">
        <is>
          <t>packaging</t>
        </is>
      </c>
      <c r="G85" s="31" t="inlineStr">
        <is>
          <t>smallcap</t>
        </is>
      </c>
      <c r="H85" s="32" t="n">
        <v>3746.83</v>
      </c>
      <c r="I85" s="32" t="n">
        <v>4102.6</v>
      </c>
      <c r="J85" s="32" t="n">
        <v>-0.36</v>
      </c>
      <c r="K85" s="32" t="n">
        <v>5095</v>
      </c>
      <c r="L85" s="31" t="n">
        <v>43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67.78</v>
      </c>
      <c r="P85" s="32" t="n">
        <v>48.11</v>
      </c>
      <c r="Q85" s="32" t="n">
        <v>3106.81</v>
      </c>
      <c r="R85" s="31" t="inlineStr">
        <is>
          <t>Near 52W High Breakout</t>
        </is>
      </c>
      <c r="S85" s="31" t="inlineStr">
        <is>
          <t>Nifty 50</t>
        </is>
      </c>
      <c r="T85" s="32" t="n">
        <v>-9.130000000000001</v>
      </c>
      <c r="U85" s="32" t="n">
        <v>21.49</v>
      </c>
      <c r="V85" s="32" t="n">
        <v>33.7</v>
      </c>
      <c r="W85" s="32" t="n">
        <v>14.52</v>
      </c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Between 0.7 to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IF(B86=0,"",RANK(B86,$B$2:$B$249,0))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NRBBEARING</t>
        </is>
      </c>
      <c r="D86" s="31" t="inlineStr">
        <is>
          <t>Nrb Bearing Limited</t>
        </is>
      </c>
      <c r="E86" s="31" t="inlineStr">
        <is>
          <t>industrials</t>
        </is>
      </c>
      <c r="F86" s="31" t="inlineStr">
        <is>
          <t>bearings</t>
        </is>
      </c>
      <c r="G86" s="31" t="inlineStr">
        <is>
          <t>midcap</t>
        </is>
      </c>
      <c r="H86" s="32" t="n">
        <v>5244</v>
      </c>
      <c r="I86" s="32" t="n">
        <v>534.05</v>
      </c>
      <c r="J86" s="32" t="n">
        <v>-1.29</v>
      </c>
      <c r="K86" s="32" t="n">
        <v>557714</v>
      </c>
      <c r="L86" s="31" t="n">
        <v>68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74.70999999999999</v>
      </c>
      <c r="P86" s="32" t="n">
        <v>51.06</v>
      </c>
      <c r="Q86" s="32" t="n">
        <v>414.14</v>
      </c>
      <c r="R86" s="31" t="inlineStr">
        <is>
          <t>Near 52W High Breakout</t>
        </is>
      </c>
      <c r="S86" s="31" t="inlineStr">
        <is>
          <t>Nifty 50</t>
        </is>
      </c>
      <c r="T86" s="32" t="n">
        <v>-9.130000000000001</v>
      </c>
      <c r="U86" s="32" t="n">
        <v>86.81</v>
      </c>
      <c r="V86" s="32" t="n">
        <v>105.59</v>
      </c>
      <c r="W86" s="32" t="n">
        <v>22.93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Between 12 to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IF(B87=0,"",RANK(B87,$B$2:$B$249,0))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SHRIPISTON</t>
        </is>
      </c>
      <c r="D87" s="31" t="inlineStr">
        <is>
          <t>Shriram Pistons &amp; Rings Limited</t>
        </is>
      </c>
      <c r="E87" s="31" t="inlineStr">
        <is>
          <t>auto</t>
        </is>
      </c>
      <c r="F87" s="31" t="inlineStr">
        <is>
          <t>auto ancillaries</t>
        </is>
      </c>
      <c r="G87" s="31" t="inlineStr">
        <is>
          <t>largecap</t>
        </is>
      </c>
      <c r="H87" s="32" t="n">
        <v>22029.77</v>
      </c>
      <c r="I87" s="32" t="n">
        <v>4653.7</v>
      </c>
      <c r="J87" s="32" t="n">
        <v>-2.01</v>
      </c>
      <c r="K87" s="32" t="n">
        <v>75703</v>
      </c>
      <c r="L87" s="31" t="inlineStr"/>
      <c r="M87" s="31" t="inlineStr"/>
      <c r="N87" s="32">
        <f>IF(M87="Underperforming",-5,IF(L87&gt;=95,15,IF(L87&gt;=90,10,IF(L87&gt;=80,5,0))))</f>
        <v/>
      </c>
      <c r="O87" s="32" t="n">
        <v>68.70999999999999</v>
      </c>
      <c r="P87" s="32" t="n">
        <v>58.54</v>
      </c>
      <c r="Q87" s="32" t="n">
        <v>3841</v>
      </c>
      <c r="R87" s="31" t="inlineStr">
        <is>
          <t>Near 52W High Breakout</t>
        </is>
      </c>
      <c r="S87" s="31" t="inlineStr">
        <is>
          <t>Nifty Auto</t>
        </is>
      </c>
      <c r="T87" s="32" t="inlineStr"/>
      <c r="U87" s="32" t="inlineStr"/>
      <c r="V87" s="32" t="inlineStr"/>
      <c r="W87" s="32" t="inlineStr"/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Less than 12%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IF(B88=0,"",RANK(B88,$B$2:$B$249,0))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OPTIEMUS</t>
        </is>
      </c>
      <c r="D88" s="31" t="inlineStr">
        <is>
          <t>Optiemus Infracom Ltd</t>
        </is>
      </c>
      <c r="E88" s="31" t="inlineStr">
        <is>
          <t>telecom</t>
        </is>
      </c>
      <c r="F88" s="31" t="inlineStr">
        <is>
          <t>trading</t>
        </is>
      </c>
      <c r="G88" s="31" t="inlineStr">
        <is>
          <t>midcap</t>
        </is>
      </c>
      <c r="H88" s="32" t="n">
        <v>7179.05</v>
      </c>
      <c r="I88" s="32" t="n">
        <v>767.75</v>
      </c>
      <c r="J88" s="32" t="n">
        <v>-3.57</v>
      </c>
      <c r="K88" s="32" t="n">
        <v>716846</v>
      </c>
      <c r="L88" s="31" t="n">
        <v>56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74.43000000000001</v>
      </c>
      <c r="P88" s="32" t="n">
        <v>43.09</v>
      </c>
      <c r="Q88" s="32" t="n">
        <v>565.91</v>
      </c>
      <c r="R88" s="31" t="inlineStr">
        <is>
          <t>Near 52W High Breakout</t>
        </is>
      </c>
      <c r="S88" s="31" t="inlineStr">
        <is>
          <t>Nifty 50</t>
        </is>
      </c>
      <c r="T88" s="32" t="n">
        <v>-9.130000000000001</v>
      </c>
      <c r="U88" s="32" t="n">
        <v>13.1</v>
      </c>
      <c r="V88" s="32" t="n">
        <v>24.46</v>
      </c>
      <c r="W88" s="32" t="n">
        <v>19.64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Oligopoly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Yes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IF(B89=0,"",RANK(B89,$B$2:$B$249,0))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VENUSREM</t>
        </is>
      </c>
      <c r="D89" s="31" t="inlineStr">
        <is>
          <t>Venus Remedies Limited</t>
        </is>
      </c>
      <c r="E89" s="31" t="inlineStr">
        <is>
          <t>healthcare</t>
        </is>
      </c>
      <c r="F89" s="31" t="inlineStr">
        <is>
          <t>pharmaceuticals - indian - formulations</t>
        </is>
      </c>
      <c r="G89" s="31" t="inlineStr">
        <is>
          <t>smallcap</t>
        </is>
      </c>
      <c r="H89" s="32" t="n">
        <v>2286.56</v>
      </c>
      <c r="I89" s="32" t="n">
        <v>1796.1</v>
      </c>
      <c r="J89" s="32" t="n">
        <v>5</v>
      </c>
      <c r="K89" s="32" t="n">
        <v>28419</v>
      </c>
      <c r="L89" s="31" t="n">
        <v>87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63.45</v>
      </c>
      <c r="P89" s="32" t="n">
        <v>44.84</v>
      </c>
      <c r="Q89" s="32" t="n">
        <v>1244.74</v>
      </c>
      <c r="R89" s="31" t="inlineStr">
        <is>
          <t>Earnings / Momentum Support</t>
        </is>
      </c>
      <c r="S89" s="31" t="inlineStr">
        <is>
          <t>Nifty Pharma</t>
        </is>
      </c>
      <c r="T89" s="32" t="n">
        <v>21.52</v>
      </c>
      <c r="U89" s="32" t="n">
        <v>288.83</v>
      </c>
      <c r="V89" s="32" t="n">
        <v>219.98</v>
      </c>
      <c r="W89" s="32" t="n">
        <v>36.94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Yes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Annuity, Lower One Time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IF(B90=0,"",RANK(B90,$B$2:$B$249,0))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AKUMS</t>
        </is>
      </c>
      <c r="D90" s="31" t="inlineStr">
        <is>
          <t>Akums Drugs &amp; Pharmaceuticals Ltd</t>
        </is>
      </c>
      <c r="E90" s="31" t="inlineStr">
        <is>
          <t>healthcare</t>
        </is>
      </c>
      <c r="F90" s="31" t="inlineStr">
        <is>
          <t>pharmaceuticals - indian - bulk drugs &amp; formln</t>
        </is>
      </c>
      <c r="G90" s="31" t="inlineStr">
        <is>
          <t>midcap</t>
        </is>
      </c>
      <c r="H90" s="32" t="n">
        <v>12899.22</v>
      </c>
      <c r="I90" s="32" t="n">
        <v>818.5</v>
      </c>
      <c r="J90" s="32" t="n">
        <v>-0.13</v>
      </c>
      <c r="K90" s="32" t="n">
        <v>196569</v>
      </c>
      <c r="L90" s="31" t="n">
        <v>56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77.22</v>
      </c>
      <c r="P90" s="32" t="n">
        <v>65.23999999999999</v>
      </c>
      <c r="Q90" s="32" t="n">
        <v>675.05</v>
      </c>
      <c r="R90" s="31" t="inlineStr">
        <is>
          <t>Near 52W High Breakout</t>
        </is>
      </c>
      <c r="S90" s="31" t="inlineStr">
        <is>
          <t>Nifty Pharma</t>
        </is>
      </c>
      <c r="T90" s="32" t="n">
        <v>21.52</v>
      </c>
      <c r="U90" s="32" t="n">
        <v>84.31</v>
      </c>
      <c r="V90" s="32" t="n">
        <v>51.67</v>
      </c>
      <c r="W90" s="32" t="n">
        <v>19.81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Annuity, Lower One Time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IF(B91=0,"",RANK(B91,$B$2:$B$249,0))</f>
        <v/>
      </c>
      <c r="B91" s="32">
        <f>SUM(N91,Y91,AA91,AC91,AE91,AG91,AI91,AK91,AM91,AO91,AQ91,AS91,AU91,AW91,AY91,BA91,BC91,BE91,BG91,BI91,BK91,BM91,BO91,BQ91,BS91,BU91,BW91,BY91,CA91,CC91,CE91)</f>
        <v/>
      </c>
      <c r="C91" s="33" t="inlineStr">
        <is>
          <t>ALBERTDAVD</t>
        </is>
      </c>
      <c r="D91" s="33" t="inlineStr">
        <is>
          <t>Albert David Limited</t>
        </is>
      </c>
      <c r="E91" s="31" t="inlineStr">
        <is>
          <t>healthcare</t>
        </is>
      </c>
      <c r="F91" s="31" t="inlineStr">
        <is>
          <t>pharmaceuticals - indian - bulk drugs &amp; formln</t>
        </is>
      </c>
      <c r="G91" s="31" t="inlineStr">
        <is>
          <t>smallcap</t>
        </is>
      </c>
      <c r="H91" s="32" t="n">
        <v>500.15</v>
      </c>
      <c r="I91" s="32" t="n">
        <v>872.25</v>
      </c>
      <c r="J91" s="32" t="n">
        <v>-0.47</v>
      </c>
      <c r="K91" s="32" t="n">
        <v>6427</v>
      </c>
      <c r="L91" s="31" t="n">
        <v>22</v>
      </c>
      <c r="M91" s="31" t="inlineStr">
        <is>
          <t>Underperforming</t>
        </is>
      </c>
      <c r="N91" s="32">
        <f>IF(M91="Underperforming",-5,IF(L91&gt;=95,15,IF(L91&gt;=90,10,IF(L91&gt;=80,5,0))))</f>
        <v/>
      </c>
      <c r="O91" s="32" t="n">
        <v>63.35</v>
      </c>
      <c r="P91" s="32" t="n">
        <v>42.47</v>
      </c>
      <c r="Q91" s="32" t="n">
        <v>735.9299999999999</v>
      </c>
      <c r="R91" s="31" t="inlineStr">
        <is>
          <t>Near 52W High Breakout</t>
        </is>
      </c>
      <c r="S91" s="31" t="inlineStr">
        <is>
          <t>Nifty Pharma</t>
        </is>
      </c>
      <c r="T91" s="32" t="n">
        <v>21.52</v>
      </c>
      <c r="U91" s="32" t="n">
        <v>11.57</v>
      </c>
      <c r="V91" s="32" t="n">
        <v>-8.19</v>
      </c>
      <c r="W91" s="32" t="n">
        <v>7.34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Yes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IF(B92=0,"",RANK(B92,$B$2:$B$249,0))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RPGLIFE</t>
        </is>
      </c>
      <c r="D92" s="31" t="inlineStr">
        <is>
          <t>Rpg Life Sciences Limited</t>
        </is>
      </c>
      <c r="E92" s="31" t="inlineStr">
        <is>
          <t>healthcare</t>
        </is>
      </c>
      <c r="F92" s="31" t="inlineStr">
        <is>
          <t>pharmaceuticals - indian - bulk drugs &amp; formln</t>
        </is>
      </c>
      <c r="G92" s="31" t="inlineStr">
        <is>
          <t>midcap</t>
        </is>
      </c>
      <c r="H92" s="32" t="n">
        <v>5109.23</v>
      </c>
      <c r="I92" s="32" t="n">
        <v>3037.1</v>
      </c>
      <c r="J92" s="32" t="n">
        <v>-1.69</v>
      </c>
      <c r="K92" s="32" t="n">
        <v>46586</v>
      </c>
      <c r="L92" s="31" t="n">
        <v>40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67.38</v>
      </c>
      <c r="P92" s="32" t="n">
        <v>43.82</v>
      </c>
      <c r="Q92" s="32" t="n">
        <v>2353.41</v>
      </c>
      <c r="R92" s="31" t="inlineStr">
        <is>
          <t>Volume Spike &amp; Near 52W High Breakout</t>
        </is>
      </c>
      <c r="S92" s="31" t="inlineStr">
        <is>
          <t>Nifty Pharma</t>
        </is>
      </c>
      <c r="T92" s="32" t="n">
        <v>21.52</v>
      </c>
      <c r="U92" s="32" t="n">
        <v>35.13</v>
      </c>
      <c r="V92" s="32" t="n">
        <v>11.2</v>
      </c>
      <c r="W92" s="32" t="n">
        <v>12.93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Yes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Annuity, Lower One Time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Between 12 to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IF(B93=0,"",RANK(B93,$B$2:$B$249,0))</f>
        <v/>
      </c>
      <c r="B93" s="32">
        <f>SUM(N93,Y93,AA93,AC93,AE93,AG93,AI93,AK93,AM93,AO93,AQ93,AS93,AU93,AW93,AY93,BA93,BC93,BE93,BG93,BI93,BK93,BM93,BO93,BQ93,BS93,BU93,BW93,BY93,CA93,CC93,CE93)</f>
        <v/>
      </c>
      <c r="C93" s="33" t="inlineStr">
        <is>
          <t>AARTIPHARM</t>
        </is>
      </c>
      <c r="D93" s="33" t="inlineStr">
        <is>
          <t>Aarti Pharmalabs Ltd</t>
        </is>
      </c>
      <c r="E93" s="31" t="inlineStr">
        <is>
          <t>healthcare</t>
        </is>
      </c>
      <c r="F93" s="31" t="inlineStr">
        <is>
          <t>pharmaceuticals - indian - bulk drugs &amp; formln</t>
        </is>
      </c>
      <c r="G93" s="31" t="inlineStr">
        <is>
          <t>midcap</t>
        </is>
      </c>
      <c r="H93" s="32" t="n">
        <v>8821.33</v>
      </c>
      <c r="I93" s="32" t="n">
        <v>953.75</v>
      </c>
      <c r="J93" s="32" t="n">
        <v>-1.96</v>
      </c>
      <c r="K93" s="32" t="n">
        <v>951362</v>
      </c>
      <c r="L93" s="31" t="n">
        <v>36</v>
      </c>
      <c r="M93" s="31" t="inlineStr">
        <is>
          <t>Underperforming</t>
        </is>
      </c>
      <c r="N93" s="32">
        <f>IF(M93="Underperforming",-5,IF(L93&gt;=95,15,IF(L93&gt;=90,10,IF(L93&gt;=80,5,0))))</f>
        <v/>
      </c>
      <c r="O93" s="32" t="n">
        <v>70.03</v>
      </c>
      <c r="P93" s="32" t="n">
        <v>25.45</v>
      </c>
      <c r="Q93" s="32" t="n">
        <v>723.67</v>
      </c>
      <c r="R93" s="31" t="inlineStr">
        <is>
          <t>Near 52W High Breakout</t>
        </is>
      </c>
      <c r="S93" s="31" t="inlineStr">
        <is>
          <t>Nifty Pharma</t>
        </is>
      </c>
      <c r="T93" s="32" t="n">
        <v>21.52</v>
      </c>
      <c r="U93" s="32" t="n">
        <v>15.87</v>
      </c>
      <c r="V93" s="32" t="n">
        <v>-4.65</v>
      </c>
      <c r="W93" s="32" t="n">
        <v>11.41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Yes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Annuity, Lower One Time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IF(B94=0,"",RANK(B94,$B$2:$B$249,0))</f>
        <v/>
      </c>
      <c r="B94" s="32">
        <f>SUM(N94,Y94,AA94,AC94,AE94,AG94,AI94,AK94,AM94,AO94,AQ94,AS94,AU94,AW94,AY94,BA94,BC94,BE94,BG94,BI94,BK94,BM94,BO94,BQ94,BS94,BU94,BW94,BY94,CA94,CC94,CE94)</f>
        <v/>
      </c>
      <c r="C94" s="33" t="inlineStr">
        <is>
          <t>SOLARA</t>
        </is>
      </c>
      <c r="D94" s="33" t="inlineStr">
        <is>
          <t>Solara Active Pharma Sciences Ltd</t>
        </is>
      </c>
      <c r="E94" s="31" t="inlineStr">
        <is>
          <t>healthcare</t>
        </is>
      </c>
      <c r="F94" s="31" t="inlineStr">
        <is>
          <t>pharmaceuticals - indian - bulk drugs &amp; formln</t>
        </is>
      </c>
      <c r="G94" s="31" t="inlineStr">
        <is>
          <t>smallcap</t>
        </is>
      </c>
      <c r="H94" s="32" t="n">
        <v>3617.73</v>
      </c>
      <c r="I94" s="32" t="n">
        <v>725.4</v>
      </c>
      <c r="J94" s="32" t="n">
        <v>-3.26</v>
      </c>
      <c r="K94" s="32" t="n">
        <v>177501</v>
      </c>
      <c r="L94" s="31" t="n">
        <v>31</v>
      </c>
      <c r="M94" s="31" t="inlineStr">
        <is>
          <t>Underperforming</t>
        </is>
      </c>
      <c r="N94" s="32">
        <f>IF(M94="Underperforming",-5,IF(L94&gt;=95,15,IF(L94&gt;=90,10,IF(L94&gt;=80,5,0))))</f>
        <v/>
      </c>
      <c r="O94" s="32" t="n">
        <v>67.76000000000001</v>
      </c>
      <c r="P94" s="32" t="n">
        <v>33.06</v>
      </c>
      <c r="Q94" s="32" t="n">
        <v>562.42</v>
      </c>
      <c r="R94" s="31" t="inlineStr">
        <is>
          <t>Near 52W High Breakout</t>
        </is>
      </c>
      <c r="S94" s="31" t="inlineStr">
        <is>
          <t>Nifty Pharma</t>
        </is>
      </c>
      <c r="T94" s="32" t="n">
        <v>21.52</v>
      </c>
      <c r="U94" s="32" t="n">
        <v>17.74</v>
      </c>
      <c r="V94" s="32" t="n">
        <v>-3.11</v>
      </c>
      <c r="W94" s="32" t="n">
        <v>9.83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Yes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Annuity, Lower One Time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IF(B95=0,"",RANK(B95,$B$2:$B$249,0))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SYNCOMF</t>
        </is>
      </c>
      <c r="D95" s="31" t="inlineStr">
        <is>
          <t>Syncom Formulations (India) Ltd</t>
        </is>
      </c>
      <c r="E95" s="31" t="inlineStr">
        <is>
          <t>healthcare</t>
        </is>
      </c>
      <c r="F95" s="31" t="inlineStr">
        <is>
          <t>pharmaceuticals - indian - bulk drugs &amp; formln</t>
        </is>
      </c>
      <c r="G95" s="31" t="inlineStr">
        <is>
          <t>smallcap</t>
        </is>
      </c>
      <c r="H95" s="32" t="n">
        <v>2460.92</v>
      </c>
      <c r="I95" s="32" t="n">
        <v>25.08</v>
      </c>
      <c r="J95" s="32" t="n">
        <v>-4.2</v>
      </c>
      <c r="K95" s="32" t="n">
        <v>99577808</v>
      </c>
      <c r="L95" s="31" t="n">
        <v>76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80.97</v>
      </c>
      <c r="P95" s="32" t="n">
        <v>34.33</v>
      </c>
      <c r="Q95" s="32" t="n">
        <v>18.27</v>
      </c>
      <c r="R95" s="31" t="inlineStr">
        <is>
          <t>Volume Spike &amp; Near 52W High Breakout</t>
        </is>
      </c>
      <c r="S95" s="31" t="inlineStr">
        <is>
          <t>Nifty Pharma</t>
        </is>
      </c>
      <c r="T95" s="32" t="n">
        <v>21.52</v>
      </c>
      <c r="U95" s="32" t="n">
        <v>49.22</v>
      </c>
      <c r="V95" s="32" t="n">
        <v>22.8</v>
      </c>
      <c r="W95" s="32" t="n">
        <v>28.75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Yes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Annuity, Lower One Time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Above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Less than 1.5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IF(B96=0,"",RANK(B96,$B$2:$B$249,0))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MUNJALAU</t>
        </is>
      </c>
      <c r="D96" s="31" t="inlineStr">
        <is>
          <t>Munjal Auto Industries Limited</t>
        </is>
      </c>
      <c r="E96" s="31" t="inlineStr">
        <is>
          <t>auto</t>
        </is>
      </c>
      <c r="F96" s="31" t="inlineStr">
        <is>
          <t>auto ancillaries</t>
        </is>
      </c>
      <c r="G96" s="31" t="inlineStr">
        <is>
          <t>smallcap</t>
        </is>
      </c>
      <c r="H96" s="32" t="n">
        <v>1064.8</v>
      </c>
      <c r="I96" s="32" t="n">
        <v>112.86</v>
      </c>
      <c r="J96" s="32" t="n">
        <v>5.99</v>
      </c>
      <c r="K96" s="32" t="n">
        <v>9221059</v>
      </c>
      <c r="L96" s="31" t="inlineStr"/>
      <c r="M96" s="31" t="inlineStr"/>
      <c r="N96" s="32">
        <f>IF(M96="Underperforming",-5,IF(L96&gt;=95,15,IF(L96&gt;=90,10,IF(L96&gt;=80,5,0))))</f>
        <v/>
      </c>
      <c r="O96" s="32" t="n">
        <v>63.49</v>
      </c>
      <c r="P96" s="32" t="n">
        <v>52.43</v>
      </c>
      <c r="Q96" s="32" t="n">
        <v>88.93000000000001</v>
      </c>
      <c r="R96" s="31" t="inlineStr">
        <is>
          <t>Earnings / Momentum Support</t>
        </is>
      </c>
      <c r="S96" s="31" t="inlineStr">
        <is>
          <t>Nifty Auto</t>
        </is>
      </c>
      <c r="T96" s="32" t="inlineStr"/>
      <c r="U96" s="32" t="inlineStr"/>
      <c r="V96" s="32" t="inlineStr"/>
      <c r="W96" s="32" t="inlineStr"/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No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Less than 1.5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Between 0.7 to 1.2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IF(B97=0,"",RANK(B97,$B$2:$B$249,0))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MIDHANI</t>
        </is>
      </c>
      <c r="D97" s="31" t="inlineStr">
        <is>
          <t>Mishra Dhatu Nigam Ltd</t>
        </is>
      </c>
      <c r="E97" s="31" t="inlineStr">
        <is>
          <t>aerospace &amp; defence</t>
        </is>
      </c>
      <c r="F97" s="31" t="inlineStr">
        <is>
          <t>steel - medium / small</t>
        </is>
      </c>
      <c r="G97" s="31" t="inlineStr">
        <is>
          <t>midcap</t>
        </is>
      </c>
      <c r="H97" s="32" t="n">
        <v>7851.42</v>
      </c>
      <c r="I97" s="32" t="n">
        <v>437.65</v>
      </c>
      <c r="J97" s="32" t="n">
        <v>4.43</v>
      </c>
      <c r="K97" s="32" t="n">
        <v>1995574</v>
      </c>
      <c r="L97" s="31" t="inlineStr"/>
      <c r="M97" s="31" t="inlineStr"/>
      <c r="N97" s="32">
        <f>IF(M97="Underperforming",-5,IF(L97&gt;=95,15,IF(L97&gt;=90,10,IF(L97&gt;=80,5,0))))</f>
        <v/>
      </c>
      <c r="O97" s="32" t="n">
        <v>57.64</v>
      </c>
      <c r="P97" s="32" t="n">
        <v>27.65</v>
      </c>
      <c r="Q97" s="32" t="n">
        <v>335.27</v>
      </c>
      <c r="R97" s="31" t="inlineStr">
        <is>
          <t>Near 52W High Breakout</t>
        </is>
      </c>
      <c r="S97" s="31" t="inlineStr">
        <is>
          <t>Nifty Metal</t>
        </is>
      </c>
      <c r="T97" s="32" t="inlineStr"/>
      <c r="U97" s="32" t="inlineStr"/>
      <c r="V97" s="32" t="inlineStr"/>
      <c r="W97" s="32" t="inlineStr"/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Blue sky scenario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IF(B98=0,"",RANK(B98,$B$2:$B$249,0))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CARBORUNIV</t>
        </is>
      </c>
      <c r="D98" s="31" t="inlineStr">
        <is>
          <t>Carborundum Universal Limited</t>
        </is>
      </c>
      <c r="E98" s="31" t="inlineStr">
        <is>
          <t>industrials</t>
        </is>
      </c>
      <c r="F98" s="31" t="inlineStr">
        <is>
          <t>abrasives and grinding wheels</t>
        </is>
      </c>
      <c r="G98" s="31" t="inlineStr">
        <is>
          <t>largecap</t>
        </is>
      </c>
      <c r="H98" s="32" t="n">
        <v>22868.74</v>
      </c>
      <c r="I98" s="32" t="n">
        <v>1252.5</v>
      </c>
      <c r="J98" s="32" t="n">
        <v>4.33</v>
      </c>
      <c r="K98" s="32" t="n">
        <v>475133</v>
      </c>
      <c r="L98" s="31" t="n">
        <v>29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64.63</v>
      </c>
      <c r="P98" s="32" t="n">
        <v>45.84</v>
      </c>
      <c r="Q98" s="32" t="n">
        <v>978.52</v>
      </c>
      <c r="R98" s="31" t="inlineStr">
        <is>
          <t>Near 52W High Breakout</t>
        </is>
      </c>
      <c r="S98" s="31" t="inlineStr">
        <is>
          <t>Nifty 50</t>
        </is>
      </c>
      <c r="T98" s="32" t="n">
        <v>-9.130000000000001</v>
      </c>
      <c r="U98" s="32" t="n">
        <v>34.19</v>
      </c>
      <c r="V98" s="32" t="n">
        <v>47.67</v>
      </c>
      <c r="W98" s="32" t="n">
        <v>9</v>
      </c>
      <c r="X98" s="31" t="inlineStr">
        <is>
          <t>Cyclical in an Upturn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IF(B99=0,"",RANK(B99,$B$2:$B$249,0))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SANSERA</t>
        </is>
      </c>
      <c r="D99" s="31" t="inlineStr">
        <is>
          <t>Sansera Engineering Ltd</t>
        </is>
      </c>
      <c r="E99" s="31" t="inlineStr">
        <is>
          <t>auto</t>
        </is>
      </c>
      <c r="F99" s="31" t="inlineStr">
        <is>
          <t>auto ancillaries</t>
        </is>
      </c>
      <c r="G99" s="31" t="inlineStr">
        <is>
          <t>largecap</t>
        </is>
      </c>
      <c r="H99" s="32" t="n">
        <v>27221.68</v>
      </c>
      <c r="I99" s="32" t="n">
        <v>4537.5</v>
      </c>
      <c r="J99" s="32" t="n">
        <v>4.02</v>
      </c>
      <c r="K99" s="32" t="n">
        <v>247139</v>
      </c>
      <c r="L99" s="31" t="inlineStr"/>
      <c r="M99" s="31" t="inlineStr"/>
      <c r="N99" s="32">
        <f>IF(M99="Underperforming",-5,IF(L99&gt;=95,15,IF(L99&gt;=90,10,IF(L99&gt;=80,5,0))))</f>
        <v/>
      </c>
      <c r="O99" s="32" t="n">
        <v>80.45999999999999</v>
      </c>
      <c r="P99" s="32" t="n">
        <v>69.22</v>
      </c>
      <c r="Q99" s="32" t="n">
        <v>3704.34</v>
      </c>
      <c r="R99" s="31" t="inlineStr">
        <is>
          <t>Near 52W High Breakout</t>
        </is>
      </c>
      <c r="S99" s="31" t="inlineStr">
        <is>
          <t>Nifty Auto</t>
        </is>
      </c>
      <c r="T99" s="32" t="inlineStr"/>
      <c r="U99" s="32" t="inlineStr"/>
      <c r="V99" s="32" t="inlineStr"/>
      <c r="W99" s="32" t="inlineStr"/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Above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IF(B100=0,"",RANK(B100,$B$2:$B$249,0))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SPECTRUM</t>
        </is>
      </c>
      <c r="D100" s="31" t="inlineStr">
        <is>
          <t>Spectrum Electrical Industries Ltd</t>
        </is>
      </c>
      <c r="E100" s="31" t="inlineStr">
        <is>
          <t>industrials</t>
        </is>
      </c>
      <c r="F100" s="31" t="inlineStr">
        <is>
          <t>electric equipment</t>
        </is>
      </c>
      <c r="G100" s="31" t="inlineStr">
        <is>
          <t>midcap</t>
        </is>
      </c>
      <c r="H100" s="32" t="n">
        <v>6358.07</v>
      </c>
      <c r="I100" s="32" t="n">
        <v>3846.1</v>
      </c>
      <c r="J100" s="32" t="n">
        <v>3.36</v>
      </c>
      <c r="K100" s="32" t="n">
        <v>13516</v>
      </c>
      <c r="L100" s="31" t="n">
        <v>96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84.83</v>
      </c>
      <c r="P100" s="32" t="n">
        <v>64.54000000000001</v>
      </c>
      <c r="Q100" s="32" t="n">
        <v>2929.48</v>
      </c>
      <c r="R100" s="31" t="inlineStr">
        <is>
          <t>Near 52W High Breakout</t>
        </is>
      </c>
      <c r="S100" s="31" t="inlineStr">
        <is>
          <t>Nifty 50</t>
        </is>
      </c>
      <c r="T100" s="32" t="n">
        <v>-9.130000000000001</v>
      </c>
      <c r="U100" s="32" t="n">
        <v>186.74</v>
      </c>
      <c r="V100" s="32" t="n">
        <v>215.57</v>
      </c>
      <c r="W100" s="32" t="n">
        <v>50.63</v>
      </c>
      <c r="X100" s="31" t="inlineStr">
        <is>
          <t>Cyclical in an Upturn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Above 40</t>
        </is>
      </c>
      <c r="AY100" s="31">
        <f>IF(AX100="Above 40",20,IF(AX100="20 to 40",10,IF(AX100="0 to 20",-5,0)))</f>
        <v/>
      </c>
      <c r="AZ100" s="31" t="inlineStr">
        <is>
          <t>Above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Yes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Between 0.7 to 1.2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IF(B101=0,"",RANK(B101,$B$2:$B$249,0))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VARROC</t>
        </is>
      </c>
      <c r="D101" s="31" t="inlineStr">
        <is>
          <t>Varroc Engineering Ltd</t>
        </is>
      </c>
      <c r="E101" s="31" t="inlineStr">
        <is>
          <t>auto</t>
        </is>
      </c>
      <c r="F101" s="31" t="inlineStr">
        <is>
          <t>auto ancillaries</t>
        </is>
      </c>
      <c r="G101" s="31" t="inlineStr">
        <is>
          <t>midcap</t>
        </is>
      </c>
      <c r="H101" s="32" t="n">
        <v>12794.33</v>
      </c>
      <c r="I101" s="32" t="n">
        <v>862.95</v>
      </c>
      <c r="J101" s="32" t="n">
        <v>3.05</v>
      </c>
      <c r="K101" s="32" t="n">
        <v>266860</v>
      </c>
      <c r="L101" s="31" t="inlineStr"/>
      <c r="M101" s="31" t="inlineStr"/>
      <c r="N101" s="32">
        <f>IF(M101="Underperforming",-5,IF(L101&gt;=95,15,IF(L101&gt;=90,10,IF(L101&gt;=80,5,0))))</f>
        <v/>
      </c>
      <c r="O101" s="32" t="n">
        <v>72.59</v>
      </c>
      <c r="P101" s="32" t="n">
        <v>60.86</v>
      </c>
      <c r="Q101" s="32" t="n">
        <v>693.86</v>
      </c>
      <c r="R101" s="31" t="inlineStr">
        <is>
          <t>Near 52W High Breakout</t>
        </is>
      </c>
      <c r="S101" s="31" t="inlineStr">
        <is>
          <t>Nifty Auto</t>
        </is>
      </c>
      <c r="T101" s="32" t="inlineStr"/>
      <c r="U101" s="32" t="inlineStr"/>
      <c r="V101" s="32" t="inlineStr"/>
      <c r="W101" s="32" t="inlineStr"/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Less than 12%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IF(B102=0,"",RANK(B102,$B$2:$B$249,0))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UNIMECH</t>
        </is>
      </c>
      <c r="D102" s="31" t="inlineStr">
        <is>
          <t>Unimech Aerospace and Manufacturing Ltd</t>
        </is>
      </c>
      <c r="E102" s="31" t="inlineStr">
        <is>
          <t>aerospace &amp; defence</t>
        </is>
      </c>
      <c r="F102" s="31" t="inlineStr">
        <is>
          <t>engineering</t>
        </is>
      </c>
      <c r="G102" s="31" t="inlineStr">
        <is>
          <t>midcap</t>
        </is>
      </c>
      <c r="H102" s="32" t="n">
        <v>8518.530000000001</v>
      </c>
      <c r="I102" s="32" t="n">
        <v>1724</v>
      </c>
      <c r="J102" s="32" t="n">
        <v>2.93</v>
      </c>
      <c r="K102" s="32" t="n">
        <v>274093</v>
      </c>
      <c r="L102" s="31" t="n">
        <v>72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79.20999999999999</v>
      </c>
      <c r="P102" s="32" t="n">
        <v>47.53</v>
      </c>
      <c r="Q102" s="32" t="n">
        <v>1302.72</v>
      </c>
      <c r="R102" s="31" t="inlineStr">
        <is>
          <t>Near 52W High Breakout</t>
        </is>
      </c>
      <c r="S102" s="31" t="inlineStr">
        <is>
          <t>Nifty 50</t>
        </is>
      </c>
      <c r="T102" s="32" t="n">
        <v>-9.130000000000001</v>
      </c>
      <c r="U102" s="32" t="n">
        <v>74.18000000000001</v>
      </c>
      <c r="V102" s="32" t="n">
        <v>91.68000000000001</v>
      </c>
      <c r="W102" s="32" t="n">
        <v>25.73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Above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Blue sky scenario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IF(B103=0,"",RANK(B103,$B$2:$B$249,0))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ORIENTHOT</t>
        </is>
      </c>
      <c r="D103" s="31" t="inlineStr">
        <is>
          <t>Oriental Hotels Limited</t>
        </is>
      </c>
      <c r="E103" s="31" t="inlineStr">
        <is>
          <t>services</t>
        </is>
      </c>
      <c r="F103" s="31" t="inlineStr">
        <is>
          <t>hotels</t>
        </is>
      </c>
      <c r="G103" s="31" t="inlineStr">
        <is>
          <t>smallcap</t>
        </is>
      </c>
      <c r="H103" s="32" t="n">
        <v>2488.6</v>
      </c>
      <c r="I103" s="32" t="n">
        <v>142.36</v>
      </c>
      <c r="J103" s="32" t="n">
        <v>2.17</v>
      </c>
      <c r="K103" s="32" t="n">
        <v>511057</v>
      </c>
      <c r="L103" s="31" t="n">
        <v>11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63.14</v>
      </c>
      <c r="P103" s="32" t="n">
        <v>40.68</v>
      </c>
      <c r="Q103" s="32" t="n">
        <v>110.4</v>
      </c>
      <c r="R103" s="31" t="inlineStr">
        <is>
          <t>Near 52W High Breakout</t>
        </is>
      </c>
      <c r="S103" s="31" t="inlineStr">
        <is>
          <t>Nifty 50</t>
        </is>
      </c>
      <c r="T103" s="32" t="n">
        <v>-9.130000000000001</v>
      </c>
      <c r="U103" s="32" t="n">
        <v>4.57</v>
      </c>
      <c r="V103" s="32" t="n">
        <v>15.08</v>
      </c>
      <c r="W103" s="32" t="n">
        <v>4.53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Above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Less than 12%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IF(B104=0,"",RANK(B104,$B$2:$B$249,0))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ACE</t>
        </is>
      </c>
      <c r="D104" s="31" t="inlineStr">
        <is>
          <t>Action Construction Equipment Limited</t>
        </is>
      </c>
      <c r="E104" s="31" t="inlineStr">
        <is>
          <t>industrials</t>
        </is>
      </c>
      <c r="F104" s="31" t="inlineStr">
        <is>
          <t>engineering</t>
        </is>
      </c>
      <c r="G104" s="31" t="inlineStr">
        <is>
          <t>midcap</t>
        </is>
      </c>
      <c r="H104" s="32" t="n">
        <v>14359.05</v>
      </c>
      <c r="I104" s="32" t="n">
        <v>1232</v>
      </c>
      <c r="J104" s="32" t="n">
        <v>2.17</v>
      </c>
      <c r="K104" s="32" t="n">
        <v>343169</v>
      </c>
      <c r="L104" s="31" t="n">
        <v>29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72.78</v>
      </c>
      <c r="P104" s="32" t="n">
        <v>39.98</v>
      </c>
      <c r="Q104" s="32" t="n">
        <v>1006.68</v>
      </c>
      <c r="R104" s="31" t="inlineStr">
        <is>
          <t>Near 52W High Breakout</t>
        </is>
      </c>
      <c r="S104" s="31" t="inlineStr">
        <is>
          <t>Nifty 50</t>
        </is>
      </c>
      <c r="T104" s="32" t="n">
        <v>-9.130000000000001</v>
      </c>
      <c r="U104" s="32" t="n">
        <v>14.62</v>
      </c>
      <c r="V104" s="32" t="n">
        <v>26.15</v>
      </c>
      <c r="W104" s="32" t="n">
        <v>8.970000000000001</v>
      </c>
      <c r="X104" s="31" t="inlineStr">
        <is>
          <t>Cyclical in an Upturn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Close to 52 week high or retracement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Between 1.5 to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IF(B105=0,"",RANK(B105,$B$2:$B$249,0))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TIRUPATIFL</t>
        </is>
      </c>
      <c r="D105" s="31" t="inlineStr">
        <is>
          <t>Tirupati Forge Ltd</t>
        </is>
      </c>
      <c r="E105" s="31" t="inlineStr">
        <is>
          <t>castings, forgings &amp; fasteners</t>
        </is>
      </c>
      <c r="F105" s="31" t="inlineStr">
        <is>
          <t>castings &amp; forgings</t>
        </is>
      </c>
      <c r="G105" s="31" t="inlineStr">
        <is>
          <t>smallcap</t>
        </is>
      </c>
      <c r="H105" s="32" t="n">
        <v>977.77</v>
      </c>
      <c r="I105" s="32" t="n">
        <v>76.69</v>
      </c>
      <c r="J105" s="32" t="n">
        <v>1.99</v>
      </c>
      <c r="K105" s="32" t="n">
        <v>333265</v>
      </c>
      <c r="L105" s="31" t="n">
        <v>59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70.09</v>
      </c>
      <c r="P105" s="32" t="n">
        <v>57.98</v>
      </c>
      <c r="Q105" s="32" t="n">
        <v>56.05</v>
      </c>
      <c r="R105" s="31" t="inlineStr">
        <is>
          <t>Near 52W High Breakout</t>
        </is>
      </c>
      <c r="S105" s="31" t="inlineStr">
        <is>
          <t>Nifty 50</t>
        </is>
      </c>
      <c r="T105" s="32" t="n">
        <v>-9.130000000000001</v>
      </c>
      <c r="U105" s="32" t="n">
        <v>108.79</v>
      </c>
      <c r="V105" s="32" t="n">
        <v>129.78</v>
      </c>
      <c r="W105" s="32" t="n">
        <v>20.34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Less than 12%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IF(B106=0,"",RANK(B106,$B$2:$B$249,0))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JSWINFRA</t>
        </is>
      </c>
      <c r="D106" s="31" t="inlineStr">
        <is>
          <t>JSW Infrastructure Ltd</t>
        </is>
      </c>
      <c r="E106" s="31" t="inlineStr">
        <is>
          <t>transportation</t>
        </is>
      </c>
      <c r="F106" s="31" t="inlineStr">
        <is>
          <t>miscellaneous</t>
        </is>
      </c>
      <c r="G106" s="31" t="inlineStr">
        <is>
          <t>largecap</t>
        </is>
      </c>
      <c r="H106" s="32" t="n">
        <v>81550.05</v>
      </c>
      <c r="I106" s="32" t="n">
        <v>356.6</v>
      </c>
      <c r="J106" s="32" t="n">
        <v>1.89</v>
      </c>
      <c r="K106" s="32" t="n">
        <v>2191121</v>
      </c>
      <c r="L106" s="31" t="n">
        <v>16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65.59999999999999</v>
      </c>
      <c r="P106" s="32" t="n">
        <v>42.58</v>
      </c>
      <c r="Q106" s="32" t="n">
        <v>295.85</v>
      </c>
      <c r="R106" s="31" t="inlineStr">
        <is>
          <t>Near 52W High Breakout</t>
        </is>
      </c>
      <c r="S106" s="31" t="inlineStr">
        <is>
          <t>Nifty 50</t>
        </is>
      </c>
      <c r="T106" s="32" t="n">
        <v>-9.130000000000001</v>
      </c>
      <c r="U106" s="32" t="n">
        <v>13.28</v>
      </c>
      <c r="V106" s="32" t="n">
        <v>24.66</v>
      </c>
      <c r="W106" s="32" t="n">
        <v>5.84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Above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Less than 12%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IF(B107=0,"",RANK(B107,$B$2:$B$249,0))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EBGNG</t>
        </is>
      </c>
      <c r="D107" s="31" t="inlineStr">
        <is>
          <t>GNG Electronics Ltd</t>
        </is>
      </c>
      <c r="E107" s="31" t="inlineStr">
        <is>
          <t>services</t>
        </is>
      </c>
      <c r="F107" s="31" t="inlineStr">
        <is>
          <t>trading</t>
        </is>
      </c>
      <c r="G107" s="31" t="inlineStr">
        <is>
          <t>midcap</t>
        </is>
      </c>
      <c r="H107" s="32" t="n">
        <v>7693.5</v>
      </c>
      <c r="I107" s="32" t="n">
        <v>686.75</v>
      </c>
      <c r="J107" s="32" t="n">
        <v>1.77</v>
      </c>
      <c r="K107" s="32" t="n">
        <v>906069</v>
      </c>
      <c r="L107" s="31" t="n">
        <v>54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66.43000000000001</v>
      </c>
      <c r="P107" s="32" t="n">
        <v>39.04</v>
      </c>
      <c r="Q107" s="32" t="n">
        <v>499.43</v>
      </c>
      <c r="R107" s="31" t="inlineStr">
        <is>
          <t>Near 52W High Breakout</t>
        </is>
      </c>
      <c r="S107" s="31" t="inlineStr">
        <is>
          <t>Nifty 50</t>
        </is>
      </c>
      <c r="T107" s="32" t="n">
        <v>-9.130000000000001</v>
      </c>
      <c r="U107" s="32" t="n">
        <v>94.38</v>
      </c>
      <c r="V107" s="32" t="n">
        <v>113.92</v>
      </c>
      <c r="W107" s="32" t="n">
        <v>18.97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Blue sky scenario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IF(B108=0,"",RANK(B108,$B$2:$B$249,0))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RUBYMILLS</t>
        </is>
      </c>
      <c r="D108" s="31" t="inlineStr">
        <is>
          <t>The Ruby Mills Limited</t>
        </is>
      </c>
      <c r="E108" s="31" t="inlineStr">
        <is>
          <t>textiles</t>
        </is>
      </c>
      <c r="F108" s="31" t="inlineStr">
        <is>
          <t>textiles - composite</t>
        </is>
      </c>
      <c r="G108" s="31" t="inlineStr">
        <is>
          <t>smallcap</t>
        </is>
      </c>
      <c r="H108" s="32" t="n">
        <v>1644.58</v>
      </c>
      <c r="I108" s="32" t="n">
        <v>499.75</v>
      </c>
      <c r="J108" s="32" t="n">
        <v>1.62</v>
      </c>
      <c r="K108" s="32" t="n">
        <v>15683</v>
      </c>
      <c r="L108" s="31" t="n">
        <v>80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78.48</v>
      </c>
      <c r="P108" s="32" t="n">
        <v>53.1</v>
      </c>
      <c r="Q108" s="32" t="n">
        <v>359.79</v>
      </c>
      <c r="R108" s="31" t="inlineStr">
        <is>
          <t>Near 52W High Breakout</t>
        </is>
      </c>
      <c r="S108" s="31" t="inlineStr">
        <is>
          <t>Nifty 50</t>
        </is>
      </c>
      <c r="T108" s="32" t="n">
        <v>-9.130000000000001</v>
      </c>
      <c r="U108" s="32" t="n">
        <v>122.59</v>
      </c>
      <c r="V108" s="32" t="n">
        <v>144.96</v>
      </c>
      <c r="W108" s="32" t="n">
        <v>30.3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Above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Less than 12%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IF(B109=0,"",RANK(B109,$B$2:$B$249,0))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SOMANYCERA</t>
        </is>
      </c>
      <c r="D109" s="31" t="inlineStr">
        <is>
          <t>Somany Ceramics Limited</t>
        </is>
      </c>
      <c r="E109" s="31" t="inlineStr">
        <is>
          <t>building materials</t>
        </is>
      </c>
      <c r="F109" s="31" t="inlineStr">
        <is>
          <t>ceramics - tiles / sanitaryware</t>
        </is>
      </c>
      <c r="G109" s="31" t="inlineStr">
        <is>
          <t>smallcap</t>
        </is>
      </c>
      <c r="H109" s="32" t="n">
        <v>2517.57</v>
      </c>
      <c r="I109" s="32" t="n">
        <v>617.75</v>
      </c>
      <c r="J109" s="32" t="n">
        <v>0.64</v>
      </c>
      <c r="K109" s="32" t="n">
        <v>64566</v>
      </c>
      <c r="L109" s="31" t="inlineStr"/>
      <c r="M109" s="31" t="inlineStr"/>
      <c r="N109" s="32">
        <f>IF(M109="Underperforming",-5,IF(L109&gt;=95,15,IF(L109&gt;=90,10,IF(L109&gt;=80,5,0))))</f>
        <v/>
      </c>
      <c r="O109" s="32" t="n">
        <v>72.87</v>
      </c>
      <c r="P109" s="32" t="n">
        <v>33.64</v>
      </c>
      <c r="Q109" s="32" t="n">
        <v>501.21</v>
      </c>
      <c r="R109" s="31" t="inlineStr">
        <is>
          <t>Near 52W High Breakout</t>
        </is>
      </c>
      <c r="S109" s="31" t="inlineStr">
        <is>
          <t>Nifty Infra</t>
        </is>
      </c>
      <c r="T109" s="32" t="inlineStr"/>
      <c r="U109" s="32" t="inlineStr"/>
      <c r="V109" s="32" t="inlineStr"/>
      <c r="W109" s="32" t="inlineStr"/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IF(B110=0,"",RANK(B110,$B$2:$B$249,0))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RGL</t>
        </is>
      </c>
      <c r="D110" s="31" t="inlineStr">
        <is>
          <t>Renaissance Global Ltd</t>
        </is>
      </c>
      <c r="E110" s="31" t="inlineStr">
        <is>
          <t>consumer discretionary</t>
        </is>
      </c>
      <c r="F110" s="31" t="inlineStr">
        <is>
          <t>diamond cutting / jewellery</t>
        </is>
      </c>
      <c r="G110" s="31" t="inlineStr">
        <is>
          <t>smallcap</t>
        </is>
      </c>
      <c r="H110" s="32" t="n">
        <v>1763.74</v>
      </c>
      <c r="I110" s="32" t="n">
        <v>165.02</v>
      </c>
      <c r="J110" s="32" t="n">
        <v>0.46</v>
      </c>
      <c r="K110" s="32" t="n">
        <v>340639</v>
      </c>
      <c r="L110" s="31" t="n">
        <v>46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74.8</v>
      </c>
      <c r="P110" s="32" t="n">
        <v>34.96</v>
      </c>
      <c r="Q110" s="32" t="n">
        <v>127.02</v>
      </c>
      <c r="R110" s="31" t="inlineStr">
        <is>
          <t>Near 52W High Breakout</t>
        </is>
      </c>
      <c r="S110" s="31" t="inlineStr">
        <is>
          <t>Nifty 50</t>
        </is>
      </c>
      <c r="T110" s="32" t="n">
        <v>-9.130000000000001</v>
      </c>
      <c r="U110" s="32" t="n">
        <v>36.91</v>
      </c>
      <c r="V110" s="32" t="n">
        <v>50.67</v>
      </c>
      <c r="W110" s="32" t="n">
        <v>15.13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IF(B111=0,"",RANK(B111,$B$2:$B$249,0))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ACMESOLAR</t>
        </is>
      </c>
      <c r="D111" s="31" t="inlineStr">
        <is>
          <t>ACME Solar Holdings Ltd</t>
        </is>
      </c>
      <c r="E111" s="31" t="inlineStr">
        <is>
          <t>realty</t>
        </is>
      </c>
      <c r="F111" s="31" t="inlineStr">
        <is>
          <t>engineering - turnkey services</t>
        </is>
      </c>
      <c r="G111" s="31" t="inlineStr">
        <is>
          <t>largecap</t>
        </is>
      </c>
      <c r="H111" s="32" t="n">
        <v>30957.56</v>
      </c>
      <c r="I111" s="32" t="n">
        <v>439</v>
      </c>
      <c r="J111" s="32" t="n">
        <v>0.24</v>
      </c>
      <c r="K111" s="32" t="n">
        <v>1108840</v>
      </c>
      <c r="L111" s="31" t="inlineStr"/>
      <c r="M111" s="31" t="inlineStr"/>
      <c r="N111" s="32">
        <f>IF(M111="Underperforming",-5,IF(L111&gt;=95,15,IF(L111&gt;=90,10,IF(L111&gt;=80,5,0))))</f>
        <v/>
      </c>
      <c r="O111" s="32" t="n">
        <v>70.8</v>
      </c>
      <c r="P111" s="32" t="n">
        <v>53.81</v>
      </c>
      <c r="Q111" s="32" t="n">
        <v>346.26</v>
      </c>
      <c r="R111" s="31" t="inlineStr">
        <is>
          <t>Near 52W High Breakout</t>
        </is>
      </c>
      <c r="S111" s="31" t="inlineStr">
        <is>
          <t>Nifty Realty</t>
        </is>
      </c>
      <c r="T111" s="32" t="inlineStr"/>
      <c r="U111" s="32" t="inlineStr"/>
      <c r="V111" s="32" t="inlineStr"/>
      <c r="W111" s="32" t="inlineStr"/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Less than 1.5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More than 1.2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IF(B112=0,"",RANK(B112,$B$2:$B$249,0))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PCJEWELLER</t>
        </is>
      </c>
      <c r="D112" s="31" t="inlineStr">
        <is>
          <t>Pc Jeweller Limited</t>
        </is>
      </c>
      <c r="E112" s="31" t="inlineStr">
        <is>
          <t>consumer discretionary</t>
        </is>
      </c>
      <c r="F112" s="31" t="inlineStr">
        <is>
          <t>diamond cutting / jewellery</t>
        </is>
      </c>
      <c r="G112" s="31" t="inlineStr">
        <is>
          <t>midcap</t>
        </is>
      </c>
      <c r="H112" s="32" t="n">
        <v>12847.04</v>
      </c>
      <c r="I112" s="32" t="n">
        <v>13.2</v>
      </c>
      <c r="J112" s="32" t="n">
        <v>-0.23</v>
      </c>
      <c r="K112" s="32" t="n">
        <v>227698090</v>
      </c>
      <c r="L112" s="31" t="n">
        <v>23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63.27</v>
      </c>
      <c r="P112" s="32" t="n">
        <v>34</v>
      </c>
      <c r="Q112" s="32" t="n">
        <v>9.960000000000001</v>
      </c>
      <c r="R112" s="31" t="inlineStr">
        <is>
          <t>Earnings / Momentum Support</t>
        </is>
      </c>
      <c r="S112" s="31" t="inlineStr">
        <is>
          <t>Nifty 50</t>
        </is>
      </c>
      <c r="T112" s="32" t="n">
        <v>-9.130000000000001</v>
      </c>
      <c r="U112" s="32" t="n">
        <v>-1.57</v>
      </c>
      <c r="V112" s="32" t="n">
        <v>8.33</v>
      </c>
      <c r="W112" s="32" t="n">
        <v>7.79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No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Less than 1.5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IF(B113=0,"",RANK(B113,$B$2:$B$249,0))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MANINFRA</t>
        </is>
      </c>
      <c r="D113" s="31" t="inlineStr">
        <is>
          <t>Man Infraconstruction Limited</t>
        </is>
      </c>
      <c r="E113" s="31" t="inlineStr">
        <is>
          <t>realty</t>
        </is>
      </c>
      <c r="F113" s="31" t="inlineStr">
        <is>
          <t>construction</t>
        </is>
      </c>
      <c r="G113" s="31" t="inlineStr">
        <is>
          <t>midcap</t>
        </is>
      </c>
      <c r="H113" s="32" t="n">
        <v>5162.89</v>
      </c>
      <c r="I113" s="32" t="n">
        <v>126.86</v>
      </c>
      <c r="J113" s="32" t="n">
        <v>-0.8100000000000001</v>
      </c>
      <c r="K113" s="32" t="n">
        <v>1599762</v>
      </c>
      <c r="L113" s="31" t="inlineStr"/>
      <c r="M113" s="31" t="inlineStr"/>
      <c r="N113" s="32">
        <f>IF(M113="Underperforming",-5,IF(L113&gt;=95,15,IF(L113&gt;=90,10,IF(L113&gt;=80,5,0))))</f>
        <v/>
      </c>
      <c r="O113" s="32" t="n">
        <v>58.73</v>
      </c>
      <c r="P113" s="32" t="n">
        <v>20.9</v>
      </c>
      <c r="Q113" s="32" t="n">
        <v>100.74</v>
      </c>
      <c r="R113" s="31" t="inlineStr">
        <is>
          <t>Earnings / Momentum Support</t>
        </is>
      </c>
      <c r="S113" s="31" t="inlineStr">
        <is>
          <t>Nifty Realty</t>
        </is>
      </c>
      <c r="T113" s="32" t="inlineStr"/>
      <c r="U113" s="32" t="inlineStr"/>
      <c r="V113" s="32" t="inlineStr"/>
      <c r="W113" s="32" t="inlineStr"/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No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Less than 1.5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IF(B114=0,"",RANK(B114,$B$2:$B$249,0))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FCL</t>
        </is>
      </c>
      <c r="D114" s="31" t="inlineStr">
        <is>
          <t>Fineotex Chemical Limited</t>
        </is>
      </c>
      <c r="E114" s="31" t="inlineStr">
        <is>
          <t>chemicals</t>
        </is>
      </c>
      <c r="F114" s="31" t="inlineStr">
        <is>
          <t>chemicals</t>
        </is>
      </c>
      <c r="G114" s="31" t="inlineStr">
        <is>
          <t>midcap</t>
        </is>
      </c>
      <c r="H114" s="32" t="n">
        <v>6747.12</v>
      </c>
      <c r="I114" s="32" t="n">
        <v>57.45</v>
      </c>
      <c r="J114" s="32" t="n">
        <v>-0.85</v>
      </c>
      <c r="K114" s="32" t="n">
        <v>16165821</v>
      </c>
      <c r="L114" s="31" t="n">
        <v>83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74.23999999999999</v>
      </c>
      <c r="P114" s="32" t="n">
        <v>48.63</v>
      </c>
      <c r="Q114" s="32" t="n">
        <v>44.88</v>
      </c>
      <c r="R114" s="31" t="inlineStr">
        <is>
          <t>Earnings / Momentum Support</t>
        </is>
      </c>
      <c r="S114" s="31" t="inlineStr">
        <is>
          <t>Nifty 50</t>
        </is>
      </c>
      <c r="T114" s="32" t="n">
        <v>-9.130000000000001</v>
      </c>
      <c r="U114" s="32" t="n">
        <v>129.59</v>
      </c>
      <c r="V114" s="32" t="n">
        <v>152.67</v>
      </c>
      <c r="W114" s="32" t="n">
        <v>32.58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No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Above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IF(B115=0,"",RANK(B115,$B$2:$B$249,0))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DMCC</t>
        </is>
      </c>
      <c r="D115" s="31" t="inlineStr">
        <is>
          <t>DMCC Speciality Chemicals Ltd</t>
        </is>
      </c>
      <c r="E115" s="31" t="inlineStr">
        <is>
          <t>chemicals</t>
        </is>
      </c>
      <c r="F115" s="31" t="inlineStr">
        <is>
          <t>chemicals</t>
        </is>
      </c>
      <c r="G115" s="31" t="inlineStr">
        <is>
          <t>smallcap</t>
        </is>
      </c>
      <c r="H115" s="32" t="n">
        <v>784.24</v>
      </c>
      <c r="I115" s="32" t="n">
        <v>311.7</v>
      </c>
      <c r="J115" s="32" t="n">
        <v>-0.87</v>
      </c>
      <c r="K115" s="32" t="n">
        <v>250289</v>
      </c>
      <c r="L115" s="31" t="n">
        <v>18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61.91</v>
      </c>
      <c r="P115" s="32" t="n">
        <v>35.38</v>
      </c>
      <c r="Q115" s="32" t="n">
        <v>230.03</v>
      </c>
      <c r="R115" s="31" t="inlineStr">
        <is>
          <t>Near 52W High Breakout</t>
        </is>
      </c>
      <c r="S115" s="31" t="inlineStr">
        <is>
          <t>Nifty 50</t>
        </is>
      </c>
      <c r="T115" s="32" t="n">
        <v>-9.130000000000001</v>
      </c>
      <c r="U115" s="32" t="n">
        <v>0.5600000000000001</v>
      </c>
      <c r="V115" s="32" t="n">
        <v>10.66</v>
      </c>
      <c r="W115" s="32" t="n">
        <v>6.53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No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IF(B116=0,"",RANK(B116,$B$2:$B$249,0))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STLNETWORK</t>
        </is>
      </c>
      <c r="D116" s="31" t="inlineStr">
        <is>
          <t>STL Networks Ltd</t>
        </is>
      </c>
      <c r="E116" s="31" t="inlineStr">
        <is>
          <t>telecom-service</t>
        </is>
      </c>
      <c r="F116" s="31" t="inlineStr">
        <is>
          <t>telecommunications - service provider</t>
        </is>
      </c>
      <c r="G116" s="31" t="inlineStr">
        <is>
          <t>smallcap</t>
        </is>
      </c>
      <c r="H116" s="32" t="n">
        <v>2414.03</v>
      </c>
      <c r="I116" s="32" t="n">
        <v>48.97</v>
      </c>
      <c r="J116" s="32" t="n">
        <v>-0.99</v>
      </c>
      <c r="K116" s="32" t="n">
        <v>26400187</v>
      </c>
      <c r="L116" s="31" t="n">
        <v>85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74.09</v>
      </c>
      <c r="P116" s="32" t="n">
        <v>34.94</v>
      </c>
      <c r="Q116" s="32" t="n">
        <v>42.16</v>
      </c>
      <c r="R116" s="31" t="inlineStr">
        <is>
          <t>Volume Spike / Accumulation</t>
        </is>
      </c>
      <c r="S116" s="31" t="inlineStr">
        <is>
          <t>Nifty 50</t>
        </is>
      </c>
      <c r="T116" s="32" t="n">
        <v>-9.130000000000001</v>
      </c>
      <c r="U116" s="32" t="n">
        <v>66.56</v>
      </c>
      <c r="V116" s="32" t="n">
        <v>83.31</v>
      </c>
      <c r="W116" s="32" t="n">
        <v>34.93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Oligopoly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Yes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No</t>
        </is>
      </c>
      <c r="BS116" s="31">
        <f>IF(BR116="NO",5,0)</f>
        <v/>
      </c>
      <c r="BT116" s="31" t="inlineStr">
        <is>
          <t>Less than 1.5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Between 0.7 to 1.2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IF(B117=0,"",RANK(B117,$B$2:$B$249,0))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TATVA</t>
        </is>
      </c>
      <c r="D117" s="31" t="inlineStr">
        <is>
          <t>Tatva Chintan Pharma Chem Ltd</t>
        </is>
      </c>
      <c r="E117" s="31" t="inlineStr">
        <is>
          <t>chemicals</t>
        </is>
      </c>
      <c r="F117" s="31" t="inlineStr">
        <is>
          <t>chemicals</t>
        </is>
      </c>
      <c r="G117" s="31" t="inlineStr">
        <is>
          <t>smallcap</t>
        </is>
      </c>
      <c r="H117" s="32" t="n">
        <v>4225.54</v>
      </c>
      <c r="I117" s="32" t="n">
        <v>1784.2</v>
      </c>
      <c r="J117" s="32" t="n">
        <v>-1.23</v>
      </c>
      <c r="K117" s="32" t="n">
        <v>55095</v>
      </c>
      <c r="L117" s="31" t="n">
        <v>65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67.09999999999999</v>
      </c>
      <c r="P117" s="32" t="n">
        <v>39.92</v>
      </c>
      <c r="Q117" s="32" t="n">
        <v>1345.41</v>
      </c>
      <c r="R117" s="31" t="inlineStr">
        <is>
          <t>Near 52W High Breakout</t>
        </is>
      </c>
      <c r="S117" s="31" t="inlineStr">
        <is>
          <t>Nifty 50</t>
        </is>
      </c>
      <c r="T117" s="32" t="n">
        <v>-9.130000000000001</v>
      </c>
      <c r="U117" s="32" t="n">
        <v>70.98999999999999</v>
      </c>
      <c r="V117" s="32" t="n">
        <v>88.18000000000001</v>
      </c>
      <c r="W117" s="32" t="n">
        <v>22.28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IF(B118=0,"",RANK(B118,$B$2:$B$249,0))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ARROWGREEN</t>
        </is>
      </c>
      <c r="D118" s="31" t="inlineStr">
        <is>
          <t>Arrow Greentech Limited</t>
        </is>
      </c>
      <c r="E118" s="31" t="inlineStr">
        <is>
          <t>plastic products</t>
        </is>
      </c>
      <c r="F118" s="31" t="inlineStr">
        <is>
          <t>plastics products</t>
        </is>
      </c>
      <c r="G118" s="31" t="inlineStr">
        <is>
          <t>smallcap</t>
        </is>
      </c>
      <c r="H118" s="32" t="n">
        <v>1316.42</v>
      </c>
      <c r="I118" s="32" t="n">
        <v>856.05</v>
      </c>
      <c r="J118" s="32" t="n">
        <v>-1.89</v>
      </c>
      <c r="K118" s="32" t="n">
        <v>48123</v>
      </c>
      <c r="L118" s="31" t="n">
        <v>51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65.69</v>
      </c>
      <c r="P118" s="32" t="n">
        <v>49.25</v>
      </c>
      <c r="Q118" s="32" t="n">
        <v>674.12</v>
      </c>
      <c r="R118" s="31" t="inlineStr">
        <is>
          <t>Earnings / Momentum Support</t>
        </is>
      </c>
      <c r="S118" s="31" t="inlineStr">
        <is>
          <t>Nifty 50</t>
        </is>
      </c>
      <c r="T118" s="32" t="n">
        <v>-9.130000000000001</v>
      </c>
      <c r="U118" s="32" t="n">
        <v>49.58</v>
      </c>
      <c r="V118" s="32" t="n">
        <v>64.61</v>
      </c>
      <c r="W118" s="32" t="n">
        <v>17.29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No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Above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IF(B119=0,"",RANK(B119,$B$2:$B$249,0))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CENTUM</t>
        </is>
      </c>
      <c r="D119" s="31" t="inlineStr">
        <is>
          <t>Centum Electronics Limited</t>
        </is>
      </c>
      <c r="E119" s="31" t="inlineStr">
        <is>
          <t>aerospace &amp; defence</t>
        </is>
      </c>
      <c r="F119" s="31" t="inlineStr">
        <is>
          <t>electronics - components</t>
        </is>
      </c>
      <c r="G119" s="31" t="inlineStr">
        <is>
          <t>midcap</t>
        </is>
      </c>
      <c r="H119" s="32" t="n">
        <v>7262.47</v>
      </c>
      <c r="I119" s="32" t="n">
        <v>4797.9</v>
      </c>
      <c r="J119" s="32" t="n">
        <v>-2.5</v>
      </c>
      <c r="K119" s="32" t="n">
        <v>90214</v>
      </c>
      <c r="L119" s="31" t="n">
        <v>65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76.76000000000001</v>
      </c>
      <c r="P119" s="32" t="n">
        <v>53.07</v>
      </c>
      <c r="Q119" s="32" t="n">
        <v>3631.91</v>
      </c>
      <c r="R119" s="31" t="inlineStr">
        <is>
          <t>Near 52W High Breakout</t>
        </is>
      </c>
      <c r="S119" s="31" t="inlineStr">
        <is>
          <t>Nifty 50</t>
        </is>
      </c>
      <c r="T119" s="32" t="n">
        <v>-9.130000000000001</v>
      </c>
      <c r="U119" s="32" t="n">
        <v>95.38</v>
      </c>
      <c r="V119" s="32" t="n">
        <v>115.02</v>
      </c>
      <c r="W119" s="32" t="n">
        <v>22.03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Above 40</t>
        </is>
      </c>
      <c r="AY119" s="31">
        <f>IF(AX119="Above 40",20,IF(AX119="20 to 40",10,IF(AX119="0 to 20",-5,0)))</f>
        <v/>
      </c>
      <c r="AZ119" s="31" t="inlineStr">
        <is>
          <t>Above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Blue sky scenario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IF(B120=0,"",RANK(B120,$B$2:$B$249,0))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MVGJL</t>
        </is>
      </c>
      <c r="D120" s="31" t="inlineStr">
        <is>
          <t>Manoj Vaibhav Gems N Jewellers Ltd</t>
        </is>
      </c>
      <c r="E120" s="31" t="inlineStr">
        <is>
          <t>consumer discretionary</t>
        </is>
      </c>
      <c r="F120" s="31" t="inlineStr">
        <is>
          <t>diamond cutting / jewellery</t>
        </is>
      </c>
      <c r="G120" s="31" t="inlineStr">
        <is>
          <t>smallcap</t>
        </is>
      </c>
      <c r="H120" s="32" t="n">
        <v>1038.5</v>
      </c>
      <c r="I120" s="32" t="n">
        <v>207.16</v>
      </c>
      <c r="J120" s="32" t="n">
        <v>-2.56</v>
      </c>
      <c r="K120" s="32" t="n">
        <v>143718</v>
      </c>
      <c r="L120" s="31" t="n">
        <v>34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62.73</v>
      </c>
      <c r="P120" s="32" t="n">
        <v>21.42</v>
      </c>
      <c r="Q120" s="32" t="n">
        <v>162</v>
      </c>
      <c r="R120" s="31" t="inlineStr">
        <is>
          <t>Earnings / Momentum Support</t>
        </is>
      </c>
      <c r="S120" s="31" t="inlineStr">
        <is>
          <t>Nifty 50</t>
        </is>
      </c>
      <c r="T120" s="32" t="n">
        <v>-9.130000000000001</v>
      </c>
      <c r="U120" s="32" t="n">
        <v>8.970000000000001</v>
      </c>
      <c r="V120" s="32" t="n">
        <v>19.93</v>
      </c>
      <c r="W120" s="32" t="n">
        <v>10.63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No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Less than 1.5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IF(B121=0,"",RANK(B121,$B$2:$B$249,0))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INDORAMA</t>
        </is>
      </c>
      <c r="D121" s="31" t="inlineStr">
        <is>
          <t>Indo Rama Synthetics (india) Limited</t>
        </is>
      </c>
      <c r="E121" s="31" t="inlineStr">
        <is>
          <t>textiles</t>
        </is>
      </c>
      <c r="F121" s="31" t="inlineStr">
        <is>
          <t>textiles - manmade</t>
        </is>
      </c>
      <c r="G121" s="31" t="inlineStr">
        <is>
          <t>smallcap</t>
        </is>
      </c>
      <c r="H121" s="32" t="n">
        <v>2700.95</v>
      </c>
      <c r="I121" s="32" t="n">
        <v>100.36</v>
      </c>
      <c r="J121" s="32" t="n">
        <v>-2.98</v>
      </c>
      <c r="K121" s="32" t="n">
        <v>1164796</v>
      </c>
      <c r="L121" s="31" t="n">
        <v>89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86.42</v>
      </c>
      <c r="P121" s="32" t="n">
        <v>64.27</v>
      </c>
      <c r="Q121" s="32" t="n">
        <v>72.56999999999999</v>
      </c>
      <c r="R121" s="31" t="inlineStr">
        <is>
          <t>Near 52W High Breakout</t>
        </is>
      </c>
      <c r="S121" s="31" t="inlineStr">
        <is>
          <t>Nifty 50</t>
        </is>
      </c>
      <c r="T121" s="32" t="n">
        <v>-9.130000000000001</v>
      </c>
      <c r="U121" s="32" t="n">
        <v>60.99</v>
      </c>
      <c r="V121" s="32" t="n">
        <v>77.17</v>
      </c>
      <c r="W121" s="32" t="n">
        <v>39.6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Above 40</t>
        </is>
      </c>
      <c r="AY121" s="31">
        <f>IF(AX121="Above 40",20,IF(AX121="20 to 40",10,IF(AX121="0 to 20",-5,0)))</f>
        <v/>
      </c>
      <c r="AZ121" s="31" t="inlineStr">
        <is>
          <t>Above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Blue sky scenario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Less than 1.5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More than 1.2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IF(B122=0,"",RANK(B122,$B$2:$B$249,0))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WELCORP</t>
        </is>
      </c>
      <c r="D122" s="31" t="inlineStr">
        <is>
          <t>Welspun Corp Limited</t>
        </is>
      </c>
      <c r="E122" s="31" t="inlineStr">
        <is>
          <t>industrials</t>
        </is>
      </c>
      <c r="F122" s="31" t="inlineStr">
        <is>
          <t>steel - large</t>
        </is>
      </c>
      <c r="G122" s="31" t="inlineStr">
        <is>
          <t>largecap</t>
        </is>
      </c>
      <c r="H122" s="32" t="n">
        <v>74969.3</v>
      </c>
      <c r="I122" s="32" t="n">
        <v>2717</v>
      </c>
      <c r="J122" s="32" t="n">
        <v>-4.4</v>
      </c>
      <c r="K122" s="32" t="n">
        <v>1718055</v>
      </c>
      <c r="L122" s="31" t="inlineStr"/>
      <c r="M122" s="31" t="inlineStr"/>
      <c r="N122" s="32">
        <f>IF(M122="Underperforming",-5,IF(L122&gt;=95,15,IF(L122&gt;=90,10,IF(L122&gt;=80,5,0))))</f>
        <v/>
      </c>
      <c r="O122" s="32" t="n">
        <v>86.08</v>
      </c>
      <c r="P122" s="32" t="n">
        <v>76.06999999999999</v>
      </c>
      <c r="Q122" s="32" t="n">
        <v>2272.2</v>
      </c>
      <c r="R122" s="31" t="inlineStr">
        <is>
          <t>Near 52W High Breakout</t>
        </is>
      </c>
      <c r="S122" s="31" t="inlineStr">
        <is>
          <t>Nifty Metal</t>
        </is>
      </c>
      <c r="T122" s="32" t="inlineStr"/>
      <c r="U122" s="32" t="inlineStr"/>
      <c r="V122" s="32" t="inlineStr"/>
      <c r="W122" s="32" t="inlineStr"/>
      <c r="X122" s="31" t="inlineStr">
        <is>
          <t>Cyclical in an Upturn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Above 40</t>
        </is>
      </c>
      <c r="AY122" s="31">
        <f>IF(AX122="Above 40",20,IF(AX122="20 to 40",10,IF(AX122="0 to 20",-5,0)))</f>
        <v/>
      </c>
      <c r="AZ122" s="31" t="inlineStr">
        <is>
          <t>Above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Blue sky scenario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No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IF(B123=0,"",RANK(B123,$B$2:$B$249,0))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NINSYS</t>
        </is>
      </c>
      <c r="D123" s="31" t="inlineStr">
        <is>
          <t>NINtec Systems Ltd</t>
        </is>
      </c>
      <c r="E123" s="31" t="inlineStr">
        <is>
          <t>i.t</t>
        </is>
      </c>
      <c r="F123" s="31" t="inlineStr">
        <is>
          <t>computers - software - medium / small</t>
        </is>
      </c>
      <c r="G123" s="31" t="inlineStr">
        <is>
          <t>smallcap</t>
        </is>
      </c>
      <c r="H123" s="32" t="n">
        <v>1369.33</v>
      </c>
      <c r="I123" s="32" t="n">
        <v>766.35</v>
      </c>
      <c r="J123" s="32" t="n">
        <v>3.96</v>
      </c>
      <c r="K123" s="32" t="n">
        <v>15354</v>
      </c>
      <c r="L123" s="31" t="n">
        <v>53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63.46</v>
      </c>
      <c r="P123" s="32" t="n">
        <v>41.04</v>
      </c>
      <c r="Q123" s="32" t="n">
        <v>708.51</v>
      </c>
      <c r="R123" s="31" t="inlineStr">
        <is>
          <t>Earnings / Momentum Support</t>
        </is>
      </c>
      <c r="S123" s="31" t="inlineStr">
        <is>
          <t>Nifty IT</t>
        </is>
      </c>
      <c r="T123" s="32" t="n">
        <v>-18.39</v>
      </c>
      <c r="U123" s="32" t="n">
        <v>74.03</v>
      </c>
      <c r="V123" s="32" t="n">
        <v>113.26</v>
      </c>
      <c r="W123" s="32" t="n">
        <v>17.98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No</t>
        </is>
      </c>
      <c r="AQ123" s="31">
        <f>IF(AP123="Yes",10,0)</f>
        <v/>
      </c>
      <c r="AR123" s="31" t="inlineStr">
        <is>
          <t>Higher Annuity, Lower One Time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Above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IF(B124=0,"",RANK(B124,$B$2:$B$249,0))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ONEPOINT</t>
        </is>
      </c>
      <c r="D124" s="31" t="inlineStr">
        <is>
          <t>One Point One Solutions Ltd</t>
        </is>
      </c>
      <c r="E124" s="31" t="inlineStr">
        <is>
          <t>i.t</t>
        </is>
      </c>
      <c r="F124" s="31" t="inlineStr">
        <is>
          <t>computers - software - medium / small</t>
        </is>
      </c>
      <c r="G124" s="31" t="inlineStr">
        <is>
          <t>smallcap</t>
        </is>
      </c>
      <c r="H124" s="32" t="n">
        <v>1883.15</v>
      </c>
      <c r="I124" s="32" t="n">
        <v>73.39</v>
      </c>
      <c r="J124" s="32" t="n">
        <v>2.47</v>
      </c>
      <c r="K124" s="32" t="n">
        <v>6743812</v>
      </c>
      <c r="L124" s="31" t="n">
        <v>46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71.89</v>
      </c>
      <c r="P124" s="32" t="n">
        <v>16.06</v>
      </c>
      <c r="Q124" s="32" t="n">
        <v>57.06</v>
      </c>
      <c r="R124" s="31" t="inlineStr">
        <is>
          <t>Volume Spike &amp; Near 52W High Breakout</t>
        </is>
      </c>
      <c r="S124" s="31" t="inlineStr">
        <is>
          <t>Nifty IT</t>
        </is>
      </c>
      <c r="T124" s="32" t="n">
        <v>-18.39</v>
      </c>
      <c r="U124" s="32" t="n">
        <v>52.39</v>
      </c>
      <c r="V124" s="32" t="n">
        <v>86.73999999999999</v>
      </c>
      <c r="W124" s="32" t="n">
        <v>15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Annuity, Lower One Time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0 to 20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Blue sky scenario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Less than 1.5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IF(B125=0,"",RANK(B125,$B$2:$B$249,0))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BAFNAPH</t>
        </is>
      </c>
      <c r="D125" s="31" t="inlineStr">
        <is>
          <t>Bafna Pharmaceuticals Ltd</t>
        </is>
      </c>
      <c r="E125" s="31" t="inlineStr">
        <is>
          <t>healthcare</t>
        </is>
      </c>
      <c r="F125" s="31" t="inlineStr">
        <is>
          <t>pharmaceuticals - indian - formulations</t>
        </is>
      </c>
      <c r="G125" s="31" t="inlineStr">
        <is>
          <t>smallcap</t>
        </is>
      </c>
      <c r="H125" s="32" t="n">
        <v>861.45</v>
      </c>
      <c r="I125" s="32" t="n">
        <v>371.35</v>
      </c>
      <c r="J125" s="32" t="n">
        <v>1.98</v>
      </c>
      <c r="K125" s="32" t="n">
        <v>546</v>
      </c>
      <c r="L125" s="31" t="n">
        <v>90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79.70999999999999</v>
      </c>
      <c r="P125" s="32" t="n">
        <v>62.36</v>
      </c>
      <c r="Q125" s="32" t="n">
        <v>299.23</v>
      </c>
      <c r="R125" s="31" t="inlineStr">
        <is>
          <t>Near 52W High Breakout</t>
        </is>
      </c>
      <c r="S125" s="31" t="inlineStr">
        <is>
          <t>Nifty Pharma</t>
        </is>
      </c>
      <c r="T125" s="32" t="n">
        <v>21.52</v>
      </c>
      <c r="U125" s="32" t="n">
        <v>119.4</v>
      </c>
      <c r="V125" s="32" t="n">
        <v>80.55</v>
      </c>
      <c r="W125" s="32" t="n">
        <v>40.1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Yes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Annuity, Lower One Time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Above 40</t>
        </is>
      </c>
      <c r="AY125" s="31">
        <f>IF(AX125="Above 40",20,IF(AX125="20 to 40",10,IF(AX125="0 to 20",-5,0)))</f>
        <v/>
      </c>
      <c r="AZ125" s="31" t="inlineStr">
        <is>
          <t>Above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Blue sky scenario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Less than 12%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IF(B126=0,"",RANK(B126,$B$2:$B$249,0))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DBOL</t>
        </is>
      </c>
      <c r="D126" s="31" t="inlineStr">
        <is>
          <t>Dhampur Bio Organics Ltd</t>
        </is>
      </c>
      <c r="E126" s="31" t="inlineStr">
        <is>
          <t>fmcg</t>
        </is>
      </c>
      <c r="F126" s="31" t="inlineStr">
        <is>
          <t>sugar</t>
        </is>
      </c>
      <c r="G126" s="31" t="inlineStr">
        <is>
          <t>smallcap</t>
        </is>
      </c>
      <c r="H126" s="32" t="n">
        <v>826.46</v>
      </c>
      <c r="I126" s="32" t="n">
        <v>126.1</v>
      </c>
      <c r="J126" s="32" t="n">
        <v>1.29</v>
      </c>
      <c r="K126" s="32" t="n">
        <v>321088</v>
      </c>
      <c r="L126" s="31" t="inlineStr"/>
      <c r="M126" s="31" t="inlineStr"/>
      <c r="N126" s="32">
        <f>IF(M126="Underperforming",-5,IF(L126&gt;=95,15,IF(L126&gt;=90,10,IF(L126&gt;=80,5,0))))</f>
        <v/>
      </c>
      <c r="O126" s="32" t="n">
        <v>60.08</v>
      </c>
      <c r="P126" s="32" t="n">
        <v>34.47</v>
      </c>
      <c r="Q126" s="32" t="n">
        <v>96.55</v>
      </c>
      <c r="R126" s="31" t="inlineStr">
        <is>
          <t>Near 52W High Breakout</t>
        </is>
      </c>
      <c r="S126" s="31" t="inlineStr">
        <is>
          <t>Nifty FMCG</t>
        </is>
      </c>
      <c r="T126" s="32" t="inlineStr"/>
      <c r="U126" s="32" t="inlineStr"/>
      <c r="V126" s="32" t="inlineStr"/>
      <c r="W126" s="32" t="inlineStr"/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B2C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Annuity, Lower One Time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Between 0.7 to 1.2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IF(B127=0,"",RANK(B127,$B$2:$B$249,0))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ABDL</t>
        </is>
      </c>
      <c r="D127" s="31" t="inlineStr">
        <is>
          <t>Allied Blenders &amp; Distillers Ltd</t>
        </is>
      </c>
      <c r="E127" s="31" t="inlineStr">
        <is>
          <t>fmcg</t>
        </is>
      </c>
      <c r="F127" s="31" t="inlineStr">
        <is>
          <t>breweries &amp; distilleries</t>
        </is>
      </c>
      <c r="G127" s="31" t="inlineStr">
        <is>
          <t>largecap</t>
        </is>
      </c>
      <c r="H127" s="32" t="n">
        <v>20041.23</v>
      </c>
      <c r="I127" s="32" t="n">
        <v>718.9</v>
      </c>
      <c r="J127" s="32" t="n">
        <v>0.34</v>
      </c>
      <c r="K127" s="32" t="n">
        <v>319559</v>
      </c>
      <c r="L127" s="31" t="inlineStr"/>
      <c r="M127" s="31" t="inlineStr"/>
      <c r="N127" s="32">
        <f>IF(M127="Underperforming",-5,IF(L127&gt;=95,15,IF(L127&gt;=90,10,IF(L127&gt;=80,5,0))))</f>
        <v/>
      </c>
      <c r="O127" s="32" t="n">
        <v>70.54000000000001</v>
      </c>
      <c r="P127" s="32" t="n">
        <v>26.13</v>
      </c>
      <c r="Q127" s="32" t="n">
        <v>566.67</v>
      </c>
      <c r="R127" s="31" t="inlineStr">
        <is>
          <t>Near 52W High Breakout</t>
        </is>
      </c>
      <c r="S127" s="31" t="inlineStr">
        <is>
          <t>Nifty FMCG</t>
        </is>
      </c>
      <c r="T127" s="32" t="inlineStr"/>
      <c r="U127" s="32" t="inlineStr"/>
      <c r="V127" s="32" t="inlineStr"/>
      <c r="W127" s="32" t="inlineStr"/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B2C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Annuity, Lower One Time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Less than 12%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IF(B128=0,"",RANK(B128,$B$2:$B$249,0))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3" t="inlineStr">
        <is>
          <t>SURAKSHA</t>
        </is>
      </c>
      <c r="D128" s="33" t="inlineStr">
        <is>
          <t>Suraksha Diagnostic Ltd</t>
        </is>
      </c>
      <c r="E128" s="31" t="inlineStr">
        <is>
          <t>healthcare</t>
        </is>
      </c>
      <c r="F128" s="31" t="inlineStr">
        <is>
          <t>healthcare</t>
        </is>
      </c>
      <c r="G128" s="31" t="inlineStr">
        <is>
          <t>smallcap</t>
        </is>
      </c>
      <c r="H128" s="32" t="n">
        <v>1849.13</v>
      </c>
      <c r="I128" s="32" t="n">
        <v>355.4</v>
      </c>
      <c r="J128" s="32" t="n">
        <v>0.1</v>
      </c>
      <c r="K128" s="32" t="n">
        <v>121095</v>
      </c>
      <c r="L128" s="31" t="n">
        <v>34</v>
      </c>
      <c r="M128" s="31" t="inlineStr">
        <is>
          <t>Underperforming</t>
        </is>
      </c>
      <c r="N128" s="32">
        <f>IF(M128="Underperforming",-5,IF(L128&gt;=95,15,IF(L128&gt;=90,10,IF(L128&gt;=80,5,0))))</f>
        <v/>
      </c>
      <c r="O128" s="32" t="n">
        <v>69.34</v>
      </c>
      <c r="P128" s="32" t="n">
        <v>22.26</v>
      </c>
      <c r="Q128" s="32" t="n">
        <v>279.28</v>
      </c>
      <c r="R128" s="31" t="inlineStr">
        <is>
          <t>Near 52W High Breakout</t>
        </is>
      </c>
      <c r="S128" s="31" t="inlineStr">
        <is>
          <t>Nifty Pharma</t>
        </is>
      </c>
      <c r="T128" s="32" t="n">
        <v>21.52</v>
      </c>
      <c r="U128" s="32" t="n">
        <v>18.78</v>
      </c>
      <c r="V128" s="32" t="n">
        <v>-2.25</v>
      </c>
      <c r="W128" s="32" t="n">
        <v>10.5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Yes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Annuity, Lower One Time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Less than 1.5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IF(B129=0,"",RANK(B129,$B$2:$B$249,0))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SIGMAADV</t>
        </is>
      </c>
      <c r="D129" s="31" t="inlineStr">
        <is>
          <t>Sigma Advanced System Ltd</t>
        </is>
      </c>
      <c r="E129" s="31" t="inlineStr">
        <is>
          <t>aerospace &amp; defence</t>
        </is>
      </c>
      <c r="F129" s="31" t="inlineStr">
        <is>
          <t>electronics - components</t>
        </is>
      </c>
      <c r="G129" s="31" t="inlineStr">
        <is>
          <t>midcap</t>
        </is>
      </c>
      <c r="H129" s="32" t="n">
        <v>18511.88</v>
      </c>
      <c r="I129" s="32" t="n">
        <v>1025.7</v>
      </c>
      <c r="J129" s="32" t="n">
        <v>5</v>
      </c>
      <c r="K129" s="32" t="n">
        <v>370551</v>
      </c>
      <c r="L129" s="31" t="n">
        <v>98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84.56999999999999</v>
      </c>
      <c r="P129" s="32" t="n">
        <v>63.01</v>
      </c>
      <c r="Q129" s="32" t="n">
        <v>777.76</v>
      </c>
      <c r="R129" s="31" t="inlineStr">
        <is>
          <t>Near 52W High Breakout</t>
        </is>
      </c>
      <c r="S129" s="31" t="inlineStr">
        <is>
          <t>Nifty 50</t>
        </is>
      </c>
      <c r="T129" s="32" t="n">
        <v>-9.130000000000001</v>
      </c>
      <c r="U129" s="32" t="n">
        <v>561.36</v>
      </c>
      <c r="V129" s="32" t="n">
        <v>627.84</v>
      </c>
      <c r="W129" s="32" t="n">
        <v>86.33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Above 40</t>
        </is>
      </c>
      <c r="AY129" s="31">
        <f>IF(AX129="Above 40",20,IF(AX129="20 to 40",10,IF(AX129="0 to 20",-5,0)))</f>
        <v/>
      </c>
      <c r="AZ129" s="31" t="inlineStr">
        <is>
          <t>Above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Blue sky scenario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Less than 12%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Between 0.7 to 1.2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IF(B130=0,"",RANK(B130,$B$2:$B$249,0))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TEXINFRA</t>
        </is>
      </c>
      <c r="D130" s="31" t="inlineStr">
        <is>
          <t>Texmaco Infrastructure &amp; Holdings Limited</t>
        </is>
      </c>
      <c r="E130" s="31" t="inlineStr">
        <is>
          <t>realty</t>
        </is>
      </c>
      <c r="F130" s="31" t="inlineStr">
        <is>
          <t>construction</t>
        </is>
      </c>
      <c r="G130" s="31" t="inlineStr">
        <is>
          <t>smallcap</t>
        </is>
      </c>
      <c r="H130" s="32" t="n">
        <v>1472.29</v>
      </c>
      <c r="I130" s="32" t="n">
        <v>119.41</v>
      </c>
      <c r="J130" s="32" t="n">
        <v>3.35</v>
      </c>
      <c r="K130" s="32" t="n">
        <v>649299</v>
      </c>
      <c r="L130" s="31" t="inlineStr"/>
      <c r="M130" s="31" t="inlineStr"/>
      <c r="N130" s="32">
        <f>IF(M130="Underperforming",-5,IF(L130&gt;=95,15,IF(L130&gt;=90,10,IF(L130&gt;=80,5,0))))</f>
        <v/>
      </c>
      <c r="O130" s="32" t="n">
        <v>66.86</v>
      </c>
      <c r="P130" s="32" t="n">
        <v>41.81</v>
      </c>
      <c r="Q130" s="32" t="n">
        <v>95.87</v>
      </c>
      <c r="R130" s="31" t="inlineStr">
        <is>
          <t>Near 52W High Breakout</t>
        </is>
      </c>
      <c r="S130" s="31" t="inlineStr">
        <is>
          <t>Nifty Realty</t>
        </is>
      </c>
      <c r="T130" s="32" t="inlineStr"/>
      <c r="U130" s="32" t="inlineStr"/>
      <c r="V130" s="32" t="inlineStr"/>
      <c r="W130" s="32" t="inlineStr"/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Above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Less than 12%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IF(B131=0,"",RANK(B131,$B$2:$B$249,0))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MAHLOG</t>
        </is>
      </c>
      <c r="D131" s="31" t="inlineStr">
        <is>
          <t>Mahindra Logistics Ltd</t>
        </is>
      </c>
      <c r="E131" s="31" t="inlineStr">
        <is>
          <t>transportation</t>
        </is>
      </c>
      <c r="F131" s="31" t="inlineStr">
        <is>
          <t>miscellaneous</t>
        </is>
      </c>
      <c r="G131" s="31" t="inlineStr">
        <is>
          <t>smallcap</t>
        </is>
      </c>
      <c r="H131" s="32" t="n">
        <v>4223.9</v>
      </c>
      <c r="I131" s="32" t="n">
        <v>435.85</v>
      </c>
      <c r="J131" s="32" t="n">
        <v>2.38</v>
      </c>
      <c r="K131" s="32" t="n">
        <v>367227</v>
      </c>
      <c r="L131" s="31" t="n">
        <v>20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63.99</v>
      </c>
      <c r="P131" s="32" t="n">
        <v>29.17</v>
      </c>
      <c r="Q131" s="32" t="n">
        <v>351.11</v>
      </c>
      <c r="R131" s="31" t="inlineStr">
        <is>
          <t>Near 52W High Breakout</t>
        </is>
      </c>
      <c r="S131" s="31" t="inlineStr">
        <is>
          <t>Nifty 50</t>
        </is>
      </c>
      <c r="T131" s="32" t="n">
        <v>-9.130000000000001</v>
      </c>
      <c r="U131" s="32" t="n">
        <v>24.41</v>
      </c>
      <c r="V131" s="32" t="n">
        <v>36.92</v>
      </c>
      <c r="W131" s="32" t="n">
        <v>7.08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20 to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IF(B132=0,"",RANK(B132,$B$2:$B$249,0))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RAYMOND</t>
        </is>
      </c>
      <c r="D132" s="31" t="inlineStr">
        <is>
          <t>Raymond Limited</t>
        </is>
      </c>
      <c r="E132" s="31" t="inlineStr">
        <is>
          <t>transportation</t>
        </is>
      </c>
      <c r="F132" s="31" t="inlineStr">
        <is>
          <t>transport - airlines</t>
        </is>
      </c>
      <c r="G132" s="31" t="inlineStr">
        <is>
          <t>midcap</t>
        </is>
      </c>
      <c r="H132" s="32" t="n">
        <v>7893.98</v>
      </c>
      <c r="I132" s="32" t="n">
        <v>1213.05</v>
      </c>
      <c r="J132" s="32" t="n">
        <v>2.3</v>
      </c>
      <c r="K132" s="32" t="n">
        <v>1545036</v>
      </c>
      <c r="L132" s="31" t="n">
        <v>94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85.45</v>
      </c>
      <c r="P132" s="32" t="n">
        <v>55.74</v>
      </c>
      <c r="Q132" s="32" t="n">
        <v>935.0700000000001</v>
      </c>
      <c r="R132" s="31" t="inlineStr">
        <is>
          <t>Near 52W High Breakout</t>
        </is>
      </c>
      <c r="S132" s="31" t="inlineStr">
        <is>
          <t>Nifty 50</t>
        </is>
      </c>
      <c r="T132" s="32" t="n">
        <v>-9.130000000000001</v>
      </c>
      <c r="U132" s="32" t="n">
        <v>106.2</v>
      </c>
      <c r="V132" s="32" t="n">
        <v>126.92</v>
      </c>
      <c r="W132" s="32" t="n">
        <v>45.38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Above 40</t>
        </is>
      </c>
      <c r="AY132" s="31">
        <f>IF(AX132="Above 40",20,IF(AX132="20 to 40",10,IF(AX132="0 to 20",-5,0)))</f>
        <v/>
      </c>
      <c r="AZ132" s="31" t="inlineStr">
        <is>
          <t>Above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Less than 12%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IF(B133=0,"",RANK(B133,$B$2:$B$249,0))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GANDHAR</t>
        </is>
      </c>
      <c r="D133" s="31" t="inlineStr">
        <is>
          <t>Gandhar Oil Refinery (India) Ltd</t>
        </is>
      </c>
      <c r="E133" s="31" t="inlineStr">
        <is>
          <t>energy</t>
        </is>
      </c>
      <c r="F133" s="31" t="inlineStr">
        <is>
          <t>refineries</t>
        </is>
      </c>
      <c r="G133" s="31" t="inlineStr">
        <is>
          <t>smallcap</t>
        </is>
      </c>
      <c r="H133" s="32" t="n">
        <v>2677.49</v>
      </c>
      <c r="I133" s="32" t="n">
        <v>278.85</v>
      </c>
      <c r="J133" s="32" t="n">
        <v>1.94</v>
      </c>
      <c r="K133" s="32" t="n">
        <v>742278</v>
      </c>
      <c r="L133" s="31" t="inlineStr"/>
      <c r="M133" s="31" t="inlineStr"/>
      <c r="N133" s="32">
        <f>IF(M133="Underperforming",-5,IF(L133&gt;=95,15,IF(L133&gt;=90,10,IF(L133&gt;=80,5,0))))</f>
        <v/>
      </c>
      <c r="O133" s="32" t="n">
        <v>68.81</v>
      </c>
      <c r="P133" s="32" t="n">
        <v>77.18000000000001</v>
      </c>
      <c r="Q133" s="32" t="n">
        <v>212.74</v>
      </c>
      <c r="R133" s="31" t="inlineStr">
        <is>
          <t>Near 52W High Breakout</t>
        </is>
      </c>
      <c r="S133" s="31" t="inlineStr">
        <is>
          <t>Nifty Energy</t>
        </is>
      </c>
      <c r="T133" s="32" t="inlineStr"/>
      <c r="U133" s="32" t="inlineStr"/>
      <c r="V133" s="32" t="inlineStr"/>
      <c r="W133" s="32" t="inlineStr"/>
      <c r="X133" s="31" t="inlineStr">
        <is>
          <t>Cyclical in an Upturn</t>
        </is>
      </c>
      <c r="Y133" s="31">
        <f>IF(X133="Growing Industry",10,IF(X133="Cyclical in an Upturn",5,0))</f>
        <v/>
      </c>
      <c r="Z133" s="31" t="inlineStr">
        <is>
          <t>Oligopoly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Yes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Cyclical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Volatile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Above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Blue sky scenario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No</t>
        </is>
      </c>
      <c r="BS133" s="31">
        <f>IF(BR133="NO",5,0)</f>
        <v/>
      </c>
      <c r="BT133" s="31" t="inlineStr">
        <is>
          <t>Less than 1.5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IF(B134=0,"",RANK(B134,$B$2:$B$249,0))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GULFOILLUB</t>
        </is>
      </c>
      <c r="D134" s="31" t="inlineStr">
        <is>
          <t>Gulf Oil Lubricants India Limited</t>
        </is>
      </c>
      <c r="E134" s="31" t="inlineStr">
        <is>
          <t>chemicals</t>
        </is>
      </c>
      <c r="F134" s="31" t="inlineStr">
        <is>
          <t>chemicals</t>
        </is>
      </c>
      <c r="G134" s="31" t="inlineStr">
        <is>
          <t>midcap</t>
        </is>
      </c>
      <c r="H134" s="32" t="n">
        <v>5475.57</v>
      </c>
      <c r="I134" s="32" t="n">
        <v>1125.4</v>
      </c>
      <c r="J134" s="32" t="n">
        <v>1.77</v>
      </c>
      <c r="K134" s="32" t="n">
        <v>61978</v>
      </c>
      <c r="L134" s="31" t="n">
        <v>8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59.16</v>
      </c>
      <c r="P134" s="32" t="n">
        <v>20</v>
      </c>
      <c r="Q134" s="32" t="n">
        <v>956.24</v>
      </c>
      <c r="R134" s="31" t="inlineStr">
        <is>
          <t>Near 52W High Breakout</t>
        </is>
      </c>
      <c r="S134" s="31" t="inlineStr">
        <is>
          <t>Nifty 50</t>
        </is>
      </c>
      <c r="T134" s="32" t="n">
        <v>-9.130000000000001</v>
      </c>
      <c r="U134" s="32" t="n">
        <v>-3.92</v>
      </c>
      <c r="V134" s="32" t="n">
        <v>5.74</v>
      </c>
      <c r="W134" s="32" t="n">
        <v>2.28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0 to 20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Less than 1.5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IF(B135=0,"",RANK(B135,$B$2:$B$249,0))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SGIL</t>
        </is>
      </c>
      <c r="D135" s="31" t="inlineStr">
        <is>
          <t>Synergy Green Industries Ltd</t>
        </is>
      </c>
      <c r="E135" s="31" t="inlineStr">
        <is>
          <t>castings, forgings &amp; fasteners</t>
        </is>
      </c>
      <c r="F135" s="31" t="inlineStr">
        <is>
          <t>castings &amp; forgings</t>
        </is>
      </c>
      <c r="G135" s="31" t="inlineStr">
        <is>
          <t>smallcap</t>
        </is>
      </c>
      <c r="H135" s="32" t="n">
        <v>1021.72</v>
      </c>
      <c r="I135" s="32" t="n">
        <v>666.2</v>
      </c>
      <c r="J135" s="32" t="n">
        <v>1.35</v>
      </c>
      <c r="K135" s="32" t="n">
        <v>4759</v>
      </c>
      <c r="L135" s="31" t="n">
        <v>26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66.53</v>
      </c>
      <c r="P135" s="32" t="n">
        <v>23.74</v>
      </c>
      <c r="Q135" s="32" t="n">
        <v>510.88</v>
      </c>
      <c r="R135" s="31" t="inlineStr">
        <is>
          <t>Near 52W High Breakout</t>
        </is>
      </c>
      <c r="S135" s="31" t="inlineStr">
        <is>
          <t>Nifty 50</t>
        </is>
      </c>
      <c r="T135" s="32" t="n">
        <v>-9.130000000000001</v>
      </c>
      <c r="U135" s="32" t="n">
        <v>23.43</v>
      </c>
      <c r="V135" s="32" t="n">
        <v>35.83</v>
      </c>
      <c r="W135" s="32" t="n">
        <v>8.58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Less than 1.5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More than 1.2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IF(B136=0,"",RANK(B136,$B$2:$B$249,0))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SHREEJISPG</t>
        </is>
      </c>
      <c r="D136" s="31" t="inlineStr">
        <is>
          <t>Shreeji Shipping Global Ltd</t>
        </is>
      </c>
      <c r="E136" s="31" t="inlineStr">
        <is>
          <t>transportation</t>
        </is>
      </c>
      <c r="F136" s="31" t="inlineStr">
        <is>
          <t>shipping</t>
        </is>
      </c>
      <c r="G136" s="31" t="inlineStr">
        <is>
          <t>midcap</t>
        </is>
      </c>
      <c r="H136" s="32" t="n">
        <v>12435.55</v>
      </c>
      <c r="I136" s="32" t="n">
        <v>770.4</v>
      </c>
      <c r="J136" s="32" t="n">
        <v>0.93</v>
      </c>
      <c r="K136" s="32" t="n">
        <v>359788</v>
      </c>
      <c r="L136" s="31" t="n">
        <v>89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83.18000000000001</v>
      </c>
      <c r="P136" s="32" t="n">
        <v>56.55</v>
      </c>
      <c r="Q136" s="32" t="n">
        <v>641.52</v>
      </c>
      <c r="R136" s="31" t="inlineStr">
        <is>
          <t>Near 52W High Breakout</t>
        </is>
      </c>
      <c r="S136" s="31" t="inlineStr">
        <is>
          <t>Nifty 50</t>
        </is>
      </c>
      <c r="T136" s="32" t="n">
        <v>-9.130000000000001</v>
      </c>
      <c r="U136" s="32" t="n">
        <v>219.93</v>
      </c>
      <c r="V136" s="32" t="n">
        <v>252.08</v>
      </c>
      <c r="W136" s="32" t="n">
        <v>39.1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Above 40</t>
        </is>
      </c>
      <c r="AY136" s="31">
        <f>IF(AX136="Above 40",20,IF(AX136="20 to 40",10,IF(AX136="0 to 20",-5,0)))</f>
        <v/>
      </c>
      <c r="AZ136" s="31" t="inlineStr">
        <is>
          <t>Above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Blue sky scenario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Less than 12%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IF(B137=0,"",RANK(B137,$B$2:$B$249,0))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EMAMIPAP</t>
        </is>
      </c>
      <c r="D137" s="31" t="inlineStr">
        <is>
          <t>Emami Paper Mills Ltd</t>
        </is>
      </c>
      <c r="E137" s="31" t="inlineStr">
        <is>
          <t>building materials</t>
        </is>
      </c>
      <c r="F137" s="31" t="inlineStr">
        <is>
          <t>paper</t>
        </is>
      </c>
      <c r="G137" s="31" t="inlineStr">
        <is>
          <t>smallcap</t>
        </is>
      </c>
      <c r="H137" s="32" t="n">
        <v>717.64</v>
      </c>
      <c r="I137" s="32" t="n">
        <v>119.56</v>
      </c>
      <c r="J137" s="32" t="n">
        <v>0.79</v>
      </c>
      <c r="K137" s="32" t="n">
        <v>38369</v>
      </c>
      <c r="L137" s="31" t="inlineStr"/>
      <c r="M137" s="31" t="inlineStr"/>
      <c r="N137" s="32">
        <f>IF(M137="Underperforming",-5,IF(L137&gt;=95,15,IF(L137&gt;=90,10,IF(L137&gt;=80,5,0))))</f>
        <v/>
      </c>
      <c r="O137" s="32" t="n">
        <v>69.70999999999999</v>
      </c>
      <c r="P137" s="32" t="n">
        <v>39.15</v>
      </c>
      <c r="Q137" s="32" t="n">
        <v>90.06999999999999</v>
      </c>
      <c r="R137" s="31" t="inlineStr">
        <is>
          <t>Near 52W High Breakout</t>
        </is>
      </c>
      <c r="S137" s="31" t="inlineStr">
        <is>
          <t>Nifty Infra</t>
        </is>
      </c>
      <c r="T137" s="32" t="inlineStr"/>
      <c r="U137" s="32" t="inlineStr"/>
      <c r="V137" s="32" t="inlineStr"/>
      <c r="W137" s="32" t="inlineStr"/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Blue sky scenario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Less than 1.5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More than 1.2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IF(B138=0,"",RANK(B138,$B$2:$B$249,0))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ANDHRAPAP</t>
        </is>
      </c>
      <c r="D138" s="31" t="inlineStr">
        <is>
          <t>Andhra Paper Ltd</t>
        </is>
      </c>
      <c r="E138" s="31" t="inlineStr">
        <is>
          <t>building materials</t>
        </is>
      </c>
      <c r="F138" s="31" t="inlineStr">
        <is>
          <t>paper</t>
        </is>
      </c>
      <c r="G138" s="31" t="inlineStr">
        <is>
          <t>smallcap</t>
        </is>
      </c>
      <c r="H138" s="32" t="n">
        <v>1438.08</v>
      </c>
      <c r="I138" s="32" t="n">
        <v>72.68000000000001</v>
      </c>
      <c r="J138" s="32" t="n">
        <v>0.5</v>
      </c>
      <c r="K138" s="32" t="n">
        <v>240993</v>
      </c>
      <c r="L138" s="31" t="inlineStr"/>
      <c r="M138" s="31" t="inlineStr"/>
      <c r="N138" s="32">
        <f>IF(M138="Underperforming",-5,IF(L138&gt;=95,15,IF(L138&gt;=90,10,IF(L138&gt;=80,5,0))))</f>
        <v/>
      </c>
      <c r="O138" s="32" t="n">
        <v>65.39</v>
      </c>
      <c r="P138" s="32" t="n">
        <v>24.17</v>
      </c>
      <c r="Q138" s="32" t="n">
        <v>59.93</v>
      </c>
      <c r="R138" s="31" t="inlineStr">
        <is>
          <t>Earnings / Momentum Support</t>
        </is>
      </c>
      <c r="S138" s="31" t="inlineStr">
        <is>
          <t>Nifty Infra</t>
        </is>
      </c>
      <c r="T138" s="32" t="inlineStr"/>
      <c r="U138" s="32" t="inlineStr"/>
      <c r="V138" s="32" t="inlineStr"/>
      <c r="W138" s="32" t="inlineStr"/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No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Less than 1.5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IF(B139=0,"",RANK(B139,$B$2:$B$249,0))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EIMCOELECO</t>
        </is>
      </c>
      <c r="D139" s="31" t="inlineStr">
        <is>
          <t>Eimco Elecon (india) Limited</t>
        </is>
      </c>
      <c r="E139" s="31" t="inlineStr">
        <is>
          <t>industrials</t>
        </is>
      </c>
      <c r="F139" s="31" t="inlineStr">
        <is>
          <t>engineering</t>
        </is>
      </c>
      <c r="G139" s="31" t="inlineStr">
        <is>
          <t>smallcap</t>
        </is>
      </c>
      <c r="H139" s="32" t="n">
        <v>1314.21</v>
      </c>
      <c r="I139" s="32" t="n">
        <v>2269.2</v>
      </c>
      <c r="J139" s="32" t="n">
        <v>-0.4</v>
      </c>
      <c r="K139" s="32" t="n">
        <v>14680</v>
      </c>
      <c r="L139" s="31" t="n">
        <v>32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68.84</v>
      </c>
      <c r="P139" s="32" t="n">
        <v>58.45</v>
      </c>
      <c r="Q139" s="32" t="n">
        <v>1854.78</v>
      </c>
      <c r="R139" s="31" t="inlineStr">
        <is>
          <t>Near 52W High Breakout</t>
        </is>
      </c>
      <c r="S139" s="31" t="inlineStr">
        <is>
          <t>Nifty 50</t>
        </is>
      </c>
      <c r="T139" s="32" t="n">
        <v>-9.130000000000001</v>
      </c>
      <c r="U139" s="32" t="n">
        <v>25.63</v>
      </c>
      <c r="V139" s="32" t="n">
        <v>38.26</v>
      </c>
      <c r="W139" s="32" t="n">
        <v>10.07</v>
      </c>
      <c r="X139" s="31" t="inlineStr">
        <is>
          <t>Cyclical in an Upturn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Above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Less than 12%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IF(B140=0,"",RANK(B140,$B$2:$B$249,0))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JASH</t>
        </is>
      </c>
      <c r="D140" s="31" t="inlineStr">
        <is>
          <t>Jash Engineering Ltd</t>
        </is>
      </c>
      <c r="E140" s="31" t="inlineStr">
        <is>
          <t>industrials</t>
        </is>
      </c>
      <c r="F140" s="31" t="inlineStr">
        <is>
          <t>engineering</t>
        </is>
      </c>
      <c r="G140" s="31" t="inlineStr">
        <is>
          <t>smallcap</t>
        </is>
      </c>
      <c r="H140" s="32" t="n">
        <v>3781.51</v>
      </c>
      <c r="I140" s="32" t="n">
        <v>591.65</v>
      </c>
      <c r="J140" s="32" t="n">
        <v>-1.13</v>
      </c>
      <c r="K140" s="32" t="n">
        <v>838814</v>
      </c>
      <c r="L140" s="31" t="n">
        <v>32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69.45</v>
      </c>
      <c r="P140" s="32" t="n">
        <v>21.12</v>
      </c>
      <c r="Q140" s="32" t="n">
        <v>463.94</v>
      </c>
      <c r="R140" s="31" t="inlineStr">
        <is>
          <t>Near 52W High Breakout</t>
        </is>
      </c>
      <c r="S140" s="31" t="inlineStr">
        <is>
          <t>Nifty 50</t>
        </is>
      </c>
      <c r="T140" s="32" t="n">
        <v>-9.130000000000001</v>
      </c>
      <c r="U140" s="32" t="n">
        <v>24.83</v>
      </c>
      <c r="V140" s="32" t="n">
        <v>37.37</v>
      </c>
      <c r="W140" s="32" t="n">
        <v>10.18</v>
      </c>
      <c r="X140" s="31" t="inlineStr">
        <is>
          <t>Cyclical in an Upturn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Blue sky scenario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IF(B141=0,"",RANK(B141,$B$2:$B$249,0))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ASHIANA</t>
        </is>
      </c>
      <c r="D141" s="31" t="inlineStr">
        <is>
          <t>Ashiana Housing Limited</t>
        </is>
      </c>
      <c r="E141" s="31" t="inlineStr">
        <is>
          <t>realty</t>
        </is>
      </c>
      <c r="F141" s="31" t="inlineStr">
        <is>
          <t>construction</t>
        </is>
      </c>
      <c r="G141" s="31" t="inlineStr">
        <is>
          <t>smallcap</t>
        </is>
      </c>
      <c r="H141" s="32" t="n">
        <v>3926</v>
      </c>
      <c r="I141" s="32" t="n">
        <v>386</v>
      </c>
      <c r="J141" s="32" t="n">
        <v>-1.17</v>
      </c>
      <c r="K141" s="32" t="n">
        <v>34947</v>
      </c>
      <c r="L141" s="31" t="inlineStr"/>
      <c r="M141" s="31" t="inlineStr"/>
      <c r="N141" s="32">
        <f>IF(M141="Underperforming",-5,IF(L141&gt;=95,15,IF(L141&gt;=90,10,IF(L141&gt;=80,5,0))))</f>
        <v/>
      </c>
      <c r="O141" s="32" t="n">
        <v>59.39</v>
      </c>
      <c r="P141" s="32" t="n">
        <v>33.42</v>
      </c>
      <c r="Q141" s="32" t="n">
        <v>303.9</v>
      </c>
      <c r="R141" s="31" t="inlineStr">
        <is>
          <t>Near 52W High Breakout</t>
        </is>
      </c>
      <c r="S141" s="31" t="inlineStr">
        <is>
          <t>Nifty Realty</t>
        </is>
      </c>
      <c r="T141" s="32" t="inlineStr"/>
      <c r="U141" s="32" t="inlineStr"/>
      <c r="V141" s="32" t="inlineStr"/>
      <c r="W141" s="32" t="inlineStr"/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Blue sky scenario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Less than 12%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IF(B142=0,"",RANK(B142,$B$2:$B$249,0))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OAL</t>
        </is>
      </c>
      <c r="D142" s="31" t="inlineStr">
        <is>
          <t>Oriental Aromatics Ltd</t>
        </is>
      </c>
      <c r="E142" s="31" t="inlineStr">
        <is>
          <t>chemicals</t>
        </is>
      </c>
      <c r="F142" s="31" t="inlineStr">
        <is>
          <t>chemicals</t>
        </is>
      </c>
      <c r="G142" s="31" t="inlineStr">
        <is>
          <t>smallcap</t>
        </is>
      </c>
      <c r="H142" s="32" t="n">
        <v>1823.52</v>
      </c>
      <c r="I142" s="32" t="n">
        <v>533.25</v>
      </c>
      <c r="J142" s="32" t="n">
        <v>-1.59</v>
      </c>
      <c r="K142" s="32" t="n">
        <v>15746</v>
      </c>
      <c r="L142" s="31" t="n">
        <v>75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74.56999999999999</v>
      </c>
      <c r="P142" s="32" t="n">
        <v>39.91</v>
      </c>
      <c r="Q142" s="32" t="n">
        <v>386.06</v>
      </c>
      <c r="R142" s="31" t="inlineStr">
        <is>
          <t>Near 52W High Breakout</t>
        </is>
      </c>
      <c r="S142" s="31" t="inlineStr">
        <is>
          <t>Nifty 50</t>
        </is>
      </c>
      <c r="T142" s="32" t="n">
        <v>-9.130000000000001</v>
      </c>
      <c r="U142" s="32" t="n">
        <v>62.57</v>
      </c>
      <c r="V142" s="32" t="n">
        <v>78.91</v>
      </c>
      <c r="W142" s="32" t="n">
        <v>28.05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IF(B143=0,"",RANK(B143,$B$2:$B$249,0))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BOSCH-HCIL</t>
        </is>
      </c>
      <c r="D143" s="31" t="inlineStr">
        <is>
          <t>Bosch Home Comfort India Ltd</t>
        </is>
      </c>
      <c r="E143" s="31" t="inlineStr">
        <is>
          <t>consumer discretionary</t>
        </is>
      </c>
      <c r="F143" s="31" t="inlineStr">
        <is>
          <t>air-conditioners</t>
        </is>
      </c>
      <c r="G143" s="31" t="inlineStr">
        <is>
          <t>midcap</t>
        </is>
      </c>
      <c r="H143" s="32" t="n">
        <v>5259.8</v>
      </c>
      <c r="I143" s="32" t="n">
        <v>1876.7</v>
      </c>
      <c r="J143" s="32" t="n">
        <v>-2.98</v>
      </c>
      <c r="K143" s="32" t="n">
        <v>72922</v>
      </c>
      <c r="L143" s="31" t="n">
        <v>37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69.15000000000001</v>
      </c>
      <c r="P143" s="32" t="n">
        <v>36.64</v>
      </c>
      <c r="Q143" s="32" t="n">
        <v>1482.13</v>
      </c>
      <c r="R143" s="31" t="inlineStr">
        <is>
          <t>Near 52W High Breakout</t>
        </is>
      </c>
      <c r="S143" s="31" t="inlineStr">
        <is>
          <t>Nifty 50</t>
        </is>
      </c>
      <c r="T143" s="32" t="n">
        <v>-9.130000000000001</v>
      </c>
      <c r="U143" s="32" t="n">
        <v>8.449999999999999</v>
      </c>
      <c r="V143" s="32" t="n">
        <v>19.36</v>
      </c>
      <c r="W143" s="32" t="n">
        <v>11.77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Yes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IF(B144=0,"",RANK(B144,$B$2:$B$249,0))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PREMIERPOL</t>
        </is>
      </c>
      <c r="D144" s="31" t="inlineStr">
        <is>
          <t>Premier Polyfilm Limited</t>
        </is>
      </c>
      <c r="E144" s="31" t="inlineStr">
        <is>
          <t>plastic products</t>
        </is>
      </c>
      <c r="F144" s="31" t="inlineStr">
        <is>
          <t>plastics products</t>
        </is>
      </c>
      <c r="G144" s="31" t="inlineStr">
        <is>
          <t>smallcap</t>
        </is>
      </c>
      <c r="H144" s="32" t="n">
        <v>1004.38</v>
      </c>
      <c r="I144" s="32" t="n">
        <v>92.76000000000001</v>
      </c>
      <c r="J144" s="32" t="n">
        <v>-3.26</v>
      </c>
      <c r="K144" s="32" t="n">
        <v>208407</v>
      </c>
      <c r="L144" s="31" t="n">
        <v>70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64.48999999999999</v>
      </c>
      <c r="P144" s="32" t="n">
        <v>58.7</v>
      </c>
      <c r="Q144" s="32" t="n">
        <v>63.77</v>
      </c>
      <c r="R144" s="31" t="inlineStr">
        <is>
          <t>Near 52W High Breakout</t>
        </is>
      </c>
      <c r="S144" s="31" t="inlineStr">
        <is>
          <t>Nifty 50</t>
        </is>
      </c>
      <c r="T144" s="32" t="n">
        <v>-9.130000000000001</v>
      </c>
      <c r="U144" s="32" t="n">
        <v>102.59</v>
      </c>
      <c r="V144" s="32" t="n">
        <v>122.96</v>
      </c>
      <c r="W144" s="32" t="n">
        <v>24.3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Above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Negative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Blue sky scenario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Less than 1.5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IF(B145=0,"",RANK(B145,$B$2:$B$249,0))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VALIANTLAB</t>
        </is>
      </c>
      <c r="D145" s="31" t="inlineStr">
        <is>
          <t>Valiant Laboratories Ltd</t>
        </is>
      </c>
      <c r="E145" s="31" t="inlineStr">
        <is>
          <t>healthcare</t>
        </is>
      </c>
      <c r="F145" s="31" t="inlineStr">
        <is>
          <t>pharmaceuticals - indian - bulk drugs &amp; formln</t>
        </is>
      </c>
      <c r="G145" s="31" t="inlineStr">
        <is>
          <t>smallcap</t>
        </is>
      </c>
      <c r="H145" s="32" t="n">
        <v>663.64</v>
      </c>
      <c r="I145" s="32" t="n">
        <v>126.23</v>
      </c>
      <c r="J145" s="32" t="n">
        <v>3.31</v>
      </c>
      <c r="K145" s="32" t="n">
        <v>92323</v>
      </c>
      <c r="L145" s="31" t="n">
        <v>84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78.31</v>
      </c>
      <c r="P145" s="32" t="n">
        <v>32.72</v>
      </c>
      <c r="Q145" s="32" t="n">
        <v>94.3</v>
      </c>
      <c r="R145" s="31" t="inlineStr">
        <is>
          <t>Near 52W High Breakout</t>
        </is>
      </c>
      <c r="S145" s="31" t="inlineStr">
        <is>
          <t>Nifty Pharma</t>
        </is>
      </c>
      <c r="T145" s="32" t="n">
        <v>21.52</v>
      </c>
      <c r="U145" s="32" t="n">
        <v>50.83</v>
      </c>
      <c r="V145" s="32" t="n">
        <v>24.12</v>
      </c>
      <c r="W145" s="32" t="n">
        <v>33.47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Yes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Annuity, Lower One Time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Above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Blue sky scenario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IF(B146=0,"",RANK(B146,$B$2:$B$249,0))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BLSE</t>
        </is>
      </c>
      <c r="D146" s="31" t="inlineStr">
        <is>
          <t>BLS E-Services Ltd</t>
        </is>
      </c>
      <c r="E146" s="31" t="inlineStr">
        <is>
          <t>i.t</t>
        </is>
      </c>
      <c r="F146" s="31" t="inlineStr">
        <is>
          <t>computers - software - medium / small</t>
        </is>
      </c>
      <c r="G146" s="31" t="inlineStr">
        <is>
          <t>smallcap</t>
        </is>
      </c>
      <c r="H146" s="32" t="n">
        <v>2917.4</v>
      </c>
      <c r="I146" s="32" t="n">
        <v>328.6</v>
      </c>
      <c r="J146" s="32" t="n">
        <v>2.34</v>
      </c>
      <c r="K146" s="32" t="n">
        <v>445285</v>
      </c>
      <c r="L146" s="31" t="n">
        <v>58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79.20999999999999</v>
      </c>
      <c r="P146" s="32" t="n">
        <v>59.91</v>
      </c>
      <c r="Q146" s="32" t="n">
        <v>264.52</v>
      </c>
      <c r="R146" s="31" t="inlineStr">
        <is>
          <t>Near 52W High Breakout</t>
        </is>
      </c>
      <c r="S146" s="31" t="inlineStr">
        <is>
          <t>Nifty IT</t>
        </is>
      </c>
      <c r="T146" s="32" t="n">
        <v>-18.39</v>
      </c>
      <c r="U146" s="32" t="n">
        <v>76.73999999999999</v>
      </c>
      <c r="V146" s="32" t="n">
        <v>116.57</v>
      </c>
      <c r="W146" s="32" t="n">
        <v>20.19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Annuity, Lower One Time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Above 40</t>
        </is>
      </c>
      <c r="AY146" s="31">
        <f>IF(AX146="Above 40",20,IF(AX146="20 to 40",10,IF(AX146="0 to 20",-5,0)))</f>
        <v/>
      </c>
      <c r="AZ146" s="31" t="inlineStr">
        <is>
          <t>Above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Blue sky scenario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Less than 12%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IF(B147=0,"",RANK(B147,$B$2:$B$249,0))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SUNDROP</t>
        </is>
      </c>
      <c r="D147" s="31" t="inlineStr">
        <is>
          <t>Sundrop Brands Ltd</t>
        </is>
      </c>
      <c r="E147" s="31" t="inlineStr">
        <is>
          <t>fmcg</t>
        </is>
      </c>
      <c r="F147" s="31" t="inlineStr">
        <is>
          <t>food - processing - indian</t>
        </is>
      </c>
      <c r="G147" s="31" t="inlineStr">
        <is>
          <t>smallcap</t>
        </is>
      </c>
      <c r="H147" s="32" t="n">
        <v>2830.09</v>
      </c>
      <c r="I147" s="32" t="n">
        <v>745.2</v>
      </c>
      <c r="J147" s="32" t="n">
        <v>-0.74</v>
      </c>
      <c r="K147" s="32" t="n">
        <v>6739</v>
      </c>
      <c r="L147" s="31" t="inlineStr"/>
      <c r="M147" s="31" t="inlineStr"/>
      <c r="N147" s="32">
        <f>IF(M147="Underperforming",-5,IF(L147&gt;=95,15,IF(L147&gt;=90,10,IF(L147&gt;=80,5,0))))</f>
        <v/>
      </c>
      <c r="O147" s="32" t="n">
        <v>64.2</v>
      </c>
      <c r="P147" s="32" t="n">
        <v>20.6</v>
      </c>
      <c r="Q147" s="32" t="n">
        <v>611.08</v>
      </c>
      <c r="R147" s="31" t="inlineStr">
        <is>
          <t>Earnings / Momentum Support</t>
        </is>
      </c>
      <c r="S147" s="31" t="inlineStr">
        <is>
          <t>Nifty FMCG</t>
        </is>
      </c>
      <c r="T147" s="32" t="inlineStr"/>
      <c r="U147" s="32" t="inlineStr"/>
      <c r="V147" s="32" t="inlineStr"/>
      <c r="W147" s="32" t="inlineStr"/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B2C</t>
        </is>
      </c>
      <c r="AO147" s="31">
        <f>IF(AN147="B2C",10,IF(AN147="B2B",5,0))</f>
        <v/>
      </c>
      <c r="AP147" s="31" t="inlineStr">
        <is>
          <t>No</t>
        </is>
      </c>
      <c r="AQ147" s="31">
        <f>IF(AP147="Yes",10,0)</f>
        <v/>
      </c>
      <c r="AR147" s="31" t="inlineStr">
        <is>
          <t>Higher Annuity, Lower One Time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IF(B148=0,"",RANK(B148,$B$2:$B$249,0))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SUPRIYA</t>
        </is>
      </c>
      <c r="D148" s="31" t="inlineStr">
        <is>
          <t>Supriya Lifescience Ltd</t>
        </is>
      </c>
      <c r="E148" s="31" t="inlineStr">
        <is>
          <t>healthcare</t>
        </is>
      </c>
      <c r="F148" s="31" t="inlineStr">
        <is>
          <t>pharmaceuticals - indian - bulk drugs &amp; formln</t>
        </is>
      </c>
      <c r="G148" s="31" t="inlineStr">
        <is>
          <t>midcap</t>
        </is>
      </c>
      <c r="H148" s="32" t="n">
        <v>7927.96</v>
      </c>
      <c r="I148" s="32" t="n">
        <v>950.25</v>
      </c>
      <c r="J148" s="32" t="n">
        <v>-3.53</v>
      </c>
      <c r="K148" s="32" t="n">
        <v>229715</v>
      </c>
      <c r="L148" s="31" t="n">
        <v>23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60.33</v>
      </c>
      <c r="P148" s="32" t="n">
        <v>35.43</v>
      </c>
      <c r="Q148" s="32" t="n">
        <v>733.23</v>
      </c>
      <c r="R148" s="31" t="inlineStr">
        <is>
          <t>Near 52W High Breakout</t>
        </is>
      </c>
      <c r="S148" s="31" t="inlineStr">
        <is>
          <t>Nifty Pharma</t>
        </is>
      </c>
      <c r="T148" s="32" t="n">
        <v>21.52</v>
      </c>
      <c r="U148" s="32" t="n">
        <v>30.13</v>
      </c>
      <c r="V148" s="32" t="n">
        <v>7.09</v>
      </c>
      <c r="W148" s="32" t="n">
        <v>7.7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Yes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Annuity, Lower One Time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Blue sky scenario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Less than 12%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IF(B149=0,"",RANK(B149,$B$2:$B$249,0))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ALICON</t>
        </is>
      </c>
      <c r="D149" s="31" t="inlineStr">
        <is>
          <t>Alicon Castalloy Limited</t>
        </is>
      </c>
      <c r="E149" s="31" t="inlineStr">
        <is>
          <t>castings, forgings &amp; fasteners</t>
        </is>
      </c>
      <c r="F149" s="31" t="inlineStr">
        <is>
          <t>castings &amp; forgings</t>
        </is>
      </c>
      <c r="G149" s="31" t="inlineStr">
        <is>
          <t>smallcap</t>
        </is>
      </c>
      <c r="H149" s="32" t="n">
        <v>1189.61</v>
      </c>
      <c r="I149" s="32" t="n">
        <v>869.8</v>
      </c>
      <c r="J149" s="32" t="n">
        <v>20</v>
      </c>
      <c r="K149" s="32" t="n">
        <v>953310</v>
      </c>
      <c r="L149" s="31" t="n">
        <v>30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69.09999999999999</v>
      </c>
      <c r="P149" s="32" t="n">
        <v>19</v>
      </c>
      <c r="Q149" s="32" t="n">
        <v>666.02</v>
      </c>
      <c r="R149" s="31" t="inlineStr">
        <is>
          <t>Volume Spike / Accumulation</t>
        </is>
      </c>
      <c r="S149" s="31" t="inlineStr">
        <is>
          <t>Nifty 50</t>
        </is>
      </c>
      <c r="T149" s="32" t="n">
        <v>-9.130000000000001</v>
      </c>
      <c r="U149" s="32" t="n">
        <v>1.82</v>
      </c>
      <c r="V149" s="32" t="n">
        <v>12.05</v>
      </c>
      <c r="W149" s="32" t="n">
        <v>9.130000000000001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0 to 20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Between 1.5 to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IF(B150=0,"",RANK(B150,$B$2:$B$249,0))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MMP</t>
        </is>
      </c>
      <c r="D150" s="31" t="inlineStr">
        <is>
          <t>MMP Industries Ltd</t>
        </is>
      </c>
      <c r="E150" s="31" t="inlineStr">
        <is>
          <t>metals &amp; mining</t>
        </is>
      </c>
      <c r="F150" s="31" t="inlineStr">
        <is>
          <t>aluminium and aluminium products</t>
        </is>
      </c>
      <c r="G150" s="31" t="inlineStr">
        <is>
          <t>smallcap</t>
        </is>
      </c>
      <c r="H150" s="32" t="n">
        <v>1136.89</v>
      </c>
      <c r="I150" s="32" t="n">
        <v>474.85</v>
      </c>
      <c r="J150" s="32" t="n">
        <v>6.1</v>
      </c>
      <c r="K150" s="32" t="n">
        <v>139843</v>
      </c>
      <c r="L150" s="31" t="inlineStr"/>
      <c r="M150" s="31" t="inlineStr"/>
      <c r="N150" s="32">
        <f>IF(M150="Underperforming",-5,IF(L150&gt;=95,15,IF(L150&gt;=90,10,IF(L150&gt;=80,5,0))))</f>
        <v/>
      </c>
      <c r="O150" s="32" t="n">
        <v>82.59</v>
      </c>
      <c r="P150" s="32" t="n">
        <v>59.14</v>
      </c>
      <c r="Q150" s="32" t="n">
        <v>355.17</v>
      </c>
      <c r="R150" s="31" t="inlineStr">
        <is>
          <t>Near 52W High Breakout</t>
        </is>
      </c>
      <c r="S150" s="31" t="inlineStr">
        <is>
          <t>Nifty Metal</t>
        </is>
      </c>
      <c r="T150" s="32" t="inlineStr"/>
      <c r="U150" s="32" t="inlineStr"/>
      <c r="V150" s="32" t="inlineStr"/>
      <c r="W150" s="32" t="inlineStr"/>
      <c r="X150" s="31" t="inlineStr">
        <is>
          <t>Cyclical in an Upturn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Cyclical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Volatile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Above 40</t>
        </is>
      </c>
      <c r="AY150" s="31">
        <f>IF(AX150="Above 40",20,IF(AX150="20 to 40",10,IF(AX150="0 to 20",-5,0)))</f>
        <v/>
      </c>
      <c r="AZ150" s="31" t="inlineStr">
        <is>
          <t>Above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Blue sky scenario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Less than 1.5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IF(B151=0,"",RANK(B151,$B$2:$B$249,0))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TEXRAIL</t>
        </is>
      </c>
      <c r="D151" s="31" t="inlineStr">
        <is>
          <t>Texmaco Rail &amp; Engineering Limited</t>
        </is>
      </c>
      <c r="E151" s="31" t="inlineStr">
        <is>
          <t>industrials</t>
        </is>
      </c>
      <c r="F151" s="31" t="inlineStr">
        <is>
          <t>engineering</t>
        </is>
      </c>
      <c r="G151" s="31" t="inlineStr">
        <is>
          <t>midcap</t>
        </is>
      </c>
      <c r="H151" s="32" t="n">
        <v>5113.07</v>
      </c>
      <c r="I151" s="32" t="n">
        <v>131.73</v>
      </c>
      <c r="J151" s="32" t="n">
        <v>4.82</v>
      </c>
      <c r="K151" s="32" t="n">
        <v>16021545</v>
      </c>
      <c r="L151" s="31" t="n">
        <v>11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66.09</v>
      </c>
      <c r="P151" s="32" t="n">
        <v>14.52</v>
      </c>
      <c r="Q151" s="32" t="n">
        <v>101.83</v>
      </c>
      <c r="R151" s="31" t="inlineStr">
        <is>
          <t>Volume Spike / Accumulation</t>
        </is>
      </c>
      <c r="S151" s="31" t="inlineStr">
        <is>
          <t>Nifty 50</t>
        </is>
      </c>
      <c r="T151" s="32" t="n">
        <v>-9.130000000000001</v>
      </c>
      <c r="U151" s="32" t="n">
        <v>-5.71</v>
      </c>
      <c r="V151" s="32" t="n">
        <v>3.77</v>
      </c>
      <c r="W151" s="32" t="n">
        <v>4.73</v>
      </c>
      <c r="X151" s="31" t="inlineStr">
        <is>
          <t>Cyclical in an Upturn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0 to 20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No</t>
        </is>
      </c>
      <c r="BS151" s="31">
        <f>IF(BR151="NO",5,0)</f>
        <v/>
      </c>
      <c r="BT151" s="31" t="inlineStr">
        <is>
          <t>Less than 1.5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IF(B152=0,"",RANK(B152,$B$2:$B$249,0))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MUKANDLTD</t>
        </is>
      </c>
      <c r="D152" s="31" t="inlineStr">
        <is>
          <t>Mukand Limited</t>
        </is>
      </c>
      <c r="E152" s="31" t="inlineStr">
        <is>
          <t>metals &amp; mining</t>
        </is>
      </c>
      <c r="F152" s="31" t="inlineStr">
        <is>
          <t>steel - medium / small</t>
        </is>
      </c>
      <c r="G152" s="31" t="inlineStr">
        <is>
          <t>smallcap</t>
        </is>
      </c>
      <c r="H152" s="32" t="n">
        <v>2492.4</v>
      </c>
      <c r="I152" s="32" t="n">
        <v>180.13</v>
      </c>
      <c r="J152" s="32" t="n">
        <v>4.43</v>
      </c>
      <c r="K152" s="32" t="n">
        <v>1438322</v>
      </c>
      <c r="L152" s="31" t="inlineStr"/>
      <c r="M152" s="31" t="inlineStr"/>
      <c r="N152" s="32">
        <f>IF(M152="Underperforming",-5,IF(L152&gt;=95,15,IF(L152&gt;=90,10,IF(L152&gt;=80,5,0))))</f>
        <v/>
      </c>
      <c r="O152" s="32" t="n">
        <v>73.83</v>
      </c>
      <c r="P152" s="32" t="n">
        <v>40.03</v>
      </c>
      <c r="Q152" s="32" t="n">
        <v>143.82</v>
      </c>
      <c r="R152" s="31" t="inlineStr">
        <is>
          <t>Volume Spike &amp; Near 52W High Breakout</t>
        </is>
      </c>
      <c r="S152" s="31" t="inlineStr">
        <is>
          <t>Nifty Metal</t>
        </is>
      </c>
      <c r="T152" s="32" t="inlineStr"/>
      <c r="U152" s="32" t="inlineStr"/>
      <c r="V152" s="32" t="inlineStr"/>
      <c r="W152" s="32" t="inlineStr"/>
      <c r="X152" s="31" t="inlineStr">
        <is>
          <t>Cyclical in an Upturn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Cyclical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Volatile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Above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Blue sky scenario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Less than 1.5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Between 0.7 to 1.2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IF(B153=0,"",RANK(B153,$B$2:$B$249,0))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DYNAMATECH</t>
        </is>
      </c>
      <c r="D153" s="31" t="inlineStr">
        <is>
          <t>Dynamatic Technologies Limited</t>
        </is>
      </c>
      <c r="E153" s="31" t="inlineStr">
        <is>
          <t>aerospace &amp; defence</t>
        </is>
      </c>
      <c r="F153" s="31" t="inlineStr">
        <is>
          <t>engineering</t>
        </is>
      </c>
      <c r="G153" s="31" t="inlineStr">
        <is>
          <t>midcap</t>
        </is>
      </c>
      <c r="H153" s="32" t="n">
        <v>8873.02</v>
      </c>
      <c r="I153" s="32" t="n">
        <v>13611</v>
      </c>
      <c r="J153" s="32" t="n">
        <v>4.18</v>
      </c>
      <c r="K153" s="32" t="n">
        <v>49032</v>
      </c>
      <c r="L153" s="31" t="n">
        <v>62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70.2</v>
      </c>
      <c r="P153" s="32" t="n">
        <v>28.99</v>
      </c>
      <c r="Q153" s="32" t="n">
        <v>10486.99</v>
      </c>
      <c r="R153" s="31" t="inlineStr">
        <is>
          <t>Near 52W High Breakout</t>
        </is>
      </c>
      <c r="S153" s="31" t="inlineStr">
        <is>
          <t>Nifty 50</t>
        </is>
      </c>
      <c r="T153" s="32" t="n">
        <v>-9.130000000000001</v>
      </c>
      <c r="U153" s="32" t="n">
        <v>94.11</v>
      </c>
      <c r="V153" s="32" t="n">
        <v>113.63</v>
      </c>
      <c r="W153" s="32" t="n">
        <v>21.72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20 to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Blue sky scenario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Between 0.7 to 1.2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IF(B154=0,"",RANK(B154,$B$2:$B$249,0))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LUMAXTECH</t>
        </is>
      </c>
      <c r="D154" s="31" t="inlineStr">
        <is>
          <t>Lumax Auto Technologies Limited</t>
        </is>
      </c>
      <c r="E154" s="31" t="inlineStr">
        <is>
          <t>auto</t>
        </is>
      </c>
      <c r="F154" s="31" t="inlineStr">
        <is>
          <t>auto ancillaries</t>
        </is>
      </c>
      <c r="G154" s="31" t="inlineStr">
        <is>
          <t>midcap</t>
        </is>
      </c>
      <c r="H154" s="32" t="n">
        <v>13711.29</v>
      </c>
      <c r="I154" s="32" t="n">
        <v>2076.7</v>
      </c>
      <c r="J154" s="32" t="n">
        <v>3.23</v>
      </c>
      <c r="K154" s="32" t="n">
        <v>137712</v>
      </c>
      <c r="L154" s="31" t="inlineStr"/>
      <c r="M154" s="31" t="inlineStr"/>
      <c r="N154" s="32">
        <f>IF(M154="Underperforming",-5,IF(L154&gt;=95,15,IF(L154&gt;=90,10,IF(L154&gt;=80,5,0))))</f>
        <v/>
      </c>
      <c r="O154" s="32" t="n">
        <v>65.37</v>
      </c>
      <c r="P154" s="32" t="n">
        <v>26.44</v>
      </c>
      <c r="Q154" s="32" t="n">
        <v>1616.01</v>
      </c>
      <c r="R154" s="31" t="inlineStr">
        <is>
          <t>Near 52W High Breakout</t>
        </is>
      </c>
      <c r="S154" s="31" t="inlineStr">
        <is>
          <t>Nifty Auto</t>
        </is>
      </c>
      <c r="T154" s="32" t="inlineStr"/>
      <c r="U154" s="32" t="inlineStr"/>
      <c r="V154" s="32" t="inlineStr"/>
      <c r="W154" s="32" t="inlineStr"/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Blue sky scenario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Between 0.7 to 1.2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IF(B155=0,"",RANK(B155,$B$2:$B$249,0))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SAMBHV</t>
        </is>
      </c>
      <c r="D155" s="31" t="inlineStr">
        <is>
          <t>Sambhv Steel Tubes Ltd</t>
        </is>
      </c>
      <c r="E155" s="31" t="inlineStr">
        <is>
          <t>metals &amp; mining</t>
        </is>
      </c>
      <c r="F155" s="31" t="inlineStr">
        <is>
          <t>steel - medium / small</t>
        </is>
      </c>
      <c r="G155" s="31" t="inlineStr">
        <is>
          <t>smallcap</t>
        </is>
      </c>
      <c r="H155" s="32" t="n">
        <v>4780.75</v>
      </c>
      <c r="I155" s="32" t="n">
        <v>164.9</v>
      </c>
      <c r="J155" s="32" t="n">
        <v>1.64</v>
      </c>
      <c r="K155" s="32" t="n">
        <v>5951525</v>
      </c>
      <c r="L155" s="31" t="inlineStr"/>
      <c r="M155" s="31" t="inlineStr"/>
      <c r="N155" s="32">
        <f>IF(M155="Underperforming",-5,IF(L155&gt;=95,15,IF(L155&gt;=90,10,IF(L155&gt;=80,5,0))))</f>
        <v/>
      </c>
      <c r="O155" s="32" t="n">
        <v>79.92</v>
      </c>
      <c r="P155" s="32" t="n">
        <v>45.76</v>
      </c>
      <c r="Q155" s="32" t="n">
        <v>129.52</v>
      </c>
      <c r="R155" s="31" t="inlineStr">
        <is>
          <t>Near 52W High Breakout</t>
        </is>
      </c>
      <c r="S155" s="31" t="inlineStr">
        <is>
          <t>Nifty Metal</t>
        </is>
      </c>
      <c r="T155" s="32" t="inlineStr"/>
      <c r="U155" s="32" t="inlineStr"/>
      <c r="V155" s="32" t="inlineStr"/>
      <c r="W155" s="32" t="inlineStr"/>
      <c r="X155" s="31" t="inlineStr">
        <is>
          <t>Cyclical in an Upturn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Cyclical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Volatile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Above 40</t>
        </is>
      </c>
      <c r="AY155" s="31">
        <f>IF(AX155="Above 40",20,IF(AX155="20 to 40",10,IF(AX155="0 to 20",-5,0)))</f>
        <v/>
      </c>
      <c r="AZ155" s="31" t="inlineStr">
        <is>
          <t>Above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No</t>
        </is>
      </c>
      <c r="BS155" s="31">
        <f>IF(BR155="NO",5,0)</f>
        <v/>
      </c>
      <c r="BT155" s="31" t="inlineStr">
        <is>
          <t>Less than 1.5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IF(B156=0,"",RANK(B156,$B$2:$B$249,0))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KRISHANA</t>
        </is>
      </c>
      <c r="D156" s="31" t="inlineStr">
        <is>
          <t>Krishana Phoschem Ltd</t>
        </is>
      </c>
      <c r="E156" s="31" t="inlineStr">
        <is>
          <t>chemicals</t>
        </is>
      </c>
      <c r="F156" s="31" t="inlineStr">
        <is>
          <t>fertilizers</t>
        </is>
      </c>
      <c r="G156" s="31" t="inlineStr">
        <is>
          <t>smallcap</t>
        </is>
      </c>
      <c r="H156" s="32" t="n">
        <v>1144.99</v>
      </c>
      <c r="I156" s="32" t="n">
        <v>188.23</v>
      </c>
      <c r="J156" s="32" t="n">
        <v>1.64</v>
      </c>
      <c r="K156" s="32" t="n">
        <v>1098163</v>
      </c>
      <c r="L156" s="31" t="n">
        <v>61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68.75</v>
      </c>
      <c r="P156" s="32" t="n">
        <v>51.61</v>
      </c>
      <c r="Q156" s="32" t="n">
        <v>155.08</v>
      </c>
      <c r="R156" s="31" t="inlineStr">
        <is>
          <t>Earnings / Momentum Support</t>
        </is>
      </c>
      <c r="S156" s="31" t="inlineStr">
        <is>
          <t>Nifty 50</t>
        </is>
      </c>
      <c r="T156" s="32" t="n">
        <v>-9.130000000000001</v>
      </c>
      <c r="U156" s="32" t="n">
        <v>103.07</v>
      </c>
      <c r="V156" s="32" t="n">
        <v>123.48</v>
      </c>
      <c r="W156" s="32" t="n">
        <v>20.96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No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Above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Less than 1.5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More than 1.2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IF(B157=0,"",RANK(B157,$B$2:$B$249,0))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GESHIP</t>
        </is>
      </c>
      <c r="D157" s="31" t="inlineStr">
        <is>
          <t>The Great Eastern Shipping Company Limited</t>
        </is>
      </c>
      <c r="E157" s="31" t="inlineStr">
        <is>
          <t>transportation</t>
        </is>
      </c>
      <c r="F157" s="31" t="inlineStr">
        <is>
          <t>shipping</t>
        </is>
      </c>
      <c r="G157" s="31" t="inlineStr">
        <is>
          <t>largecap</t>
        </is>
      </c>
      <c r="H157" s="32" t="n">
        <v>21954.73</v>
      </c>
      <c r="I157" s="32" t="n">
        <v>1560</v>
      </c>
      <c r="J157" s="32" t="n">
        <v>1.44</v>
      </c>
      <c r="K157" s="32" t="n">
        <v>938291</v>
      </c>
      <c r="L157" s="31" t="n">
        <v>36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62.88</v>
      </c>
      <c r="P157" s="32" t="n">
        <v>24.28</v>
      </c>
      <c r="Q157" s="32" t="n">
        <v>1235.98</v>
      </c>
      <c r="R157" s="31" t="inlineStr">
        <is>
          <t>Earnings / Momentum Support</t>
        </is>
      </c>
      <c r="S157" s="31" t="inlineStr">
        <is>
          <t>Nifty 50</t>
        </is>
      </c>
      <c r="T157" s="32" t="n">
        <v>-9.130000000000001</v>
      </c>
      <c r="U157" s="32" t="n">
        <v>52.67</v>
      </c>
      <c r="V157" s="32" t="n">
        <v>68.01000000000001</v>
      </c>
      <c r="W157" s="32" t="n">
        <v>11.24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No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IF(B158=0,"",RANK(B158,$B$2:$B$249,0))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GALAXYSURF</t>
        </is>
      </c>
      <c r="D158" s="31" t="inlineStr">
        <is>
          <t>Galaxy Surfactants Ltd</t>
        </is>
      </c>
      <c r="E158" s="31" t="inlineStr">
        <is>
          <t>chemicals</t>
        </is>
      </c>
      <c r="F158" s="31" t="inlineStr">
        <is>
          <t>chemicals</t>
        </is>
      </c>
      <c r="G158" s="31" t="inlineStr">
        <is>
          <t>midcap</t>
        </is>
      </c>
      <c r="H158" s="32" t="n">
        <v>8158.85</v>
      </c>
      <c r="I158" s="32" t="n">
        <v>2332.8</v>
      </c>
      <c r="J158" s="32" t="n">
        <v>1.37</v>
      </c>
      <c r="K158" s="32" t="n">
        <v>110086</v>
      </c>
      <c r="L158" s="31" t="n">
        <v>13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62.17</v>
      </c>
      <c r="P158" s="32" t="n">
        <v>29.32</v>
      </c>
      <c r="Q158" s="32" t="n">
        <v>1997.27</v>
      </c>
      <c r="R158" s="31" t="inlineStr">
        <is>
          <t>Earnings / Momentum Support</t>
        </is>
      </c>
      <c r="S158" s="31" t="inlineStr">
        <is>
          <t>Nifty 50</t>
        </is>
      </c>
      <c r="T158" s="32" t="n">
        <v>-9.130000000000001</v>
      </c>
      <c r="U158" s="32" t="n">
        <v>4.98</v>
      </c>
      <c r="V158" s="32" t="n">
        <v>15.54</v>
      </c>
      <c r="W158" s="32" t="n">
        <v>5.2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No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IF(B159=0,"",RANK(B159,$B$2:$B$249,0))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NAZARA</t>
        </is>
      </c>
      <c r="D159" s="31" t="inlineStr">
        <is>
          <t>Nazara Technologies Ltd</t>
        </is>
      </c>
      <c r="E159" s="31" t="inlineStr">
        <is>
          <t>i.t</t>
        </is>
      </c>
      <c r="F159" s="31" t="inlineStr">
        <is>
          <t>telecommunications - service provider</t>
        </is>
      </c>
      <c r="G159" s="31" t="inlineStr">
        <is>
          <t>midcap</t>
        </is>
      </c>
      <c r="H159" s="32" t="n">
        <v>14941.59</v>
      </c>
      <c r="I159" s="32" t="n">
        <v>392.85</v>
      </c>
      <c r="J159" s="32" t="n">
        <v>1.15</v>
      </c>
      <c r="K159" s="32" t="n">
        <v>2088636</v>
      </c>
      <c r="L159" s="31" t="n">
        <v>43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77.23999999999999</v>
      </c>
      <c r="P159" s="32" t="n">
        <v>33.44</v>
      </c>
      <c r="Q159" s="32" t="n">
        <v>322.7</v>
      </c>
      <c r="R159" s="31" t="inlineStr">
        <is>
          <t>Near 52W High Breakout</t>
        </is>
      </c>
      <c r="S159" s="31" t="inlineStr">
        <is>
          <t>Nifty IT</t>
        </is>
      </c>
      <c r="T159" s="32" t="n">
        <v>-18.39</v>
      </c>
      <c r="U159" s="32" t="n">
        <v>40.03</v>
      </c>
      <c r="V159" s="32" t="n">
        <v>71.59</v>
      </c>
      <c r="W159" s="32" t="n">
        <v>14.24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Oligopoly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Yes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Above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Blue sky scenario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IF(B160=0,"",RANK(B160,$B$2:$B$249,0))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TDPOWERSYS</t>
        </is>
      </c>
      <c r="D160" s="31" t="inlineStr">
        <is>
          <t>Td Power Systems Limited</t>
        </is>
      </c>
      <c r="E160" s="31" t="inlineStr">
        <is>
          <t>industrials</t>
        </is>
      </c>
      <c r="F160" s="31" t="inlineStr">
        <is>
          <t>electric equipment</t>
        </is>
      </c>
      <c r="G160" s="31" t="inlineStr">
        <is>
          <t>midcap</t>
        </is>
      </c>
      <c r="H160" s="32" t="n">
        <v>12144.42</v>
      </c>
      <c r="I160" s="32" t="n">
        <v>786.05</v>
      </c>
      <c r="J160" s="32" t="n">
        <v>1.12</v>
      </c>
      <c r="K160" s="32" t="n">
        <v>2612869</v>
      </c>
      <c r="L160" s="31" t="n">
        <v>78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67.73</v>
      </c>
      <c r="P160" s="32" t="n">
        <v>16.96</v>
      </c>
      <c r="Q160" s="32" t="n">
        <v>580.52</v>
      </c>
      <c r="R160" s="31" t="inlineStr">
        <is>
          <t>Near 52W High Breakout</t>
        </is>
      </c>
      <c r="S160" s="31" t="inlineStr">
        <is>
          <t>Nifty 50</t>
        </is>
      </c>
      <c r="T160" s="32" t="n">
        <v>-9.130000000000001</v>
      </c>
      <c r="U160" s="32" t="n">
        <v>145.09</v>
      </c>
      <c r="V160" s="32" t="n">
        <v>169.73</v>
      </c>
      <c r="W160" s="32" t="n">
        <v>29.49</v>
      </c>
      <c r="X160" s="31" t="inlineStr">
        <is>
          <t>Cyclical in an Upturn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0 to 20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Blue sky scenario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Less than 1.5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IF(B161=0,"",RANK(B161,$B$2:$B$249,0))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NEOGEN</t>
        </is>
      </c>
      <c r="D161" s="31" t="inlineStr">
        <is>
          <t>Neogen Chemicals Ltd</t>
        </is>
      </c>
      <c r="E161" s="31" t="inlineStr">
        <is>
          <t>chemicals</t>
        </is>
      </c>
      <c r="F161" s="31" t="inlineStr">
        <is>
          <t>chemicals</t>
        </is>
      </c>
      <c r="G161" s="31" t="inlineStr">
        <is>
          <t>midcap</t>
        </is>
      </c>
      <c r="H161" s="32" t="n">
        <v>7316.23</v>
      </c>
      <c r="I161" s="32" t="n">
        <v>2451.6</v>
      </c>
      <c r="J161" s="32" t="n">
        <v>0.67</v>
      </c>
      <c r="K161" s="32" t="n">
        <v>147004</v>
      </c>
      <c r="L161" s="31" t="n">
        <v>53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68.66</v>
      </c>
      <c r="P161" s="32" t="n">
        <v>59.21</v>
      </c>
      <c r="Q161" s="32" t="n">
        <v>1888.36</v>
      </c>
      <c r="R161" s="31" t="inlineStr">
        <is>
          <t>Near 52W High Breakout</t>
        </is>
      </c>
      <c r="S161" s="31" t="inlineStr">
        <is>
          <t>Nifty 50</t>
        </is>
      </c>
      <c r="T161" s="32" t="n">
        <v>-9.130000000000001</v>
      </c>
      <c r="U161" s="32" t="n">
        <v>63.39</v>
      </c>
      <c r="V161" s="32" t="n">
        <v>79.81</v>
      </c>
      <c r="W161" s="32" t="n">
        <v>18.87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Above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Blue sky scenario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More than 1.2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IF(B162=0,"",RANK(B162,$B$2:$B$249,0))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SMLMAH</t>
        </is>
      </c>
      <c r="D162" s="31" t="inlineStr">
        <is>
          <t>SML Mahindra Ltd</t>
        </is>
      </c>
      <c r="E162" s="31" t="inlineStr">
        <is>
          <t>auto</t>
        </is>
      </c>
      <c r="F162" s="31" t="inlineStr">
        <is>
          <t>automobiles - lcvs / hcvs</t>
        </is>
      </c>
      <c r="G162" s="31" t="inlineStr">
        <is>
          <t>midcap</t>
        </is>
      </c>
      <c r="H162" s="32" t="n">
        <v>9575.16</v>
      </c>
      <c r="I162" s="32" t="n">
        <v>6578</v>
      </c>
      <c r="J162" s="32" t="n">
        <v>-0.58</v>
      </c>
      <c r="K162" s="32" t="n">
        <v>48022</v>
      </c>
      <c r="L162" s="31" t="inlineStr"/>
      <c r="M162" s="31" t="inlineStr"/>
      <c r="N162" s="32">
        <f>IF(M162="Underperforming",-5,IF(L162&gt;=95,15,IF(L162&gt;=90,10,IF(L162&gt;=80,5,0))))</f>
        <v/>
      </c>
      <c r="O162" s="32" t="n">
        <v>67.62</v>
      </c>
      <c r="P162" s="32" t="n">
        <v>33.62</v>
      </c>
      <c r="Q162" s="32" t="n">
        <v>5119.46</v>
      </c>
      <c r="R162" s="31" t="inlineStr">
        <is>
          <t>Near 52W High Breakout</t>
        </is>
      </c>
      <c r="S162" s="31" t="inlineStr">
        <is>
          <t>Nifty Auto</t>
        </is>
      </c>
      <c r="T162" s="32" t="inlineStr"/>
      <c r="U162" s="32" t="inlineStr"/>
      <c r="V162" s="32" t="inlineStr"/>
      <c r="W162" s="32" t="inlineStr"/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Blue sky scenario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Less than 12%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IF(B163=0,"",RANK(B163,$B$2:$B$249,0))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VSSL</t>
        </is>
      </c>
      <c r="D163" s="31" t="inlineStr">
        <is>
          <t>Vardhman Special Steels Limited</t>
        </is>
      </c>
      <c r="E163" s="31" t="inlineStr">
        <is>
          <t>metals &amp; mining</t>
        </is>
      </c>
      <c r="F163" s="31" t="inlineStr">
        <is>
          <t>steel - medium / small</t>
        </is>
      </c>
      <c r="G163" s="31" t="inlineStr">
        <is>
          <t>smallcap</t>
        </is>
      </c>
      <c r="H163" s="32" t="n">
        <v>3923.99</v>
      </c>
      <c r="I163" s="32" t="n">
        <v>401.05</v>
      </c>
      <c r="J163" s="32" t="n">
        <v>-1.18</v>
      </c>
      <c r="K163" s="32" t="n">
        <v>104397</v>
      </c>
      <c r="L163" s="31" t="inlineStr"/>
      <c r="M163" s="31" t="inlineStr"/>
      <c r="N163" s="32">
        <f>IF(M163="Underperforming",-5,IF(L163&gt;=95,15,IF(L163&gt;=90,10,IF(L163&gt;=80,5,0))))</f>
        <v/>
      </c>
      <c r="O163" s="32" t="n">
        <v>78.13</v>
      </c>
      <c r="P163" s="32" t="n">
        <v>50.3</v>
      </c>
      <c r="Q163" s="32" t="n">
        <v>324.68</v>
      </c>
      <c r="R163" s="31" t="inlineStr">
        <is>
          <t>Near 52W High Breakout</t>
        </is>
      </c>
      <c r="S163" s="31" t="inlineStr">
        <is>
          <t>Nifty Metal</t>
        </is>
      </c>
      <c r="T163" s="32" t="inlineStr"/>
      <c r="U163" s="32" t="inlineStr"/>
      <c r="V163" s="32" t="inlineStr"/>
      <c r="W163" s="32" t="inlineStr"/>
      <c r="X163" s="31" t="inlineStr">
        <is>
          <t>Cyclical in an Upturn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Cyclical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Volatile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Above 40</t>
        </is>
      </c>
      <c r="AY163" s="31">
        <f>IF(AX163="Above 40",20,IF(AX163="20 to 40",10,IF(AX163="0 to 20",-5,0)))</f>
        <v/>
      </c>
      <c r="AZ163" s="31" t="inlineStr">
        <is>
          <t>Above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Blue sky scenario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Less than 1.5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IF(B164=0,"",RANK(B164,$B$2:$B$249,0))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GANDHITUBE</t>
        </is>
      </c>
      <c r="D164" s="31" t="inlineStr">
        <is>
          <t>Gandhi Special Tubes Limited</t>
        </is>
      </c>
      <c r="E164" s="31" t="inlineStr">
        <is>
          <t>metals &amp; mining</t>
        </is>
      </c>
      <c r="F164" s="31" t="inlineStr">
        <is>
          <t>steel - medium / small</t>
        </is>
      </c>
      <c r="G164" s="31" t="inlineStr">
        <is>
          <t>smallcap</t>
        </is>
      </c>
      <c r="H164" s="32" t="n">
        <v>1090.65</v>
      </c>
      <c r="I164" s="32" t="n">
        <v>951.55</v>
      </c>
      <c r="J164" s="32" t="n">
        <v>-1.55</v>
      </c>
      <c r="K164" s="32" t="n">
        <v>5516</v>
      </c>
      <c r="L164" s="31" t="inlineStr"/>
      <c r="M164" s="31" t="inlineStr"/>
      <c r="N164" s="32">
        <f>IF(M164="Underperforming",-5,IF(L164&gt;=95,15,IF(L164&gt;=90,10,IF(L164&gt;=80,5,0))))</f>
        <v/>
      </c>
      <c r="O164" s="32" t="n">
        <v>65.17</v>
      </c>
      <c r="P164" s="32" t="n">
        <v>35.09</v>
      </c>
      <c r="Q164" s="32" t="n">
        <v>795.59</v>
      </c>
      <c r="R164" s="31" t="inlineStr">
        <is>
          <t>Near 52W High Breakout</t>
        </is>
      </c>
      <c r="S164" s="31" t="inlineStr">
        <is>
          <t>Nifty Metal</t>
        </is>
      </c>
      <c r="T164" s="32" t="inlineStr"/>
      <c r="U164" s="32" t="inlineStr"/>
      <c r="V164" s="32" t="inlineStr"/>
      <c r="W164" s="32" t="inlineStr"/>
      <c r="X164" s="31" t="inlineStr">
        <is>
          <t>Cyclical in an Upturn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Cyclical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Volatile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Blue sky scenario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Less than 1.5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IF(B165=0,"",RANK(B165,$B$2:$B$249,0))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AXISCADES</t>
        </is>
      </c>
      <c r="D165" s="31" t="inlineStr">
        <is>
          <t>AXISCADES Technologies Ltd</t>
        </is>
      </c>
      <c r="E165" s="31" t="inlineStr">
        <is>
          <t>aerospace &amp; defence</t>
        </is>
      </c>
      <c r="F165" s="31" t="inlineStr">
        <is>
          <t>computers - software - medium / small</t>
        </is>
      </c>
      <c r="G165" s="31" t="inlineStr">
        <is>
          <t>midcap</t>
        </is>
      </c>
      <c r="H165" s="32" t="n">
        <v>8792.860000000001</v>
      </c>
      <c r="I165" s="32" t="n">
        <v>2231.2</v>
      </c>
      <c r="J165" s="32" t="n">
        <v>7.92</v>
      </c>
      <c r="K165" s="32" t="n">
        <v>1248290</v>
      </c>
      <c r="L165" s="31" t="n">
        <v>42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69.8</v>
      </c>
      <c r="P165" s="32" t="n">
        <v>12.6</v>
      </c>
      <c r="Q165" s="32" t="n">
        <v>1642.45</v>
      </c>
      <c r="R165" s="31" t="inlineStr">
        <is>
          <t>Volume Spike &amp; Near 52W High Breakout</t>
        </is>
      </c>
      <c r="S165" s="31" t="inlineStr">
        <is>
          <t>Nifty IT</t>
        </is>
      </c>
      <c r="T165" s="32" t="n">
        <v>-18.39</v>
      </c>
      <c r="U165" s="32" t="n">
        <v>30.77</v>
      </c>
      <c r="V165" s="32" t="n">
        <v>60.25</v>
      </c>
      <c r="W165" s="32" t="n">
        <v>14.19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Annuity, Lower One Time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0 to 20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Blue sky scenario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IF(B166=0,"",RANK(B166,$B$2:$B$249,0))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SMSPHARMA</t>
        </is>
      </c>
      <c r="D166" s="31" t="inlineStr">
        <is>
          <t>Sms Pharmaceuticals Limited</t>
        </is>
      </c>
      <c r="E166" s="31" t="inlineStr">
        <is>
          <t>healthcare</t>
        </is>
      </c>
      <c r="F166" s="31" t="inlineStr">
        <is>
          <t>pharmaceuticals - indian - bulk drugs</t>
        </is>
      </c>
      <c r="G166" s="31" t="inlineStr">
        <is>
          <t>smallcap</t>
        </is>
      </c>
      <c r="H166" s="32" t="n">
        <v>4489.68</v>
      </c>
      <c r="I166" s="32" t="n">
        <v>476.6</v>
      </c>
      <c r="J166" s="32" t="n">
        <v>-0.58</v>
      </c>
      <c r="K166" s="32" t="n">
        <v>372222</v>
      </c>
      <c r="L166" s="31" t="n">
        <v>46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67.62</v>
      </c>
      <c r="P166" s="32" t="n">
        <v>35.74</v>
      </c>
      <c r="Q166" s="32" t="n">
        <v>358.08</v>
      </c>
      <c r="R166" s="31" t="inlineStr">
        <is>
          <t>Near 52W High Breakout</t>
        </is>
      </c>
      <c r="S166" s="31" t="inlineStr">
        <is>
          <t>Nifty Pharma</t>
        </is>
      </c>
      <c r="T166" s="32" t="n">
        <v>21.52</v>
      </c>
      <c r="U166" s="32" t="n">
        <v>77.43000000000001</v>
      </c>
      <c r="V166" s="32" t="n">
        <v>46.01</v>
      </c>
      <c r="W166" s="32" t="n">
        <v>15.06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Yes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Annuity, Lower One Time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Blue sky scenario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Less than 12%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IF(B167=0,"",RANK(B167,$B$2:$B$249,0))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KILITCH</t>
        </is>
      </c>
      <c r="D167" s="31" t="inlineStr">
        <is>
          <t>Kilitch Drugs (india) Limited</t>
        </is>
      </c>
      <c r="E167" s="31" t="inlineStr">
        <is>
          <t>healthcare</t>
        </is>
      </c>
      <c r="F167" s="31" t="inlineStr">
        <is>
          <t>pharmaceuticals - indian - formulations</t>
        </is>
      </c>
      <c r="G167" s="31" t="inlineStr">
        <is>
          <t>smallcap</t>
        </is>
      </c>
      <c r="H167" s="32" t="n">
        <v>757.83</v>
      </c>
      <c r="I167" s="32" t="n">
        <v>213.32</v>
      </c>
      <c r="J167" s="32" t="n">
        <v>-1.59</v>
      </c>
      <c r="K167" s="32" t="n">
        <v>33773</v>
      </c>
      <c r="L167" s="31" t="n">
        <v>27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62.42</v>
      </c>
      <c r="P167" s="32" t="n">
        <v>27.48</v>
      </c>
      <c r="Q167" s="32" t="n">
        <v>167.46</v>
      </c>
      <c r="R167" s="31" t="inlineStr">
        <is>
          <t>Near 52W High Breakout</t>
        </is>
      </c>
      <c r="S167" s="31" t="inlineStr">
        <is>
          <t>Nifty Pharma</t>
        </is>
      </c>
      <c r="T167" s="32" t="n">
        <v>21.52</v>
      </c>
      <c r="U167" s="32" t="n">
        <v>23.18</v>
      </c>
      <c r="V167" s="32" t="n">
        <v>1.37</v>
      </c>
      <c r="W167" s="32" t="n">
        <v>8.66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Yes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Annuity, Lower One Time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Less than 12%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IF(B168=0,"",RANK(B168,$B$2:$B$249,0))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SHIVALIK</t>
        </is>
      </c>
      <c r="D168" s="31" t="inlineStr">
        <is>
          <t>Shivalik Rasayan Ltd</t>
        </is>
      </c>
      <c r="E168" s="31" t="inlineStr">
        <is>
          <t>chemicals</t>
        </is>
      </c>
      <c r="F168" s="31" t="inlineStr">
        <is>
          <t>pesticides / agrochemicals - indian</t>
        </is>
      </c>
      <c r="G168" s="31" t="inlineStr">
        <is>
          <t>smallcap</t>
        </is>
      </c>
      <c r="H168" s="32" t="n">
        <v>659.49</v>
      </c>
      <c r="I168" s="32" t="n">
        <v>403.45</v>
      </c>
      <c r="J168" s="32" t="n">
        <v>-1.92</v>
      </c>
      <c r="K168" s="32" t="n">
        <v>45380</v>
      </c>
      <c r="L168" s="31" t="n">
        <v>57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71.84999999999999</v>
      </c>
      <c r="P168" s="32" t="n">
        <v>31.54</v>
      </c>
      <c r="Q168" s="32" t="n">
        <v>286.53</v>
      </c>
      <c r="R168" s="31" t="inlineStr">
        <is>
          <t>Earnings / Momentum Support</t>
        </is>
      </c>
      <c r="S168" s="31" t="inlineStr">
        <is>
          <t>Nifty 50</t>
        </is>
      </c>
      <c r="T168" s="32" t="n">
        <v>-9.130000000000001</v>
      </c>
      <c r="U168" s="32" t="n">
        <v>-8.109999999999999</v>
      </c>
      <c r="V168" s="32" t="n">
        <v>1.13</v>
      </c>
      <c r="W168" s="32" t="n">
        <v>19.98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Monopoly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Shallow Cyclical (2 to 3 Years Growth)</t>
        </is>
      </c>
      <c r="AG168" s="31">
        <f>IF(AF168="Structural (10 Years Consistency)",10,IF(AF168="Shallow Cyclical (2 to 3 years growth)",5,0))</f>
        <v/>
      </c>
      <c r="AH168" s="31" t="inlineStr">
        <is>
          <t>Yes due to Product Mix change or Operating Leverage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Fully One Time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Yes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Between 1.5 to 2</t>
        </is>
      </c>
      <c r="BU168" s="31">
        <f>IF(BT168="Above 2",0,IF(BT168="Between 1.5 to 2",5,IF(BT168="Less than 1.5",10,0)))</f>
        <v/>
      </c>
      <c r="BV168" s="31" t="inlineStr">
        <is>
          <t>Less than 50%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IF(B169=0,"",RANK(B169,$B$2:$B$249,0))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STLTECH</t>
        </is>
      </c>
      <c r="D169" s="31" t="inlineStr">
        <is>
          <t>Sterlite Technologies Limited</t>
        </is>
      </c>
      <c r="E169" s="31" t="inlineStr">
        <is>
          <t>industrials</t>
        </is>
      </c>
      <c r="F169" s="31" t="inlineStr">
        <is>
          <t>cables - telephone</t>
        </is>
      </c>
      <c r="G169" s="31" t="inlineStr">
        <is>
          <t>largecap</t>
        </is>
      </c>
      <c r="H169" s="32" t="n">
        <v>44534.24</v>
      </c>
      <c r="I169" s="32" t="n">
        <v>909.9</v>
      </c>
      <c r="J169" s="32" t="n">
        <v>5</v>
      </c>
      <c r="K169" s="32" t="n">
        <v>1691349</v>
      </c>
      <c r="L169" s="31" t="inlineStr"/>
      <c r="M169" s="31" t="inlineStr"/>
      <c r="N169" s="32">
        <f>IF(M169="Underperforming",-5,IF(L169&gt;=95,15,IF(L169&gt;=90,10,IF(L169&gt;=80,5,0))))</f>
        <v/>
      </c>
      <c r="O169" s="32" t="n">
        <v>76.64</v>
      </c>
      <c r="P169" s="32" t="n">
        <v>70.77</v>
      </c>
      <c r="Q169" s="32" t="n">
        <v>660.36</v>
      </c>
      <c r="R169" s="31" t="inlineStr">
        <is>
          <t>Near 52W High Breakout</t>
        </is>
      </c>
      <c r="S169" s="31" t="inlineStr">
        <is>
          <t>Nifty Infra</t>
        </is>
      </c>
      <c r="T169" s="32" t="inlineStr"/>
      <c r="U169" s="32" t="inlineStr"/>
      <c r="V169" s="32" t="inlineStr"/>
      <c r="W169" s="32" t="inlineStr"/>
      <c r="X169" s="31" t="inlineStr">
        <is>
          <t>Cyclical in an Upturn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Above 40</t>
        </is>
      </c>
      <c r="AY169" s="31">
        <f>IF(AX169="Above 40",20,IF(AX169="20 to 40",10,IF(AX169="0 to 20",-5,0)))</f>
        <v/>
      </c>
      <c r="AZ169" s="31" t="inlineStr">
        <is>
          <t>Above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Blue sky scenario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Between 0.7 to 1.2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IF(B170=0,"",RANK(B170,$B$2:$B$249,0))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MAHSEAMLES</t>
        </is>
      </c>
      <c r="D170" s="31" t="inlineStr">
        <is>
          <t>Maharashtra Seamless Limited</t>
        </is>
      </c>
      <c r="E170" s="31" t="inlineStr">
        <is>
          <t>metals &amp; mining</t>
        </is>
      </c>
      <c r="F170" s="31" t="inlineStr">
        <is>
          <t>steel - medium / small</t>
        </is>
      </c>
      <c r="G170" s="31" t="inlineStr">
        <is>
          <t>midcap</t>
        </is>
      </c>
      <c r="H170" s="32" t="n">
        <v>9672.74</v>
      </c>
      <c r="I170" s="32" t="n">
        <v>737.65</v>
      </c>
      <c r="J170" s="32" t="n">
        <v>2.19</v>
      </c>
      <c r="K170" s="32" t="n">
        <v>1572414</v>
      </c>
      <c r="L170" s="31" t="inlineStr"/>
      <c r="M170" s="31" t="inlineStr"/>
      <c r="N170" s="32">
        <f>IF(M170="Underperforming",-5,IF(L170&gt;=95,15,IF(L170&gt;=90,10,IF(L170&gt;=80,5,0))))</f>
        <v/>
      </c>
      <c r="O170" s="32" t="n">
        <v>73.87</v>
      </c>
      <c r="P170" s="32" t="n">
        <v>26.63</v>
      </c>
      <c r="Q170" s="32" t="n">
        <v>609.83</v>
      </c>
      <c r="R170" s="31" t="inlineStr">
        <is>
          <t>Near 52W High Breakout</t>
        </is>
      </c>
      <c r="S170" s="31" t="inlineStr">
        <is>
          <t>Nifty Metal</t>
        </is>
      </c>
      <c r="T170" s="32" t="inlineStr"/>
      <c r="U170" s="32" t="inlineStr"/>
      <c r="V170" s="32" t="inlineStr"/>
      <c r="W170" s="32" t="inlineStr"/>
      <c r="X170" s="31" t="inlineStr">
        <is>
          <t>Cyclical in an Upturn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Cyclical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Volatile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Blue sky scenario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Between 12 to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Less than 1.5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IF(B171=0,"",RANK(B171,$B$2:$B$249,0))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SATIA</t>
        </is>
      </c>
      <c r="D171" s="31" t="inlineStr">
        <is>
          <t>Satia Industries Ltd</t>
        </is>
      </c>
      <c r="E171" s="31" t="inlineStr">
        <is>
          <t>building materials</t>
        </is>
      </c>
      <c r="F171" s="31" t="inlineStr">
        <is>
          <t>paper</t>
        </is>
      </c>
      <c r="G171" s="31" t="inlineStr">
        <is>
          <t>smallcap</t>
        </is>
      </c>
      <c r="H171" s="32" t="n">
        <v>684.8</v>
      </c>
      <c r="I171" s="32" t="n">
        <v>69.7</v>
      </c>
      <c r="J171" s="32" t="n">
        <v>1.78</v>
      </c>
      <c r="K171" s="32" t="n">
        <v>198881</v>
      </c>
      <c r="L171" s="31" t="inlineStr"/>
      <c r="M171" s="31" t="inlineStr"/>
      <c r="N171" s="32">
        <f>IF(M171="Underperforming",-5,IF(L171&gt;=95,15,IF(L171&gt;=90,10,IF(L171&gt;=80,5,0))))</f>
        <v/>
      </c>
      <c r="O171" s="32" t="n">
        <v>61.02</v>
      </c>
      <c r="P171" s="32" t="n">
        <v>12.46</v>
      </c>
      <c r="Q171" s="32" t="n">
        <v>54.33</v>
      </c>
      <c r="R171" s="31" t="inlineStr">
        <is>
          <t>Earnings / Momentum Support</t>
        </is>
      </c>
      <c r="S171" s="31" t="inlineStr">
        <is>
          <t>Nifty Infra</t>
        </is>
      </c>
      <c r="T171" s="32" t="inlineStr"/>
      <c r="U171" s="32" t="inlineStr"/>
      <c r="V171" s="32" t="inlineStr"/>
      <c r="W171" s="32" t="inlineStr"/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No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0 to 20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Less than 1.5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IF(B172=0,"",RANK(B172,$B$2:$B$249,0))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AGI</t>
        </is>
      </c>
      <c r="D172" s="31" t="inlineStr">
        <is>
          <t>AGI Greenpac Ltd</t>
        </is>
      </c>
      <c r="E172" s="31" t="inlineStr">
        <is>
          <t>industrials</t>
        </is>
      </c>
      <c r="F172" s="31" t="inlineStr">
        <is>
          <t>packaging</t>
        </is>
      </c>
      <c r="G172" s="31" t="inlineStr">
        <is>
          <t>midcap</t>
        </is>
      </c>
      <c r="H172" s="32" t="n">
        <v>5129.86</v>
      </c>
      <c r="I172" s="32" t="n">
        <v>804.4</v>
      </c>
      <c r="J172" s="32" t="n">
        <v>1.45</v>
      </c>
      <c r="K172" s="32" t="n">
        <v>112338</v>
      </c>
      <c r="L172" s="31" t="n">
        <v>10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65.3</v>
      </c>
      <c r="P172" s="32" t="n">
        <v>35.15</v>
      </c>
      <c r="Q172" s="32" t="n">
        <v>627.6900000000001</v>
      </c>
      <c r="R172" s="31" t="inlineStr">
        <is>
          <t>Earnings / Momentum Support</t>
        </is>
      </c>
      <c r="S172" s="31" t="inlineStr">
        <is>
          <t>Nifty 50</t>
        </is>
      </c>
      <c r="T172" s="32" t="n">
        <v>-9.130000000000001</v>
      </c>
      <c r="U172" s="32" t="n">
        <v>-8.369999999999999</v>
      </c>
      <c r="V172" s="32" t="n">
        <v>0.84</v>
      </c>
      <c r="W172" s="32" t="n">
        <v>4.42</v>
      </c>
      <c r="X172" s="31" t="inlineStr">
        <is>
          <t>Cyclical in an Upturn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No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Less than 12%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Less than 1.5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IF(B173=0,"",RANK(B173,$B$2:$B$249,0))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ARIES</t>
        </is>
      </c>
      <c r="D173" s="31" t="inlineStr">
        <is>
          <t>Aries Agro Limited</t>
        </is>
      </c>
      <c r="E173" s="31" t="inlineStr">
        <is>
          <t>chemicals</t>
        </is>
      </c>
      <c r="F173" s="31" t="inlineStr">
        <is>
          <t>fertilizers</t>
        </is>
      </c>
      <c r="G173" s="31" t="inlineStr">
        <is>
          <t>smallcap</t>
        </is>
      </c>
      <c r="H173" s="32" t="n">
        <v>617.45</v>
      </c>
      <c r="I173" s="32" t="n">
        <v>480.55</v>
      </c>
      <c r="J173" s="32" t="n">
        <v>1.21</v>
      </c>
      <c r="K173" s="32" t="n">
        <v>9875</v>
      </c>
      <c r="L173" s="31" t="n">
        <v>44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71.98</v>
      </c>
      <c r="P173" s="32" t="n">
        <v>39.41</v>
      </c>
      <c r="Q173" s="32" t="n">
        <v>386.75</v>
      </c>
      <c r="R173" s="31" t="inlineStr">
        <is>
          <t>Near 52W High Breakout</t>
        </is>
      </c>
      <c r="S173" s="31" t="inlineStr">
        <is>
          <t>Nifty 50</t>
        </is>
      </c>
      <c r="T173" s="32" t="n">
        <v>-9.130000000000001</v>
      </c>
      <c r="U173" s="32" t="n">
        <v>30.07</v>
      </c>
      <c r="V173" s="32" t="n">
        <v>43.15</v>
      </c>
      <c r="W173" s="32" t="n">
        <v>14.71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Negative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Blue sky scenario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Less than 1.5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IF(B174=0,"",RANK(B174,$B$2:$B$249,0))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HARSHA</t>
        </is>
      </c>
      <c r="D174" s="31" t="inlineStr">
        <is>
          <t>Harsha Engineers International Ltd</t>
        </is>
      </c>
      <c r="E174" s="31" t="inlineStr">
        <is>
          <t>industrials</t>
        </is>
      </c>
      <c r="F174" s="31" t="inlineStr">
        <is>
          <t>engineering</t>
        </is>
      </c>
      <c r="G174" s="31" t="inlineStr">
        <is>
          <t>smallcap</t>
        </is>
      </c>
      <c r="H174" s="32" t="n">
        <v>4234.01</v>
      </c>
      <c r="I174" s="32" t="n">
        <v>470.3</v>
      </c>
      <c r="J174" s="32" t="n">
        <v>1.13</v>
      </c>
      <c r="K174" s="32" t="n">
        <v>95299</v>
      </c>
      <c r="L174" s="31" t="n">
        <v>19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64.98</v>
      </c>
      <c r="P174" s="32" t="n">
        <v>34.38</v>
      </c>
      <c r="Q174" s="32" t="n">
        <v>376.62</v>
      </c>
      <c r="R174" s="31" t="inlineStr">
        <is>
          <t>Near 52W High Breakout</t>
        </is>
      </c>
      <c r="S174" s="31" t="inlineStr">
        <is>
          <t>Nifty 50</t>
        </is>
      </c>
      <c r="T174" s="32" t="n">
        <v>-9.130000000000001</v>
      </c>
      <c r="U174" s="32" t="n">
        <v>18.41</v>
      </c>
      <c r="V174" s="32" t="n">
        <v>30.32</v>
      </c>
      <c r="W174" s="32" t="n">
        <v>6.91</v>
      </c>
      <c r="X174" s="31" t="inlineStr">
        <is>
          <t>Cyclical in an Upturn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Less than 12%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IF(B175=0,"",RANK(B175,$B$2:$B$249,0))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GRWRHITECH</t>
        </is>
      </c>
      <c r="D175" s="31" t="inlineStr">
        <is>
          <t>Garware Hi Tech Films Ltd</t>
        </is>
      </c>
      <c r="E175" s="31" t="inlineStr">
        <is>
          <t>industrials</t>
        </is>
      </c>
      <c r="F175" s="31" t="inlineStr">
        <is>
          <t>packaging</t>
        </is>
      </c>
      <c r="G175" s="31" t="inlineStr">
        <is>
          <t>midcap</t>
        </is>
      </c>
      <c r="H175" s="32" t="n">
        <v>16301.01</v>
      </c>
      <c r="I175" s="32" t="n">
        <v>7015.5</v>
      </c>
      <c r="J175" s="32" t="n">
        <v>-0.01</v>
      </c>
      <c r="K175" s="32" t="n">
        <v>84631</v>
      </c>
      <c r="L175" s="31" t="n">
        <v>63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66.3</v>
      </c>
      <c r="P175" s="32" t="n">
        <v>57.02</v>
      </c>
      <c r="Q175" s="32" t="n">
        <v>5591.45</v>
      </c>
      <c r="R175" s="31" t="inlineStr">
        <is>
          <t>Near 52W High Breakout</t>
        </is>
      </c>
      <c r="S175" s="31" t="inlineStr">
        <is>
          <t>Nifty 50</t>
        </is>
      </c>
      <c r="T175" s="32" t="n">
        <v>-9.130000000000001</v>
      </c>
      <c r="U175" s="32" t="n">
        <v>126.17</v>
      </c>
      <c r="V175" s="32" t="n">
        <v>148.91</v>
      </c>
      <c r="W175" s="32" t="n">
        <v>21.79</v>
      </c>
      <c r="X175" s="31" t="inlineStr">
        <is>
          <t>Cyclical in an Upturn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Above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Negative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Blue sky scenario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Less than 1.5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IF(B176=0,"",RANK(B176,$B$2:$B$249,0))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GLOBAL</t>
        </is>
      </c>
      <c r="D176" s="31" t="inlineStr">
        <is>
          <t>Global Education Ltd</t>
        </is>
      </c>
      <c r="E176" s="31" t="inlineStr">
        <is>
          <t>services</t>
        </is>
      </c>
      <c r="F176" s="31" t="inlineStr">
        <is>
          <t>miscellaneous</t>
        </is>
      </c>
      <c r="G176" s="31" t="inlineStr">
        <is>
          <t>smallcap</t>
        </is>
      </c>
      <c r="H176" s="32" t="n">
        <v>677.04</v>
      </c>
      <c r="I176" s="32" t="n">
        <v>132.8</v>
      </c>
      <c r="J176" s="32" t="n">
        <v>-0.16</v>
      </c>
      <c r="K176" s="32" t="n">
        <v>145033</v>
      </c>
      <c r="L176" s="31" t="n">
        <v>63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71.88</v>
      </c>
      <c r="P176" s="32" t="n">
        <v>33.43</v>
      </c>
      <c r="Q176" s="32" t="n">
        <v>103.24</v>
      </c>
      <c r="R176" s="31" t="inlineStr">
        <is>
          <t>Near 52W High Breakout</t>
        </is>
      </c>
      <c r="S176" s="31" t="inlineStr">
        <is>
          <t>Nifty 50</t>
        </is>
      </c>
      <c r="T176" s="32" t="n">
        <v>-9.130000000000001</v>
      </c>
      <c r="U176" s="32" t="n">
        <v>103.62</v>
      </c>
      <c r="V176" s="32" t="n">
        <v>124.09</v>
      </c>
      <c r="W176" s="32" t="n">
        <v>21.92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Blue sky scenario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Less than 12%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Less than 50%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IF(B177=0,"",RANK(B177,$B$2:$B$249,0))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PRIVISCL</t>
        </is>
      </c>
      <c r="D177" s="31" t="inlineStr">
        <is>
          <t>Privi Speciality Chemicals Ltd</t>
        </is>
      </c>
      <c r="E177" s="31" t="inlineStr">
        <is>
          <t>chemicals</t>
        </is>
      </c>
      <c r="F177" s="31" t="inlineStr">
        <is>
          <t>chemicals</t>
        </is>
      </c>
      <c r="G177" s="31" t="inlineStr">
        <is>
          <t>midcap</t>
        </is>
      </c>
      <c r="H177" s="32" t="n">
        <v>14084.06</v>
      </c>
      <c r="I177" s="32" t="n">
        <v>3586.6</v>
      </c>
      <c r="J177" s="32" t="n">
        <v>-0.52</v>
      </c>
      <c r="K177" s="32" t="n">
        <v>102693</v>
      </c>
      <c r="L177" s="31" t="n">
        <v>25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58.21</v>
      </c>
      <c r="P177" s="32" t="n">
        <v>17.91</v>
      </c>
      <c r="Q177" s="32" t="n">
        <v>3077.37</v>
      </c>
      <c r="R177" s="31" t="inlineStr">
        <is>
          <t>Near 52W High Breakout</t>
        </is>
      </c>
      <c r="S177" s="31" t="inlineStr">
        <is>
          <t>Nifty 50</t>
        </is>
      </c>
      <c r="T177" s="32" t="n">
        <v>-9.130000000000001</v>
      </c>
      <c r="U177" s="32" t="n">
        <v>48.71</v>
      </c>
      <c r="V177" s="32" t="n">
        <v>63.66</v>
      </c>
      <c r="W177" s="32" t="n">
        <v>8.210000000000001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0 to 20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Blue sky scenario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Less than 1.5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Between 0.7 to 1.2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IF(B178=0,"",RANK(B178,$B$2:$B$249,0))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3" t="inlineStr">
        <is>
          <t>MGEL</t>
        </is>
      </c>
      <c r="D178" s="33" t="inlineStr">
        <is>
          <t>Mangalam Global Enterprise Ltd</t>
        </is>
      </c>
      <c r="E178" s="31" t="inlineStr">
        <is>
          <t>services</t>
        </is>
      </c>
      <c r="F178" s="31" t="inlineStr">
        <is>
          <t>trading</t>
        </is>
      </c>
      <c r="G178" s="31" t="inlineStr">
        <is>
          <t>smallcap</t>
        </is>
      </c>
      <c r="H178" s="32" t="n">
        <v>530.91</v>
      </c>
      <c r="I178" s="32" t="n">
        <v>15.89</v>
      </c>
      <c r="J178" s="32" t="n">
        <v>-1.37</v>
      </c>
      <c r="K178" s="32" t="n">
        <v>235063</v>
      </c>
      <c r="L178" s="31" t="n">
        <v>1</v>
      </c>
      <c r="M178" s="31" t="inlineStr">
        <is>
          <t>Underperforming</t>
        </is>
      </c>
      <c r="N178" s="32">
        <f>IF(M178="Underperforming",-5,IF(L178&gt;=95,15,IF(L178&gt;=90,10,IF(L178&gt;=80,5,0))))</f>
        <v/>
      </c>
      <c r="O178" s="32" t="n">
        <v>57.29</v>
      </c>
      <c r="P178" s="32" t="n">
        <v>31.28</v>
      </c>
      <c r="Q178" s="32" t="n">
        <v>12.42</v>
      </c>
      <c r="R178" s="31" t="inlineStr">
        <is>
          <t>Earnings / Momentum Support</t>
        </is>
      </c>
      <c r="S178" s="31" t="inlineStr">
        <is>
          <t>Nifty 50</t>
        </is>
      </c>
      <c r="T178" s="32" t="n">
        <v>-9.130000000000001</v>
      </c>
      <c r="U178" s="32" t="n">
        <v>-11.62</v>
      </c>
      <c r="V178" s="32" t="n">
        <v>-2.73</v>
      </c>
      <c r="W178" s="32" t="n">
        <v>-0.57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No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Less than 1.5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Between 0.7 to 1.2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IF(B179=0,"",RANK(B179,$B$2:$B$249,0))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SETL</t>
        </is>
      </c>
      <c r="D179" s="31" t="inlineStr">
        <is>
          <t>Standard Enginnering Technology Ltd</t>
        </is>
      </c>
      <c r="E179" s="31" t="inlineStr">
        <is>
          <t>industrials</t>
        </is>
      </c>
      <c r="F179" s="31" t="inlineStr">
        <is>
          <t>engineering</t>
        </is>
      </c>
      <c r="G179" s="31" t="inlineStr">
        <is>
          <t>midcap</t>
        </is>
      </c>
      <c r="H179" s="32" t="n">
        <v>8557.190000000001</v>
      </c>
      <c r="I179" s="32" t="n">
        <v>422.8</v>
      </c>
      <c r="J179" s="32" t="n">
        <v>-1.43</v>
      </c>
      <c r="K179" s="32" t="n">
        <v>407519</v>
      </c>
      <c r="L179" s="31" t="n">
        <v>88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75</v>
      </c>
      <c r="P179" s="32" t="n">
        <v>76.70999999999999</v>
      </c>
      <c r="Q179" s="32" t="n">
        <v>359.12</v>
      </c>
      <c r="R179" s="31" t="inlineStr">
        <is>
          <t>Earnings / Momentum Support</t>
        </is>
      </c>
      <c r="S179" s="31" t="inlineStr">
        <is>
          <t>Nifty 50</t>
        </is>
      </c>
      <c r="T179" s="32" t="n">
        <v>-9.130000000000001</v>
      </c>
      <c r="U179" s="32" t="n">
        <v>127.4</v>
      </c>
      <c r="V179" s="32" t="n">
        <v>150.26</v>
      </c>
      <c r="W179" s="32" t="n">
        <v>37.5</v>
      </c>
      <c r="X179" s="31" t="inlineStr">
        <is>
          <t>Cyclical in an Upturn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No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Above 40</t>
        </is>
      </c>
      <c r="AY179" s="31">
        <f>IF(AX179="Above 40",20,IF(AX179="20 to 40",10,IF(AX179="0 to 20",-5,0)))</f>
        <v/>
      </c>
      <c r="AZ179" s="31" t="inlineStr">
        <is>
          <t>Above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Yes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IF(B180=0,"",RANK(B180,$B$2:$B$249,0))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PRECWIRE</t>
        </is>
      </c>
      <c r="D180" s="31" t="inlineStr">
        <is>
          <t>Precision Wires India Limited</t>
        </is>
      </c>
      <c r="E180" s="31" t="inlineStr">
        <is>
          <t>metals &amp; mining</t>
        </is>
      </c>
      <c r="F180" s="31" t="inlineStr">
        <is>
          <t>mining / minerals / metals</t>
        </is>
      </c>
      <c r="G180" s="31" t="inlineStr">
        <is>
          <t>midcap</t>
        </is>
      </c>
      <c r="H180" s="32" t="n">
        <v>9143.139999999999</v>
      </c>
      <c r="I180" s="32" t="n">
        <v>492.45</v>
      </c>
      <c r="J180" s="32" t="n">
        <v>-1.54</v>
      </c>
      <c r="K180" s="32" t="n">
        <v>310956</v>
      </c>
      <c r="L180" s="31" t="inlineStr"/>
      <c r="M180" s="31" t="inlineStr"/>
      <c r="N180" s="32">
        <f>IF(M180="Underperforming",-5,IF(L180&gt;=95,15,IF(L180&gt;=90,10,IF(L180&gt;=80,5,0))))</f>
        <v/>
      </c>
      <c r="O180" s="32" t="n">
        <v>64.14</v>
      </c>
      <c r="P180" s="32" t="n">
        <v>37.6</v>
      </c>
      <c r="Q180" s="32" t="n">
        <v>368.79</v>
      </c>
      <c r="R180" s="31" t="inlineStr">
        <is>
          <t>Near 52W High Breakout</t>
        </is>
      </c>
      <c r="S180" s="31" t="inlineStr">
        <is>
          <t>Nifty Metal</t>
        </is>
      </c>
      <c r="T180" s="32" t="inlineStr"/>
      <c r="U180" s="32" t="inlineStr"/>
      <c r="V180" s="32" t="inlineStr"/>
      <c r="W180" s="32" t="inlineStr"/>
      <c r="X180" s="31" t="inlineStr">
        <is>
          <t>Cyclical in an Upturn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Cyclical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Volatile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20 to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Blue sky scenario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Yes</t>
        </is>
      </c>
      <c r="BS180" s="31">
        <f>IF(BR180="NO",5,0)</f>
        <v/>
      </c>
      <c r="BT180" s="31" t="inlineStr">
        <is>
          <t>Less than 1.5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IF(B181=0,"",RANK(B181,$B$2:$B$249,0))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QPOWER</t>
        </is>
      </c>
      <c r="D181" s="31" t="inlineStr">
        <is>
          <t>Quality Power Electrical Equipments Ltd</t>
        </is>
      </c>
      <c r="E181" s="31" t="inlineStr">
        <is>
          <t>industrials</t>
        </is>
      </c>
      <c r="F181" s="31" t="inlineStr">
        <is>
          <t>electric equipment</t>
        </is>
      </c>
      <c r="G181" s="31" t="inlineStr">
        <is>
          <t>midcap</t>
        </is>
      </c>
      <c r="H181" s="32" t="n">
        <v>12501.8</v>
      </c>
      <c r="I181" s="32" t="n">
        <v>1584.8</v>
      </c>
      <c r="J181" s="32" t="n">
        <v>-1.83</v>
      </c>
      <c r="K181" s="32" t="n">
        <v>267707</v>
      </c>
      <c r="L181" s="31" t="n">
        <v>55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68.16</v>
      </c>
      <c r="P181" s="32" t="n">
        <v>19.68</v>
      </c>
      <c r="Q181" s="32" t="n">
        <v>1158.16</v>
      </c>
      <c r="R181" s="31" t="inlineStr">
        <is>
          <t>Near 52W High Breakout</t>
        </is>
      </c>
      <c r="S181" s="31" t="inlineStr">
        <is>
          <t>Nifty 50</t>
        </is>
      </c>
      <c r="T181" s="32" t="n">
        <v>-9.130000000000001</v>
      </c>
      <c r="U181" s="32" t="n">
        <v>52.68</v>
      </c>
      <c r="V181" s="32" t="n">
        <v>68.03</v>
      </c>
      <c r="W181" s="32" t="n">
        <v>19</v>
      </c>
      <c r="X181" s="31" t="inlineStr">
        <is>
          <t>Cyclical in an Upturn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0 to 20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Blue sky scenario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Yes</t>
        </is>
      </c>
      <c r="BS181" s="31">
        <f>IF(BR181="NO",5,0)</f>
        <v/>
      </c>
      <c r="BT181" s="31" t="inlineStr">
        <is>
          <t>Between 1.5 to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IF(B182=0,"",RANK(B182,$B$2:$B$249,0))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MANINDS</t>
        </is>
      </c>
      <c r="D182" s="31" t="inlineStr">
        <is>
          <t>Man Industries (india) Limited</t>
        </is>
      </c>
      <c r="E182" s="31" t="inlineStr">
        <is>
          <t>metals &amp; mining</t>
        </is>
      </c>
      <c r="F182" s="31" t="inlineStr">
        <is>
          <t>steel - medium / small</t>
        </is>
      </c>
      <c r="G182" s="31" t="inlineStr">
        <is>
          <t>midcap</t>
        </is>
      </c>
      <c r="H182" s="32" t="n">
        <v>7197.92</v>
      </c>
      <c r="I182" s="32" t="n">
        <v>907.35</v>
      </c>
      <c r="J182" s="32" t="n">
        <v>-5.45</v>
      </c>
      <c r="K182" s="32" t="n">
        <v>1072563</v>
      </c>
      <c r="L182" s="31" t="inlineStr"/>
      <c r="M182" s="31" t="inlineStr"/>
      <c r="N182" s="32">
        <f>IF(M182="Underperforming",-5,IF(L182&gt;=95,15,IF(L182&gt;=90,10,IF(L182&gt;=80,5,0))))</f>
        <v/>
      </c>
      <c r="O182" s="32" t="n">
        <v>69.93000000000001</v>
      </c>
      <c r="P182" s="32" t="n">
        <v>43.19</v>
      </c>
      <c r="Q182" s="32" t="n">
        <v>760.52</v>
      </c>
      <c r="R182" s="31" t="inlineStr">
        <is>
          <t>Earnings / Momentum Support</t>
        </is>
      </c>
      <c r="S182" s="31" t="inlineStr">
        <is>
          <t>Nifty Metal</t>
        </is>
      </c>
      <c r="T182" s="32" t="inlineStr"/>
      <c r="U182" s="32" t="inlineStr"/>
      <c r="V182" s="32" t="inlineStr"/>
      <c r="W182" s="32" t="inlineStr"/>
      <c r="X182" s="31" t="inlineStr">
        <is>
          <t>Cyclical in an Upturn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Cyclical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Volatile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No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Above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No</t>
        </is>
      </c>
      <c r="BS182" s="31">
        <f>IF(BR182="NO",5,0)</f>
        <v/>
      </c>
      <c r="BT182" s="31" t="inlineStr">
        <is>
          <t>Less than 1.5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IF(B183=0,"",RANK(B183,$B$2:$B$249,0))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MAWANASUG</t>
        </is>
      </c>
      <c r="D183" s="31" t="inlineStr">
        <is>
          <t>Mawana Sugars Limited</t>
        </is>
      </c>
      <c r="E183" s="31" t="inlineStr">
        <is>
          <t>fmcg</t>
        </is>
      </c>
      <c r="F183" s="31" t="inlineStr">
        <is>
          <t>sugar</t>
        </is>
      </c>
      <c r="G183" s="31" t="inlineStr">
        <is>
          <t>smallcap</t>
        </is>
      </c>
      <c r="H183" s="32" t="n">
        <v>567.39</v>
      </c>
      <c r="I183" s="32" t="n">
        <v>145.01</v>
      </c>
      <c r="J183" s="32" t="n">
        <v>-0.03</v>
      </c>
      <c r="K183" s="32" t="n">
        <v>253411</v>
      </c>
      <c r="L183" s="31" t="inlineStr"/>
      <c r="M183" s="31" t="inlineStr"/>
      <c r="N183" s="32">
        <f>IF(M183="Underperforming",-5,IF(L183&gt;=95,15,IF(L183&gt;=90,10,IF(L183&gt;=80,5,0))))</f>
        <v/>
      </c>
      <c r="O183" s="32" t="n">
        <v>65.03</v>
      </c>
      <c r="P183" s="32" t="n">
        <v>42.56</v>
      </c>
      <c r="Q183" s="32" t="n">
        <v>109.56</v>
      </c>
      <c r="R183" s="31" t="inlineStr">
        <is>
          <t>Near 52W High Breakout</t>
        </is>
      </c>
      <c r="S183" s="31" t="inlineStr">
        <is>
          <t>Nifty FMCG</t>
        </is>
      </c>
      <c r="T183" s="32" t="inlineStr"/>
      <c r="U183" s="32" t="inlineStr"/>
      <c r="V183" s="32" t="inlineStr"/>
      <c r="W183" s="32" t="inlineStr"/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B2C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Annuity, Lower One Time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Above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Negative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Blue sky scenario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No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Between 0.7 to 1.2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IF(B184=0,"",RANK(B184,$B$2:$B$249,0))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KOPRAN</t>
        </is>
      </c>
      <c r="D184" s="31" t="inlineStr">
        <is>
          <t>Kopran Limited</t>
        </is>
      </c>
      <c r="E184" s="31" t="inlineStr">
        <is>
          <t>healthcare</t>
        </is>
      </c>
      <c r="F184" s="31" t="inlineStr">
        <is>
          <t>pharmaceuticals - indian - bulk drugs &amp; formln</t>
        </is>
      </c>
      <c r="G184" s="31" t="inlineStr">
        <is>
          <t>smallcap</t>
        </is>
      </c>
      <c r="H184" s="32" t="n">
        <v>1404.63</v>
      </c>
      <c r="I184" s="32" t="n">
        <v>278.32</v>
      </c>
      <c r="J184" s="32" t="n">
        <v>-4.32</v>
      </c>
      <c r="K184" s="32" t="n">
        <v>487875</v>
      </c>
      <c r="L184" s="31" t="n">
        <v>69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76.26000000000001</v>
      </c>
      <c r="P184" s="32" t="n">
        <v>44.28</v>
      </c>
      <c r="Q184" s="32" t="n">
        <v>216.51</v>
      </c>
      <c r="R184" s="31" t="inlineStr">
        <is>
          <t>Near 52W High Breakout</t>
        </is>
      </c>
      <c r="S184" s="31" t="inlineStr">
        <is>
          <t>Nifty Pharma</t>
        </is>
      </c>
      <c r="T184" s="32" t="n">
        <v>21.52</v>
      </c>
      <c r="U184" s="32" t="n">
        <v>55.08</v>
      </c>
      <c r="V184" s="32" t="n">
        <v>27.62</v>
      </c>
      <c r="W184" s="32" t="n">
        <v>23.24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Yes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Annuity, Lower One Time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Above 40</t>
        </is>
      </c>
      <c r="AY184" s="31">
        <f>IF(AX184="Above 40",20,IF(AX184="20 to 40",10,IF(AX184="0 to 20",-5,0)))</f>
        <v/>
      </c>
      <c r="AZ184" s="31" t="inlineStr">
        <is>
          <t>Above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Less than 12%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IF(B185=0,"",RANK(B185,$B$2:$B$249,0))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LOKESHMACH</t>
        </is>
      </c>
      <c r="D185" s="31" t="inlineStr">
        <is>
          <t>Lokesh Machines Limited</t>
        </is>
      </c>
      <c r="E185" s="31" t="inlineStr">
        <is>
          <t>industrials</t>
        </is>
      </c>
      <c r="F185" s="31" t="inlineStr">
        <is>
          <t>engineering</t>
        </is>
      </c>
      <c r="G185" s="31" t="inlineStr">
        <is>
          <t>smallcap</t>
        </is>
      </c>
      <c r="H185" s="32" t="n">
        <v>744.47</v>
      </c>
      <c r="I185" s="32" t="n">
        <v>365.9</v>
      </c>
      <c r="J185" s="32" t="n">
        <v>7.13</v>
      </c>
      <c r="K185" s="32" t="n">
        <v>76813</v>
      </c>
      <c r="L185" s="31" t="n">
        <v>53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67.53</v>
      </c>
      <c r="P185" s="32" t="n">
        <v>38.77</v>
      </c>
      <c r="Q185" s="32" t="n">
        <v>270.17</v>
      </c>
      <c r="R185" s="31" t="inlineStr">
        <is>
          <t>Near 52W High Breakout</t>
        </is>
      </c>
      <c r="S185" s="31" t="inlineStr">
        <is>
          <t>Nifty 50</t>
        </is>
      </c>
      <c r="T185" s="32" t="n">
        <v>-9.130000000000001</v>
      </c>
      <c r="U185" s="32" t="n">
        <v>90.31999999999999</v>
      </c>
      <c r="V185" s="32" t="n">
        <v>109.45</v>
      </c>
      <c r="W185" s="32" t="n">
        <v>18.79</v>
      </c>
      <c r="X185" s="31" t="inlineStr">
        <is>
          <t>Cyclical in an Upturn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Between 0.7 to 1.2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IF(B186=0,"",RANK(B186,$B$2:$B$249,0))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EMIL</t>
        </is>
      </c>
      <c r="D186" s="31" t="inlineStr">
        <is>
          <t>Electronics Mart India Ltd</t>
        </is>
      </c>
      <c r="E186" s="31" t="inlineStr">
        <is>
          <t>consumer discretionary</t>
        </is>
      </c>
      <c r="F186" s="31" t="inlineStr">
        <is>
          <t>trading</t>
        </is>
      </c>
      <c r="G186" s="31" t="inlineStr">
        <is>
          <t>midcap</t>
        </is>
      </c>
      <c r="H186" s="32" t="n">
        <v>7376.02</v>
      </c>
      <c r="I186" s="32" t="n">
        <v>205.36</v>
      </c>
      <c r="J186" s="32" t="n">
        <v>7.12</v>
      </c>
      <c r="K186" s="32" t="n">
        <v>14305072</v>
      </c>
      <c r="L186" s="31" t="n">
        <v>61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75.45999999999999</v>
      </c>
      <c r="P186" s="32" t="n">
        <v>44.52</v>
      </c>
      <c r="Q186" s="32" t="n">
        <v>155.48</v>
      </c>
      <c r="R186" s="31" t="inlineStr">
        <is>
          <t>Near 52W High Breakout</t>
        </is>
      </c>
      <c r="S186" s="31" t="inlineStr">
        <is>
          <t>Nifty 50</t>
        </is>
      </c>
      <c r="T186" s="32" t="n">
        <v>-9.130000000000001</v>
      </c>
      <c r="U186" s="32" t="n">
        <v>43.32</v>
      </c>
      <c r="V186" s="32" t="n">
        <v>57.72</v>
      </c>
      <c r="W186" s="32" t="n">
        <v>20.79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Above 40</t>
        </is>
      </c>
      <c r="AY186" s="31">
        <f>IF(AX186="Above 40",20,IF(AX186="20 to 40",10,IF(AX186="0 to 20",-5,0)))</f>
        <v/>
      </c>
      <c r="AZ186" s="31" t="inlineStr">
        <is>
          <t>Above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More than 1.2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IF(B187=0,"",RANK(B187,$B$2:$B$249,0))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MAXESTATES</t>
        </is>
      </c>
      <c r="D187" s="31" t="inlineStr">
        <is>
          <t>Max Estates Ltd</t>
        </is>
      </c>
      <c r="E187" s="31" t="inlineStr">
        <is>
          <t>realty</t>
        </is>
      </c>
      <c r="F187" s="31" t="inlineStr">
        <is>
          <t>construction</t>
        </is>
      </c>
      <c r="G187" s="31" t="inlineStr">
        <is>
          <t>midcap</t>
        </is>
      </c>
      <c r="H187" s="32" t="n">
        <v>9307.08</v>
      </c>
      <c r="I187" s="32" t="n">
        <v>587.1</v>
      </c>
      <c r="J187" s="32" t="n">
        <v>3.14</v>
      </c>
      <c r="K187" s="32" t="n">
        <v>107816</v>
      </c>
      <c r="L187" s="31" t="inlineStr"/>
      <c r="M187" s="31" t="inlineStr"/>
      <c r="N187" s="32">
        <f>IF(M187="Underperforming",-5,IF(L187&gt;=95,15,IF(L187&gt;=90,10,IF(L187&gt;=80,5,0))))</f>
        <v/>
      </c>
      <c r="O187" s="32" t="n">
        <v>72.8</v>
      </c>
      <c r="P187" s="32" t="n">
        <v>32.19</v>
      </c>
      <c r="Q187" s="32" t="n">
        <v>458.13</v>
      </c>
      <c r="R187" s="31" t="inlineStr">
        <is>
          <t>Near 52W High Breakout</t>
        </is>
      </c>
      <c r="S187" s="31" t="inlineStr">
        <is>
          <t>Nifty Realty</t>
        </is>
      </c>
      <c r="T187" s="32" t="inlineStr"/>
      <c r="U187" s="32" t="inlineStr"/>
      <c r="V187" s="32" t="inlineStr"/>
      <c r="W187" s="32" t="inlineStr"/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Blue sky scenario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Less than 12%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Between 0.7 to 1.2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IF(B188=0,"",RANK(B188,$B$2:$B$249,0))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MOLDTECH</t>
        </is>
      </c>
      <c r="D188" s="31" t="inlineStr">
        <is>
          <t>Mold-tek Technologies Limited</t>
        </is>
      </c>
      <c r="E188" s="31" t="inlineStr">
        <is>
          <t>realty</t>
        </is>
      </c>
      <c r="F188" s="31" t="inlineStr">
        <is>
          <t>engineering - turnkey services</t>
        </is>
      </c>
      <c r="G188" s="31" t="inlineStr">
        <is>
          <t>smallcap</t>
        </is>
      </c>
      <c r="H188" s="32" t="n">
        <v>580.39</v>
      </c>
      <c r="I188" s="32" t="n">
        <v>206.16</v>
      </c>
      <c r="J188" s="32" t="n">
        <v>2.32</v>
      </c>
      <c r="K188" s="32" t="n">
        <v>34867</v>
      </c>
      <c r="L188" s="31" t="inlineStr"/>
      <c r="M188" s="31" t="inlineStr"/>
      <c r="N188" s="32">
        <f>IF(M188="Underperforming",-5,IF(L188&gt;=95,15,IF(L188&gt;=90,10,IF(L188&gt;=80,5,0))))</f>
        <v/>
      </c>
      <c r="O188" s="32" t="n">
        <v>69.44</v>
      </c>
      <c r="P188" s="32" t="n">
        <v>45.35</v>
      </c>
      <c r="Q188" s="32" t="n">
        <v>148.36</v>
      </c>
      <c r="R188" s="31" t="inlineStr">
        <is>
          <t>Near 52W High Breakout</t>
        </is>
      </c>
      <c r="S188" s="31" t="inlineStr">
        <is>
          <t>Nifty Realty</t>
        </is>
      </c>
      <c r="T188" s="32" t="inlineStr"/>
      <c r="U188" s="32" t="inlineStr"/>
      <c r="V188" s="32" t="inlineStr"/>
      <c r="W188" s="32" t="inlineStr"/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Above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Negative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No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IF(B189=0,"",RANK(B189,$B$2:$B$249,0))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TEGA</t>
        </is>
      </c>
      <c r="D189" s="31" t="inlineStr">
        <is>
          <t>Tega Industries Ltd</t>
        </is>
      </c>
      <c r="E189" s="31" t="inlineStr">
        <is>
          <t>industrials</t>
        </is>
      </c>
      <c r="F189" s="31" t="inlineStr">
        <is>
          <t>engineering</t>
        </is>
      </c>
      <c r="G189" s="31" t="inlineStr">
        <is>
          <t>midcap</t>
        </is>
      </c>
      <c r="H189" s="32" t="n">
        <v>15480.81</v>
      </c>
      <c r="I189" s="32" t="n">
        <v>2106.7</v>
      </c>
      <c r="J189" s="32" t="n">
        <v>2.24</v>
      </c>
      <c r="K189" s="32" t="n">
        <v>1493714</v>
      </c>
      <c r="L189" s="31" t="n">
        <v>23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65.76000000000001</v>
      </c>
      <c r="P189" s="32" t="n">
        <v>15.2</v>
      </c>
      <c r="Q189" s="32" t="n">
        <v>1608.32</v>
      </c>
      <c r="R189" s="31" t="inlineStr">
        <is>
          <t>Near 52W High Breakout</t>
        </is>
      </c>
      <c r="S189" s="31" t="inlineStr">
        <is>
          <t>Nifty 50</t>
        </is>
      </c>
      <c r="T189" s="32" t="n">
        <v>-9.130000000000001</v>
      </c>
      <c r="U189" s="32" t="n">
        <v>6.85</v>
      </c>
      <c r="V189" s="32" t="n">
        <v>17.59</v>
      </c>
      <c r="W189" s="32" t="n">
        <v>7.83</v>
      </c>
      <c r="X189" s="31" t="inlineStr">
        <is>
          <t>Cyclical in an Upturn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0 to 20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Blue sky scenario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IF(B190=0,"",RANK(B190,$B$2:$B$249,0))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JAMNAAUTO</t>
        </is>
      </c>
      <c r="D190" s="31" t="inlineStr">
        <is>
          <t>Jamna Auto Industries Limited</t>
        </is>
      </c>
      <c r="E190" s="31" t="inlineStr">
        <is>
          <t>auto</t>
        </is>
      </c>
      <c r="F190" s="31" t="inlineStr">
        <is>
          <t>auto ancillaries</t>
        </is>
      </c>
      <c r="G190" s="31" t="inlineStr">
        <is>
          <t>midcap</t>
        </is>
      </c>
      <c r="H190" s="32" t="n">
        <v>5447.89</v>
      </c>
      <c r="I190" s="32" t="n">
        <v>136.35</v>
      </c>
      <c r="J190" s="32" t="n">
        <v>0.06</v>
      </c>
      <c r="K190" s="32" t="n">
        <v>2575110</v>
      </c>
      <c r="L190" s="31" t="inlineStr"/>
      <c r="M190" s="31" t="inlineStr"/>
      <c r="N190" s="32">
        <f>IF(M190="Underperforming",-5,IF(L190&gt;=95,15,IF(L190&gt;=90,10,IF(L190&gt;=80,5,0))))</f>
        <v/>
      </c>
      <c r="O190" s="32" t="n">
        <v>55.61</v>
      </c>
      <c r="P190" s="32" t="n">
        <v>33.27</v>
      </c>
      <c r="Q190" s="32" t="n">
        <v>108.72</v>
      </c>
      <c r="R190" s="31" t="inlineStr">
        <is>
          <t>Earnings / Momentum Support</t>
        </is>
      </c>
      <c r="S190" s="31" t="inlineStr">
        <is>
          <t>Nifty Auto</t>
        </is>
      </c>
      <c r="T190" s="32" t="inlineStr"/>
      <c r="U190" s="32" t="inlineStr"/>
      <c r="V190" s="32" t="inlineStr"/>
      <c r="W190" s="32" t="inlineStr"/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No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Less than 12%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IF(B191=0,"",RANK(B191,$B$2:$B$249,0))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YUKEN</t>
        </is>
      </c>
      <c r="D191" s="31" t="inlineStr">
        <is>
          <t>Yuken India Ltd</t>
        </is>
      </c>
      <c r="E191" s="31" t="inlineStr">
        <is>
          <t>industrials</t>
        </is>
      </c>
      <c r="F191" s="31" t="inlineStr">
        <is>
          <t>engineering</t>
        </is>
      </c>
      <c r="G191" s="31" t="inlineStr">
        <is>
          <t>smallcap</t>
        </is>
      </c>
      <c r="H191" s="32" t="n">
        <v>1535.94</v>
      </c>
      <c r="I191" s="32" t="n">
        <v>1131.1</v>
      </c>
      <c r="J191" s="32" t="n">
        <v>0.04</v>
      </c>
      <c r="K191" s="32" t="n">
        <v>10732</v>
      </c>
      <c r="L191" s="31" t="n">
        <v>45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76.34999999999999</v>
      </c>
      <c r="P191" s="32" t="n">
        <v>35.46</v>
      </c>
      <c r="Q191" s="32" t="n">
        <v>900.21</v>
      </c>
      <c r="R191" s="31" t="inlineStr">
        <is>
          <t>Near 52W High Breakout</t>
        </is>
      </c>
      <c r="S191" s="31" t="inlineStr">
        <is>
          <t>Nifty 50</t>
        </is>
      </c>
      <c r="T191" s="32" t="n">
        <v>-9.130000000000001</v>
      </c>
      <c r="U191" s="32" t="n">
        <v>15.65</v>
      </c>
      <c r="V191" s="32" t="n">
        <v>27.27</v>
      </c>
      <c r="W191" s="32" t="n">
        <v>14.93</v>
      </c>
      <c r="X191" s="31" t="inlineStr">
        <is>
          <t>Cyclical in an Upturn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Above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IF(B192=0,"",RANK(B192,$B$2:$B$249,0))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RAYMONDREL</t>
        </is>
      </c>
      <c r="D192" s="31" t="inlineStr">
        <is>
          <t>Raymond Realty Ltd</t>
        </is>
      </c>
      <c r="E192" s="31" t="inlineStr">
        <is>
          <t>realty</t>
        </is>
      </c>
      <c r="F192" s="31" t="inlineStr">
        <is>
          <t>construction</t>
        </is>
      </c>
      <c r="G192" s="31" t="inlineStr">
        <is>
          <t>smallcap</t>
        </is>
      </c>
      <c r="H192" s="32" t="n">
        <v>4477.42</v>
      </c>
      <c r="I192" s="32" t="n">
        <v>669.95</v>
      </c>
      <c r="J192" s="32" t="n">
        <v>-0.39</v>
      </c>
      <c r="K192" s="32" t="n">
        <v>620734</v>
      </c>
      <c r="L192" s="31" t="inlineStr"/>
      <c r="M192" s="31" t="inlineStr"/>
      <c r="N192" s="32">
        <f>IF(M192="Underperforming",-5,IF(L192&gt;=95,15,IF(L192&gt;=90,10,IF(L192&gt;=80,5,0))))</f>
        <v/>
      </c>
      <c r="O192" s="32" t="n">
        <v>56.66</v>
      </c>
      <c r="P192" s="32" t="n">
        <v>31.46</v>
      </c>
      <c r="Q192" s="32" t="n">
        <v>498.5</v>
      </c>
      <c r="R192" s="31" t="inlineStr">
        <is>
          <t>Earnings / Momentum Support</t>
        </is>
      </c>
      <c r="S192" s="31" t="inlineStr">
        <is>
          <t>Nifty Realty</t>
        </is>
      </c>
      <c r="T192" s="32" t="inlineStr"/>
      <c r="U192" s="32" t="inlineStr"/>
      <c r="V192" s="32" t="inlineStr"/>
      <c r="W192" s="32" t="inlineStr"/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No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20 to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Less than 12%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IF(B193=0,"",RANK(B193,$B$2:$B$249,0))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GMMPFAUDLR</t>
        </is>
      </c>
      <c r="D193" s="31" t="inlineStr">
        <is>
          <t>GMM Pfaudler Ltd</t>
        </is>
      </c>
      <c r="E193" s="31" t="inlineStr">
        <is>
          <t>industrials</t>
        </is>
      </c>
      <c r="F193" s="31" t="inlineStr">
        <is>
          <t>engineering</t>
        </is>
      </c>
      <c r="G193" s="31" t="inlineStr">
        <is>
          <t>midcap</t>
        </is>
      </c>
      <c r="H193" s="32" t="n">
        <v>6640.63</v>
      </c>
      <c r="I193" s="32" t="n">
        <v>1466.7</v>
      </c>
      <c r="J193" s="32" t="n">
        <v>-0.7</v>
      </c>
      <c r="K193" s="32" t="n">
        <v>164451</v>
      </c>
      <c r="L193" s="31" t="n">
        <v>80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78.27</v>
      </c>
      <c r="P193" s="32" t="n">
        <v>39.31</v>
      </c>
      <c r="Q193" s="32" t="n">
        <v>1228.23</v>
      </c>
      <c r="R193" s="31" t="inlineStr">
        <is>
          <t>Near 52W High Breakout</t>
        </is>
      </c>
      <c r="S193" s="31" t="inlineStr">
        <is>
          <t>Nifty 50</t>
        </is>
      </c>
      <c r="T193" s="32" t="n">
        <v>-9.130000000000001</v>
      </c>
      <c r="U193" s="32" t="n">
        <v>40.68</v>
      </c>
      <c r="V193" s="32" t="n">
        <v>54.82</v>
      </c>
      <c r="W193" s="32" t="n">
        <v>30.39</v>
      </c>
      <c r="X193" s="31" t="inlineStr">
        <is>
          <t>Cyclical in an Upturn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Above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Blue sky scenario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Yes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Between 0.7 to 1.2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IF(B194=0,"",RANK(B194,$B$2:$B$249,0))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ORIENTBELL</t>
        </is>
      </c>
      <c r="D194" s="31" t="inlineStr">
        <is>
          <t>Orient Bell Limited</t>
        </is>
      </c>
      <c r="E194" s="31" t="inlineStr">
        <is>
          <t>building materials</t>
        </is>
      </c>
      <c r="F194" s="31" t="inlineStr">
        <is>
          <t>ceramics - tiles / sanitaryware</t>
        </is>
      </c>
      <c r="G194" s="31" t="inlineStr">
        <is>
          <t>smallcap</t>
        </is>
      </c>
      <c r="H194" s="32" t="n">
        <v>592.24</v>
      </c>
      <c r="I194" s="32" t="n">
        <v>398.55</v>
      </c>
      <c r="J194" s="32" t="n">
        <v>-1.01</v>
      </c>
      <c r="K194" s="32" t="n">
        <v>23214</v>
      </c>
      <c r="L194" s="31" t="inlineStr"/>
      <c r="M194" s="31" t="inlineStr"/>
      <c r="N194" s="32">
        <f>IF(M194="Underperforming",-5,IF(L194&gt;=95,15,IF(L194&gt;=90,10,IF(L194&gt;=80,5,0))))</f>
        <v/>
      </c>
      <c r="O194" s="32" t="n">
        <v>64.42</v>
      </c>
      <c r="P194" s="32" t="n">
        <v>45.18</v>
      </c>
      <c r="Q194" s="32" t="n">
        <v>324.13</v>
      </c>
      <c r="R194" s="31" t="inlineStr">
        <is>
          <t>Earnings / Momentum Support</t>
        </is>
      </c>
      <c r="S194" s="31" t="inlineStr">
        <is>
          <t>Nifty Infra</t>
        </is>
      </c>
      <c r="T194" s="32" t="inlineStr"/>
      <c r="U194" s="32" t="inlineStr"/>
      <c r="V194" s="32" t="inlineStr"/>
      <c r="W194" s="32" t="inlineStr"/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No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Above 40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Negative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Less than 1.5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IF(B195=0,"",RANK(B195,$B$2:$B$249,0))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ADANIPORTS</t>
        </is>
      </c>
      <c r="D195" s="31" t="inlineStr">
        <is>
          <t>Adani Ports And Special Economic Zone Limited</t>
        </is>
      </c>
      <c r="E195" s="31" t="inlineStr">
        <is>
          <t>transportation</t>
        </is>
      </c>
      <c r="F195" s="31" t="inlineStr">
        <is>
          <t>miscellaneous</t>
        </is>
      </c>
      <c r="G195" s="31" t="inlineStr">
        <is>
          <t>largecap</t>
        </is>
      </c>
      <c r="H195" s="32" t="n">
        <v>419781.35</v>
      </c>
      <c r="I195" s="32" t="n">
        <v>1798.3</v>
      </c>
      <c r="J195" s="32" t="n">
        <v>-1.3</v>
      </c>
      <c r="K195" s="32" t="n">
        <v>3199507</v>
      </c>
      <c r="L195" s="31" t="n">
        <v>12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60.26</v>
      </c>
      <c r="P195" s="32" t="n">
        <v>13.3</v>
      </c>
      <c r="Q195" s="32" t="n">
        <v>1616.5</v>
      </c>
      <c r="R195" s="31" t="inlineStr">
        <is>
          <t>Near 52W High Breakout</t>
        </is>
      </c>
      <c r="S195" s="31" t="inlineStr">
        <is>
          <t>Nifty 50</t>
        </is>
      </c>
      <c r="T195" s="32" t="n">
        <v>-9.130000000000001</v>
      </c>
      <c r="U195" s="32" t="n">
        <v>27.26</v>
      </c>
      <c r="V195" s="32" t="n">
        <v>40.05</v>
      </c>
      <c r="W195" s="32" t="n">
        <v>5.19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0 to 20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Blue sky scenario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Less than 12%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IF(B196=0,"",RANK(B196,$B$2:$B$249,0))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SHARDAMOTR</t>
        </is>
      </c>
      <c r="D196" s="31" t="inlineStr">
        <is>
          <t>Sharda Motor Industries Limited</t>
        </is>
      </c>
      <c r="E196" s="31" t="inlineStr">
        <is>
          <t>auto</t>
        </is>
      </c>
      <c r="F196" s="31" t="inlineStr">
        <is>
          <t>auto ancillaries</t>
        </is>
      </c>
      <c r="G196" s="31" t="inlineStr">
        <is>
          <t>midcap</t>
        </is>
      </c>
      <c r="H196" s="32" t="n">
        <v>5575.72</v>
      </c>
      <c r="I196" s="32" t="n">
        <v>956.95</v>
      </c>
      <c r="J196" s="32" t="n">
        <v>-1.47</v>
      </c>
      <c r="K196" s="32" t="n">
        <v>37174</v>
      </c>
      <c r="L196" s="31" t="inlineStr"/>
      <c r="M196" s="31" t="inlineStr"/>
      <c r="N196" s="32">
        <f>IF(M196="Underperforming",-5,IF(L196&gt;=95,15,IF(L196&gt;=90,10,IF(L196&gt;=80,5,0))))</f>
        <v/>
      </c>
      <c r="O196" s="32" t="n">
        <v>59.13</v>
      </c>
      <c r="P196" s="32" t="n">
        <v>24.58</v>
      </c>
      <c r="Q196" s="32" t="n">
        <v>763.3</v>
      </c>
      <c r="R196" s="31" t="inlineStr">
        <is>
          <t>Earnings / Momentum Support</t>
        </is>
      </c>
      <c r="S196" s="31" t="inlineStr">
        <is>
          <t>Nifty Auto</t>
        </is>
      </c>
      <c r="T196" s="32" t="inlineStr"/>
      <c r="U196" s="32" t="inlineStr"/>
      <c r="V196" s="32" t="inlineStr"/>
      <c r="W196" s="32" t="inlineStr"/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No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20 to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Less than 12%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No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IF(B197=0,"",RANK(B197,$B$2:$B$249,0))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MARINE</t>
        </is>
      </c>
      <c r="D197" s="31" t="inlineStr">
        <is>
          <t>Marine Electricals (India) Ltd</t>
        </is>
      </c>
      <c r="E197" s="31" t="inlineStr">
        <is>
          <t>industrials</t>
        </is>
      </c>
      <c r="F197" s="31" t="inlineStr">
        <is>
          <t>electric equipment</t>
        </is>
      </c>
      <c r="G197" s="31" t="inlineStr">
        <is>
          <t>midcap</t>
        </is>
      </c>
      <c r="H197" s="32" t="n">
        <v>6133.06</v>
      </c>
      <c r="I197" s="32" t="n">
        <v>429.55</v>
      </c>
      <c r="J197" s="32" t="n">
        <v>-1.99</v>
      </c>
      <c r="K197" s="32" t="n">
        <v>1225757</v>
      </c>
      <c r="L197" s="31" t="n">
        <v>77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71.58</v>
      </c>
      <c r="P197" s="32" t="n">
        <v>49</v>
      </c>
      <c r="Q197" s="32" t="n">
        <v>308.3</v>
      </c>
      <c r="R197" s="31" t="inlineStr">
        <is>
          <t>Near 52W High Breakout</t>
        </is>
      </c>
      <c r="S197" s="31" t="inlineStr">
        <is>
          <t>Nifty 50</t>
        </is>
      </c>
      <c r="T197" s="32" t="n">
        <v>-9.130000000000001</v>
      </c>
      <c r="U197" s="32" t="n">
        <v>91.58</v>
      </c>
      <c r="V197" s="32" t="n">
        <v>110.84</v>
      </c>
      <c r="W197" s="32" t="n">
        <v>29.05</v>
      </c>
      <c r="X197" s="31" t="inlineStr">
        <is>
          <t>Cyclical in an Upturn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Above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Negative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Blue sky scenario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Between 1.5 to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IF(B198=0,"",RANK(B198,$B$2:$B$249,0))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INDOAMIN</t>
        </is>
      </c>
      <c r="D198" s="31" t="inlineStr">
        <is>
          <t>Indo Amines Ltd</t>
        </is>
      </c>
      <c r="E198" s="31" t="inlineStr">
        <is>
          <t>chemicals</t>
        </is>
      </c>
      <c r="F198" s="31" t="inlineStr">
        <is>
          <t>chemicals</t>
        </is>
      </c>
      <c r="G198" s="31" t="inlineStr">
        <is>
          <t>smallcap</t>
        </is>
      </c>
      <c r="H198" s="32" t="n">
        <v>1055.79</v>
      </c>
      <c r="I198" s="32" t="n">
        <v>142.07</v>
      </c>
      <c r="J198" s="32" t="n">
        <v>-2.32</v>
      </c>
      <c r="K198" s="32" t="n">
        <v>208080</v>
      </c>
      <c r="L198" s="31" t="n">
        <v>9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62.66</v>
      </c>
      <c r="P198" s="32" t="n">
        <v>22.95</v>
      </c>
      <c r="Q198" s="32" t="n">
        <v>107.71</v>
      </c>
      <c r="R198" s="31" t="inlineStr">
        <is>
          <t>Volume Spike &amp; Near 52W High Breakout</t>
        </is>
      </c>
      <c r="S198" s="31" t="inlineStr">
        <is>
          <t>Nifty 50</t>
        </is>
      </c>
      <c r="T198" s="32" t="n">
        <v>-9.130000000000001</v>
      </c>
      <c r="U198" s="32" t="n">
        <v>2.83</v>
      </c>
      <c r="V198" s="32" t="n">
        <v>13.17</v>
      </c>
      <c r="W198" s="32" t="n">
        <v>4.27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Yes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Less than 12%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Between 0.7 to 1.2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IF(B199=0,"",RANK(B199,$B$2:$B$249,0))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DHAMPURSUG</t>
        </is>
      </c>
      <c r="D199" s="31" t="inlineStr">
        <is>
          <t>Dhampur Sugar Mills Limited</t>
        </is>
      </c>
      <c r="E199" s="31" t="inlineStr">
        <is>
          <t>fmcg</t>
        </is>
      </c>
      <c r="F199" s="31" t="inlineStr">
        <is>
          <t>sugar</t>
        </is>
      </c>
      <c r="G199" s="31" t="inlineStr">
        <is>
          <t>smallcap</t>
        </is>
      </c>
      <c r="H199" s="32" t="n">
        <v>1104.79</v>
      </c>
      <c r="I199" s="32" t="n">
        <v>171.42</v>
      </c>
      <c r="J199" s="32" t="n">
        <v>-0.22</v>
      </c>
      <c r="K199" s="32" t="n">
        <v>654374</v>
      </c>
      <c r="L199" s="31" t="inlineStr"/>
      <c r="M199" s="31" t="inlineStr"/>
      <c r="N199" s="32">
        <f>IF(M199="Underperforming",-5,IF(L199&gt;=95,15,IF(L199&gt;=90,10,IF(L199&gt;=80,5,0))))</f>
        <v/>
      </c>
      <c r="O199" s="32" t="n">
        <v>60.56</v>
      </c>
      <c r="P199" s="32" t="n">
        <v>23.84</v>
      </c>
      <c r="Q199" s="32" t="n">
        <v>139.36</v>
      </c>
      <c r="R199" s="31" t="inlineStr">
        <is>
          <t>Earnings / Momentum Support</t>
        </is>
      </c>
      <c r="S199" s="31" t="inlineStr">
        <is>
          <t>Nifty FMCG</t>
        </is>
      </c>
      <c r="T199" s="32" t="inlineStr"/>
      <c r="U199" s="32" t="inlineStr"/>
      <c r="V199" s="32" t="inlineStr"/>
      <c r="W199" s="32" t="inlineStr"/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B2C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Annuity, Lower One Time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Less than 12%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No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Between 0.7 to 1.2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IF(B200=0,"",RANK(B200,$B$2:$B$249,0))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UTTAMSUGAR</t>
        </is>
      </c>
      <c r="D200" s="31" t="inlineStr">
        <is>
          <t>Uttam Sugar Mills Limited</t>
        </is>
      </c>
      <c r="E200" s="31" t="inlineStr">
        <is>
          <t>fmcg</t>
        </is>
      </c>
      <c r="F200" s="31" t="inlineStr">
        <is>
          <t>sugar</t>
        </is>
      </c>
      <c r="G200" s="31" t="inlineStr">
        <is>
          <t>smallcap</t>
        </is>
      </c>
      <c r="H200" s="32" t="n">
        <v>1109.06</v>
      </c>
      <c r="I200" s="32" t="n">
        <v>288.4</v>
      </c>
      <c r="J200" s="32" t="n">
        <v>-0.83</v>
      </c>
      <c r="K200" s="32" t="n">
        <v>153061</v>
      </c>
      <c r="L200" s="31" t="inlineStr"/>
      <c r="M200" s="31" t="inlineStr"/>
      <c r="N200" s="32">
        <f>IF(M200="Underperforming",-5,IF(L200&gt;=95,15,IF(L200&gt;=90,10,IF(L200&gt;=80,5,0))))</f>
        <v/>
      </c>
      <c r="O200" s="32" t="n">
        <v>58.29</v>
      </c>
      <c r="P200" s="32" t="n">
        <v>27.71</v>
      </c>
      <c r="Q200" s="32" t="n">
        <v>226.05</v>
      </c>
      <c r="R200" s="31" t="inlineStr">
        <is>
          <t>Earnings / Momentum Support</t>
        </is>
      </c>
      <c r="S200" s="31" t="inlineStr">
        <is>
          <t>Nifty FMCG</t>
        </is>
      </c>
      <c r="T200" s="32" t="inlineStr"/>
      <c r="U200" s="32" t="inlineStr"/>
      <c r="V200" s="32" t="inlineStr"/>
      <c r="W200" s="32" t="inlineStr"/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B2C</t>
        </is>
      </c>
      <c r="AO200" s="31">
        <f>IF(AN200="B2C",10,IF(AN200="B2B",5,0))</f>
        <v/>
      </c>
      <c r="AP200" s="31" t="inlineStr">
        <is>
          <t>No</t>
        </is>
      </c>
      <c r="AQ200" s="31">
        <f>IF(AP200="Yes",10,0)</f>
        <v/>
      </c>
      <c r="AR200" s="31" t="inlineStr">
        <is>
          <t>Higher Annuity, Lower One Time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Less than 12%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Between 0.7 to 1.2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IF(B201=0,"",RANK(B201,$B$2:$B$249,0))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SOFTTECH</t>
        </is>
      </c>
      <c r="D201" s="31" t="inlineStr">
        <is>
          <t>Softtech Engineers Ltd</t>
        </is>
      </c>
      <c r="E201" s="31" t="inlineStr">
        <is>
          <t>i.t</t>
        </is>
      </c>
      <c r="F201" s="31" t="inlineStr">
        <is>
          <t>computers - software - medium / small</t>
        </is>
      </c>
      <c r="G201" s="31" t="inlineStr">
        <is>
          <t>smallcap</t>
        </is>
      </c>
      <c r="H201" s="32" t="n">
        <v>696.05</v>
      </c>
      <c r="I201" s="32" t="n">
        <v>493.5</v>
      </c>
      <c r="J201" s="32" t="n">
        <v>-1.86</v>
      </c>
      <c r="K201" s="32" t="n">
        <v>17609</v>
      </c>
      <c r="L201" s="31" t="n">
        <v>40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64.25</v>
      </c>
      <c r="P201" s="32" t="n">
        <v>30.62</v>
      </c>
      <c r="Q201" s="32" t="n">
        <v>411.74</v>
      </c>
      <c r="R201" s="31" t="inlineStr">
        <is>
          <t>Earnings / Momentum Support</t>
        </is>
      </c>
      <c r="S201" s="31" t="inlineStr">
        <is>
          <t>Nifty IT</t>
        </is>
      </c>
      <c r="T201" s="32" t="n">
        <v>-18.39</v>
      </c>
      <c r="U201" s="32" t="n">
        <v>32.23</v>
      </c>
      <c r="V201" s="32" t="n">
        <v>62.04</v>
      </c>
      <c r="W201" s="32" t="n">
        <v>12.75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No</t>
        </is>
      </c>
      <c r="AQ201" s="31">
        <f>IF(AP201="Yes",10,0)</f>
        <v/>
      </c>
      <c r="AR201" s="31" t="inlineStr">
        <is>
          <t>Higher Annuity, Lower One Time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Less than 12%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Yes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IF(B202=0,"",RANK(B202,$B$2:$B$249,0))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MTARTECH</t>
        </is>
      </c>
      <c r="D202" s="31" t="inlineStr">
        <is>
          <t>MTAR Technologies Ltd</t>
        </is>
      </c>
      <c r="E202" s="31" t="inlineStr">
        <is>
          <t>aerospace &amp; defence</t>
        </is>
      </c>
      <c r="F202" s="31" t="inlineStr">
        <is>
          <t>engineering</t>
        </is>
      </c>
      <c r="G202" s="31" t="inlineStr">
        <is>
          <t>largecap</t>
        </is>
      </c>
      <c r="H202" s="32" t="n">
        <v>22842.07</v>
      </c>
      <c r="I202" s="32" t="n">
        <v>7797</v>
      </c>
      <c r="J202" s="32" t="n">
        <v>5</v>
      </c>
      <c r="K202" s="32" t="n">
        <v>190323</v>
      </c>
      <c r="L202" s="31" t="n">
        <v>88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64.12</v>
      </c>
      <c r="P202" s="32" t="n">
        <v>18.07</v>
      </c>
      <c r="Q202" s="32" t="n">
        <v>5481.59</v>
      </c>
      <c r="R202" s="31" t="inlineStr">
        <is>
          <t>Earnings / Momentum Support</t>
        </is>
      </c>
      <c r="S202" s="31" t="inlineStr">
        <is>
          <t>Nifty 50</t>
        </is>
      </c>
      <c r="T202" s="32" t="n">
        <v>-9.130000000000001</v>
      </c>
      <c r="U202" s="32" t="n">
        <v>302.72</v>
      </c>
      <c r="V202" s="32" t="n">
        <v>343.2</v>
      </c>
      <c r="W202" s="32" t="n">
        <v>38.33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No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0 to 20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Yes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IF(B203=0,"",RANK(B203,$B$2:$B$249,0))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MODISONLTD</t>
        </is>
      </c>
      <c r="D203" s="31" t="inlineStr">
        <is>
          <t>Modison Ltd</t>
        </is>
      </c>
      <c r="E203" s="31" t="inlineStr">
        <is>
          <t>industrials</t>
        </is>
      </c>
      <c r="F203" s="31" t="inlineStr">
        <is>
          <t>electric equipment</t>
        </is>
      </c>
      <c r="G203" s="31" t="inlineStr">
        <is>
          <t>smallcap</t>
        </is>
      </c>
      <c r="H203" s="32" t="n">
        <v>1452.95</v>
      </c>
      <c r="I203" s="32" t="n">
        <v>462.95</v>
      </c>
      <c r="J203" s="32" t="n">
        <v>3.39</v>
      </c>
      <c r="K203" s="32" t="n">
        <v>59779</v>
      </c>
      <c r="L203" s="31" t="n">
        <v>94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71.25</v>
      </c>
      <c r="P203" s="32" t="n">
        <v>56.49</v>
      </c>
      <c r="Q203" s="32" t="n">
        <v>363.2</v>
      </c>
      <c r="R203" s="31" t="inlineStr">
        <is>
          <t>Earnings / Momentum Support</t>
        </is>
      </c>
      <c r="S203" s="31" t="inlineStr">
        <is>
          <t>Nifty 50</t>
        </is>
      </c>
      <c r="T203" s="32" t="n">
        <v>-9.130000000000001</v>
      </c>
      <c r="U203" s="32" t="n">
        <v>190.26</v>
      </c>
      <c r="V203" s="32" t="n">
        <v>219.44</v>
      </c>
      <c r="W203" s="32" t="n">
        <v>45.63</v>
      </c>
      <c r="X203" s="31" t="inlineStr">
        <is>
          <t>Cyclical in an Upturn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Above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Negative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IF(B204=0,"",RANK(B204,$B$2:$B$249,0))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MBAPL</t>
        </is>
      </c>
      <c r="D204" s="31" t="inlineStr">
        <is>
          <t>Madhya Bharat Agro Products Ltd</t>
        </is>
      </c>
      <c r="E204" s="31" t="inlineStr">
        <is>
          <t>chemicals</t>
        </is>
      </c>
      <c r="F204" s="31" t="inlineStr">
        <is>
          <t>fertilizers</t>
        </is>
      </c>
      <c r="G204" s="31" t="inlineStr">
        <is>
          <t>smallcap</t>
        </is>
      </c>
      <c r="H204" s="32" t="n">
        <v>1461.97</v>
      </c>
      <c r="I204" s="32" t="n">
        <v>170.63</v>
      </c>
      <c r="J204" s="32" t="n">
        <v>2.27</v>
      </c>
      <c r="K204" s="32" t="n">
        <v>1417308</v>
      </c>
      <c r="L204" s="31" t="n">
        <v>71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76.5</v>
      </c>
      <c r="P204" s="32" t="n">
        <v>72.04000000000001</v>
      </c>
      <c r="Q204" s="32" t="n">
        <v>135.9</v>
      </c>
      <c r="R204" s="31" t="inlineStr">
        <is>
          <t>Near 52W High Breakout</t>
        </is>
      </c>
      <c r="S204" s="31" t="inlineStr">
        <is>
          <t>Nifty 50</t>
        </is>
      </c>
      <c r="T204" s="32" t="n">
        <v>-9.130000000000001</v>
      </c>
      <c r="U204" s="32" t="n">
        <v>116.26</v>
      </c>
      <c r="V204" s="32" t="n">
        <v>138</v>
      </c>
      <c r="W204" s="32" t="n">
        <v>24.61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Above 40</t>
        </is>
      </c>
      <c r="AY204" s="31">
        <f>IF(AX204="Above 40",20,IF(AX204="20 to 40",10,IF(AX204="0 to 20",-5,0)))</f>
        <v/>
      </c>
      <c r="AZ204" s="31" t="inlineStr">
        <is>
          <t>Above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Blue sky scenario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Between 12 to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More than 1.2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IF(B205=0,"",RANK(B205,$B$2:$B$249,0))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PREMEXPLN</t>
        </is>
      </c>
      <c r="D205" s="31" t="inlineStr">
        <is>
          <t>Premier Explosives Limited</t>
        </is>
      </c>
      <c r="E205" s="31" t="inlineStr">
        <is>
          <t>aerospace &amp; defence</t>
        </is>
      </c>
      <c r="F205" s="31" t="inlineStr">
        <is>
          <t>chemicals</t>
        </is>
      </c>
      <c r="G205" s="31" t="inlineStr">
        <is>
          <t>smallcap</t>
        </is>
      </c>
      <c r="H205" s="32" t="n">
        <v>3630.49</v>
      </c>
      <c r="I205" s="32" t="n">
        <v>684.1</v>
      </c>
      <c r="J205" s="32" t="n">
        <v>1.3</v>
      </c>
      <c r="K205" s="32" t="n">
        <v>494973</v>
      </c>
      <c r="L205" s="31" t="n">
        <v>15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58.65</v>
      </c>
      <c r="P205" s="32" t="n">
        <v>32.1</v>
      </c>
      <c r="Q205" s="32" t="n">
        <v>647.0599999999999</v>
      </c>
      <c r="R205" s="31" t="inlineStr">
        <is>
          <t>Earnings / Momentum Support</t>
        </is>
      </c>
      <c r="S205" s="31" t="inlineStr">
        <is>
          <t>Nifty 50</t>
        </is>
      </c>
      <c r="T205" s="32" t="n">
        <v>-9.130000000000001</v>
      </c>
      <c r="U205" s="32" t="n">
        <v>13.05</v>
      </c>
      <c r="V205" s="32" t="n">
        <v>24.41</v>
      </c>
      <c r="W205" s="32" t="n">
        <v>5.37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No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Less than 12%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IF(B206=0,"",RANK(B206,$B$2:$B$249,0))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LLOYDSENT</t>
        </is>
      </c>
      <c r="D206" s="31" t="inlineStr">
        <is>
          <t>Lloyds Enterprises Ltd</t>
        </is>
      </c>
      <c r="E206" s="31" t="inlineStr">
        <is>
          <t>services</t>
        </is>
      </c>
      <c r="F206" s="31" t="inlineStr">
        <is>
          <t>trading</t>
        </is>
      </c>
      <c r="G206" s="31" t="inlineStr">
        <is>
          <t>midcap</t>
        </is>
      </c>
      <c r="H206" s="32" t="n">
        <v>12079.61</v>
      </c>
      <c r="I206" s="32" t="n">
        <v>79.23</v>
      </c>
      <c r="J206" s="32" t="n">
        <v>0.13</v>
      </c>
      <c r="K206" s="32" t="n">
        <v>4337499</v>
      </c>
      <c r="L206" s="31" t="n">
        <v>24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58.21</v>
      </c>
      <c r="P206" s="32" t="n">
        <v>31.46</v>
      </c>
      <c r="Q206" s="32" t="n">
        <v>62.43</v>
      </c>
      <c r="R206" s="31" t="inlineStr">
        <is>
          <t>Earnings / Momentum Support</t>
        </is>
      </c>
      <c r="S206" s="31" t="inlineStr">
        <is>
          <t>Nifty 50</t>
        </is>
      </c>
      <c r="T206" s="32" t="n">
        <v>-9.130000000000001</v>
      </c>
      <c r="U206" s="32" t="n">
        <v>14.8</v>
      </c>
      <c r="V206" s="32" t="n">
        <v>26.34</v>
      </c>
      <c r="W206" s="32" t="n">
        <v>7.86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No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Less than 12%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Yes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IF(B207=0,"",RANK(B207,$B$2:$B$249,0))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KSL</t>
        </is>
      </c>
      <c r="D207" s="31" t="inlineStr">
        <is>
          <t>Kalyani Steels Limited</t>
        </is>
      </c>
      <c r="E207" s="31" t="inlineStr">
        <is>
          <t>metals &amp; mining</t>
        </is>
      </c>
      <c r="F207" s="31" t="inlineStr">
        <is>
          <t>steel - medium / small</t>
        </is>
      </c>
      <c r="G207" s="31" t="inlineStr">
        <is>
          <t>smallcap</t>
        </is>
      </c>
      <c r="H207" s="32" t="n">
        <v>4209.68</v>
      </c>
      <c r="I207" s="32" t="n">
        <v>965.4</v>
      </c>
      <c r="J207" s="32" t="n">
        <v>0.11</v>
      </c>
      <c r="K207" s="32" t="n">
        <v>76255</v>
      </c>
      <c r="L207" s="31" t="inlineStr"/>
      <c r="M207" s="31" t="inlineStr"/>
      <c r="N207" s="32">
        <f>IF(M207="Underperforming",-5,IF(L207&gt;=95,15,IF(L207&gt;=90,10,IF(L207&gt;=80,5,0))))</f>
        <v/>
      </c>
      <c r="O207" s="32" t="n">
        <v>65.44</v>
      </c>
      <c r="P207" s="32" t="n">
        <v>32.35</v>
      </c>
      <c r="Q207" s="32" t="n">
        <v>753.34</v>
      </c>
      <c r="R207" s="31" t="inlineStr">
        <is>
          <t>Near 52W High Breakout</t>
        </is>
      </c>
      <c r="S207" s="31" t="inlineStr">
        <is>
          <t>Nifty Metal</t>
        </is>
      </c>
      <c r="T207" s="32" t="inlineStr"/>
      <c r="U207" s="32" t="inlineStr"/>
      <c r="V207" s="32" t="inlineStr"/>
      <c r="W207" s="32" t="inlineStr"/>
      <c r="X207" s="31" t="inlineStr">
        <is>
          <t>Cyclical in an Upturn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Cyclical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Volatile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Less than 12%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No</t>
        </is>
      </c>
      <c r="BS207" s="31">
        <f>IF(BR207="NO",5,0)</f>
        <v/>
      </c>
      <c r="BT207" s="31" t="inlineStr">
        <is>
          <t>Less than 1.5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IF(B208=0,"",RANK(B208,$B$2:$B$249,0))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RAMRAT</t>
        </is>
      </c>
      <c r="D208" s="31" t="inlineStr">
        <is>
          <t>Ram Ratna Wires Ltd</t>
        </is>
      </c>
      <c r="E208" s="31" t="inlineStr">
        <is>
          <t>metals &amp; mining</t>
        </is>
      </c>
      <c r="F208" s="31" t="inlineStr">
        <is>
          <t>mining / minerals / metals</t>
        </is>
      </c>
      <c r="G208" s="31" t="inlineStr">
        <is>
          <t>midcap</t>
        </is>
      </c>
      <c r="H208" s="32" t="n">
        <v>5449.72</v>
      </c>
      <c r="I208" s="32" t="n">
        <v>582.4</v>
      </c>
      <c r="J208" s="32" t="n">
        <v>-0.24</v>
      </c>
      <c r="K208" s="32" t="n">
        <v>193834</v>
      </c>
      <c r="L208" s="31" t="inlineStr"/>
      <c r="M208" s="31" t="inlineStr"/>
      <c r="N208" s="32">
        <f>IF(M208="Underperforming",-5,IF(L208&gt;=95,15,IF(L208&gt;=90,10,IF(L208&gt;=80,5,0))))</f>
        <v/>
      </c>
      <c r="O208" s="32" t="n">
        <v>71.73999999999999</v>
      </c>
      <c r="P208" s="32" t="n">
        <v>48.87</v>
      </c>
      <c r="Q208" s="32" t="n">
        <v>448.04</v>
      </c>
      <c r="R208" s="31" t="inlineStr">
        <is>
          <t>Near 52W High Breakout</t>
        </is>
      </c>
      <c r="S208" s="31" t="inlineStr">
        <is>
          <t>Nifty Metal</t>
        </is>
      </c>
      <c r="T208" s="32" t="inlineStr"/>
      <c r="U208" s="32" t="inlineStr"/>
      <c r="V208" s="32" t="inlineStr"/>
      <c r="W208" s="32" t="inlineStr"/>
      <c r="X208" s="31" t="inlineStr">
        <is>
          <t>Cyclical in an Upturn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Cyclical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Volatile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Yes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Above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Blue sky scenario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Between 0.7 to 1.2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IF(B209=0,"",RANK(B209,$B$2:$B$249,0))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BIL</t>
        </is>
      </c>
      <c r="D209" s="31" t="inlineStr">
        <is>
          <t>Bhartiya International Limited</t>
        </is>
      </c>
      <c r="E209" s="31" t="inlineStr">
        <is>
          <t>consumer discretionary</t>
        </is>
      </c>
      <c r="F209" s="31" t="inlineStr">
        <is>
          <t>leather / leather products</t>
        </is>
      </c>
      <c r="G209" s="31" t="inlineStr">
        <is>
          <t>smallcap</t>
        </is>
      </c>
      <c r="H209" s="32" t="n">
        <v>1341.98</v>
      </c>
      <c r="I209" s="32" t="n">
        <v>995.1</v>
      </c>
      <c r="J209" s="32" t="n">
        <v>-0.5600000000000001</v>
      </c>
      <c r="K209" s="32" t="n">
        <v>7093</v>
      </c>
      <c r="L209" s="31" t="n">
        <v>30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65.09</v>
      </c>
      <c r="P209" s="32" t="n">
        <v>30.3</v>
      </c>
      <c r="Q209" s="32" t="n">
        <v>798.88</v>
      </c>
      <c r="R209" s="31" t="inlineStr">
        <is>
          <t>Earnings / Momentum Support</t>
        </is>
      </c>
      <c r="S209" s="31" t="inlineStr">
        <is>
          <t>Nifty 50</t>
        </is>
      </c>
      <c r="T209" s="32" t="n">
        <v>-9.130000000000001</v>
      </c>
      <c r="U209" s="32" t="n">
        <v>18.92</v>
      </c>
      <c r="V209" s="32" t="n">
        <v>30.88</v>
      </c>
      <c r="W209" s="32" t="n">
        <v>9.699999999999999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No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Yes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Between 0.7 to 1.2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IF(B210=0,"",RANK(B210,$B$2:$B$249,0))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SANATHAN</t>
        </is>
      </c>
      <c r="D210" s="31" t="inlineStr">
        <is>
          <t>Sanathan Textiles Ltd</t>
        </is>
      </c>
      <c r="E210" s="31" t="inlineStr">
        <is>
          <t>textiles</t>
        </is>
      </c>
      <c r="F210" s="31" t="inlineStr">
        <is>
          <t>textiles - cotton/blended</t>
        </is>
      </c>
      <c r="G210" s="31" t="inlineStr">
        <is>
          <t>smallcap</t>
        </is>
      </c>
      <c r="H210" s="32" t="n">
        <v>4346.81</v>
      </c>
      <c r="I210" s="32" t="n">
        <v>508.15</v>
      </c>
      <c r="J210" s="32" t="n">
        <v>-1.33</v>
      </c>
      <c r="K210" s="32" t="n">
        <v>99234</v>
      </c>
      <c r="L210" s="31" t="n">
        <v>8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63.98</v>
      </c>
      <c r="P210" s="32" t="n">
        <v>22.42</v>
      </c>
      <c r="Q210" s="32" t="n">
        <v>404.12</v>
      </c>
      <c r="R210" s="31" t="inlineStr">
        <is>
          <t>Near 52W High Breakout</t>
        </is>
      </c>
      <c r="S210" s="31" t="inlineStr">
        <is>
          <t>Nifty 50</t>
        </is>
      </c>
      <c r="T210" s="32" t="n">
        <v>-9.130000000000001</v>
      </c>
      <c r="U210" s="32" t="n">
        <v>1.51</v>
      </c>
      <c r="V210" s="32" t="n">
        <v>11.71</v>
      </c>
      <c r="W210" s="32" t="n">
        <v>3.58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Less than 12%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Between 0.7 to 1.2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IF(B211=0,"",RANK(B211,$B$2:$B$249,0))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MANAKSTEEL</t>
        </is>
      </c>
      <c r="D211" s="31" t="inlineStr">
        <is>
          <t>Manaksia Steels Limited</t>
        </is>
      </c>
      <c r="E211" s="31" t="inlineStr">
        <is>
          <t>metals &amp; mining</t>
        </is>
      </c>
      <c r="F211" s="31" t="inlineStr">
        <is>
          <t>steel - medium / small</t>
        </is>
      </c>
      <c r="G211" s="31" t="inlineStr">
        <is>
          <t>smallcap</t>
        </is>
      </c>
      <c r="H211" s="32" t="n">
        <v>737.72</v>
      </c>
      <c r="I211" s="32" t="n">
        <v>110.33</v>
      </c>
      <c r="J211" s="32" t="n">
        <v>-1.99</v>
      </c>
      <c r="K211" s="32" t="n">
        <v>18922</v>
      </c>
      <c r="L211" s="31" t="inlineStr"/>
      <c r="M211" s="31" t="inlineStr"/>
      <c r="N211" s="32">
        <f>IF(M211="Underperforming",-5,IF(L211&gt;=95,15,IF(L211&gt;=90,10,IF(L211&gt;=80,5,0))))</f>
        <v/>
      </c>
      <c r="O211" s="32" t="n">
        <v>69.45</v>
      </c>
      <c r="P211" s="32" t="n">
        <v>49.14</v>
      </c>
      <c r="Q211" s="32" t="n">
        <v>86.59</v>
      </c>
      <c r="R211" s="31" t="inlineStr">
        <is>
          <t>Earnings / Momentum Support</t>
        </is>
      </c>
      <c r="S211" s="31" t="inlineStr">
        <is>
          <t>Nifty Metal</t>
        </is>
      </c>
      <c r="T211" s="32" t="inlineStr"/>
      <c r="U211" s="32" t="inlineStr"/>
      <c r="V211" s="32" t="inlineStr"/>
      <c r="W211" s="32" t="inlineStr"/>
      <c r="X211" s="31" t="inlineStr">
        <is>
          <t>Cyclical in an Upturn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Cyclical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Volatile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No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Above 40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IF(B212=0,"",RANK(B212,$B$2:$B$249,0))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SRHHYPOLTD</t>
        </is>
      </c>
      <c r="D212" s="31" t="inlineStr">
        <is>
          <t>Sree Rayalaseema Hi-strength Hypo Limited</t>
        </is>
      </c>
      <c r="E212" s="31" t="inlineStr">
        <is>
          <t>chemicals</t>
        </is>
      </c>
      <c r="F212" s="31" t="inlineStr">
        <is>
          <t>chemicals</t>
        </is>
      </c>
      <c r="G212" s="31" t="inlineStr">
        <is>
          <t>smallcap</t>
        </is>
      </c>
      <c r="H212" s="32" t="n">
        <v>987.84</v>
      </c>
      <c r="I212" s="32" t="n">
        <v>563.9</v>
      </c>
      <c r="J212" s="32" t="n">
        <v>-2.02</v>
      </c>
      <c r="K212" s="32" t="n">
        <v>17963</v>
      </c>
      <c r="L212" s="31" t="n">
        <v>8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59.79</v>
      </c>
      <c r="P212" s="32" t="n">
        <v>15.71</v>
      </c>
      <c r="Q212" s="32" t="n">
        <v>459.41</v>
      </c>
      <c r="R212" s="31" t="inlineStr">
        <is>
          <t>Earnings / Momentum Support</t>
        </is>
      </c>
      <c r="S212" s="31" t="inlineStr">
        <is>
          <t>Nifty 50</t>
        </is>
      </c>
      <c r="T212" s="32" t="n">
        <v>-9.130000000000001</v>
      </c>
      <c r="U212" s="32" t="n">
        <v>-2.4</v>
      </c>
      <c r="V212" s="32" t="n">
        <v>7.41</v>
      </c>
      <c r="W212" s="32" t="n">
        <v>3.55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No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0 to 20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Less than 12%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Less than 1.5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IF(B213=0,"",RANK(B213,$B$2:$B$249,0))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SUNTV</t>
        </is>
      </c>
      <c r="D213" s="31" t="inlineStr">
        <is>
          <t>Sun Tv Network Limited</t>
        </is>
      </c>
      <c r="E213" s="31" t="inlineStr">
        <is>
          <t>media</t>
        </is>
      </c>
      <c r="F213" s="31" t="inlineStr">
        <is>
          <t>entertainment / electronic media software</t>
        </is>
      </c>
      <c r="G213" s="31" t="inlineStr">
        <is>
          <t>largecap</t>
        </is>
      </c>
      <c r="H213" s="32" t="n">
        <v>21802.73</v>
      </c>
      <c r="I213" s="32" t="n">
        <v>605</v>
      </c>
      <c r="J213" s="32" t="n">
        <v>9.35</v>
      </c>
      <c r="K213" s="32" t="n">
        <v>34672457</v>
      </c>
      <c r="L213" s="31" t="n">
        <v>15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65.09</v>
      </c>
      <c r="P213" s="32" t="n">
        <v>17.73</v>
      </c>
      <c r="Q213" s="32" t="n">
        <v>470.33</v>
      </c>
      <c r="R213" s="31" t="inlineStr">
        <is>
          <t>Volume Spike / Accumulation</t>
        </is>
      </c>
      <c r="S213" s="31" t="inlineStr">
        <is>
          <t>Nifty IT</t>
        </is>
      </c>
      <c r="T213" s="32" t="n">
        <v>-18.39</v>
      </c>
      <c r="U213" s="32" t="n">
        <v>7.17</v>
      </c>
      <c r="V213" s="32" t="n">
        <v>31.33</v>
      </c>
      <c r="W213" s="32" t="n">
        <v>5.63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Yes</t>
        </is>
      </c>
      <c r="AQ213" s="31">
        <f>IF(AP213="Yes",10,0)</f>
        <v/>
      </c>
      <c r="AR213" s="31" t="inlineStr">
        <is>
          <t>Higher Annuity, Lower One Time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0 to 20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1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Between 12 to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No</t>
        </is>
      </c>
      <c r="BS213" s="31">
        <f>IF(BR213="NO",5,0)</f>
        <v/>
      </c>
      <c r="BT213" s="31" t="inlineStr">
        <is>
          <t>Less than 1.5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IF(B214=0,"",RANK(B214,$B$2:$B$249,0))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AVADHSUGAR</t>
        </is>
      </c>
      <c r="D214" s="31" t="inlineStr">
        <is>
          <t>Avadh Sugar &amp; Energy</t>
        </is>
      </c>
      <c r="E214" s="31" t="inlineStr">
        <is>
          <t>fmcg</t>
        </is>
      </c>
      <c r="F214" s="31" t="inlineStr">
        <is>
          <t>sugar</t>
        </is>
      </c>
      <c r="G214" s="31" t="inlineStr">
        <is>
          <t>smallcap</t>
        </is>
      </c>
      <c r="H214" s="32" t="n">
        <v>1588.36</v>
      </c>
      <c r="I214" s="32" t="n">
        <v>800.2</v>
      </c>
      <c r="J214" s="32" t="n">
        <v>0.85</v>
      </c>
      <c r="K214" s="32" t="n">
        <v>100923</v>
      </c>
      <c r="L214" s="31" t="inlineStr"/>
      <c r="M214" s="31" t="inlineStr"/>
      <c r="N214" s="32">
        <f>IF(M214="Underperforming",-5,IF(L214&gt;=95,15,IF(L214&gt;=90,10,IF(L214&gt;=80,5,0))))</f>
        <v/>
      </c>
      <c r="O214" s="32" t="n">
        <v>72.2</v>
      </c>
      <c r="P214" s="32" t="n">
        <v>56.36</v>
      </c>
      <c r="Q214" s="32" t="n">
        <v>636.04</v>
      </c>
      <c r="R214" s="31" t="inlineStr">
        <is>
          <t>Near 52W High Breakout</t>
        </is>
      </c>
      <c r="S214" s="31" t="inlineStr">
        <is>
          <t>Nifty FMCG</t>
        </is>
      </c>
      <c r="T214" s="32" t="inlineStr"/>
      <c r="U214" s="32" t="inlineStr"/>
      <c r="V214" s="32" t="inlineStr"/>
      <c r="W214" s="32" t="inlineStr"/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B2C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Higher Annuity, Lower One Time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Above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Negative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Blue sky scenario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More than 1.2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IF(B215=0,"",RANK(B215,$B$2:$B$249,0))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3" t="inlineStr">
        <is>
          <t>MANKIND</t>
        </is>
      </c>
      <c r="D215" s="33" t="inlineStr">
        <is>
          <t>Mankind Pharma Ltd</t>
        </is>
      </c>
      <c r="E215" s="31" t="inlineStr">
        <is>
          <t>healthcare</t>
        </is>
      </c>
      <c r="F215" s="31" t="inlineStr">
        <is>
          <t>pharmaceuticals - indian - bulk drugs &amp; formln</t>
        </is>
      </c>
      <c r="G215" s="31" t="inlineStr">
        <is>
          <t>largecap</t>
        </is>
      </c>
      <c r="H215" s="32" t="n">
        <v>105107.48</v>
      </c>
      <c r="I215" s="32" t="n">
        <v>2503.8</v>
      </c>
      <c r="J215" s="32" t="n">
        <v>-1.62</v>
      </c>
      <c r="K215" s="32" t="n">
        <v>1311278</v>
      </c>
      <c r="L215" s="31" t="n">
        <v>4</v>
      </c>
      <c r="M215" s="31" t="inlineStr">
        <is>
          <t>Underperforming</t>
        </is>
      </c>
      <c r="N215" s="32">
        <f>IF(M215="Underperforming",-5,IF(L215&gt;=95,15,IF(L215&gt;=90,10,IF(L215&gt;=80,5,0))))</f>
        <v/>
      </c>
      <c r="O215" s="32" t="n">
        <v>59.62</v>
      </c>
      <c r="P215" s="32" t="n">
        <v>22.29</v>
      </c>
      <c r="Q215" s="32" t="n">
        <v>2144.65</v>
      </c>
      <c r="R215" s="31" t="inlineStr">
        <is>
          <t>Volume Spike &amp; Near 52W High Breakout</t>
        </is>
      </c>
      <c r="S215" s="31" t="inlineStr">
        <is>
          <t>Nifty Pharma</t>
        </is>
      </c>
      <c r="T215" s="32" t="n">
        <v>21.52</v>
      </c>
      <c r="U215" s="32" t="n">
        <v>2.28</v>
      </c>
      <c r="V215" s="32" t="n">
        <v>-15.83</v>
      </c>
      <c r="W215" s="32" t="n">
        <v>1.05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Yes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Yes</t>
        </is>
      </c>
      <c r="AQ215" s="31">
        <f>IF(AP215="Yes",10,0)</f>
        <v/>
      </c>
      <c r="AR215" s="31" t="inlineStr">
        <is>
          <t>Higher Annuity, Lower One Time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20 to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1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Between 1.5 to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IF(B216=0,"",RANK(B216,$B$2:$B$249,0))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GREENPLY</t>
        </is>
      </c>
      <c r="D216" s="31" t="inlineStr">
        <is>
          <t>Greenply Industries Limited</t>
        </is>
      </c>
      <c r="E216" s="31" t="inlineStr">
        <is>
          <t>building materials</t>
        </is>
      </c>
      <c r="F216" s="31" t="inlineStr">
        <is>
          <t>miscellaneous</t>
        </is>
      </c>
      <c r="G216" s="31" t="inlineStr">
        <is>
          <t>smallcap</t>
        </is>
      </c>
      <c r="H216" s="32" t="n">
        <v>3500.38</v>
      </c>
      <c r="I216" s="32" t="n">
        <v>299.95</v>
      </c>
      <c r="J216" s="32" t="n">
        <v>7.03</v>
      </c>
      <c r="K216" s="32" t="n">
        <v>859868</v>
      </c>
      <c r="L216" s="31" t="inlineStr"/>
      <c r="M216" s="31" t="inlineStr"/>
      <c r="N216" s="32">
        <f>IF(M216="Underperforming",-5,IF(L216&gt;=95,15,IF(L216&gt;=90,10,IF(L216&gt;=80,5,0))))</f>
        <v/>
      </c>
      <c r="O216" s="32" t="n">
        <v>56.97</v>
      </c>
      <c r="P216" s="32" t="n">
        <v>21.55</v>
      </c>
      <c r="Q216" s="32" t="n">
        <v>245.3</v>
      </c>
      <c r="R216" s="31" t="inlineStr">
        <is>
          <t>Earnings / Momentum Support</t>
        </is>
      </c>
      <c r="S216" s="31" t="inlineStr">
        <is>
          <t>Nifty Infra</t>
        </is>
      </c>
      <c r="T216" s="32" t="inlineStr"/>
      <c r="U216" s="32" t="inlineStr"/>
      <c r="V216" s="32" t="inlineStr"/>
      <c r="W216" s="32" t="inlineStr"/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No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Negative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No</t>
        </is>
      </c>
      <c r="BS216" s="31">
        <f>IF(BR216="NO",5,0)</f>
        <v/>
      </c>
      <c r="BT216" s="31" t="inlineStr">
        <is>
          <t>Less than 1.5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IF(B217=0,"",RANK(B217,$B$2:$B$249,0))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3" t="inlineStr">
        <is>
          <t>ARIS</t>
        </is>
      </c>
      <c r="D217" s="33" t="inlineStr">
        <is>
          <t>Arisinfra Solutions Ltd</t>
        </is>
      </c>
      <c r="E217" s="31" t="inlineStr">
        <is>
          <t>services</t>
        </is>
      </c>
      <c r="F217" s="31" t="inlineStr">
        <is>
          <t>trading</t>
        </is>
      </c>
      <c r="G217" s="31" t="inlineStr">
        <is>
          <t>smallcap</t>
        </is>
      </c>
      <c r="H217" s="32" t="n">
        <v>1104.22</v>
      </c>
      <c r="I217" s="32" t="n">
        <v>143.88</v>
      </c>
      <c r="J217" s="32" t="n">
        <v>6.58</v>
      </c>
      <c r="K217" s="32" t="n">
        <v>4654571</v>
      </c>
      <c r="L217" s="31" t="n">
        <v>14</v>
      </c>
      <c r="M217" s="31" t="inlineStr">
        <is>
          <t>Underperforming</t>
        </is>
      </c>
      <c r="N217" s="32">
        <f>IF(M217="Underperforming",-5,IF(L217&gt;=95,15,IF(L217&gt;=90,10,IF(L217&gt;=80,5,0))))</f>
        <v/>
      </c>
      <c r="O217" s="32" t="n">
        <v>57.43</v>
      </c>
      <c r="P217" s="32" t="n">
        <v>10.8</v>
      </c>
      <c r="Q217" s="32" t="n">
        <v>106.14</v>
      </c>
      <c r="R217" s="31" t="inlineStr">
        <is>
          <t>Earnings / Momentum Support</t>
        </is>
      </c>
      <c r="S217" s="31" t="inlineStr">
        <is>
          <t>Nifty 50</t>
        </is>
      </c>
      <c r="T217" s="32" t="n">
        <v>-9.130000000000001</v>
      </c>
      <c r="U217" s="32" t="n">
        <v>-11.53</v>
      </c>
      <c r="V217" s="32" t="n">
        <v>-2.64</v>
      </c>
      <c r="W217" s="32" t="n">
        <v>5.33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No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0 to 20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IF(B218=0,"",RANK(B218,$B$2:$B$249,0))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SBC</t>
        </is>
      </c>
      <c r="D218" s="31" t="inlineStr">
        <is>
          <t>SBC Exports Ltd</t>
        </is>
      </c>
      <c r="E218" s="31" t="inlineStr">
        <is>
          <t>textiles</t>
        </is>
      </c>
      <c r="F218" s="31" t="inlineStr">
        <is>
          <t>textiles - products</t>
        </is>
      </c>
      <c r="G218" s="31" t="inlineStr">
        <is>
          <t>smallcap</t>
        </is>
      </c>
      <c r="H218" s="32" t="n">
        <v>2606.19</v>
      </c>
      <c r="I218" s="32" t="n">
        <v>58.29</v>
      </c>
      <c r="J218" s="32" t="n">
        <v>6.5</v>
      </c>
      <c r="K218" s="32" t="n">
        <v>35616365</v>
      </c>
      <c r="L218" s="31" t="n">
        <v>79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84.40000000000001</v>
      </c>
      <c r="P218" s="32" t="n">
        <v>31.93</v>
      </c>
      <c r="Q218" s="32" t="n">
        <v>47.93</v>
      </c>
      <c r="R218" s="31" t="inlineStr">
        <is>
          <t>Near 52W High Breakout</t>
        </is>
      </c>
      <c r="S218" s="31" t="inlineStr">
        <is>
          <t>Nifty 50</t>
        </is>
      </c>
      <c r="T218" s="32" t="n">
        <v>-9.130000000000001</v>
      </c>
      <c r="U218" s="32" t="n">
        <v>162.45</v>
      </c>
      <c r="V218" s="32" t="n">
        <v>188.83</v>
      </c>
      <c r="W218" s="32" t="n">
        <v>30.01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Yes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Above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Blue sky scenario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Yes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More than 1.2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IF(B219=0,"",RANK(B219,$B$2:$B$249,0))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ROSSTECH</t>
        </is>
      </c>
      <c r="D219" s="31" t="inlineStr">
        <is>
          <t>Rossell Techsys Ltd</t>
        </is>
      </c>
      <c r="E219" s="31" t="inlineStr">
        <is>
          <t>aerospace &amp; defence</t>
        </is>
      </c>
      <c r="F219" s="31" t="inlineStr">
        <is>
          <t>engineering</t>
        </is>
      </c>
      <c r="G219" s="31" t="inlineStr">
        <is>
          <t>midcap</t>
        </is>
      </c>
      <c r="H219" s="32" t="n">
        <v>5585.49</v>
      </c>
      <c r="I219" s="32" t="n">
        <v>1503.2</v>
      </c>
      <c r="J219" s="32" t="n">
        <v>1.45</v>
      </c>
      <c r="K219" s="32" t="n">
        <v>253108</v>
      </c>
      <c r="L219" s="31" t="n">
        <v>76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80.23</v>
      </c>
      <c r="P219" s="32" t="n">
        <v>31.9</v>
      </c>
      <c r="Q219" s="32" t="n">
        <v>1116.56</v>
      </c>
      <c r="R219" s="31" t="inlineStr">
        <is>
          <t>Near 52W High Breakout</t>
        </is>
      </c>
      <c r="S219" s="31" t="inlineStr">
        <is>
          <t>Nifty 50</t>
        </is>
      </c>
      <c r="T219" s="32" t="n">
        <v>-9.130000000000001</v>
      </c>
      <c r="U219" s="32" t="n">
        <v>107.58</v>
      </c>
      <c r="V219" s="32" t="n">
        <v>128.45</v>
      </c>
      <c r="W219" s="32" t="n">
        <v>28.78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20 to 40</t>
        </is>
      </c>
      <c r="AY219" s="31">
        <f>IF(AX219="Above 40",20,IF(AX219="20 to 40",10,IF(AX219="0 to 20",-5,0)))</f>
        <v/>
      </c>
      <c r="AZ219" s="31" t="inlineStr">
        <is>
          <t>Above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Blue sky scenario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Yes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More than 1.2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IF(B220=0,"",RANK(B220,$B$2:$B$249,0))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RATNAVEER</t>
        </is>
      </c>
      <c r="D220" s="31" t="inlineStr">
        <is>
          <t>Ratnaveer Precision Engineering Ltd</t>
        </is>
      </c>
      <c r="E220" s="31" t="inlineStr">
        <is>
          <t>metals &amp; mining</t>
        </is>
      </c>
      <c r="F220" s="31" t="inlineStr">
        <is>
          <t>steel - medium / small</t>
        </is>
      </c>
      <c r="G220" s="31" t="inlineStr">
        <is>
          <t>smallcap</t>
        </is>
      </c>
      <c r="H220" s="32" t="n">
        <v>2779.22</v>
      </c>
      <c r="I220" s="32" t="n">
        <v>330.75</v>
      </c>
      <c r="J220" s="32" t="n">
        <v>-0.12</v>
      </c>
      <c r="K220" s="32" t="n">
        <v>6063423</v>
      </c>
      <c r="L220" s="31" t="inlineStr"/>
      <c r="M220" s="31" t="inlineStr"/>
      <c r="N220" s="32">
        <f>IF(M220="Underperforming",-5,IF(L220&gt;=95,15,IF(L220&gt;=90,10,IF(L220&gt;=80,5,0))))</f>
        <v/>
      </c>
      <c r="O220" s="32" t="n">
        <v>79.64</v>
      </c>
      <c r="P220" s="32" t="n">
        <v>65.36</v>
      </c>
      <c r="Q220" s="32" t="n">
        <v>245.79</v>
      </c>
      <c r="R220" s="31" t="inlineStr">
        <is>
          <t>Near 52W High Breakout</t>
        </is>
      </c>
      <c r="S220" s="31" t="inlineStr">
        <is>
          <t>Nifty Metal</t>
        </is>
      </c>
      <c r="T220" s="32" t="inlineStr"/>
      <c r="U220" s="32" t="inlineStr"/>
      <c r="V220" s="32" t="inlineStr"/>
      <c r="W220" s="32" t="inlineStr"/>
      <c r="X220" s="31" t="inlineStr">
        <is>
          <t>Cyclical in an Upturn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Cyclical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Volatile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Above 40</t>
        </is>
      </c>
      <c r="AY220" s="31">
        <f>IF(AX220="Above 40",20,IF(AX220="20 to 40",10,IF(AX220="0 to 20",-5,0)))</f>
        <v/>
      </c>
      <c r="AZ220" s="31" t="inlineStr">
        <is>
          <t>Above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Blue sky scenario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Less than 12%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IF(B221=0,"",RANK(B221,$B$2:$B$249,0))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SUNFLAG</t>
        </is>
      </c>
      <c r="D221" s="31" t="inlineStr">
        <is>
          <t>Sunflag Iron And Steel Company Limited</t>
        </is>
      </c>
      <c r="E221" s="31" t="inlineStr">
        <is>
          <t>metals &amp; mining</t>
        </is>
      </c>
      <c r="F221" s="31" t="inlineStr">
        <is>
          <t>steel - medium / small</t>
        </is>
      </c>
      <c r="G221" s="31" t="inlineStr">
        <is>
          <t>midcap</t>
        </is>
      </c>
      <c r="H221" s="32" t="n">
        <v>8367.59</v>
      </c>
      <c r="I221" s="32" t="n">
        <v>456.05</v>
      </c>
      <c r="J221" s="32" t="n">
        <v>-1.78</v>
      </c>
      <c r="K221" s="32" t="n">
        <v>624779</v>
      </c>
      <c r="L221" s="31" t="inlineStr"/>
      <c r="M221" s="31" t="inlineStr"/>
      <c r="N221" s="32">
        <f>IF(M221="Underperforming",-5,IF(L221&gt;=95,15,IF(L221&gt;=90,10,IF(L221&gt;=80,5,0))))</f>
        <v/>
      </c>
      <c r="O221" s="32" t="n">
        <v>72.98</v>
      </c>
      <c r="P221" s="32" t="n">
        <v>33.41</v>
      </c>
      <c r="Q221" s="32" t="n">
        <v>353.14</v>
      </c>
      <c r="R221" s="31" t="inlineStr">
        <is>
          <t>Volume Spike &amp; Near 52W High Breakout</t>
        </is>
      </c>
      <c r="S221" s="31" t="inlineStr">
        <is>
          <t>Nifty Metal</t>
        </is>
      </c>
      <c r="T221" s="32" t="inlineStr"/>
      <c r="U221" s="32" t="inlineStr"/>
      <c r="V221" s="32" t="inlineStr"/>
      <c r="W221" s="32" t="inlineStr"/>
      <c r="X221" s="31" t="inlineStr">
        <is>
          <t>Cyclical in an Upturn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Cyclical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Volatile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Yes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Blue sky scenario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Less than 12%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No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IF(B222=0,"",RANK(B222,$B$2:$B$249,0))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GREAVESCOT</t>
        </is>
      </c>
      <c r="D222" s="31" t="inlineStr">
        <is>
          <t>Greaves Cotton Limited</t>
        </is>
      </c>
      <c r="E222" s="31" t="inlineStr">
        <is>
          <t>industrials</t>
        </is>
      </c>
      <c r="F222" s="31" t="inlineStr">
        <is>
          <t>engines</t>
        </is>
      </c>
      <c r="G222" s="31" t="inlineStr">
        <is>
          <t>midcap</t>
        </is>
      </c>
      <c r="H222" s="32" t="n">
        <v>5474.13</v>
      </c>
      <c r="I222" s="32" t="n">
        <v>230.28</v>
      </c>
      <c r="J222" s="32" t="n">
        <v>-2</v>
      </c>
      <c r="K222" s="32" t="n">
        <v>2034376</v>
      </c>
      <c r="L222" s="31" t="n">
        <v>19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60.74</v>
      </c>
      <c r="P222" s="32" t="n">
        <v>26.05</v>
      </c>
      <c r="Q222" s="32" t="n">
        <v>203.03</v>
      </c>
      <c r="R222" s="31" t="inlineStr">
        <is>
          <t>Earnings / Momentum Support</t>
        </is>
      </c>
      <c r="S222" s="31" t="inlineStr">
        <is>
          <t>Nifty 50</t>
        </is>
      </c>
      <c r="T222" s="32" t="n">
        <v>-9.130000000000001</v>
      </c>
      <c r="U222" s="32" t="n">
        <v>6.97</v>
      </c>
      <c r="V222" s="32" t="n">
        <v>17.72</v>
      </c>
      <c r="W222" s="32" t="n">
        <v>6.78</v>
      </c>
      <c r="X222" s="31" t="inlineStr">
        <is>
          <t>Cyclical in an Upturn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No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Less than 12%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Yes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IF(B223=0,"",RANK(B223,$B$2:$B$249,0))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PRIMO</t>
        </is>
      </c>
      <c r="D223" s="31" t="inlineStr">
        <is>
          <t>Primo Chemicals Ltd</t>
        </is>
      </c>
      <c r="E223" s="31" t="inlineStr">
        <is>
          <t>chemicals</t>
        </is>
      </c>
      <c r="F223" s="31" t="inlineStr">
        <is>
          <t>chlor alkali / soda ash</t>
        </is>
      </c>
      <c r="G223" s="31" t="inlineStr">
        <is>
          <t>smallcap</t>
        </is>
      </c>
      <c r="H223" s="32" t="n">
        <v>663.54</v>
      </c>
      <c r="I223" s="32" t="n">
        <v>26.64</v>
      </c>
      <c r="J223" s="32" t="n">
        <v>-2.7</v>
      </c>
      <c r="K223" s="32" t="n">
        <v>448253</v>
      </c>
      <c r="L223" s="31" t="n">
        <v>10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57.46</v>
      </c>
      <c r="P223" s="32" t="n">
        <v>19.18</v>
      </c>
      <c r="Q223" s="32" t="n">
        <v>17.11</v>
      </c>
      <c r="R223" s="31" t="inlineStr">
        <is>
          <t>Volume Spike &amp; Near 52W High Breakout</t>
        </is>
      </c>
      <c r="S223" s="31" t="inlineStr">
        <is>
          <t>Nifty 50</t>
        </is>
      </c>
      <c r="T223" s="32" t="n">
        <v>-9.130000000000001</v>
      </c>
      <c r="U223" s="32" t="n">
        <v>12.07</v>
      </c>
      <c r="V223" s="32" t="n">
        <v>23.34</v>
      </c>
      <c r="W223" s="32" t="n">
        <v>4.45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0 to 20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Less than 12%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Yes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IF(B224=0,"",RANK(B224,$B$2:$B$249,0))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ANTELOPUS</t>
        </is>
      </c>
      <c r="D224" s="31" t="inlineStr">
        <is>
          <t>Antelopus Selan Energy Ltd</t>
        </is>
      </c>
      <c r="E224" s="31" t="inlineStr">
        <is>
          <t>energy</t>
        </is>
      </c>
      <c r="F224" s="31" t="inlineStr">
        <is>
          <t>oil drilling / allied services</t>
        </is>
      </c>
      <c r="G224" s="31" t="inlineStr">
        <is>
          <t>smallcap</t>
        </is>
      </c>
      <c r="H224" s="32" t="n">
        <v>4087.62</v>
      </c>
      <c r="I224" s="32" t="n">
        <v>1125.9</v>
      </c>
      <c r="J224" s="32" t="n">
        <v>-3.15</v>
      </c>
      <c r="K224" s="32" t="n">
        <v>316480</v>
      </c>
      <c r="L224" s="31" t="inlineStr"/>
      <c r="M224" s="31" t="inlineStr"/>
      <c r="N224" s="32">
        <f>IF(M224="Underperforming",-5,IF(L224&gt;=95,15,IF(L224&gt;=90,10,IF(L224&gt;=80,5,0))))</f>
        <v/>
      </c>
      <c r="O224" s="32" t="n">
        <v>65.31999999999999</v>
      </c>
      <c r="P224" s="32" t="n">
        <v>49.48</v>
      </c>
      <c r="Q224" s="32" t="n">
        <v>872.9299999999999</v>
      </c>
      <c r="R224" s="31" t="inlineStr">
        <is>
          <t>Earnings / Momentum Support</t>
        </is>
      </c>
      <c r="S224" s="31" t="inlineStr">
        <is>
          <t>Nifty Energy</t>
        </is>
      </c>
      <c r="T224" s="32" t="inlineStr"/>
      <c r="U224" s="32" t="inlineStr"/>
      <c r="V224" s="32" t="inlineStr"/>
      <c r="W224" s="32" t="inlineStr"/>
      <c r="X224" s="31" t="inlineStr">
        <is>
          <t>Cyclical in an Upturn</t>
        </is>
      </c>
      <c r="Y224" s="31">
        <f>IF(X224="Growing Industry",10,IF(X224="Cyclical in an Upturn",5,0))</f>
        <v/>
      </c>
      <c r="Z224" s="31" t="inlineStr">
        <is>
          <t>Oligopoly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Yes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Cyclical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Volatile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Above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No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IF(B225=0,"",RANK(B225,$B$2:$B$249,0))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KIRLOSENG</t>
        </is>
      </c>
      <c r="D225" s="31" t="inlineStr">
        <is>
          <t>Kirloskar Oil Engines Limited</t>
        </is>
      </c>
      <c r="E225" s="31" t="inlineStr">
        <is>
          <t>industrials</t>
        </is>
      </c>
      <c r="F225" s="31" t="inlineStr">
        <is>
          <t>engines</t>
        </is>
      </c>
      <c r="G225" s="31" t="inlineStr">
        <is>
          <t>largecap</t>
        </is>
      </c>
      <c r="H225" s="32" t="n">
        <v>34920.26</v>
      </c>
      <c r="I225" s="32" t="n">
        <v>2304.2</v>
      </c>
      <c r="J225" s="32" t="n">
        <v>-4.07</v>
      </c>
      <c r="K225" s="32" t="n">
        <v>1822978</v>
      </c>
      <c r="L225" s="31" t="n">
        <v>69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64.69</v>
      </c>
      <c r="P225" s="32" t="n">
        <v>47.27</v>
      </c>
      <c r="Q225" s="32" t="n">
        <v>1867.64</v>
      </c>
      <c r="R225" s="31" t="inlineStr">
        <is>
          <t>Volume Spike / Accumulation</t>
        </is>
      </c>
      <c r="S225" s="31" t="inlineStr">
        <is>
          <t>Nifty 50</t>
        </is>
      </c>
      <c r="T225" s="32" t="n">
        <v>-9.130000000000001</v>
      </c>
      <c r="U225" s="32" t="n">
        <v>156.52</v>
      </c>
      <c r="V225" s="32" t="n">
        <v>182.3</v>
      </c>
      <c r="W225" s="32" t="n">
        <v>23.6</v>
      </c>
      <c r="X225" s="31" t="inlineStr">
        <is>
          <t>Cyclical in an Upturn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Yes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Above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Less than 12%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Yes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More than 1.2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IF(B226=0,"",RANK(B226,$B$2:$B$249,0))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LIKHITHA</t>
        </is>
      </c>
      <c r="D226" s="31" t="inlineStr">
        <is>
          <t>Likhitha Infrastructure Ltd</t>
        </is>
      </c>
      <c r="E226" s="31" t="inlineStr">
        <is>
          <t>realty</t>
        </is>
      </c>
      <c r="F226" s="31" t="inlineStr">
        <is>
          <t>construction</t>
        </is>
      </c>
      <c r="G226" s="31" t="inlineStr">
        <is>
          <t>smallcap</t>
        </is>
      </c>
      <c r="H226" s="32" t="n">
        <v>879.14</v>
      </c>
      <c r="I226" s="32" t="n">
        <v>234.29</v>
      </c>
      <c r="J226" s="32" t="n">
        <v>5.13</v>
      </c>
      <c r="K226" s="32" t="n">
        <v>271910</v>
      </c>
      <c r="L226" s="31" t="inlineStr"/>
      <c r="M226" s="31" t="inlineStr"/>
      <c r="N226" s="32">
        <f>IF(M226="Underperforming",-5,IF(L226&gt;=95,15,IF(L226&gt;=90,10,IF(L226&gt;=80,5,0))))</f>
        <v/>
      </c>
      <c r="O226" s="32" t="n">
        <v>57.4</v>
      </c>
      <c r="P226" s="32" t="n">
        <v>17.02</v>
      </c>
      <c r="Q226" s="32" t="n">
        <v>192.48</v>
      </c>
      <c r="R226" s="31" t="inlineStr">
        <is>
          <t>Earnings / Momentum Support</t>
        </is>
      </c>
      <c r="S226" s="31" t="inlineStr">
        <is>
          <t>Nifty Realty</t>
        </is>
      </c>
      <c r="T226" s="32" t="inlineStr"/>
      <c r="U226" s="32" t="inlineStr"/>
      <c r="V226" s="32" t="inlineStr"/>
      <c r="W226" s="32" t="inlineStr"/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0 to 20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Less than 12%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No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IF(B227=0,"",RANK(B227,$B$2:$B$249,0))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POWERMECH</t>
        </is>
      </c>
      <c r="D227" s="31" t="inlineStr">
        <is>
          <t>Power Mech Projects Limited</t>
        </is>
      </c>
      <c r="E227" s="31" t="inlineStr">
        <is>
          <t>realty</t>
        </is>
      </c>
      <c r="F227" s="31" t="inlineStr">
        <is>
          <t>engineering - turnkey services</t>
        </is>
      </c>
      <c r="G227" s="31" t="inlineStr">
        <is>
          <t>midcap</t>
        </is>
      </c>
      <c r="H227" s="32" t="n">
        <v>7579.06</v>
      </c>
      <c r="I227" s="32" t="n">
        <v>2490.5</v>
      </c>
      <c r="J227" s="32" t="n">
        <v>3.89</v>
      </c>
      <c r="K227" s="32" t="n">
        <v>293610</v>
      </c>
      <c r="L227" s="31" t="inlineStr"/>
      <c r="M227" s="31" t="inlineStr"/>
      <c r="N227" s="32">
        <f>IF(M227="Underperforming",-5,IF(L227&gt;=95,15,IF(L227&gt;=90,10,IF(L227&gt;=80,5,0))))</f>
        <v/>
      </c>
      <c r="O227" s="32" t="n">
        <v>50.73</v>
      </c>
      <c r="P227" s="32" t="n">
        <v>11.24</v>
      </c>
      <c r="Q227" s="32" t="n">
        <v>2081.37</v>
      </c>
      <c r="R227" s="31" t="inlineStr">
        <is>
          <t>Earnings / Momentum Support</t>
        </is>
      </c>
      <c r="S227" s="31" t="inlineStr">
        <is>
          <t>Nifty Realty</t>
        </is>
      </c>
      <c r="T227" s="32" t="inlineStr"/>
      <c r="U227" s="32" t="inlineStr"/>
      <c r="V227" s="32" t="inlineStr"/>
      <c r="W227" s="32" t="inlineStr"/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No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0 to 20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1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No</t>
        </is>
      </c>
      <c r="BS227" s="31">
        <f>IF(BR227="NO",5,0)</f>
        <v/>
      </c>
      <c r="BT227" s="31" t="inlineStr">
        <is>
          <t>Less than 1.5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IF(B228=0,"",RANK(B228,$B$2:$B$249,0))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DICIND</t>
        </is>
      </c>
      <c r="D228" s="31" t="inlineStr">
        <is>
          <t>Dic India Limited</t>
        </is>
      </c>
      <c r="E228" s="31" t="inlineStr">
        <is>
          <t>chemicals</t>
        </is>
      </c>
      <c r="F228" s="31" t="inlineStr">
        <is>
          <t>chemicals</t>
        </is>
      </c>
      <c r="G228" s="31" t="inlineStr">
        <is>
          <t>smallcap</t>
        </is>
      </c>
      <c r="H228" s="32" t="n">
        <v>569.05</v>
      </c>
      <c r="I228" s="32" t="n">
        <v>635.3</v>
      </c>
      <c r="J228" s="32" t="n">
        <v>2.48</v>
      </c>
      <c r="K228" s="32" t="n">
        <v>5230</v>
      </c>
      <c r="L228" s="31" t="n">
        <v>25</v>
      </c>
      <c r="M228" s="31" t="inlineStr">
        <is>
          <t>Outperforming</t>
        </is>
      </c>
      <c r="N228" s="32">
        <f>IF(M228="Underperforming",-5,IF(L228&gt;=95,15,IF(L228&gt;=90,10,IF(L228&gt;=80,5,0))))</f>
        <v/>
      </c>
      <c r="O228" s="32" t="n">
        <v>66.65000000000001</v>
      </c>
      <c r="P228" s="32" t="n">
        <v>17.2</v>
      </c>
      <c r="Q228" s="32" t="n">
        <v>505.91</v>
      </c>
      <c r="R228" s="31" t="inlineStr">
        <is>
          <t>Near 52W High Breakout</t>
        </is>
      </c>
      <c r="S228" s="31" t="inlineStr">
        <is>
          <t>Nifty 50</t>
        </is>
      </c>
      <c r="T228" s="32" t="n">
        <v>-9.130000000000001</v>
      </c>
      <c r="U228" s="32" t="n">
        <v>18.64</v>
      </c>
      <c r="V228" s="32" t="n">
        <v>30.57</v>
      </c>
      <c r="W228" s="32" t="n">
        <v>8.32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Yes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0 to 20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Above 2</t>
        </is>
      </c>
      <c r="BU228" s="31">
        <f>IF(BT228="Above 2",0,IF(BT228="Between 1.5 to 2",5,IF(BT228="Less than 1.5",10,0)))</f>
        <v/>
      </c>
      <c r="BV228" s="31" t="inlineStr">
        <is>
          <t>Negative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IF(B229=0,"",RANK(B229,$B$2:$B$249,0))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UFLEX</t>
        </is>
      </c>
      <c r="D229" s="31" t="inlineStr">
        <is>
          <t>Uflex Limited</t>
        </is>
      </c>
      <c r="E229" s="31" t="inlineStr">
        <is>
          <t>industrials</t>
        </is>
      </c>
      <c r="F229" s="31" t="inlineStr">
        <is>
          <t>packaging</t>
        </is>
      </c>
      <c r="G229" s="31" t="inlineStr">
        <is>
          <t>smallcap</t>
        </is>
      </c>
      <c r="H229" s="32" t="n">
        <v>4677.14</v>
      </c>
      <c r="I229" s="32" t="n">
        <v>657.85</v>
      </c>
      <c r="J229" s="32" t="n">
        <v>1.57</v>
      </c>
      <c r="K229" s="32" t="n">
        <v>159191</v>
      </c>
      <c r="L229" s="31" t="n">
        <v>50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73.67</v>
      </c>
      <c r="P229" s="32" t="n">
        <v>41.4</v>
      </c>
      <c r="Q229" s="32" t="n">
        <v>532.74</v>
      </c>
      <c r="R229" s="31" t="inlineStr">
        <is>
          <t>Near 52W High Breakout</t>
        </is>
      </c>
      <c r="S229" s="31" t="inlineStr">
        <is>
          <t>Nifty 50</t>
        </is>
      </c>
      <c r="T229" s="32" t="n">
        <v>-9.130000000000001</v>
      </c>
      <c r="U229" s="32" t="n">
        <v>19.67</v>
      </c>
      <c r="V229" s="32" t="n">
        <v>31.7</v>
      </c>
      <c r="W229" s="32" t="n">
        <v>16.79</v>
      </c>
      <c r="X229" s="31" t="inlineStr">
        <is>
          <t>Cyclical in an Upturn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Yes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Above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Negative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No</t>
        </is>
      </c>
      <c r="BS229" s="31">
        <f>IF(BR229="NO",5,0)</f>
        <v/>
      </c>
      <c r="BT229" s="31" t="inlineStr">
        <is>
          <t>Less than 1.5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More than 1.2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IF(B230=0,"",RANK(B230,$B$2:$B$249,0))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LGBBROSLTD</t>
        </is>
      </c>
      <c r="D230" s="31" t="inlineStr">
        <is>
          <t>Lg Balakrishnan &amp; Bros Limited</t>
        </is>
      </c>
      <c r="E230" s="31" t="inlineStr">
        <is>
          <t>auto</t>
        </is>
      </c>
      <c r="F230" s="31" t="inlineStr">
        <is>
          <t>bearings</t>
        </is>
      </c>
      <c r="G230" s="31" t="inlineStr">
        <is>
          <t>midcap</t>
        </is>
      </c>
      <c r="H230" s="32" t="n">
        <v>5517.71</v>
      </c>
      <c r="I230" s="32" t="n">
        <v>1730.1</v>
      </c>
      <c r="J230" s="32" t="n">
        <v>0</v>
      </c>
      <c r="K230" s="32" t="n">
        <v>9738</v>
      </c>
      <c r="L230" s="31" t="inlineStr"/>
      <c r="M230" s="31" t="inlineStr"/>
      <c r="N230" s="32">
        <f>IF(M230="Underperforming",-5,IF(L230&gt;=95,15,IF(L230&gt;=90,10,IF(L230&gt;=80,5,0))))</f>
        <v/>
      </c>
      <c r="O230" s="32" t="n">
        <v>59.25</v>
      </c>
      <c r="P230" s="32" t="n">
        <v>14.27</v>
      </c>
      <c r="Q230" s="32" t="n">
        <v>1455.4</v>
      </c>
      <c r="R230" s="31" t="inlineStr">
        <is>
          <t>Earnings / Momentum Support</t>
        </is>
      </c>
      <c r="S230" s="31" t="inlineStr">
        <is>
          <t>Nifty Auto</t>
        </is>
      </c>
      <c r="T230" s="32" t="inlineStr"/>
      <c r="U230" s="32" t="inlineStr"/>
      <c r="V230" s="32" t="inlineStr"/>
      <c r="W230" s="32" t="inlineStr"/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Headwind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0 to 20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Less than 12%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No</t>
        </is>
      </c>
      <c r="BS230" s="31">
        <f>IF(BR230="NO",5,0)</f>
        <v/>
      </c>
      <c r="BT230" s="31" t="inlineStr">
        <is>
          <t>Less than 1.5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IF(B231=0,"",RANK(B231,$B$2:$B$249,0))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ALEMBICLTD</t>
        </is>
      </c>
      <c r="D231" s="31" t="inlineStr">
        <is>
          <t>Alembic Limited</t>
        </is>
      </c>
      <c r="E231" s="31" t="inlineStr">
        <is>
          <t>realty</t>
        </is>
      </c>
      <c r="F231" s="31" t="inlineStr">
        <is>
          <t>construction</t>
        </is>
      </c>
      <c r="G231" s="31" t="inlineStr">
        <is>
          <t>smallcap</t>
        </is>
      </c>
      <c r="H231" s="32" t="n">
        <v>2784.54</v>
      </c>
      <c r="I231" s="32" t="n">
        <v>107.23</v>
      </c>
      <c r="J231" s="32" t="n">
        <v>-1.12</v>
      </c>
      <c r="K231" s="32" t="n">
        <v>819580</v>
      </c>
      <c r="L231" s="31" t="inlineStr"/>
      <c r="M231" s="31" t="inlineStr"/>
      <c r="N231" s="32">
        <f>IF(M231="Underperforming",-5,IF(L231&gt;=95,15,IF(L231&gt;=90,10,IF(L231&gt;=80,5,0))))</f>
        <v/>
      </c>
      <c r="O231" s="32" t="n">
        <v>64.18000000000001</v>
      </c>
      <c r="P231" s="32" t="n">
        <v>24.16</v>
      </c>
      <c r="Q231" s="32" t="n">
        <v>89.23999999999999</v>
      </c>
      <c r="R231" s="31" t="inlineStr">
        <is>
          <t>Near 52W High Breakout</t>
        </is>
      </c>
      <c r="S231" s="31" t="inlineStr">
        <is>
          <t>Nifty Realty</t>
        </is>
      </c>
      <c r="T231" s="32" t="inlineStr"/>
      <c r="U231" s="32" t="inlineStr"/>
      <c r="V231" s="32" t="inlineStr"/>
      <c r="W231" s="32" t="inlineStr"/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Yes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Negative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Less than 12%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No</t>
        </is>
      </c>
      <c r="BS231" s="31">
        <f>IF(BR231="NO",5,0)</f>
        <v/>
      </c>
      <c r="BT231" s="31" t="inlineStr">
        <is>
          <t>Between 1.5 to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IF(B232=0,"",RANK(B232,$B$2:$B$249,0))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3" t="inlineStr">
        <is>
          <t>FAIRCHEMOR</t>
        </is>
      </c>
      <c r="D232" s="33" t="inlineStr">
        <is>
          <t>Fairchem Organics Ltd</t>
        </is>
      </c>
      <c r="E232" s="31" t="inlineStr">
        <is>
          <t>chemicals</t>
        </is>
      </c>
      <c r="F232" s="31" t="inlineStr">
        <is>
          <t>chemicals</t>
        </is>
      </c>
      <c r="G232" s="31" t="inlineStr">
        <is>
          <t>smallcap</t>
        </is>
      </c>
      <c r="H232" s="32" t="n">
        <v>849.85</v>
      </c>
      <c r="I232" s="32" t="n">
        <v>680.75</v>
      </c>
      <c r="J232" s="32" t="n">
        <v>0.9</v>
      </c>
      <c r="K232" s="32" t="n">
        <v>5353</v>
      </c>
      <c r="L232" s="31" t="n">
        <v>1</v>
      </c>
      <c r="M232" s="31" t="inlineStr">
        <is>
          <t>Underperforming</t>
        </is>
      </c>
      <c r="N232" s="32">
        <f>IF(M232="Underperforming",-5,IF(L232&gt;=95,15,IF(L232&gt;=90,10,IF(L232&gt;=80,5,0))))</f>
        <v/>
      </c>
      <c r="O232" s="32" t="n">
        <v>52.34</v>
      </c>
      <c r="P232" s="32" t="n">
        <v>25.03</v>
      </c>
      <c r="Q232" s="32" t="n">
        <v>620.66</v>
      </c>
      <c r="R232" s="31" t="inlineStr">
        <is>
          <t>Earnings / Momentum Support</t>
        </is>
      </c>
      <c r="S232" s="31" t="inlineStr">
        <is>
          <t>Nifty 50</t>
        </is>
      </c>
      <c r="T232" s="32" t="n">
        <v>-9.130000000000001</v>
      </c>
      <c r="U232" s="32" t="n">
        <v>-12.1</v>
      </c>
      <c r="V232" s="32" t="n">
        <v>-3.27</v>
      </c>
      <c r="W232" s="32" t="n">
        <v>-0.46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No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20 to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1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Yes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IF(B233=0,"",RANK(B233,$B$2:$B$249,0))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3" t="inlineStr">
        <is>
          <t>WINDLAS</t>
        </is>
      </c>
      <c r="D233" s="33" t="inlineStr">
        <is>
          <t>Windlas Biotech Ltd</t>
        </is>
      </c>
      <c r="E233" s="31" t="inlineStr">
        <is>
          <t>healthcare</t>
        </is>
      </c>
      <c r="F233" s="31" t="inlineStr">
        <is>
          <t>pharmaceuticals - indian - formulations</t>
        </is>
      </c>
      <c r="G233" s="31" t="inlineStr">
        <is>
          <t>smallcap</t>
        </is>
      </c>
      <c r="H233" s="32" t="n">
        <v>2262.25</v>
      </c>
      <c r="I233" s="32" t="n">
        <v>1091.3</v>
      </c>
      <c r="J233" s="32" t="n">
        <v>-0.45</v>
      </c>
      <c r="K233" s="32" t="n">
        <v>56202</v>
      </c>
      <c r="L233" s="31" t="n">
        <v>30</v>
      </c>
      <c r="M233" s="31" t="inlineStr">
        <is>
          <t>Underperforming</t>
        </is>
      </c>
      <c r="N233" s="32">
        <f>IF(M233="Underperforming",-5,IF(L233&gt;=95,15,IF(L233&gt;=90,10,IF(L233&gt;=80,5,0))))</f>
        <v/>
      </c>
      <c r="O233" s="32" t="n">
        <v>71.56999999999999</v>
      </c>
      <c r="P233" s="32" t="n">
        <v>38.16</v>
      </c>
      <c r="Q233" s="32" t="n">
        <v>901.72</v>
      </c>
      <c r="R233" s="31" t="inlineStr">
        <is>
          <t>Near 52W High Breakout</t>
        </is>
      </c>
      <c r="S233" s="31" t="inlineStr">
        <is>
          <t>Nifty Pharma</t>
        </is>
      </c>
      <c r="T233" s="32" t="n">
        <v>21.52</v>
      </c>
      <c r="U233" s="32" t="n">
        <v>16.95</v>
      </c>
      <c r="V233" s="32" t="n">
        <v>-3.76</v>
      </c>
      <c r="W233" s="32" t="n">
        <v>9.42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Yes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Annuity, Lower One Time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Negative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Blue sky scenario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Less than 12%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IF(B234=0,"",RANK(B234,$B$2:$B$249,0))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3" t="inlineStr">
        <is>
          <t>INDOCO</t>
        </is>
      </c>
      <c r="D234" s="33" t="inlineStr">
        <is>
          <t>Indoco Remedies Limited</t>
        </is>
      </c>
      <c r="E234" s="31" t="inlineStr">
        <is>
          <t>healthcare</t>
        </is>
      </c>
      <c r="F234" s="31" t="inlineStr">
        <is>
          <t>pharmaceuticals - indian - bulk drugs &amp; formln</t>
        </is>
      </c>
      <c r="G234" s="31" t="inlineStr">
        <is>
          <t>smallcap</t>
        </is>
      </c>
      <c r="H234" s="32" t="n">
        <v>2484.35</v>
      </c>
      <c r="I234" s="32" t="n">
        <v>261.67</v>
      </c>
      <c r="J234" s="32" t="n">
        <v>-2.78</v>
      </c>
      <c r="K234" s="32" t="n">
        <v>1088133</v>
      </c>
      <c r="L234" s="31" t="n">
        <v>5</v>
      </c>
      <c r="M234" s="31" t="inlineStr">
        <is>
          <t>Underperforming</t>
        </is>
      </c>
      <c r="N234" s="32">
        <f>IF(M234="Underperforming",-5,IF(L234&gt;=95,15,IF(L234&gt;=90,10,IF(L234&gt;=80,5,0))))</f>
        <v/>
      </c>
      <c r="O234" s="32" t="n">
        <v>58.93</v>
      </c>
      <c r="P234" s="32" t="n">
        <v>43.65</v>
      </c>
      <c r="Q234" s="32" t="n">
        <v>179.51</v>
      </c>
      <c r="R234" s="31" t="inlineStr">
        <is>
          <t>Volume Spike / Accumulation</t>
        </is>
      </c>
      <c r="S234" s="31" t="inlineStr">
        <is>
          <t>Nifty Pharma</t>
        </is>
      </c>
      <c r="T234" s="32" t="n">
        <v>21.52</v>
      </c>
      <c r="U234" s="32" t="n">
        <v>-9.880000000000001</v>
      </c>
      <c r="V234" s="32" t="n">
        <v>-25.84</v>
      </c>
      <c r="W234" s="32" t="n">
        <v>1.12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Yes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Yes</t>
        </is>
      </c>
      <c r="AQ234" s="31">
        <f>IF(AP234="Yes",10,0)</f>
        <v/>
      </c>
      <c r="AR234" s="31" t="inlineStr">
        <is>
          <t>Higher Annuity, Lower One Time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Above 40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Negative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Yes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Between 0.7 to 1.2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IF(B235=0,"",RANK(B235,$B$2:$B$249,0))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SHRINGARMS</t>
        </is>
      </c>
      <c r="D235" s="31" t="inlineStr">
        <is>
          <t>Shringar House of Mangalsutra Ltd</t>
        </is>
      </c>
      <c r="E235" s="31" t="inlineStr">
        <is>
          <t>consumer discretionary</t>
        </is>
      </c>
      <c r="F235" s="31" t="inlineStr">
        <is>
          <t>diamond cutting / jewellery</t>
        </is>
      </c>
      <c r="G235" s="31" t="inlineStr">
        <is>
          <t>smallcap</t>
        </is>
      </c>
      <c r="H235" s="32" t="n">
        <v>2082.07</v>
      </c>
      <c r="I235" s="32" t="n">
        <v>224.6</v>
      </c>
      <c r="J235" s="32" t="n">
        <v>4.02</v>
      </c>
      <c r="K235" s="32" t="n">
        <v>2130481</v>
      </c>
      <c r="L235" s="31" t="n">
        <v>14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53.27</v>
      </c>
      <c r="P235" s="32" t="n">
        <v>19.04</v>
      </c>
      <c r="Q235" s="32" t="n">
        <v>188.34</v>
      </c>
      <c r="R235" s="31" t="inlineStr">
        <is>
          <t>Volume Spike / Accumulation</t>
        </is>
      </c>
      <c r="S235" s="31" t="inlineStr">
        <is>
          <t>Nifty 50</t>
        </is>
      </c>
      <c r="T235" s="32" t="n">
        <v>-9.130000000000001</v>
      </c>
      <c r="U235" s="32" t="n">
        <v>19.21</v>
      </c>
      <c r="V235" s="32" t="n">
        <v>31.19</v>
      </c>
      <c r="W235" s="32" t="n">
        <v>5.29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Yes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0 to 20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1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Less than 12%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No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IF(B236=0,"",RANK(B236,$B$2:$B$249,0))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AEROFLEX</t>
        </is>
      </c>
      <c r="D236" s="31" t="inlineStr">
        <is>
          <t>Aeroflex Industries Ltd</t>
        </is>
      </c>
      <c r="E236" s="31" t="inlineStr">
        <is>
          <t>metals &amp; mining</t>
        </is>
      </c>
      <c r="F236" s="31" t="inlineStr">
        <is>
          <t>steel - medium / small</t>
        </is>
      </c>
      <c r="G236" s="31" t="inlineStr">
        <is>
          <t>midcap</t>
        </is>
      </c>
      <c r="H236" s="32" t="n">
        <v>7140.57</v>
      </c>
      <c r="I236" s="32" t="n">
        <v>536.6</v>
      </c>
      <c r="J236" s="32" t="n">
        <v>-0.5600000000000001</v>
      </c>
      <c r="K236" s="32" t="n">
        <v>981031</v>
      </c>
      <c r="L236" s="31" t="inlineStr"/>
      <c r="M236" s="31" t="inlineStr"/>
      <c r="N236" s="32">
        <f>IF(M236="Underperforming",-5,IF(L236&gt;=95,15,IF(L236&gt;=90,10,IF(L236&gt;=80,5,0))))</f>
        <v/>
      </c>
      <c r="O236" s="32" t="n">
        <v>65.84</v>
      </c>
      <c r="P236" s="32" t="n">
        <v>49.47</v>
      </c>
      <c r="Q236" s="32" t="n">
        <v>403.17</v>
      </c>
      <c r="R236" s="31" t="inlineStr">
        <is>
          <t>Near 52W High Breakout</t>
        </is>
      </c>
      <c r="S236" s="31" t="inlineStr">
        <is>
          <t>Nifty Metal</t>
        </is>
      </c>
      <c r="T236" s="32" t="inlineStr"/>
      <c r="U236" s="32" t="inlineStr"/>
      <c r="V236" s="32" t="inlineStr"/>
      <c r="W236" s="32" t="inlineStr"/>
      <c r="X236" s="31" t="inlineStr">
        <is>
          <t>Cyclical in an Upturn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Cyclical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Volatile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Above 40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Negative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Blue sky scenario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Yes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IF(B237=0,"",RANK(B237,$B$2:$B$249,0))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CYIENT</t>
        </is>
      </c>
      <c r="D237" s="31" t="inlineStr">
        <is>
          <t>Cyient Limited</t>
        </is>
      </c>
      <c r="E237" s="31" t="inlineStr">
        <is>
          <t>i.t</t>
        </is>
      </c>
      <c r="F237" s="31" t="inlineStr">
        <is>
          <t>computers - software - medium / small</t>
        </is>
      </c>
      <c r="G237" s="31" t="inlineStr">
        <is>
          <t>midcap</t>
        </is>
      </c>
      <c r="H237" s="32" t="n">
        <v>11053.4</v>
      </c>
      <c r="I237" s="32" t="n">
        <v>1100.7</v>
      </c>
      <c r="J237" s="32" t="n">
        <v>4.3</v>
      </c>
      <c r="K237" s="32" t="n">
        <v>2323228</v>
      </c>
      <c r="L237" s="31" t="n">
        <v>13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64.78</v>
      </c>
      <c r="P237" s="32" t="n">
        <v>23.78</v>
      </c>
      <c r="Q237" s="32" t="n">
        <v>875.04</v>
      </c>
      <c r="R237" s="31" t="inlineStr">
        <is>
          <t>Earnings / Momentum Support</t>
        </is>
      </c>
      <c r="S237" s="31" t="inlineStr">
        <is>
          <t>Nifty IT</t>
        </is>
      </c>
      <c r="T237" s="32" t="n">
        <v>-18.39</v>
      </c>
      <c r="U237" s="32" t="n">
        <v>-4.69</v>
      </c>
      <c r="V237" s="32" t="n">
        <v>16.8</v>
      </c>
      <c r="W237" s="32" t="n">
        <v>5.28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No</t>
        </is>
      </c>
      <c r="AQ237" s="31">
        <f>IF(AP237="Yes",10,0)</f>
        <v/>
      </c>
      <c r="AR237" s="31" t="inlineStr">
        <is>
          <t>Higher Annuity, Lower One Time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Negative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Less than 12%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No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IF(B238=0,"",RANK(B238,$B$2:$B$249,0))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INDIAGLYCO</t>
        </is>
      </c>
      <c r="D238" s="31" t="inlineStr">
        <is>
          <t>India Glycols Limited</t>
        </is>
      </c>
      <c r="E238" s="31" t="inlineStr">
        <is>
          <t>fmcg</t>
        </is>
      </c>
      <c r="F238" s="31" t="inlineStr">
        <is>
          <t>breweries &amp; distilleries</t>
        </is>
      </c>
      <c r="G238" s="31" t="inlineStr">
        <is>
          <t>smallcap</t>
        </is>
      </c>
      <c r="H238" s="32" t="n">
        <v>2040.97</v>
      </c>
      <c r="I238" s="32" t="n">
        <v>307.4</v>
      </c>
      <c r="J238" s="32" t="n">
        <v>0.95</v>
      </c>
      <c r="K238" s="32" t="n">
        <v>321153</v>
      </c>
      <c r="L238" s="31" t="inlineStr"/>
      <c r="M238" s="31" t="inlineStr"/>
      <c r="N238" s="32">
        <f>IF(M238="Underperforming",-5,IF(L238&gt;=95,15,IF(L238&gt;=90,10,IF(L238&gt;=80,5,0))))</f>
        <v/>
      </c>
      <c r="O238" s="32" t="n">
        <v>27.26</v>
      </c>
      <c r="P238" s="32" t="n">
        <v>39.7</v>
      </c>
      <c r="Q238" s="32" t="n">
        <v>808.87</v>
      </c>
      <c r="R238" s="31" t="inlineStr">
        <is>
          <t>Earnings / Momentum Support</t>
        </is>
      </c>
      <c r="S238" s="31" t="inlineStr">
        <is>
          <t>Nifty FMCG</t>
        </is>
      </c>
      <c r="T238" s="32" t="inlineStr"/>
      <c r="U238" s="32" t="inlineStr"/>
      <c r="V238" s="32" t="inlineStr"/>
      <c r="W238" s="32" t="inlineStr"/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Headwind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B2C</t>
        </is>
      </c>
      <c r="AO238" s="31">
        <f>IF(AN238="B2C",10,IF(AN238="B2B",5,0))</f>
        <v/>
      </c>
      <c r="AP238" s="31" t="inlineStr">
        <is>
          <t>No</t>
        </is>
      </c>
      <c r="AQ238" s="31">
        <f>IF(AP238="Yes",10,0)</f>
        <v/>
      </c>
      <c r="AR238" s="31" t="inlineStr">
        <is>
          <t>Higher Annuity, Lower One Time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20 to 40</t>
        </is>
      </c>
      <c r="AY238" s="31">
        <f>IF(AX238="Above 40",20,IF(AX238="20 to 40",10,IF(AX238="0 to 20",-5,0)))</f>
        <v/>
      </c>
      <c r="AZ238" s="31" t="inlineStr">
        <is>
          <t>Below 45</t>
        </is>
      </c>
      <c r="BA238" s="31">
        <f>IF(AZ238="Between 50 to 75",10,IF(AZ238="Above 75",0,0))</f>
        <v/>
      </c>
      <c r="BB238" s="31" t="inlineStr">
        <is>
          <t>Stage 4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No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Less than 1.5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IF(B239=0,"",RANK(B239,$B$2:$B$249,0))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3" t="inlineStr">
        <is>
          <t>JUBLPHARMA</t>
        </is>
      </c>
      <c r="D239" s="33" t="inlineStr">
        <is>
          <t>Jubilant Pharmova Ltd</t>
        </is>
      </c>
      <c r="E239" s="31" t="inlineStr">
        <is>
          <t>healthcare</t>
        </is>
      </c>
      <c r="F239" s="31" t="inlineStr">
        <is>
          <t>pharmaceuticals - indian - bulk drugs</t>
        </is>
      </c>
      <c r="G239" s="31" t="inlineStr">
        <is>
          <t>midcap</t>
        </is>
      </c>
      <c r="H239" s="32" t="n">
        <v>16695.85</v>
      </c>
      <c r="I239" s="32" t="n">
        <v>1028.8</v>
      </c>
      <c r="J239" s="32" t="n">
        <v>-1.85</v>
      </c>
      <c r="K239" s="32" t="n">
        <v>460073</v>
      </c>
      <c r="L239" s="31" t="n">
        <v>2</v>
      </c>
      <c r="M239" s="31" t="inlineStr">
        <is>
          <t>Underperforming</t>
        </is>
      </c>
      <c r="N239" s="32">
        <f>IF(M239="Underperforming",-5,IF(L239&gt;=95,15,IF(L239&gt;=90,10,IF(L239&gt;=80,5,0))))</f>
        <v/>
      </c>
      <c r="O239" s="32" t="n">
        <v>57.41</v>
      </c>
      <c r="P239" s="32" t="n">
        <v>15.23</v>
      </c>
      <c r="Q239" s="32" t="n">
        <v>867.49</v>
      </c>
      <c r="R239" s="31" t="inlineStr">
        <is>
          <t>Earnings / Momentum Support</t>
        </is>
      </c>
      <c r="S239" s="31" t="inlineStr">
        <is>
          <t>Nifty Pharma</t>
        </is>
      </c>
      <c r="T239" s="32" t="n">
        <v>21.52</v>
      </c>
      <c r="U239" s="32" t="n">
        <v>-7.62</v>
      </c>
      <c r="V239" s="32" t="n">
        <v>-23.98</v>
      </c>
      <c r="W239" s="32" t="n">
        <v>0.54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Yes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No</t>
        </is>
      </c>
      <c r="AQ239" s="31">
        <f>IF(AP239="Yes",10,0)</f>
        <v/>
      </c>
      <c r="AR239" s="31" t="inlineStr">
        <is>
          <t>Higher Annuity, Lower One Time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0 to 20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Less than 12%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Yes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IF(B240=0,"",RANK(B240,$B$2:$B$249,0))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VENUSPIPES</t>
        </is>
      </c>
      <c r="D240" s="31" t="inlineStr">
        <is>
          <t>Venus Pipes &amp; Tubes Ltd</t>
        </is>
      </c>
      <c r="E240" s="31" t="inlineStr">
        <is>
          <t>metals &amp; mining</t>
        </is>
      </c>
      <c r="F240" s="31" t="inlineStr">
        <is>
          <t>steel - medium / small</t>
        </is>
      </c>
      <c r="G240" s="31" t="inlineStr">
        <is>
          <t>smallcap</t>
        </is>
      </c>
      <c r="H240" s="32" t="n">
        <v>4548.84</v>
      </c>
      <c r="I240" s="32" t="n">
        <v>2147.1</v>
      </c>
      <c r="J240" s="32" t="n">
        <v>-2.22</v>
      </c>
      <c r="K240" s="32" t="n">
        <v>125771</v>
      </c>
      <c r="L240" s="31" t="inlineStr"/>
      <c r="M240" s="31" t="inlineStr"/>
      <c r="N240" s="32">
        <f>IF(M240="Underperforming",-5,IF(L240&gt;=95,15,IF(L240&gt;=90,10,IF(L240&gt;=80,5,0))))</f>
        <v/>
      </c>
      <c r="O240" s="32" t="n">
        <v>71.08</v>
      </c>
      <c r="P240" s="32" t="n">
        <v>39.77</v>
      </c>
      <c r="Q240" s="32" t="n">
        <v>1761.64</v>
      </c>
      <c r="R240" s="31" t="inlineStr">
        <is>
          <t>Earnings / Momentum Support</t>
        </is>
      </c>
      <c r="S240" s="31" t="inlineStr">
        <is>
          <t>Nifty Metal</t>
        </is>
      </c>
      <c r="T240" s="32" t="inlineStr"/>
      <c r="U240" s="32" t="inlineStr"/>
      <c r="V240" s="32" t="inlineStr"/>
      <c r="W240" s="32" t="inlineStr"/>
      <c r="X240" s="31" t="inlineStr">
        <is>
          <t>Cyclical in an Upturn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Cyclical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Volatile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No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Less than 12%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Yes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IF(B241=0,"",RANK(B241,$B$2:$B$249,0))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SALSTEEL</t>
        </is>
      </c>
      <c r="D241" s="31" t="inlineStr">
        <is>
          <t>SAL Steel</t>
        </is>
      </c>
      <c r="E241" s="31" t="inlineStr">
        <is>
          <t>metals &amp; mining</t>
        </is>
      </c>
      <c r="F241" s="31" t="inlineStr">
        <is>
          <t>steel - sponge iron</t>
        </is>
      </c>
      <c r="G241" s="31" t="inlineStr">
        <is>
          <t>smallcap</t>
        </is>
      </c>
      <c r="H241" s="32" t="n">
        <v>1405.4</v>
      </c>
      <c r="I241" s="32" t="n">
        <v>99.06</v>
      </c>
      <c r="J241" s="32" t="n">
        <v>2.04</v>
      </c>
      <c r="K241" s="32" t="n">
        <v>1173619</v>
      </c>
      <c r="L241" s="31" t="inlineStr"/>
      <c r="M241" s="31" t="inlineStr"/>
      <c r="N241" s="32">
        <f>IF(M241="Underperforming",-5,IF(L241&gt;=95,15,IF(L241&gt;=90,10,IF(L241&gt;=80,5,0))))</f>
        <v/>
      </c>
      <c r="O241" s="32" t="n">
        <v>77.53</v>
      </c>
      <c r="P241" s="32" t="n">
        <v>32.89</v>
      </c>
      <c r="Q241" s="32" t="n">
        <v>70.92</v>
      </c>
      <c r="R241" s="31" t="inlineStr">
        <is>
          <t>Near 52W High Breakout</t>
        </is>
      </c>
      <c r="S241" s="31" t="inlineStr">
        <is>
          <t>Nifty Metal</t>
        </is>
      </c>
      <c r="T241" s="32" t="inlineStr"/>
      <c r="U241" s="32" t="inlineStr"/>
      <c r="V241" s="32" t="inlineStr"/>
      <c r="W241" s="32" t="inlineStr"/>
      <c r="X241" s="31" t="inlineStr">
        <is>
          <t>Cyclical in an Upturn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Cyclical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Volatile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Yes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20 to 40</t>
        </is>
      </c>
      <c r="AY241" s="31">
        <f>IF(AX241="Above 40",20,IF(AX241="20 to 40",10,IF(AX241="0 to 20",-5,0)))</f>
        <v/>
      </c>
      <c r="AZ241" s="31" t="inlineStr">
        <is>
          <t>Above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Blue sky scenario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Yes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More than 1.2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IF(B242=0,"",RANK(B242,$B$2:$B$249,0))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VHLTD</t>
        </is>
      </c>
      <c r="D242" s="31" t="inlineStr">
        <is>
          <t>Viceroy Hotels Ltd</t>
        </is>
      </c>
      <c r="E242" s="31" t="inlineStr">
        <is>
          <t>services</t>
        </is>
      </c>
      <c r="F242" s="31" t="inlineStr">
        <is>
          <t>hotels</t>
        </is>
      </c>
      <c r="G242" s="31" t="inlineStr">
        <is>
          <t>smallcap</t>
        </is>
      </c>
      <c r="H242" s="32" t="n">
        <v>1001.08</v>
      </c>
      <c r="I242" s="32" t="n">
        <v>129.66</v>
      </c>
      <c r="J242" s="32" t="n">
        <v>-0.55</v>
      </c>
      <c r="K242" s="32" t="n">
        <v>3118</v>
      </c>
      <c r="L242" s="31" t="n">
        <v>6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50.88</v>
      </c>
      <c r="P242" s="32" t="n">
        <v>14.66</v>
      </c>
      <c r="Q242" s="32" t="n">
        <v>103.43</v>
      </c>
      <c r="R242" s="31" t="inlineStr">
        <is>
          <t>Earnings / Momentum Support</t>
        </is>
      </c>
      <c r="S242" s="31" t="inlineStr">
        <is>
          <t>Nifty 50</t>
        </is>
      </c>
      <c r="T242" s="32" t="n">
        <v>-9.130000000000001</v>
      </c>
      <c r="U242" s="32" t="n">
        <v>9.02</v>
      </c>
      <c r="V242" s="32" t="n">
        <v>19.98</v>
      </c>
      <c r="W242" s="32" t="n">
        <v>1.65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Headwind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No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0 to 20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1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No</t>
        </is>
      </c>
      <c r="BS242" s="31">
        <f>IF(BR242="NO",5,0)</f>
        <v/>
      </c>
      <c r="BT242" s="31" t="inlineStr">
        <is>
          <t>Less than 1.5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Between 0.7 to 1.2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IF(B243=0,"",RANK(B243,$B$2:$B$249,0))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LLOYDSME</t>
        </is>
      </c>
      <c r="D243" s="31" t="inlineStr">
        <is>
          <t>Lloyds Metals &amp; Energy Ltd</t>
        </is>
      </c>
      <c r="E243" s="31" t="inlineStr">
        <is>
          <t>metals &amp; mining</t>
        </is>
      </c>
      <c r="F243" s="31" t="inlineStr">
        <is>
          <t>mining / minerals / metals</t>
        </is>
      </c>
      <c r="G243" s="31" t="inlineStr">
        <is>
          <t>largecap</t>
        </is>
      </c>
      <c r="H243" s="32" t="n">
        <v>107076.16</v>
      </c>
      <c r="I243" s="32" t="n">
        <v>1884</v>
      </c>
      <c r="J243" s="32" t="n">
        <v>-0.96</v>
      </c>
      <c r="K243" s="32" t="n">
        <v>333292</v>
      </c>
      <c r="L243" s="31" t="inlineStr"/>
      <c r="M243" s="31" t="inlineStr"/>
      <c r="N243" s="32">
        <f>IF(M243="Underperforming",-5,IF(L243&gt;=95,15,IF(L243&gt;=90,10,IF(L243&gt;=80,5,0))))</f>
        <v/>
      </c>
      <c r="O243" s="32" t="n">
        <v>59.89</v>
      </c>
      <c r="P243" s="32" t="n">
        <v>26.86</v>
      </c>
      <c r="Q243" s="32" t="n">
        <v>1767.53</v>
      </c>
      <c r="R243" s="31" t="inlineStr">
        <is>
          <t>Earnings / Momentum Support</t>
        </is>
      </c>
      <c r="S243" s="31" t="inlineStr">
        <is>
          <t>Nifty Metal</t>
        </is>
      </c>
      <c r="T243" s="32" t="inlineStr"/>
      <c r="U243" s="32" t="inlineStr"/>
      <c r="V243" s="32" t="inlineStr"/>
      <c r="W243" s="32" t="inlineStr"/>
      <c r="X243" s="31" t="inlineStr">
        <is>
          <t>Cyclical in an Upturn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Cyclical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Volatile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No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20 to 40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No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More than 1.2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IF(B244=0,"",RANK(B244,$B$2:$B$249,0))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KSB</t>
        </is>
      </c>
      <c r="D244" s="31" t="inlineStr">
        <is>
          <t>KSB Ltd</t>
        </is>
      </c>
      <c r="E244" s="31" t="inlineStr">
        <is>
          <t>industrials</t>
        </is>
      </c>
      <c r="F244" s="31" t="inlineStr">
        <is>
          <t>pumps</t>
        </is>
      </c>
      <c r="G244" s="31" t="inlineStr">
        <is>
          <t>midcap</t>
        </is>
      </c>
      <c r="H244" s="32" t="n">
        <v>14354.75</v>
      </c>
      <c r="I244" s="32" t="n">
        <v>856.1</v>
      </c>
      <c r="J244" s="32" t="n">
        <v>3.79</v>
      </c>
      <c r="K244" s="32" t="n">
        <v>5216083</v>
      </c>
      <c r="L244" s="31" t="n">
        <v>2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53.93</v>
      </c>
      <c r="P244" s="32" t="n">
        <v>10.71</v>
      </c>
      <c r="Q244" s="32" t="n">
        <v>758.67</v>
      </c>
      <c r="R244" s="31" t="inlineStr">
        <is>
          <t>Volume Spike / Accumulation</t>
        </is>
      </c>
      <c r="S244" s="31" t="inlineStr">
        <is>
          <t>Nifty 50</t>
        </is>
      </c>
      <c r="T244" s="32" t="n">
        <v>-9.130000000000001</v>
      </c>
      <c r="U244" s="32" t="n">
        <v>5.71</v>
      </c>
      <c r="V244" s="32" t="n">
        <v>16.34</v>
      </c>
      <c r="W244" s="32" t="n">
        <v>-0.2</v>
      </c>
      <c r="X244" s="31" t="inlineStr">
        <is>
          <t>Cyclical in an Upturn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Headwind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Yes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0 to 20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1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Less than 12%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Yes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Less than 50%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IF(B245=0,"",RANK(B245,$B$2:$B$249,0))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BANSALWIRE</t>
        </is>
      </c>
      <c r="D245" s="31" t="inlineStr">
        <is>
          <t>Bansal Wire Industries Ltd</t>
        </is>
      </c>
      <c r="E245" s="31" t="inlineStr">
        <is>
          <t>metals &amp; mining</t>
        </is>
      </c>
      <c r="F245" s="31" t="inlineStr">
        <is>
          <t>steel - medium / small</t>
        </is>
      </c>
      <c r="G245" s="31" t="inlineStr">
        <is>
          <t>midcap</t>
        </is>
      </c>
      <c r="H245" s="32" t="n">
        <v>5129.56</v>
      </c>
      <c r="I245" s="32" t="n">
        <v>323.45</v>
      </c>
      <c r="J245" s="32" t="n">
        <v>-1.28</v>
      </c>
      <c r="K245" s="32" t="n">
        <v>109681</v>
      </c>
      <c r="L245" s="31" t="inlineStr"/>
      <c r="M245" s="31" t="inlineStr"/>
      <c r="N245" s="32">
        <f>IF(M245="Underperforming",-5,IF(L245&gt;=95,15,IF(L245&gt;=90,10,IF(L245&gt;=80,5,0))))</f>
        <v/>
      </c>
      <c r="O245" s="32" t="n">
        <v>53.7</v>
      </c>
      <c r="P245" s="32" t="n">
        <v>18.38</v>
      </c>
      <c r="Q245" s="32" t="n">
        <v>289.78</v>
      </c>
      <c r="R245" s="31" t="inlineStr">
        <is>
          <t>Earnings / Momentum Support</t>
        </is>
      </c>
      <c r="S245" s="31" t="inlineStr">
        <is>
          <t>Nifty Metal</t>
        </is>
      </c>
      <c r="T245" s="32" t="inlineStr"/>
      <c r="U245" s="32" t="inlineStr"/>
      <c r="V245" s="32" t="inlineStr"/>
      <c r="W245" s="32" t="inlineStr"/>
      <c r="X245" s="31" t="inlineStr">
        <is>
          <t>Cyclical in an Upturn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Cyclical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Volatile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No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0 to 20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1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Less than 12%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IF(B246=0,"",RANK(B246,$B$2:$B$249,0))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GPPL</t>
        </is>
      </c>
      <c r="D246" s="31" t="inlineStr">
        <is>
          <t>Gujarat Pipavav Port Limited</t>
        </is>
      </c>
      <c r="E246" s="31" t="inlineStr">
        <is>
          <t>transportation</t>
        </is>
      </c>
      <c r="F246" s="31" t="inlineStr">
        <is>
          <t>miscellaneous</t>
        </is>
      </c>
      <c r="G246" s="31" t="inlineStr">
        <is>
          <t>midcap</t>
        </is>
      </c>
      <c r="H246" s="32" t="n">
        <v>7761.14</v>
      </c>
      <c r="I246" s="32" t="n">
        <v>166.75</v>
      </c>
      <c r="J246" s="32" t="n">
        <v>3.87</v>
      </c>
      <c r="K246" s="32" t="n">
        <v>1900735</v>
      </c>
      <c r="L246" s="31" t="n">
        <v>12</v>
      </c>
      <c r="M246" s="31" t="inlineStr">
        <is>
          <t>Outperforming</t>
        </is>
      </c>
      <c r="N246" s="32">
        <f>IF(M246="Underperforming",-5,IF(L246&gt;=95,15,IF(L246&gt;=90,10,IF(L246&gt;=80,5,0))))</f>
        <v/>
      </c>
      <c r="O246" s="32" t="n">
        <v>63.48</v>
      </c>
      <c r="P246" s="32" t="n">
        <v>17.22</v>
      </c>
      <c r="Q246" s="32" t="n">
        <v>141.79</v>
      </c>
      <c r="R246" s="31" t="inlineStr">
        <is>
          <t>Earnings / Momentum Support</t>
        </is>
      </c>
      <c r="S246" s="31" t="inlineStr">
        <is>
          <t>Nifty 50</t>
        </is>
      </c>
      <c r="T246" s="32" t="n">
        <v>-9.130000000000001</v>
      </c>
      <c r="U246" s="32" t="n">
        <v>10.82</v>
      </c>
      <c r="V246" s="32" t="n">
        <v>21.96</v>
      </c>
      <c r="W246" s="32" t="n">
        <v>5.17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Oligopoly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Shallow Cyclical (2 to 3 Years Growth)</t>
        </is>
      </c>
      <c r="AG246" s="31">
        <f>IF(AF246="Structural (10 Years Consistency)",10,IF(AF246="Shallow Cyclical (2 to 3 years growth)",5,0))</f>
        <v/>
      </c>
      <c r="AH246" s="31" t="inlineStr">
        <is>
          <t>Yes due to Product Mix change or Operating Leverage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Volatile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Yes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Allocated capital in Non-core Areas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Above 40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3</t>
        </is>
      </c>
      <c r="BC246" s="31">
        <f>IF(BB246="Stage 2",20,IF(BB246="Stage 1",0,IF(BB246="Stage 3",5,IF(BB246="Stage 4",-5,0))))</f>
        <v/>
      </c>
      <c r="BD246" s="31" t="inlineStr">
        <is>
          <t>Negative Trend</t>
        </is>
      </c>
      <c r="BE246" s="31">
        <f>IF(BD246="Positive Trend",20,IF(BD246="Negative Trend",-10,0))</f>
        <v/>
      </c>
      <c r="BF246" s="31" t="inlineStr">
        <is>
          <t>Sideways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Overhead supply in last 2 years in last 2 years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No</t>
        </is>
      </c>
      <c r="BS246" s="31">
        <f>IF(BR246="NO",5,0)</f>
        <v/>
      </c>
      <c r="BT246" s="31" t="inlineStr">
        <is>
          <t>Less than 1.5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More than 15%</t>
        </is>
      </c>
      <c r="CC246" s="31">
        <f>IF(CB246="More than 15%",-10,IF(CB246="Less than 15%",10,0))</f>
        <v/>
      </c>
      <c r="CD246" s="31" t="inlineStr">
        <is>
          <t>Yes Upto 10%</t>
        </is>
      </c>
      <c r="CE246" s="31">
        <f>IF(CD246="Yes, more than 10%",-10,IF(CD246="No",10,0))</f>
        <v/>
      </c>
    </row>
    <row r="247">
      <c r="A247" s="31">
        <f>IF(B247=0,"",RANK(B247,$B$2:$B$249,0))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UNITEDPOLY</t>
        </is>
      </c>
      <c r="D247" s="31" t="inlineStr">
        <is>
          <t>United Polyfab Gujarat Ltd</t>
        </is>
      </c>
      <c r="E247" s="31" t="inlineStr">
        <is>
          <t>textiles</t>
        </is>
      </c>
      <c r="F247" s="31" t="inlineStr">
        <is>
          <t>textiles - products</t>
        </is>
      </c>
      <c r="G247" s="31" t="inlineStr">
        <is>
          <t>smallcap</t>
        </is>
      </c>
      <c r="H247" s="32" t="n">
        <v>1075.74</v>
      </c>
      <c r="I247" s="32" t="n">
        <v>47.47</v>
      </c>
      <c r="J247" s="32" t="n">
        <v>1.28</v>
      </c>
      <c r="K247" s="32" t="n">
        <v>555562</v>
      </c>
      <c r="L247" s="31" t="n">
        <v>44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75.66</v>
      </c>
      <c r="P247" s="32" t="n">
        <v>25.8</v>
      </c>
      <c r="Q247" s="32" t="n">
        <v>35.35</v>
      </c>
      <c r="R247" s="31" t="inlineStr">
        <is>
          <t>Near 52W High Breakout</t>
        </is>
      </c>
      <c r="S247" s="31" t="inlineStr">
        <is>
          <t>Nifty 50</t>
        </is>
      </c>
      <c r="T247" s="32" t="n">
        <v>-9.130000000000001</v>
      </c>
      <c r="U247" s="32" t="n">
        <v>3.08</v>
      </c>
      <c r="V247" s="32" t="n">
        <v>13.45</v>
      </c>
      <c r="W247" s="32" t="n">
        <v>14.87</v>
      </c>
      <c r="X247" s="31" t="inlineStr">
        <is>
          <t>Growing Industry</t>
        </is>
      </c>
      <c r="Y247" s="31">
        <f>IF(X247="Growing Industry",10,IF(X247="Cyclical in an Upturn",5,0))</f>
        <v/>
      </c>
      <c r="Z247" s="31" t="inlineStr">
        <is>
          <t>Oligopoly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Shallow Cyclical (2 to 3 Years Growth)</t>
        </is>
      </c>
      <c r="AG247" s="31">
        <f>IF(AF247="Structural (10 Years Consistency)",10,IF(AF247="Shallow Cyclical (2 to 3 years growth)",5,0))</f>
        <v/>
      </c>
      <c r="AH247" s="31" t="inlineStr">
        <is>
          <t>Yes due to Product Mix change or Operating Leverage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Volatile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Allocated capital in Non-core Areas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Above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3</t>
        </is>
      </c>
      <c r="BC247" s="31">
        <f>IF(BB247="Stage 2",20,IF(BB247="Stage 1",0,IF(BB247="Stage 3",5,IF(BB247="Stage 4",-5,0))))</f>
        <v/>
      </c>
      <c r="BD247" s="31" t="inlineStr">
        <is>
          <t>Negative Trend</t>
        </is>
      </c>
      <c r="BE247" s="31">
        <f>IF(BD247="Positive Trend",20,IF(BD247="Negative Trend",-10,0))</f>
        <v/>
      </c>
      <c r="BF247" s="31" t="inlineStr">
        <is>
          <t>Sideways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Overhead supply in last 2 years in last 2 years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Less than 1.5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More than 15%</t>
        </is>
      </c>
      <c r="CC247" s="31">
        <f>IF(CB247="More than 15%",-10,IF(CB247="Less than 15%",10,0))</f>
        <v/>
      </c>
      <c r="CD247" s="31" t="inlineStr">
        <is>
          <t>Yes Upto 10%</t>
        </is>
      </c>
      <c r="CE247" s="31">
        <f>IF(CD247="Yes, more than 10%",-10,IF(CD247="No",10,0))</f>
        <v/>
      </c>
    </row>
    <row r="248">
      <c r="A248" s="31">
        <f>IF(B248=0,"",RANK(B248,$B$2:$B$249,0))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GNFC</t>
        </is>
      </c>
      <c r="D248" s="31" t="inlineStr">
        <is>
          <t>Gujarat Narmada Valley Fertilizers And Chemicals Limited</t>
        </is>
      </c>
      <c r="E248" s="31" t="inlineStr">
        <is>
          <t>chemicals</t>
        </is>
      </c>
      <c r="F248" s="31" t="inlineStr">
        <is>
          <t>chemicals</t>
        </is>
      </c>
      <c r="G248" s="31" t="inlineStr">
        <is>
          <t>midcap</t>
        </is>
      </c>
      <c r="H248" s="32" t="n">
        <v>8985.42</v>
      </c>
      <c r="I248" s="32" t="n">
        <v>604.4</v>
      </c>
      <c r="J248" s="32" t="n">
        <v>-1.16</v>
      </c>
      <c r="K248" s="32" t="n">
        <v>973991</v>
      </c>
      <c r="L248" s="31" t="n">
        <v>31</v>
      </c>
      <c r="M248" s="31" t="inlineStr">
        <is>
          <t>Outperforming</t>
        </is>
      </c>
      <c r="N248" s="32">
        <f>IF(M248="Underperforming",-5,IF(L248&gt;=95,15,IF(L248&gt;=90,10,IF(L248&gt;=80,5,0))))</f>
        <v/>
      </c>
      <c r="O248" s="32" t="n">
        <v>66.65000000000001</v>
      </c>
      <c r="P248" s="32" t="n">
        <v>39.93</v>
      </c>
      <c r="Q248" s="32" t="n">
        <v>513.97</v>
      </c>
      <c r="R248" s="31" t="inlineStr">
        <is>
          <t>Near 52W High Breakout</t>
        </is>
      </c>
      <c r="S248" s="31" t="inlineStr">
        <is>
          <t>Nifty 50</t>
        </is>
      </c>
      <c r="T248" s="32" t="n">
        <v>-9.130000000000001</v>
      </c>
      <c r="U248" s="32" t="n">
        <v>24.77</v>
      </c>
      <c r="V248" s="32" t="n">
        <v>37.32</v>
      </c>
      <c r="W248" s="32" t="n">
        <v>9.73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Oligopoly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Shallow Cyclical (2 to 3 Years Growth)</t>
        </is>
      </c>
      <c r="AG248" s="31">
        <f>IF(AF248="Structural (10 Years Consistency)",10,IF(AF248="Shallow Cyclical (2 to 3 years growth)",5,0))</f>
        <v/>
      </c>
      <c r="AH248" s="31" t="inlineStr">
        <is>
          <t>Yes due to Product Mix change or Operating Leverage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Volatile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Yes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Allocated capital in Non-core Areas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Above 40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3</t>
        </is>
      </c>
      <c r="BC248" s="31">
        <f>IF(BB248="Stage 2",20,IF(BB248="Stage 1",0,IF(BB248="Stage 3",5,IF(BB248="Stage 4",-5,0))))</f>
        <v/>
      </c>
      <c r="BD248" s="31" t="inlineStr">
        <is>
          <t>Negative Trend</t>
        </is>
      </c>
      <c r="BE248" s="31">
        <f>IF(BD248="Positive Trend",20,IF(BD248="Negative Trend",-10,0))</f>
        <v/>
      </c>
      <c r="BF248" s="31" t="inlineStr">
        <is>
          <t>Sideways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Overhead supply in last 2 years in last 2 years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Less than 1.5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More than 15%</t>
        </is>
      </c>
      <c r="CC248" s="31">
        <f>IF(CB248="More than 15%",-10,IF(CB248="Less than 15%",10,0))</f>
        <v/>
      </c>
      <c r="CD248" s="31" t="inlineStr">
        <is>
          <t>Yes Upto 10%</t>
        </is>
      </c>
      <c r="CE248" s="31">
        <f>IF(CD248="Yes, more than 10%",-10,IF(CD248="No",10,0))</f>
        <v/>
      </c>
    </row>
    <row r="249">
      <c r="A249" s="31">
        <f>IF(B249=0,"",RANK(B249,$B$2:$B$249,0))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HEG</t>
        </is>
      </c>
      <c r="D249" s="31" t="inlineStr">
        <is>
          <t>Heg Limited</t>
        </is>
      </c>
      <c r="E249" s="31" t="inlineStr">
        <is>
          <t>industrials</t>
        </is>
      </c>
      <c r="F249" s="31" t="inlineStr">
        <is>
          <t>electrodes - graphites</t>
        </is>
      </c>
      <c r="G249" s="31" t="inlineStr">
        <is>
          <t>midcap</t>
        </is>
      </c>
      <c r="H249" s="32" t="n">
        <v>8195.5</v>
      </c>
      <c r="I249" s="32" t="n">
        <v>248.5</v>
      </c>
      <c r="J249" s="32" t="n">
        <v>4.83</v>
      </c>
      <c r="K249" s="32" t="n">
        <v>14504912</v>
      </c>
      <c r="L249" s="31" t="inlineStr"/>
      <c r="M249" s="31" t="inlineStr"/>
      <c r="N249" s="32">
        <f>IF(M249="Underperforming",-5,IF(L249&gt;=95,15,IF(L249&gt;=90,10,IF(L249&gt;=80,5,0))))</f>
        <v/>
      </c>
      <c r="O249" s="32" t="inlineStr"/>
      <c r="P249" s="32" t="inlineStr"/>
      <c r="Q249" s="32" t="inlineStr"/>
      <c r="R249" s="31" t="inlineStr"/>
      <c r="S249" s="31" t="inlineStr"/>
      <c r="T249" s="32" t="inlineStr"/>
      <c r="U249" s="32" t="inlineStr"/>
      <c r="V249" s="32" t="inlineStr"/>
      <c r="W249" s="32" t="inlineStr"/>
      <c r="X249" s="31" t="n"/>
      <c r="Y249" s="31">
        <f>IF(X249="Growing Industry",10,IF(X249="Cyclical in an Upturn",5,0))</f>
        <v/>
      </c>
      <c r="Z249" s="31" t="n"/>
      <c r="AA249" s="31">
        <f>IF(Z249="Monopoly",10,IF(Z249="Oligopoly",5,IF(Z249="Duopoly that cooperate",10,IF(Z249="Duopoly that compete",5,IF(Z249="Too many players with High ROCE",5,0)))))</f>
        <v/>
      </c>
      <c r="AB249" s="31" t="n"/>
      <c r="AC249" s="31">
        <f>IF(AB249="No",5,0)</f>
        <v/>
      </c>
      <c r="AD249" s="31" t="n"/>
      <c r="AE249" s="31">
        <f>IF(AD249="Tailwind",10,0)</f>
        <v/>
      </c>
      <c r="AF249" s="31" t="n"/>
      <c r="AG249" s="31">
        <f>IF(AF249="Structural (10 Years Consistency)",10,IF(AF249="Shallow Cyclical (2 to 3 years growth)",5,0))</f>
        <v/>
      </c>
      <c r="AH249" s="31" t="n"/>
      <c r="AI249" s="31">
        <f>IF(AH249="Yes due to Product Mix change or Operating Leverage",10,IF(AH249="Yes, these are peak margins",-5,IF(AH249="No",5,0)))</f>
        <v/>
      </c>
      <c r="AJ249" s="31" t="n"/>
      <c r="AK249" s="31">
        <f>IF(AJ249="Stable",10,0)</f>
        <v/>
      </c>
      <c r="AL249" s="31" t="n"/>
      <c r="AM249" s="31">
        <f>IF(AL249="Yes",10,0)</f>
        <v/>
      </c>
      <c r="AN249" s="31" t="n"/>
      <c r="AO249" s="31">
        <f>IF(AN249="B2C",10,IF(AN249="B2B",5,0))</f>
        <v/>
      </c>
      <c r="AP249" s="31" t="n"/>
      <c r="AQ249" s="31">
        <f>IF(AP249="Yes",10,0)</f>
        <v/>
      </c>
      <c r="AR249" s="31" t="n"/>
      <c r="AS249" s="31">
        <f>IF(AR249="Fully Annuity",10,IF(AR249="Higher Annuity, Lower One Time",5,IF(AR249="Higher One Time, Lower Annuity",3,0)))</f>
        <v/>
      </c>
      <c r="AT249" s="31" t="n"/>
      <c r="AU249" s="31">
        <f>IF(AT249="Good",10,0)</f>
        <v/>
      </c>
      <c r="AV249" s="31" t="n"/>
      <c r="AW249" s="31">
        <f>IF(AV249="Yes for more than 2 years",10,IF(AV249="Yes only for next 1 to 2 years",5,0))</f>
        <v/>
      </c>
      <c r="AX249" s="31" t="n"/>
      <c r="AY249" s="31">
        <f>IF(AX249="Above 40",20,IF(AX249="20 to 40",10,IF(AX249="0 to 20",-5,0)))</f>
        <v/>
      </c>
      <c r="AZ249" s="31" t="n"/>
      <c r="BA249" s="31">
        <f>IF(AZ249="Between 50 to 75",10,IF(AZ249="Above 75",0,0))</f>
        <v/>
      </c>
      <c r="BB249" s="31" t="n"/>
      <c r="BC249" s="31">
        <f>IF(BB249="Stage 2",20,IF(BB249="Stage 1",0,IF(BB249="Stage 3",5,IF(BB249="Stage 4",-5,0))))</f>
        <v/>
      </c>
      <c r="BD249" s="31" t="n"/>
      <c r="BE249" s="31">
        <f>IF(BD249="Positive Trend",20,IF(BD249="Negative Trend",-10,0))</f>
        <v/>
      </c>
      <c r="BF249" s="31" t="n"/>
      <c r="BG249" s="31">
        <f>IF(BF249="Uptrend",10,IF(BF249="Sideways",5,0))</f>
        <v/>
      </c>
      <c r="BH249" s="31" t="n"/>
      <c r="BI249" s="31">
        <f>IF(BH249="Uptrend",10,IF(BH249="Sideways",5,0))</f>
        <v/>
      </c>
      <c r="BJ249" s="31" t="n"/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n"/>
      <c r="BM249" s="31">
        <f>IF(BL249="Yes",10,0)</f>
        <v/>
      </c>
      <c r="BN249" s="31" t="n"/>
      <c r="BO249" s="31">
        <f>IF(BN249="More than 20%",10,IF(BN249="Between 12 to 20%",5,IF(BN249="Less than 12%",0,0)))</f>
        <v/>
      </c>
      <c r="BP249" s="31" t="n"/>
      <c r="BQ249" s="31">
        <f>IF(BP249="No",10,0)</f>
        <v/>
      </c>
      <c r="BR249" s="31" t="n"/>
      <c r="BS249" s="31">
        <f>IF(BR249="NO",5,0)</f>
        <v/>
      </c>
      <c r="BT249" s="31" t="n"/>
      <c r="BU249" s="31">
        <f>IF(BT249="Above 2",0,IF(BT249="Between 1.5 to 2",5,IF(BT249="Less than 1.5",10,0)))</f>
        <v/>
      </c>
      <c r="BV249" s="31" t="n"/>
      <c r="BW249" s="31">
        <f>IF(BV249="Above 70%",10,IF(BV249="Between 50% to 70%",5,IF(BV249="Less than 50%",0,IF(BV249="Negative",-10,IF(BV249="Less than 50% and Borrowings are increasing",-5,0)))))</f>
        <v/>
      </c>
      <c r="BX249" s="31" t="n"/>
      <c r="BY249" s="31">
        <f>IF(BX249="More than 1.2",-10,IF(BX249="Between 0.7 to 1.2",0,IF(BX249="Less than 0.7",10,0)))</f>
        <v/>
      </c>
      <c r="BZ249" s="31" t="n"/>
      <c r="CA249" s="31">
        <f>IF(BZ249="Yes",-10,0)</f>
        <v/>
      </c>
      <c r="CB249" s="31" t="n"/>
      <c r="CC249" s="31">
        <f>IF(CB249="More than 15%",-10,IF(CB249="Less than 15%",10,0))</f>
        <v/>
      </c>
      <c r="CD249" s="31" t="n"/>
      <c r="CE249" s="31">
        <f>IF(CD249="Yes, more than 10%",-10,IF(CD249="No",10,0))</f>
        <v/>
      </c>
    </row>
  </sheetData>
  <autoFilter ref="A1:CE249"/>
  <conditionalFormatting sqref="B2:B24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4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4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4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4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4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4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4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4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4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4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4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4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4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4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4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4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4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4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4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4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4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4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4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4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4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4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4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4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24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24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49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249">
    <cfRule type="cellIs" priority="36" operator="equal" dxfId="3" stopIfTrue="1">
      <formula>"Underperforming"</formula>
    </cfRule>
  </conditionalFormatting>
  <conditionalFormatting sqref="N2:N249">
    <cfRule type="cellIs" priority="37" operator="equal" dxfId="3" stopIfTrue="1">
      <formula>-5</formula>
    </cfRule>
  </conditionalFormatting>
  <conditionalFormatting sqref="Q2:Q249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249" showDropDown="0" showInputMessage="0" showErrorMessage="0" allowBlank="1" type="list">
      <formula1>"Growing Industry,Stagnant Industry,Cyclical in an Upturn"</formula1>
    </dataValidation>
    <dataValidation sqref="Z2:Z249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249" showDropDown="0" showInputMessage="0" showErrorMessage="0" allowBlank="1" type="list">
      <formula1>"Yes,No"</formula1>
    </dataValidation>
    <dataValidation sqref="AD2:AD249" showDropDown="0" showInputMessage="0" showErrorMessage="0" allowBlank="1" type="list">
      <formula1>"Tailwind,Headwind"</formula1>
    </dataValidation>
    <dataValidation sqref="AF2:AF249" showDropDown="0" showInputMessage="0" showErrorMessage="0" allowBlank="1" type="list">
      <formula1>"Structural (10 Years Consistency),Shallow Cyclical (2 to 3 Years Growth),Cyclical"</formula1>
    </dataValidation>
    <dataValidation sqref="AH2:AH249" showDropDown="0" showInputMessage="0" showErrorMessage="0" allowBlank="1" type="list">
      <formula1>"Yes due to Product Mix change or Operating Leverage,Yes, these are peak margins,No"</formula1>
    </dataValidation>
    <dataValidation sqref="AJ2:AJ249" showDropDown="0" showInputMessage="0" showErrorMessage="0" allowBlank="1" type="list">
      <formula1>"Stable,Volatile"</formula1>
    </dataValidation>
    <dataValidation sqref="AL2:AL249" showDropDown="0" showInputMessage="0" showErrorMessage="0" allowBlank="1" type="list">
      <formula1>"Yes,No"</formula1>
    </dataValidation>
    <dataValidation sqref="AN2:AN249" showDropDown="0" showInputMessage="0" showErrorMessage="0" allowBlank="1" type="list">
      <formula1>"B2C,B2B,B2G"</formula1>
    </dataValidation>
    <dataValidation sqref="AP2:AP249" showDropDown="0" showInputMessage="0" showErrorMessage="0" allowBlank="1" type="list">
      <formula1>"Yes,No"</formula1>
    </dataValidation>
    <dataValidation sqref="AR2:AR249" showDropDown="0" showInputMessage="0" showErrorMessage="0" allowBlank="1" type="list">
      <formula1>"Fully Annuity,Higher Annuity, Lower One time,Higher One Time, Lower Annuity,Fully One Time"</formula1>
    </dataValidation>
    <dataValidation sqref="AT2:AT249" showDropDown="0" showInputMessage="0" showErrorMessage="0" allowBlank="1" type="list">
      <formula1>"Good,Allocated capital in Non-core Areas"</formula1>
    </dataValidation>
    <dataValidation sqref="AV2:AV249" showDropDown="0" showInputMessage="0" showErrorMessage="0" allowBlank="1" type="list">
      <formula1>"Yes for more than 2 years,Yes only for next 1 to 2 years,No"</formula1>
    </dataValidation>
    <dataValidation sqref="AX2:AX249" showDropDown="0" showInputMessage="0" showErrorMessage="0" allowBlank="1" type="list">
      <formula1>"Above 40,20 to 40,0 to 20"</formula1>
    </dataValidation>
    <dataValidation sqref="AZ2:AZ249" showDropDown="0" showInputMessage="0" showErrorMessage="0" allowBlank="1" type="list">
      <formula1>"Between 50 to 75,Above 75,Below 45"</formula1>
    </dataValidation>
    <dataValidation sqref="BB2:BB249" showDropDown="0" showInputMessage="0" showErrorMessage="0" allowBlank="1" type="list">
      <formula1>"Stage 1,Stage 2,Stage 3,Stage 4"</formula1>
    </dataValidation>
    <dataValidation sqref="BD2:BD249" showDropDown="0" showInputMessage="0" showErrorMessage="0" allowBlank="1" type="list">
      <formula1>"Positive Trend,Negative Trend"</formula1>
    </dataValidation>
    <dataValidation sqref="BF2:BF249" showDropDown="0" showInputMessage="0" showErrorMessage="0" allowBlank="1" type="list">
      <formula1>"Uptrend,Sideways,Downtrend"</formula1>
    </dataValidation>
    <dataValidation sqref="BH2:BH249" showDropDown="0" showInputMessage="0" showErrorMessage="0" allowBlank="1" type="list">
      <formula1>"Uptrend,Sideways,Downtrend"</formula1>
    </dataValidation>
    <dataValidation sqref="BJ2:BJ24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249" showDropDown="0" showInputMessage="0" showErrorMessage="0" allowBlank="1" type="list">
      <formula1>"Yes,No"</formula1>
    </dataValidation>
    <dataValidation sqref="BN2:BN249" showDropDown="0" showInputMessage="0" showErrorMessage="0" allowBlank="1" type="list">
      <formula1>"More than 20%,Between 12 to 20%,Less than 12%"</formula1>
    </dataValidation>
    <dataValidation sqref="BP2:BP249" showDropDown="0" showInputMessage="0" showErrorMessage="0" allowBlank="1" type="list">
      <formula1>"Yes,No"</formula1>
    </dataValidation>
    <dataValidation sqref="BR2:BR249" showDropDown="0" showInputMessage="0" showErrorMessage="0" allowBlank="1" type="list">
      <formula1>"Yes,No"</formula1>
    </dataValidation>
    <dataValidation sqref="BT2:BT249" showDropDown="0" showInputMessage="0" showErrorMessage="0" allowBlank="1" type="list">
      <formula1>"Above 2,Between 1.5 to 2,Less than 1.5"</formula1>
    </dataValidation>
    <dataValidation sqref="BV2:BV249" showDropDown="0" showInputMessage="0" showErrorMessage="0" allowBlank="1" type="list">
      <formula1>"Above 70%,Between 50% to 70%,Less than 50%,Less than 50% and Borrowings are increasing,Negative"</formula1>
    </dataValidation>
    <dataValidation sqref="BX2:BX249" showDropDown="0" showInputMessage="0" showErrorMessage="0" allowBlank="1" type="list">
      <formula1>"More than 1.2,Between 0.7 to 1.2,Less than 0.7"</formula1>
    </dataValidation>
    <dataValidation sqref="BZ2:BZ249" showDropDown="0" showInputMessage="0" showErrorMessage="0" allowBlank="1" type="list">
      <formula1>"Yes,No"</formula1>
    </dataValidation>
    <dataValidation sqref="CB2:CB249" showDropDown="0" showInputMessage="0" showErrorMessage="0" allowBlank="1" type="list">
      <formula1>"More than 15%,Less than 15%"</formula1>
    </dataValidation>
    <dataValidation sqref="CD2:CD249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1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IF(B2=0,"",RANK(B2,$B$2:$B$15,0))</f>
        <v/>
      </c>
      <c r="B2" s="32">
        <f>SUM(N2,Y2,AA2,AC2,AE2,AG2,AI2,AK2,AM2,AO2,AQ2,AS2,AU2,AW2,AY2,BA2,BC2,BE2,BG2,BI2,BK2,BM2,BO2,BQ2,BS2,BU2,BW2,BY2,CA2)</f>
        <v/>
      </c>
      <c r="C2" s="31" t="inlineStr">
        <is>
          <t>WELINV</t>
        </is>
      </c>
      <c r="D2" s="31" t="inlineStr">
        <is>
          <t>Welspun Investments And Commercials Limited</t>
        </is>
      </c>
      <c r="E2" s="31" t="inlineStr">
        <is>
          <t>financials</t>
        </is>
      </c>
      <c r="F2" s="31" t="inlineStr">
        <is>
          <t>finance &amp; investments</t>
        </is>
      </c>
      <c r="G2" s="31" t="inlineStr">
        <is>
          <t>smallcap</t>
        </is>
      </c>
      <c r="H2" s="32" t="n">
        <v>889.86</v>
      </c>
      <c r="I2" s="32" t="n">
        <v>2482</v>
      </c>
      <c r="J2" s="32" t="n">
        <v>1.93</v>
      </c>
      <c r="K2" s="32" t="n">
        <v>30</v>
      </c>
      <c r="L2" s="31" t="n">
        <v>76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83.81</v>
      </c>
      <c r="P2" s="32" t="n">
        <v>60.66</v>
      </c>
      <c r="Q2" s="32" t="n">
        <v>1998.84</v>
      </c>
      <c r="R2" s="31" t="inlineStr">
        <is>
          <t>Near 52W High Breakout</t>
        </is>
      </c>
      <c r="S2" s="31" t="inlineStr">
        <is>
          <t>Nifty Bank</t>
        </is>
      </c>
      <c r="T2" s="32" t="n">
        <v>-1.72</v>
      </c>
      <c r="U2" s="32" t="n">
        <v>142.15</v>
      </c>
      <c r="V2" s="32" t="n">
        <v>146.38</v>
      </c>
      <c r="W2" s="32" t="n">
        <v>28.4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Above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IF(B3=0,"",RANK(B3,$B$2:$B$15,0))</f>
        <v/>
      </c>
      <c r="B3" s="32">
        <f>SUM(N3,Y3,AA3,AC3,AE3,AG3,AI3,AK3,AM3,AO3,AQ3,AS3,AU3,AW3,AY3,BA3,BC3,BE3,BG3,BI3,BK3,BM3,BO3,BQ3,BS3,BU3,BW3,BY3,CA3)</f>
        <v/>
      </c>
      <c r="C3" s="31" t="inlineStr">
        <is>
          <t>SMCGLOBAL</t>
        </is>
      </c>
      <c r="D3" s="31" t="inlineStr">
        <is>
          <t>SMC Global Securities Ltd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1947</v>
      </c>
      <c r="I3" s="32" t="n">
        <v>94.48</v>
      </c>
      <c r="J3" s="32" t="n">
        <v>1.61</v>
      </c>
      <c r="K3" s="32" t="n">
        <v>6836896</v>
      </c>
      <c r="L3" s="31" t="n">
        <v>50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67.37</v>
      </c>
      <c r="P3" s="32" t="n">
        <v>33.37</v>
      </c>
      <c r="Q3" s="32" t="n">
        <v>70.20999999999999</v>
      </c>
      <c r="R3" s="31" t="inlineStr">
        <is>
          <t>Volume Spike &amp; Near 52W High Breakout</t>
        </is>
      </c>
      <c r="S3" s="31" t="inlineStr">
        <is>
          <t>Nifty Bank</t>
        </is>
      </c>
      <c r="T3" s="32" t="n">
        <v>-1.72</v>
      </c>
      <c r="U3" s="32" t="n">
        <v>36.94</v>
      </c>
      <c r="V3" s="32" t="n">
        <v>39.34</v>
      </c>
      <c r="W3" s="32" t="n">
        <v>16.9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IF(B4=0,"",RANK(B4,$B$2:$B$15,0))</f>
        <v/>
      </c>
      <c r="B4" s="32">
        <f>SUM(N4,Y4,AA4,AC4,AE4,AG4,AI4,AK4,AM4,AO4,AQ4,AS4,AU4,AW4,AY4,BA4,BC4,BE4,BG4,BI4,BK4,BM4,BO4,BQ4,BS4,BU4,BW4,BY4,CA4)</f>
        <v/>
      </c>
      <c r="C4" s="31" t="inlineStr">
        <is>
          <t>MANBA</t>
        </is>
      </c>
      <c r="D4" s="31" t="inlineStr">
        <is>
          <t>Manba Finance Ltd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smallcap</t>
        </is>
      </c>
      <c r="H4" s="32" t="n">
        <v>685.87</v>
      </c>
      <c r="I4" s="32" t="n">
        <v>136.84</v>
      </c>
      <c r="J4" s="32" t="n">
        <v>0.23</v>
      </c>
      <c r="K4" s="32" t="n">
        <v>93564</v>
      </c>
      <c r="L4" s="31" t="n">
        <v>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59.22</v>
      </c>
      <c r="P4" s="32" t="n">
        <v>38.39</v>
      </c>
      <c r="Q4" s="32" t="n">
        <v>110.92</v>
      </c>
      <c r="R4" s="31" t="inlineStr">
        <is>
          <t>Near 52W High Breakout</t>
        </is>
      </c>
      <c r="S4" s="31" t="inlineStr">
        <is>
          <t>Nifty Bank</t>
        </is>
      </c>
      <c r="T4" s="32" t="n">
        <v>-1.72</v>
      </c>
      <c r="U4" s="32" t="n">
        <v>1.66</v>
      </c>
      <c r="V4" s="32" t="n">
        <v>3.44</v>
      </c>
      <c r="W4" s="32" t="n">
        <v>1.69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IF(B5=0,"",RANK(B5,$B$2:$B$15,0))</f>
        <v/>
      </c>
      <c r="B5" s="32">
        <f>SUM(N5,Y5,AA5,AC5,AE5,AG5,AI5,AK5,AM5,AO5,AQ5,AS5,AU5,AW5,AY5,BA5,BC5,BE5,BG5,BI5,BK5,BM5,BO5,BQ5,BS5,BU5,BW5,BY5,CA5)</f>
        <v/>
      </c>
      <c r="C5" s="31" t="inlineStr">
        <is>
          <t>ESAFSFB</t>
        </is>
      </c>
      <c r="D5" s="31" t="inlineStr">
        <is>
          <t>ESAF Small Finance Bank Ltd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smallcap</t>
        </is>
      </c>
      <c r="H5" s="32" t="n">
        <v>2298.05</v>
      </c>
      <c r="I5" s="32" t="n">
        <v>44.52</v>
      </c>
      <c r="J5" s="32" t="n">
        <v>-0.04</v>
      </c>
      <c r="K5" s="32" t="n">
        <v>733692</v>
      </c>
      <c r="L5" s="31" t="n">
        <v>49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65.64</v>
      </c>
      <c r="P5" s="32" t="n">
        <v>38.84</v>
      </c>
      <c r="Q5" s="32" t="n">
        <v>33.32</v>
      </c>
      <c r="R5" s="31" t="inlineStr">
        <is>
          <t>Near 52W High Breakout</t>
        </is>
      </c>
      <c r="S5" s="31" t="inlineStr">
        <is>
          <t>Nifty Bank</t>
        </is>
      </c>
      <c r="T5" s="32" t="n">
        <v>-1.72</v>
      </c>
      <c r="U5" s="32" t="n">
        <v>48.8</v>
      </c>
      <c r="V5" s="32" t="n">
        <v>51.4</v>
      </c>
      <c r="W5" s="32" t="n">
        <v>16.67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IF(B6=0,"",RANK(B6,$B$2:$B$15,0))</f>
        <v/>
      </c>
      <c r="B6" s="32">
        <f>SUM(N6,Y6,AA6,AC6,AE6,AG6,AI6,AK6,AM6,AO6,AQ6,AS6,AU6,AW6,AY6,BA6,BC6,BE6,BG6,BI6,BK6,BM6,BO6,BQ6,BS6,BU6,BW6,BY6,CA6)</f>
        <v/>
      </c>
      <c r="C6" s="31" t="inlineStr">
        <is>
          <t>SHAREINDIA</t>
        </is>
      </c>
      <c r="D6" s="31" t="inlineStr">
        <is>
          <t>Share India Securities Ltd</t>
        </is>
      </c>
      <c r="E6" s="31" t="inlineStr">
        <is>
          <t>financials</t>
        </is>
      </c>
      <c r="F6" s="31" t="inlineStr">
        <is>
          <t>finance &amp; investments</t>
        </is>
      </c>
      <c r="G6" s="31" t="inlineStr">
        <is>
          <t>smallcap</t>
        </is>
      </c>
      <c r="H6" s="32" t="n">
        <v>4500.8</v>
      </c>
      <c r="I6" s="32" t="n">
        <v>205.01</v>
      </c>
      <c r="J6" s="32" t="n">
        <v>-0.33</v>
      </c>
      <c r="K6" s="32" t="n">
        <v>703869</v>
      </c>
      <c r="L6" s="31" t="n">
        <v>60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62.58</v>
      </c>
      <c r="P6" s="32" t="n">
        <v>41.12</v>
      </c>
      <c r="Q6" s="32" t="n">
        <v>172.54</v>
      </c>
      <c r="R6" s="31" t="inlineStr">
        <is>
          <t>Earnings / Momentum Support</t>
        </is>
      </c>
      <c r="S6" s="31" t="inlineStr">
        <is>
          <t>Nifty Bank</t>
        </is>
      </c>
      <c r="T6" s="32" t="n">
        <v>-1.72</v>
      </c>
      <c r="U6" s="32" t="n">
        <v>49.04</v>
      </c>
      <c r="V6" s="32" t="n">
        <v>51.65</v>
      </c>
      <c r="W6" s="32" t="n">
        <v>20.43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No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IF(B7=0,"",RANK(B7,$B$2:$B$15,0))</f>
        <v/>
      </c>
      <c r="B7" s="32">
        <f>SUM(N7,Y7,AA7,AC7,AE7,AG7,AI7,AK7,AM7,AO7,AQ7,AS7,AU7,AW7,AY7,BA7,BC7,BE7,BG7,BI7,BK7,BM7,BO7,BQ7,BS7,BU7,BW7,BY7,CA7)</f>
        <v/>
      </c>
      <c r="C7" s="31" t="inlineStr">
        <is>
          <t>SATIN</t>
        </is>
      </c>
      <c r="D7" s="31" t="inlineStr">
        <is>
          <t>Satin Creditcare Network Limited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smallcap</t>
        </is>
      </c>
      <c r="H7" s="32" t="n">
        <v>2625.78</v>
      </c>
      <c r="I7" s="32" t="n">
        <v>232.2</v>
      </c>
      <c r="J7" s="32" t="n">
        <v>-2.31</v>
      </c>
      <c r="K7" s="32" t="n">
        <v>386106</v>
      </c>
      <c r="L7" s="31" t="n">
        <v>35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57.33</v>
      </c>
      <c r="P7" s="32" t="n">
        <v>42.98</v>
      </c>
      <c r="Q7" s="32" t="n">
        <v>216.14</v>
      </c>
      <c r="R7" s="31" t="inlineStr">
        <is>
          <t>Earnings / Momentum Support</t>
        </is>
      </c>
      <c r="S7" s="31" t="inlineStr">
        <is>
          <t>Nifty Bank</t>
        </is>
      </c>
      <c r="T7" s="32" t="n">
        <v>-1.72</v>
      </c>
      <c r="U7" s="32" t="n">
        <v>53.14</v>
      </c>
      <c r="V7" s="32" t="n">
        <v>55.82</v>
      </c>
      <c r="W7" s="32" t="n">
        <v>10.66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No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IF(B8=0,"",RANK(B8,$B$2:$B$15,0))</f>
        <v/>
      </c>
      <c r="B8" s="32">
        <f>SUM(N8,Y8,AA8,AC8,AE8,AG8,AI8,AK8,AM8,AO8,AQ8,AS8,AU8,AW8,AY8,BA8,BC8,BE8,BG8,BI8,BK8,BM8,BO8,BQ8,BS8,BU8,BW8,BY8,CA8)</f>
        <v/>
      </c>
      <c r="C8" s="31" t="inlineStr">
        <is>
          <t>EDELWEISS</t>
        </is>
      </c>
      <c r="D8" s="31" t="inlineStr">
        <is>
          <t>Edelweiss Financial Services Limited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midcap</t>
        </is>
      </c>
      <c r="H8" s="32" t="n">
        <v>13040.37</v>
      </c>
      <c r="I8" s="32" t="n">
        <v>142.73</v>
      </c>
      <c r="J8" s="32" t="n">
        <v>3.6</v>
      </c>
      <c r="K8" s="32" t="n">
        <v>10840581</v>
      </c>
      <c r="L8" s="31" t="n">
        <v>28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68.3</v>
      </c>
      <c r="P8" s="32" t="n">
        <v>22.15</v>
      </c>
      <c r="Q8" s="32" t="n">
        <v>110.19</v>
      </c>
      <c r="R8" s="31" t="inlineStr">
        <is>
          <t>Near 52W High Breakout</t>
        </is>
      </c>
      <c r="S8" s="31" t="inlineStr">
        <is>
          <t>Nifty Bank</t>
        </is>
      </c>
      <c r="T8" s="32" t="n">
        <v>-1.72</v>
      </c>
      <c r="U8" s="32" t="n">
        <v>29.54</v>
      </c>
      <c r="V8" s="32" t="n">
        <v>31.81</v>
      </c>
      <c r="W8" s="32" t="n">
        <v>8.949999999999999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between 2.5x to 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IF(B9=0,"",RANK(B9,$B$2:$B$15,0))</f>
        <v/>
      </c>
      <c r="B9" s="32">
        <f>SUM(N9,Y9,AA9,AC9,AE9,AG9,AI9,AK9,AM9,AO9,AQ9,AS9,AU9,AW9,AY9,BA9,BC9,BE9,BG9,BI9,BK9,BM9,BO9,BQ9,BS9,BU9,BW9,BY9,CA9)</f>
        <v/>
      </c>
      <c r="C9" s="31" t="inlineStr">
        <is>
          <t>SOUTHBANK</t>
        </is>
      </c>
      <c r="D9" s="31" t="inlineStr">
        <is>
          <t>The South Indian Bank Limited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midcap</t>
        </is>
      </c>
      <c r="H9" s="32" t="n">
        <v>12752.6</v>
      </c>
      <c r="I9" s="32" t="n">
        <v>48.24</v>
      </c>
      <c r="J9" s="32" t="n">
        <v>-0.96</v>
      </c>
      <c r="K9" s="32" t="n">
        <v>15754423</v>
      </c>
      <c r="L9" s="31" t="n">
        <v>39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60.98</v>
      </c>
      <c r="P9" s="32" t="n">
        <v>38.09</v>
      </c>
      <c r="Q9" s="32" t="n">
        <v>40.51</v>
      </c>
      <c r="R9" s="31" t="inlineStr">
        <is>
          <t>Near 52W High Breakout</t>
        </is>
      </c>
      <c r="S9" s="31" t="inlineStr">
        <is>
          <t>Nifty Bank</t>
        </is>
      </c>
      <c r="T9" s="32" t="n">
        <v>-1.72</v>
      </c>
      <c r="U9" s="32" t="n">
        <v>63.58</v>
      </c>
      <c r="V9" s="32" t="n">
        <v>66.44</v>
      </c>
      <c r="W9" s="32" t="n">
        <v>12.32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less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IF(B10=0,"",RANK(B10,$B$2:$B$15,0))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CAPITALSFB</t>
        </is>
      </c>
      <c r="D10" s="31" t="inlineStr">
        <is>
          <t>Capital Small Finance Bank Ltd</t>
        </is>
      </c>
      <c r="E10" s="31" t="inlineStr">
        <is>
          <t>bank</t>
        </is>
      </c>
      <c r="F10" s="31" t="inlineStr">
        <is>
          <t>banks - private sector</t>
        </is>
      </c>
      <c r="G10" s="31" t="inlineStr">
        <is>
          <t>smallcap</t>
        </is>
      </c>
      <c r="H10" s="32" t="n">
        <v>1271.43</v>
      </c>
      <c r="I10" s="32" t="n">
        <v>288.6</v>
      </c>
      <c r="J10" s="32" t="n">
        <v>3.2</v>
      </c>
      <c r="K10" s="32" t="n">
        <v>137229</v>
      </c>
      <c r="L10" s="31" t="n">
        <v>4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55.47</v>
      </c>
      <c r="P10" s="32" t="n">
        <v>22.15</v>
      </c>
      <c r="Q10" s="32" t="n">
        <v>252.4</v>
      </c>
      <c r="R10" s="31" t="inlineStr">
        <is>
          <t>Volume Spike / Accumulation</t>
        </is>
      </c>
      <c r="S10" s="31" t="inlineStr">
        <is>
          <t>Nifty Bank</t>
        </is>
      </c>
      <c r="T10" s="32" t="n">
        <v>-1.72</v>
      </c>
      <c r="U10" s="32" t="n">
        <v>2.56</v>
      </c>
      <c r="V10" s="32" t="n">
        <v>4.35</v>
      </c>
      <c r="W10" s="32" t="n">
        <v>1.02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1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IF(B11=0,"",RANK(B11,$B$2:$B$15,0))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GCSL</t>
        </is>
      </c>
      <c r="D11" s="31" t="inlineStr">
        <is>
          <t>Gretex Corporate Services Ltd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smallcap</t>
        </is>
      </c>
      <c r="H11" s="32" t="n">
        <v>1665.98</v>
      </c>
      <c r="I11" s="32" t="n">
        <v>675.85</v>
      </c>
      <c r="J11" s="32" t="n">
        <v>1.44</v>
      </c>
      <c r="K11" s="32" t="n">
        <v>247015</v>
      </c>
      <c r="L11" s="31" t="n">
        <v>82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80.23999999999999</v>
      </c>
      <c r="P11" s="32" t="n">
        <v>34.67</v>
      </c>
      <c r="Q11" s="32" t="n">
        <v>543.22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-1.72</v>
      </c>
      <c r="U11" s="32" t="n">
        <v>173.94</v>
      </c>
      <c r="V11" s="32" t="n">
        <v>178.74</v>
      </c>
      <c r="W11" s="32" t="n">
        <v>31.7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above 5x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Above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IF(B12=0,"",RANK(B12,$B$2:$B$15,0))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PRIMESECU</t>
        </is>
      </c>
      <c r="D12" s="31" t="inlineStr">
        <is>
          <t>Prime Securities Limited</t>
        </is>
      </c>
      <c r="E12" s="31" t="inlineStr">
        <is>
          <t>financials</t>
        </is>
      </c>
      <c r="F12" s="31" t="inlineStr">
        <is>
          <t>finance &amp; investments</t>
        </is>
      </c>
      <c r="G12" s="31" t="inlineStr">
        <is>
          <t>smallcap</t>
        </is>
      </c>
      <c r="H12" s="32" t="n">
        <v>1026.69</v>
      </c>
      <c r="I12" s="32" t="n">
        <v>298.45</v>
      </c>
      <c r="J12" s="32" t="n">
        <v>-1.34</v>
      </c>
      <c r="K12" s="32" t="n">
        <v>5435</v>
      </c>
      <c r="L12" s="31" t="n">
        <v>7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56.08</v>
      </c>
      <c r="P12" s="32" t="n">
        <v>34.2</v>
      </c>
      <c r="Q12" s="32" t="n">
        <v>239.11</v>
      </c>
      <c r="R12" s="31" t="inlineStr">
        <is>
          <t>Earnings / Momentum Support</t>
        </is>
      </c>
      <c r="S12" s="31" t="inlineStr">
        <is>
          <t>Nifty Bank</t>
        </is>
      </c>
      <c r="T12" s="32" t="n">
        <v>-1.72</v>
      </c>
      <c r="U12" s="32" t="n">
        <v>7.55</v>
      </c>
      <c r="V12" s="32" t="n">
        <v>9.43</v>
      </c>
      <c r="W12" s="32" t="n">
        <v>2.26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No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between 2.5x to 5x and Growth less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IF(B13=0,"",RANK(B13,$B$2:$B$15,0))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TFCILTD</t>
        </is>
      </c>
      <c r="D13" s="31" t="inlineStr">
        <is>
          <t>Tourism Finance Corporation Of India Limited</t>
        </is>
      </c>
      <c r="E13" s="31" t="inlineStr">
        <is>
          <t>financials</t>
        </is>
      </c>
      <c r="F13" s="31" t="inlineStr">
        <is>
          <t>finance - term-lending institutions</t>
        </is>
      </c>
      <c r="G13" s="31" t="inlineStr">
        <is>
          <t>midcap</t>
        </is>
      </c>
      <c r="H13" s="32" t="n">
        <v>6431.68</v>
      </c>
      <c r="I13" s="32" t="n">
        <v>141.91</v>
      </c>
      <c r="J13" s="32" t="n">
        <v>2.15</v>
      </c>
      <c r="K13" s="32" t="n">
        <v>31904742</v>
      </c>
      <c r="L13" s="31" t="n">
        <v>85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81.13</v>
      </c>
      <c r="P13" s="32" t="n">
        <v>72.3</v>
      </c>
      <c r="Q13" s="32" t="n">
        <v>114.3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-1.72</v>
      </c>
      <c r="U13" s="32" t="n">
        <v>92.88</v>
      </c>
      <c r="V13" s="32" t="n">
        <v>96.25</v>
      </c>
      <c r="W13" s="32" t="n">
        <v>34.87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above 5x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Above 40</t>
        </is>
      </c>
      <c r="BM13" s="31">
        <f>IF(BL13="Above 40",20,IF(BL13="20 to 40",10,IF(BL13="0 to 20",-5,0)))</f>
        <v/>
      </c>
      <c r="BN13" s="31" t="inlineStr">
        <is>
          <t>Above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Negative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IF(B14=0,"",RANK(B14,$B$2:$B$15,0))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IIFLCAPS</t>
        </is>
      </c>
      <c r="D14" s="31" t="inlineStr">
        <is>
          <t>IIFL Capital Services Ltd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midcap</t>
        </is>
      </c>
      <c r="H14" s="32" t="n">
        <v>10812.48</v>
      </c>
      <c r="I14" s="32" t="n">
        <v>346</v>
      </c>
      <c r="J14" s="32" t="n">
        <v>0.3</v>
      </c>
      <c r="K14" s="32" t="n">
        <v>1333723</v>
      </c>
      <c r="L14" s="31" t="n">
        <v>17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57.92</v>
      </c>
      <c r="P14" s="32" t="n">
        <v>19.12</v>
      </c>
      <c r="Q14" s="32" t="n">
        <v>304.2</v>
      </c>
      <c r="R14" s="31" t="inlineStr">
        <is>
          <t>Earnings / Momentum Support</t>
        </is>
      </c>
      <c r="S14" s="31" t="inlineStr">
        <is>
          <t>Nifty Bank</t>
        </is>
      </c>
      <c r="T14" s="32" t="n">
        <v>-1.72</v>
      </c>
      <c r="U14" s="32" t="n">
        <v>18.52</v>
      </c>
      <c r="V14" s="32" t="n">
        <v>20.6</v>
      </c>
      <c r="W14" s="32" t="n">
        <v>6.34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No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between 2.5x to 5x and Growth less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0 to 20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IF(B15=0,"",RANK(B15,$B$2:$B$15,0))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KOTAKBANK</t>
        </is>
      </c>
      <c r="D15" s="31" t="inlineStr">
        <is>
          <t>Kotak Mahindra Bank Limited</t>
        </is>
      </c>
      <c r="E15" s="31" t="inlineStr">
        <is>
          <t>bank</t>
        </is>
      </c>
      <c r="F15" s="31" t="inlineStr">
        <is>
          <t>banks - private sector</t>
        </is>
      </c>
      <c r="G15" s="31" t="inlineStr">
        <is>
          <t>largecap</t>
        </is>
      </c>
      <c r="H15" s="32" t="n">
        <v>403836.39</v>
      </c>
      <c r="I15" s="32" t="n">
        <v>417</v>
      </c>
      <c r="J15" s="32" t="n">
        <v>2.71</v>
      </c>
      <c r="K15" s="32" t="n">
        <v>32537029</v>
      </c>
      <c r="L15" s="31" t="n">
        <v>6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57.06</v>
      </c>
      <c r="P15" s="32" t="n">
        <v>11.47</v>
      </c>
      <c r="Q15" s="32" t="n">
        <v>371.52</v>
      </c>
      <c r="R15" s="31" t="inlineStr">
        <is>
          <t>Earnings / Momentum Support</t>
        </is>
      </c>
      <c r="S15" s="31" t="inlineStr">
        <is>
          <t>Nifty Bank</t>
        </is>
      </c>
      <c r="T15" s="32" t="n">
        <v>-1.72</v>
      </c>
      <c r="U15" s="32" t="n">
        <v>-0.57</v>
      </c>
      <c r="V15" s="32" t="n">
        <v>1.17</v>
      </c>
      <c r="W15" s="32" t="n">
        <v>1.49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No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0 to 20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Negative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</sheetData>
  <autoFilter ref="A1:CA15"/>
  <conditionalFormatting sqref="B2:B1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5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15">
    <cfRule type="cellIs" priority="34" operator="equal" dxfId="3" stopIfTrue="1">
      <formula>"Underperforming"</formula>
    </cfRule>
  </conditionalFormatting>
  <conditionalFormatting sqref="N2:N15">
    <cfRule type="cellIs" priority="35" operator="equal" dxfId="3" stopIfTrue="1">
      <formula>-5</formula>
    </cfRule>
  </conditionalFormatting>
  <conditionalFormatting sqref="Q2:Q15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15" showDropDown="0" showInputMessage="0" showErrorMessage="0" allowBlank="1" type="list">
      <formula1>"Growing Industry,Stagnant Industry,Cyclical in an Upturn"</formula1>
    </dataValidation>
    <dataValidation sqref="Z2:Z15" showDropDown="0" showInputMessage="0" showErrorMessage="0" allowBlank="1" type="list">
      <formula1>"Fragmented with Low ROE,Fragmented with High ROE,Highly Cyclical"</formula1>
    </dataValidation>
    <dataValidation sqref="AB2:AB15" showDropDown="0" showInputMessage="0" showErrorMessage="0" allowBlank="1" type="list">
      <formula1>"Yes,No"</formula1>
    </dataValidation>
    <dataValidation sqref="AD2:AD15" showDropDown="0" showInputMessage="0" showErrorMessage="0" allowBlank="1" type="list">
      <formula1>"Tailwind,Headwind"</formula1>
    </dataValidation>
    <dataValidation sqref="AF2:AF1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5" showDropDown="0" showInputMessage="0" showErrorMessage="0" allowBlank="1" type="list">
      <formula1>"Yes,No"</formula1>
    </dataValidation>
    <dataValidation sqref="AJ2:AJ15" showDropDown="0" showInputMessage="0" showErrorMessage="0" allowBlank="1" type="list">
      <formula1>"Yes,No,Not Applicable"</formula1>
    </dataValidation>
    <dataValidation sqref="AL2:AL15" showDropDown="0" showInputMessage="0" showErrorMessage="0" allowBlank="1" type="list">
      <formula1>"Yes,No"</formula1>
    </dataValidation>
    <dataValidation sqref="AN2:AN15" showDropDown="0" showInputMessage="0" showErrorMessage="0" allowBlank="1" type="list">
      <formula1>"Yes,No"</formula1>
    </dataValidation>
    <dataValidation sqref="AP2:AP15" showDropDown="0" showInputMessage="0" showErrorMessage="0" allowBlank="1" type="list">
      <formula1>"Yes,No"</formula1>
    </dataValidation>
    <dataValidation sqref="AR2:AR15" showDropDown="0" showInputMessage="0" showErrorMessage="0" allowBlank="1" type="list">
      <formula1>"Yes,No"</formula1>
    </dataValidation>
    <dataValidation sqref="AT2:AT15" showDropDown="0" showInputMessage="0" showErrorMessage="0" allowBlank="1" type="list">
      <formula1>"No,Yes"</formula1>
    </dataValidation>
    <dataValidation sqref="AV2:AV15" showDropDown="0" showInputMessage="0" showErrorMessage="0" allowBlank="1" type="list">
      <formula1>"No,Yes"</formula1>
    </dataValidation>
    <dataValidation sqref="AX2:AX15" showDropDown="0" showInputMessage="0" showErrorMessage="0" allowBlank="1" type="list">
      <formula1>"No,Yes CEO Resignation,Yes CEO Retirement"</formula1>
    </dataValidation>
    <dataValidation sqref="AZ2:AZ15" showDropDown="0" showInputMessage="0" showErrorMessage="0" allowBlank="1" type="list">
      <formula1>"No,Yes"</formula1>
    </dataValidation>
    <dataValidation sqref="BB2:BB15" showDropDown="0" showInputMessage="0" showErrorMessage="0" allowBlank="1" type="list">
      <formula1>"No,Yes"</formula1>
    </dataValidation>
    <dataValidation sqref="BD2:BD15" showDropDown="0" showInputMessage="0" showErrorMessage="0" allowBlank="1" type="list">
      <formula1>"Yes,No"</formula1>
    </dataValidation>
    <dataValidation sqref="BF2:BF15" showDropDown="0" showInputMessage="0" showErrorMessage="0" allowBlank="1" type="list">
      <formula1>"Yes,No"</formula1>
    </dataValidation>
    <dataValidation sqref="BH2:BH15" showDropDown="0" showInputMessage="0" showErrorMessage="0" allowBlank="1" type="list">
      <formula1>"Yes,No"</formula1>
    </dataValidation>
    <dataValidation sqref="BJ2:BJ1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5" showDropDown="0" showInputMessage="0" showErrorMessage="0" allowBlank="1" type="list">
      <formula1>"Above 40,20 to 40,0 to 20"</formula1>
    </dataValidation>
    <dataValidation sqref="BN2:BN15" showDropDown="0" showInputMessage="0" showErrorMessage="0" allowBlank="1" type="list">
      <formula1>"Between 50 to 75,Above 75,Below 45"</formula1>
    </dataValidation>
    <dataValidation sqref="BP2:BP15" showDropDown="0" showInputMessage="0" showErrorMessage="0" allowBlank="1" type="list">
      <formula1>"Stage 1,Stage 2,Stage 3,Stage 4"</formula1>
    </dataValidation>
    <dataValidation sqref="BR2:BR15" showDropDown="0" showInputMessage="0" showErrorMessage="0" allowBlank="1" type="list">
      <formula1>"Positive Trend,Negative Trend"</formula1>
    </dataValidation>
    <dataValidation sqref="BT2:BT15" showDropDown="0" showInputMessage="0" showErrorMessage="0" allowBlank="1" type="list">
      <formula1>"Uptrend,Sideways,Downtrend"</formula1>
    </dataValidation>
    <dataValidation sqref="BV2:BV15" showDropDown="0" showInputMessage="0" showErrorMessage="0" allowBlank="1" type="list">
      <formula1>"Uptrend,Sideways,Downtrend"</formula1>
    </dataValidation>
    <dataValidation sqref="BX2:BX1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3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IF(B2=0,"",RANK(B2,$B$2:$B$23,0))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140</v>
      </c>
      <c r="E2" s="32" t="inlineStr">
        <is>
          <t>5%</t>
        </is>
      </c>
      <c r="F2" s="32" t="n">
        <v>50000</v>
      </c>
      <c r="G2" s="32" t="n">
        <v>266</v>
      </c>
      <c r="H2" s="31" t="inlineStr">
        <is>
          <t>OCCLLTD</t>
        </is>
      </c>
      <c r="I2" s="31" t="inlineStr">
        <is>
          <t>OCCL Ltd</t>
        </is>
      </c>
      <c r="J2" s="31" t="inlineStr">
        <is>
          <t>chemicals</t>
        </is>
      </c>
      <c r="K2" s="31" t="inlineStr">
        <is>
          <t>chemicals</t>
        </is>
      </c>
      <c r="L2" s="31" t="inlineStr">
        <is>
          <t>smallcap</t>
        </is>
      </c>
      <c r="M2" s="32" t="n">
        <v>891.72</v>
      </c>
      <c r="N2" s="32" t="n">
        <v>187.44</v>
      </c>
      <c r="O2" s="32" t="n">
        <v>5</v>
      </c>
      <c r="P2" s="32" t="n">
        <v>146245</v>
      </c>
      <c r="Q2" s="31" t="n">
        <v>64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75.5</v>
      </c>
      <c r="U2" s="32" t="n">
        <v>48.08</v>
      </c>
      <c r="V2" s="32" t="n">
        <v>141.71</v>
      </c>
      <c r="W2" s="31" t="inlineStr">
        <is>
          <t>Near 52W High Breakout</t>
        </is>
      </c>
      <c r="X2" s="31" t="inlineStr">
        <is>
          <t>Nifty 50</t>
        </is>
      </c>
      <c r="Y2" s="32" t="n">
        <v>-9.130000000000001</v>
      </c>
      <c r="Z2" s="32" t="n">
        <v>47.04</v>
      </c>
      <c r="AA2" s="32" t="n">
        <v>61.82</v>
      </c>
      <c r="AB2" s="32" t="n">
        <v>21.96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Above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IF(B3=0,"",RANK(B3,$B$2:$B$23,0))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138.6</v>
      </c>
      <c r="E3" s="32" t="inlineStr">
        <is>
          <t>5%</t>
        </is>
      </c>
      <c r="F3" s="32" t="n">
        <v>50000</v>
      </c>
      <c r="G3" s="32" t="n">
        <v>122</v>
      </c>
      <c r="H3" s="31" t="inlineStr">
        <is>
          <t>SSWL</t>
        </is>
      </c>
      <c r="I3" s="31" t="inlineStr">
        <is>
          <t>Steel Strips Wheels Limited</t>
        </is>
      </c>
      <c r="J3" s="31" t="inlineStr">
        <is>
          <t>auto</t>
        </is>
      </c>
      <c r="K3" s="31" t="inlineStr">
        <is>
          <t>auto ancillaries</t>
        </is>
      </c>
      <c r="L3" s="31" t="inlineStr">
        <is>
          <t>midcap</t>
        </is>
      </c>
      <c r="M3" s="32" t="n">
        <v>6297.43</v>
      </c>
      <c r="N3" s="32" t="n">
        <v>408.1</v>
      </c>
      <c r="O3" s="32" t="n">
        <v>1.86</v>
      </c>
      <c r="P3" s="32" t="n">
        <v>1299841</v>
      </c>
      <c r="Q3" s="31" t="inlineStr"/>
      <c r="R3" s="31" t="inlineStr"/>
      <c r="S3" s="32">
        <f>IF(R3="Underperforming",-5,IF(Q3&gt;=95,15,IF(Q3&gt;=90,10,IF(Q3&gt;=80,5,0))))</f>
        <v/>
      </c>
      <c r="T3" s="32" t="n">
        <v>83.41</v>
      </c>
      <c r="U3" s="32" t="n">
        <v>48.05</v>
      </c>
      <c r="V3" s="32" t="n">
        <v>323.34</v>
      </c>
      <c r="W3" s="31" t="inlineStr">
        <is>
          <t>Near 52W High Breakout</t>
        </is>
      </c>
      <c r="X3" s="31" t="inlineStr">
        <is>
          <t>Nifty Auto</t>
        </is>
      </c>
      <c r="Y3" s="32" t="inlineStr"/>
      <c r="Z3" s="32" t="inlineStr"/>
      <c r="AA3" s="32" t="inlineStr"/>
      <c r="AB3" s="32" t="inlineStr"/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IF(B4=0,"",RANK(B4,$B$2:$B$23,0))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138.3</v>
      </c>
      <c r="E4" s="32" t="inlineStr">
        <is>
          <t>5%</t>
        </is>
      </c>
      <c r="F4" s="32" t="n">
        <v>50000</v>
      </c>
      <c r="G4" s="32" t="n">
        <v>123</v>
      </c>
      <c r="H4" s="31" t="inlineStr">
        <is>
          <t>BHAGERIA</t>
        </is>
      </c>
      <c r="I4" s="31" t="inlineStr">
        <is>
          <t>Bhageria Industries Limited</t>
        </is>
      </c>
      <c r="J4" s="31" t="inlineStr">
        <is>
          <t>chemicals</t>
        </is>
      </c>
      <c r="K4" s="31" t="inlineStr">
        <is>
          <t>dyes and pigments</t>
        </is>
      </c>
      <c r="L4" s="31" t="inlineStr">
        <is>
          <t>smallcap</t>
        </is>
      </c>
      <c r="M4" s="32" t="n">
        <v>1649.1</v>
      </c>
      <c r="N4" s="32" t="n">
        <v>406.45</v>
      </c>
      <c r="O4" s="32" t="n">
        <v>7.57</v>
      </c>
      <c r="P4" s="32" t="n">
        <v>364825</v>
      </c>
      <c r="Q4" s="31" t="n">
        <v>92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84.22</v>
      </c>
      <c r="U4" s="32" t="n">
        <v>43.19</v>
      </c>
      <c r="V4" s="32" t="n">
        <v>313.71</v>
      </c>
      <c r="W4" s="31" t="inlineStr">
        <is>
          <t>Near 52W High Breakout</t>
        </is>
      </c>
      <c r="X4" s="31" t="inlineStr">
        <is>
          <t>Nifty 50</t>
        </is>
      </c>
      <c r="Y4" s="32" t="n">
        <v>-9.130000000000001</v>
      </c>
      <c r="Z4" s="32" t="n">
        <v>132.06</v>
      </c>
      <c r="AA4" s="32" t="n">
        <v>155.39</v>
      </c>
      <c r="AB4" s="32" t="n">
        <v>41.33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Above 2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IF(B5=0,"",RANK(B5,$B$2:$B$23,0))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138.4</v>
      </c>
      <c r="E5" s="32" t="inlineStr">
        <is>
          <t>5%</t>
        </is>
      </c>
      <c r="F5" s="32" t="n">
        <v>50000</v>
      </c>
      <c r="G5" s="32" t="n">
        <v>396</v>
      </c>
      <c r="H5" s="31" t="inlineStr">
        <is>
          <t>MOREPENLAB</t>
        </is>
      </c>
      <c r="I5" s="31" t="inlineStr">
        <is>
          <t>Morepen Laboratories Limited</t>
        </is>
      </c>
      <c r="J5" s="31" t="inlineStr">
        <is>
          <t>healthcare</t>
        </is>
      </c>
      <c r="K5" s="31" t="inlineStr">
        <is>
          <t>pharmaceuticals - indian - bulk drugs &amp; formln</t>
        </is>
      </c>
      <c r="L5" s="31" t="inlineStr">
        <is>
          <t>midcap</t>
        </is>
      </c>
      <c r="M5" s="32" t="n">
        <v>6509.69</v>
      </c>
      <c r="N5" s="32" t="n">
        <v>125.99</v>
      </c>
      <c r="O5" s="32" t="n">
        <v>6.05</v>
      </c>
      <c r="P5" s="32" t="n">
        <v>26169666</v>
      </c>
      <c r="Q5" s="31" t="n">
        <v>96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88.97</v>
      </c>
      <c r="U5" s="32" t="n">
        <v>56.52</v>
      </c>
      <c r="V5" s="32" t="n">
        <v>94.54000000000001</v>
      </c>
      <c r="W5" s="31" t="inlineStr">
        <is>
          <t>Near 52W High Breakout</t>
        </is>
      </c>
      <c r="X5" s="31" t="inlineStr">
        <is>
          <t>Nifty Pharma</t>
        </is>
      </c>
      <c r="Y5" s="32" t="n">
        <v>21.52</v>
      </c>
      <c r="Z5" s="32" t="n">
        <v>156.35</v>
      </c>
      <c r="AA5" s="32" t="n">
        <v>110.95</v>
      </c>
      <c r="AB5" s="32" t="n">
        <v>51.77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Yes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Annuity, Lower One Time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Above 2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IF(B6=0,"",RANK(B6,$B$2:$B$23,0))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139.6</v>
      </c>
      <c r="E6" s="32" t="inlineStr">
        <is>
          <t>5%</t>
        </is>
      </c>
      <c r="F6" s="32" t="n">
        <v>50000</v>
      </c>
      <c r="G6" s="32" t="n">
        <v>222</v>
      </c>
      <c r="H6" s="31" t="inlineStr">
        <is>
          <t>LOTUSDEV</t>
        </is>
      </c>
      <c r="I6" s="31" t="inlineStr">
        <is>
          <t>Sri Lotus Developers &amp; Realty Ltd</t>
        </is>
      </c>
      <c r="J6" s="31" t="inlineStr">
        <is>
          <t>realty</t>
        </is>
      </c>
      <c r="K6" s="31" t="inlineStr">
        <is>
          <t>construction</t>
        </is>
      </c>
      <c r="L6" s="31" t="inlineStr">
        <is>
          <t>midcap</t>
        </is>
      </c>
      <c r="M6" s="32" t="n">
        <v>10466.02</v>
      </c>
      <c r="N6" s="32" t="n">
        <v>224.53</v>
      </c>
      <c r="O6" s="32" t="n">
        <v>4.85</v>
      </c>
      <c r="P6" s="32" t="n">
        <v>1330015</v>
      </c>
      <c r="Q6" s="31" t="inlineStr"/>
      <c r="R6" s="31" t="inlineStr"/>
      <c r="S6" s="32">
        <f>IF(R6="Underperforming",-5,IF(Q6&gt;=95,15,IF(Q6&gt;=90,10,IF(Q6&gt;=80,5,0))))</f>
        <v/>
      </c>
      <c r="T6" s="32" t="n">
        <v>69.31999999999999</v>
      </c>
      <c r="U6" s="32" t="n">
        <v>28.67</v>
      </c>
      <c r="V6" s="32" t="n">
        <v>171.47</v>
      </c>
      <c r="W6" s="31" t="inlineStr">
        <is>
          <t>Near 52W High Breakout</t>
        </is>
      </c>
      <c r="X6" s="31" t="inlineStr">
        <is>
          <t>Nifty Realty</t>
        </is>
      </c>
      <c r="Y6" s="32" t="inlineStr"/>
      <c r="Z6" s="32" t="inlineStr"/>
      <c r="AA6" s="32" t="inlineStr"/>
      <c r="AB6" s="32" t="inlineStr"/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20 to 40</t>
        </is>
      </c>
      <c r="BD6" s="31">
        <f>IF(BC6="Above 40",20,IF(BC6="20 to 40",10,IF(BC6="0 to 20",-5,0)))</f>
        <v/>
      </c>
      <c r="BE6" s="31" t="inlineStr">
        <is>
          <t>Between 50 to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Less than 1.5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IF(B7=0,"",RANK(B7,$B$2:$B$23,0))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138</v>
      </c>
      <c r="E7" s="32" t="inlineStr">
        <is>
          <t>5%</t>
        </is>
      </c>
      <c r="F7" s="32" t="n">
        <v>50000</v>
      </c>
      <c r="G7" s="32" t="n">
        <v>28</v>
      </c>
      <c r="H7" s="31" t="inlineStr">
        <is>
          <t>SYRMA</t>
        </is>
      </c>
      <c r="I7" s="31" t="inlineStr">
        <is>
          <t>Syrma SGS Technology Ltd</t>
        </is>
      </c>
      <c r="J7" s="31" t="inlineStr">
        <is>
          <t>consumer discretionary</t>
        </is>
      </c>
      <c r="K7" s="31" t="inlineStr">
        <is>
          <t>electronics - components</t>
        </is>
      </c>
      <c r="L7" s="31" t="inlineStr">
        <is>
          <t>largecap</t>
        </is>
      </c>
      <c r="M7" s="32" t="n">
        <v>32638.49</v>
      </c>
      <c r="N7" s="32" t="n">
        <v>1782.9</v>
      </c>
      <c r="O7" s="32" t="n">
        <v>5.34</v>
      </c>
      <c r="P7" s="32" t="n">
        <v>3788979</v>
      </c>
      <c r="Q7" s="31" t="n">
        <v>73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78.06</v>
      </c>
      <c r="U7" s="32" t="n">
        <v>60.33</v>
      </c>
      <c r="V7" s="32" t="n">
        <v>1387.79</v>
      </c>
      <c r="W7" s="31" t="inlineStr">
        <is>
          <t>Near 52W High Breakout</t>
        </is>
      </c>
      <c r="X7" s="31" t="inlineStr">
        <is>
          <t>Nifty 50</t>
        </is>
      </c>
      <c r="Y7" s="32" t="n">
        <v>-9.130000000000001</v>
      </c>
      <c r="Z7" s="32" t="n">
        <v>115.42</v>
      </c>
      <c r="AA7" s="32" t="n">
        <v>137.07</v>
      </c>
      <c r="AB7" s="32" t="n">
        <v>25.82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Less than 1.5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IF(B8=0,"",RANK(B8,$B$2:$B$23,0))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139.9</v>
      </c>
      <c r="E8" s="32" t="inlineStr">
        <is>
          <t>5%</t>
        </is>
      </c>
      <c r="F8" s="32" t="n">
        <v>50000</v>
      </c>
      <c r="G8" s="32" t="n">
        <v>160</v>
      </c>
      <c r="H8" s="31" t="inlineStr">
        <is>
          <t>CUPID</t>
        </is>
      </c>
      <c r="I8" s="31" t="inlineStr">
        <is>
          <t>Cupid Limited</t>
        </is>
      </c>
      <c r="J8" s="31" t="inlineStr">
        <is>
          <t>fmcg</t>
        </is>
      </c>
      <c r="K8" s="31" t="inlineStr">
        <is>
          <t>personal care - indian</t>
        </is>
      </c>
      <c r="L8" s="31" t="inlineStr">
        <is>
          <t>largecap</t>
        </is>
      </c>
      <c r="M8" s="32" t="n">
        <v>38726.23</v>
      </c>
      <c r="N8" s="32" t="n">
        <v>311.65</v>
      </c>
      <c r="O8" s="32" t="n">
        <v>8.210000000000001</v>
      </c>
      <c r="P8" s="32" t="n">
        <v>66496228</v>
      </c>
      <c r="Q8" s="31" t="inlineStr"/>
      <c r="R8" s="31" t="inlineStr"/>
      <c r="S8" s="32">
        <f>IF(R8="Underperforming",-5,IF(Q8&gt;=95,15,IF(Q8&gt;=90,10,IF(Q8&gt;=80,5,0))))</f>
        <v/>
      </c>
      <c r="T8" s="32" t="n">
        <v>82.45</v>
      </c>
      <c r="U8" s="32" t="n">
        <v>67.40000000000001</v>
      </c>
      <c r="V8" s="32" t="n">
        <v>235.33</v>
      </c>
      <c r="W8" s="31" t="inlineStr">
        <is>
          <t>Near 52W High Breakout</t>
        </is>
      </c>
      <c r="X8" s="31" t="inlineStr">
        <is>
          <t>Nifty FMCG</t>
        </is>
      </c>
      <c r="Y8" s="32" t="inlineStr"/>
      <c r="Z8" s="32" t="inlineStr"/>
      <c r="AA8" s="32" t="inlineStr"/>
      <c r="AB8" s="32" t="inlineStr"/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B2C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Annuity, Lower One Time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IF(B9=0,"",RANK(B9,$B$2:$B$23,0))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137.5</v>
      </c>
      <c r="E9" s="32" t="inlineStr">
        <is>
          <t>5%</t>
        </is>
      </c>
      <c r="F9" s="32" t="n">
        <v>50000</v>
      </c>
      <c r="G9" s="32" t="n">
        <v>25</v>
      </c>
      <c r="H9" s="31" t="inlineStr">
        <is>
          <t>LALPATHLAB</t>
        </is>
      </c>
      <c r="I9" s="31" t="inlineStr">
        <is>
          <t>Dr. Lal Path Labs Ltd.</t>
        </is>
      </c>
      <c r="J9" s="31" t="inlineStr">
        <is>
          <t>healthcare</t>
        </is>
      </c>
      <c r="K9" s="31" t="inlineStr">
        <is>
          <t>healthcare</t>
        </is>
      </c>
      <c r="L9" s="31" t="inlineStr">
        <is>
          <t>largecap</t>
        </is>
      </c>
      <c r="M9" s="32" t="n">
        <v>32696.07</v>
      </c>
      <c r="N9" s="32" t="n">
        <v>1987</v>
      </c>
      <c r="O9" s="32" t="n">
        <v>1.88</v>
      </c>
      <c r="P9" s="32" t="n">
        <v>525994</v>
      </c>
      <c r="Q9" s="31" t="n">
        <v>33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71.36</v>
      </c>
      <c r="U9" s="32" t="n">
        <v>46.7</v>
      </c>
      <c r="V9" s="32" t="n">
        <v>1662.71</v>
      </c>
      <c r="W9" s="31" t="inlineStr">
        <is>
          <t>Near 52W High Breakout</t>
        </is>
      </c>
      <c r="X9" s="31" t="inlineStr">
        <is>
          <t>Nifty Pharma</t>
        </is>
      </c>
      <c r="Y9" s="32" t="n">
        <v>21.52</v>
      </c>
      <c r="Z9" s="32" t="n">
        <v>28.31</v>
      </c>
      <c r="AA9" s="32" t="n">
        <v>5.59</v>
      </c>
      <c r="AB9" s="32" t="n">
        <v>10.22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Yes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Annuity, Lower One Time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Between 50 to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IF(B10=0,"",RANK(B10,$B$2:$B$23,0))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136.5</v>
      </c>
      <c r="E10" s="32" t="inlineStr">
        <is>
          <t>5%</t>
        </is>
      </c>
      <c r="F10" s="32" t="n">
        <v>50000</v>
      </c>
      <c r="G10" s="32" t="n">
        <v>132</v>
      </c>
      <c r="H10" s="31" t="inlineStr">
        <is>
          <t>STEELCAS</t>
        </is>
      </c>
      <c r="I10" s="31" t="inlineStr">
        <is>
          <t>Steelcast Ltd</t>
        </is>
      </c>
      <c r="J10" s="31" t="inlineStr">
        <is>
          <t>castings, forgings &amp; fasteners</t>
        </is>
      </c>
      <c r="K10" s="31" t="inlineStr">
        <is>
          <t>castings &amp; forgings</t>
        </is>
      </c>
      <c r="L10" s="31" t="inlineStr">
        <is>
          <t>smallcap</t>
        </is>
      </c>
      <c r="M10" s="32" t="n">
        <v>3762.62</v>
      </c>
      <c r="N10" s="32" t="n">
        <v>377.2</v>
      </c>
      <c r="O10" s="32" t="n">
        <v>1.45</v>
      </c>
      <c r="P10" s="32" t="n">
        <v>169841</v>
      </c>
      <c r="Q10" s="31" t="n">
        <v>49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73.11</v>
      </c>
      <c r="U10" s="32" t="n">
        <v>42.51</v>
      </c>
      <c r="V10" s="32" t="n">
        <v>284.06</v>
      </c>
      <c r="W10" s="31" t="inlineStr">
        <is>
          <t>Near 52W High Breakout</t>
        </is>
      </c>
      <c r="X10" s="31" t="inlineStr">
        <is>
          <t>Nifty 50</t>
        </is>
      </c>
      <c r="Y10" s="32" t="n">
        <v>-9.130000000000001</v>
      </c>
      <c r="Z10" s="32" t="n">
        <v>70.33</v>
      </c>
      <c r="AA10" s="32" t="n">
        <v>87.45</v>
      </c>
      <c r="AB10" s="32" t="n">
        <v>16.48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Between 12 to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IF(B11=0,"",RANK(B11,$B$2:$B$23,0))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139.1</v>
      </c>
      <c r="E11" s="32" t="inlineStr">
        <is>
          <t>5%</t>
        </is>
      </c>
      <c r="F11" s="32" t="n">
        <v>50000</v>
      </c>
      <c r="G11" s="32" t="n">
        <v>13</v>
      </c>
      <c r="H11" s="31" t="inlineStr">
        <is>
          <t>SPECTRUM</t>
        </is>
      </c>
      <c r="I11" s="31" t="inlineStr">
        <is>
          <t>Spectrum Electrical Industries Ltd</t>
        </is>
      </c>
      <c r="J11" s="31" t="inlineStr">
        <is>
          <t>industrials</t>
        </is>
      </c>
      <c r="K11" s="31" t="inlineStr">
        <is>
          <t>electric equipment</t>
        </is>
      </c>
      <c r="L11" s="31" t="inlineStr">
        <is>
          <t>midcap</t>
        </is>
      </c>
      <c r="M11" s="32" t="n">
        <v>6358.07</v>
      </c>
      <c r="N11" s="32" t="n">
        <v>3846.1</v>
      </c>
      <c r="O11" s="32" t="n">
        <v>3.36</v>
      </c>
      <c r="P11" s="32" t="n">
        <v>13516</v>
      </c>
      <c r="Q11" s="31" t="n">
        <v>96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84.83</v>
      </c>
      <c r="U11" s="32" t="n">
        <v>64.54000000000001</v>
      </c>
      <c r="V11" s="32" t="n">
        <v>2929.48</v>
      </c>
      <c r="W11" s="31" t="inlineStr">
        <is>
          <t>Near 52W High Breakout</t>
        </is>
      </c>
      <c r="X11" s="31" t="inlineStr">
        <is>
          <t>Nifty 50</t>
        </is>
      </c>
      <c r="Y11" s="32" t="n">
        <v>-9.130000000000001</v>
      </c>
      <c r="Z11" s="32" t="n">
        <v>186.74</v>
      </c>
      <c r="AA11" s="32" t="n">
        <v>215.57</v>
      </c>
      <c r="AB11" s="32" t="n">
        <v>50.63</v>
      </c>
      <c r="AC11" s="31" t="inlineStr">
        <is>
          <t>Cyclical in an Upturn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Between 0.7 to 1.2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IF(B12=0,"",RANK(B12,$B$2:$B$23,0))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138.6</v>
      </c>
      <c r="E12" s="32" t="inlineStr">
        <is>
          <t>5%</t>
        </is>
      </c>
      <c r="F12" s="32" t="n">
        <v>50000</v>
      </c>
      <c r="G12" s="32" t="n">
        <v>681</v>
      </c>
      <c r="H12" s="31" t="inlineStr">
        <is>
          <t>ONEPOINT</t>
        </is>
      </c>
      <c r="I12" s="31" t="inlineStr">
        <is>
          <t>One Point One Solutions Ltd</t>
        </is>
      </c>
      <c r="J12" s="31" t="inlineStr">
        <is>
          <t>i.t</t>
        </is>
      </c>
      <c r="K12" s="31" t="inlineStr">
        <is>
          <t>computers - software - medium / small</t>
        </is>
      </c>
      <c r="L12" s="31" t="inlineStr">
        <is>
          <t>smallcap</t>
        </is>
      </c>
      <c r="M12" s="32" t="n">
        <v>1883.15</v>
      </c>
      <c r="N12" s="32" t="n">
        <v>73.39</v>
      </c>
      <c r="O12" s="32" t="n">
        <v>2.47</v>
      </c>
      <c r="P12" s="32" t="n">
        <v>6743812</v>
      </c>
      <c r="Q12" s="31" t="n">
        <v>46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71.89</v>
      </c>
      <c r="U12" s="32" t="n">
        <v>16.06</v>
      </c>
      <c r="V12" s="32" t="n">
        <v>57.06</v>
      </c>
      <c r="W12" s="31" t="inlineStr">
        <is>
          <t>Volume Spike &amp; Near 52W High Breakout</t>
        </is>
      </c>
      <c r="X12" s="31" t="inlineStr">
        <is>
          <t>Nifty IT</t>
        </is>
      </c>
      <c r="Y12" s="32" t="n">
        <v>-18.39</v>
      </c>
      <c r="Z12" s="32" t="n">
        <v>52.39</v>
      </c>
      <c r="AA12" s="32" t="n">
        <v>86.73999999999999</v>
      </c>
      <c r="AB12" s="32" t="n">
        <v>15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Annuity, Lower One Time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0 to 20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Less than 1.5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IF(B13=0,"",RANK(B13,$B$2:$B$23,0))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140</v>
      </c>
      <c r="E13" s="32" t="inlineStr">
        <is>
          <t>5%</t>
        </is>
      </c>
      <c r="F13" s="32" t="n">
        <v>50000</v>
      </c>
      <c r="G13" s="32" t="n">
        <v>48</v>
      </c>
      <c r="H13" s="31" t="inlineStr">
        <is>
          <t>SIGMAADV</t>
        </is>
      </c>
      <c r="I13" s="31" t="inlineStr">
        <is>
          <t>Sigma Advanced System Ltd</t>
        </is>
      </c>
      <c r="J13" s="31" t="inlineStr">
        <is>
          <t>aerospace &amp; defence</t>
        </is>
      </c>
      <c r="K13" s="31" t="inlineStr">
        <is>
          <t>electronics - components</t>
        </is>
      </c>
      <c r="L13" s="31" t="inlineStr">
        <is>
          <t>midcap</t>
        </is>
      </c>
      <c r="M13" s="32" t="n">
        <v>18511.88</v>
      </c>
      <c r="N13" s="32" t="n">
        <v>1025.7</v>
      </c>
      <c r="O13" s="32" t="n">
        <v>5</v>
      </c>
      <c r="P13" s="32" t="n">
        <v>370551</v>
      </c>
      <c r="Q13" s="31" t="n">
        <v>98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84.56999999999999</v>
      </c>
      <c r="U13" s="32" t="n">
        <v>63.01</v>
      </c>
      <c r="V13" s="32" t="n">
        <v>777.76</v>
      </c>
      <c r="W13" s="31" t="inlineStr">
        <is>
          <t>Near 52W High Breakout</t>
        </is>
      </c>
      <c r="X13" s="31" t="inlineStr">
        <is>
          <t>Nifty 50</t>
        </is>
      </c>
      <c r="Y13" s="32" t="n">
        <v>-9.130000000000001</v>
      </c>
      <c r="Z13" s="32" t="n">
        <v>561.36</v>
      </c>
      <c r="AA13" s="32" t="n">
        <v>627.84</v>
      </c>
      <c r="AB13" s="32" t="n">
        <v>86.33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Less than 12%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Between 0.7 to 1.2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IF(B14=0,"",RANK(B14,$B$2:$B$23,0))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139.5</v>
      </c>
      <c r="E14" s="32" t="inlineStr">
        <is>
          <t>5%</t>
        </is>
      </c>
      <c r="F14" s="32" t="n">
        <v>50000</v>
      </c>
      <c r="G14" s="32" t="n">
        <v>64</v>
      </c>
      <c r="H14" s="31" t="inlineStr">
        <is>
          <t>SHREEJISPG</t>
        </is>
      </c>
      <c r="I14" s="31" t="inlineStr">
        <is>
          <t>Shreeji Shipping Global Ltd</t>
        </is>
      </c>
      <c r="J14" s="31" t="inlineStr">
        <is>
          <t>transportation</t>
        </is>
      </c>
      <c r="K14" s="31" t="inlineStr">
        <is>
          <t>shipping</t>
        </is>
      </c>
      <c r="L14" s="31" t="inlineStr">
        <is>
          <t>midcap</t>
        </is>
      </c>
      <c r="M14" s="32" t="n">
        <v>12435.55</v>
      </c>
      <c r="N14" s="32" t="n">
        <v>770.4</v>
      </c>
      <c r="O14" s="32" t="n">
        <v>0.93</v>
      </c>
      <c r="P14" s="32" t="n">
        <v>359788</v>
      </c>
      <c r="Q14" s="31" t="n">
        <v>89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83.18000000000001</v>
      </c>
      <c r="U14" s="32" t="n">
        <v>56.55</v>
      </c>
      <c r="V14" s="32" t="n">
        <v>641.52</v>
      </c>
      <c r="W14" s="31" t="inlineStr">
        <is>
          <t>Near 52W High Breakout</t>
        </is>
      </c>
      <c r="X14" s="31" t="inlineStr">
        <is>
          <t>Nifty 50</t>
        </is>
      </c>
      <c r="Y14" s="32" t="n">
        <v>-9.130000000000001</v>
      </c>
      <c r="Z14" s="32" t="n">
        <v>219.93</v>
      </c>
      <c r="AA14" s="32" t="n">
        <v>252.08</v>
      </c>
      <c r="AB14" s="32" t="n">
        <v>39.1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Above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Less than 12%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IF(B15=0,"",RANK(B15,$B$2:$B$23,0))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136.7</v>
      </c>
      <c r="E15" s="32" t="inlineStr">
        <is>
          <t>5%</t>
        </is>
      </c>
      <c r="F15" s="32" t="n">
        <v>50000</v>
      </c>
      <c r="G15" s="32" t="n">
        <v>152</v>
      </c>
      <c r="H15" s="31" t="inlineStr">
        <is>
          <t>BLSE</t>
        </is>
      </c>
      <c r="I15" s="31" t="inlineStr">
        <is>
          <t>BLS E-Services Ltd</t>
        </is>
      </c>
      <c r="J15" s="31" t="inlineStr">
        <is>
          <t>i.t</t>
        </is>
      </c>
      <c r="K15" s="31" t="inlineStr">
        <is>
          <t>computers - software - medium / small</t>
        </is>
      </c>
      <c r="L15" s="31" t="inlineStr">
        <is>
          <t>smallcap</t>
        </is>
      </c>
      <c r="M15" s="32" t="n">
        <v>2917.4</v>
      </c>
      <c r="N15" s="32" t="n">
        <v>328.6</v>
      </c>
      <c r="O15" s="32" t="n">
        <v>2.34</v>
      </c>
      <c r="P15" s="32" t="n">
        <v>445285</v>
      </c>
      <c r="Q15" s="31" t="n">
        <v>58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79.20999999999999</v>
      </c>
      <c r="U15" s="32" t="n">
        <v>59.91</v>
      </c>
      <c r="V15" s="32" t="n">
        <v>264.52</v>
      </c>
      <c r="W15" s="31" t="inlineStr">
        <is>
          <t>Near 52W High Breakout</t>
        </is>
      </c>
      <c r="X15" s="31" t="inlineStr">
        <is>
          <t>Nifty IT</t>
        </is>
      </c>
      <c r="Y15" s="32" t="n">
        <v>-18.39</v>
      </c>
      <c r="Z15" s="32" t="n">
        <v>76.73999999999999</v>
      </c>
      <c r="AA15" s="32" t="n">
        <v>116.57</v>
      </c>
      <c r="AB15" s="32" t="n">
        <v>20.19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Annuity, Lower One Time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Above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Less than 12%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IF(B16=0,"",RANK(B16,$B$2:$B$23,0))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139.6</v>
      </c>
      <c r="E16" s="32" t="inlineStr">
        <is>
          <t>5%</t>
        </is>
      </c>
      <c r="F16" s="32" t="n">
        <v>50000</v>
      </c>
      <c r="G16" s="32" t="n">
        <v>3</v>
      </c>
      <c r="H16" s="31" t="inlineStr">
        <is>
          <t>DYNAMATECH</t>
        </is>
      </c>
      <c r="I16" s="31" t="inlineStr">
        <is>
          <t>Dynamatic Technologies Limited</t>
        </is>
      </c>
      <c r="J16" s="31" t="inlineStr">
        <is>
          <t>aerospace &amp; defence</t>
        </is>
      </c>
      <c r="K16" s="31" t="inlineStr">
        <is>
          <t>engineering</t>
        </is>
      </c>
      <c r="L16" s="31" t="inlineStr">
        <is>
          <t>midcap</t>
        </is>
      </c>
      <c r="M16" s="32" t="n">
        <v>8873.02</v>
      </c>
      <c r="N16" s="32" t="n">
        <v>13611</v>
      </c>
      <c r="O16" s="32" t="n">
        <v>4.18</v>
      </c>
      <c r="P16" s="32" t="n">
        <v>49032</v>
      </c>
      <c r="Q16" s="31" t="n">
        <v>62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70.2</v>
      </c>
      <c r="U16" s="32" t="n">
        <v>28.99</v>
      </c>
      <c r="V16" s="32" t="n">
        <v>10486.99</v>
      </c>
      <c r="W16" s="31" t="inlineStr">
        <is>
          <t>Near 52W High Breakout</t>
        </is>
      </c>
      <c r="X16" s="31" t="inlineStr">
        <is>
          <t>Nifty 50</t>
        </is>
      </c>
      <c r="Y16" s="32" t="n">
        <v>-9.130000000000001</v>
      </c>
      <c r="Z16" s="32" t="n">
        <v>94.11</v>
      </c>
      <c r="AA16" s="32" t="n">
        <v>113.63</v>
      </c>
      <c r="AB16" s="32" t="n">
        <v>21.72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Between 0.7 to 1.2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IF(B17=0,"",RANK(B17,$B$2:$B$23,0))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138.6</v>
      </c>
      <c r="E17" s="32" t="inlineStr">
        <is>
          <t>5%</t>
        </is>
      </c>
      <c r="F17" s="32" t="n">
        <v>50000</v>
      </c>
      <c r="G17" s="32" t="n">
        <v>303</v>
      </c>
      <c r="H17" s="31" t="inlineStr">
        <is>
          <t>SAMBHV</t>
        </is>
      </c>
      <c r="I17" s="31" t="inlineStr">
        <is>
          <t>Sambhv Steel Tubes Ltd</t>
        </is>
      </c>
      <c r="J17" s="31" t="inlineStr">
        <is>
          <t>metals &amp; mining</t>
        </is>
      </c>
      <c r="K17" s="31" t="inlineStr">
        <is>
          <t>steel - medium / small</t>
        </is>
      </c>
      <c r="L17" s="31" t="inlineStr">
        <is>
          <t>smallcap</t>
        </is>
      </c>
      <c r="M17" s="32" t="n">
        <v>4780.75</v>
      </c>
      <c r="N17" s="32" t="n">
        <v>164.9</v>
      </c>
      <c r="O17" s="32" t="n">
        <v>1.64</v>
      </c>
      <c r="P17" s="32" t="n">
        <v>5951525</v>
      </c>
      <c r="Q17" s="31" t="inlineStr"/>
      <c r="R17" s="31" t="inlineStr"/>
      <c r="S17" s="32">
        <f>IF(R17="Underperforming",-5,IF(Q17&gt;=95,15,IF(Q17&gt;=90,10,IF(Q17&gt;=80,5,0))))</f>
        <v/>
      </c>
      <c r="T17" s="32" t="n">
        <v>79.92</v>
      </c>
      <c r="U17" s="32" t="n">
        <v>45.76</v>
      </c>
      <c r="V17" s="32" t="n">
        <v>129.52</v>
      </c>
      <c r="W17" s="31" t="inlineStr">
        <is>
          <t>Near 52W High Breakout</t>
        </is>
      </c>
      <c r="X17" s="31" t="inlineStr">
        <is>
          <t>Nifty Metal</t>
        </is>
      </c>
      <c r="Y17" s="32" t="inlineStr"/>
      <c r="Z17" s="32" t="inlineStr"/>
      <c r="AA17" s="32" t="inlineStr"/>
      <c r="AB17" s="32" t="inlineStr"/>
      <c r="AC17" s="31" t="inlineStr">
        <is>
          <t>Cyclical in an Upturn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Cyclical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Volatile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Above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No</t>
        </is>
      </c>
      <c r="BX17" s="31">
        <f>IF(BW17="NO",5,0)</f>
        <v/>
      </c>
      <c r="BY17" s="31" t="inlineStr">
        <is>
          <t>Less than 1.5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IF(B18=0,"",RANK(B18,$B$2:$B$23,0))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137.7</v>
      </c>
      <c r="E18" s="32" t="inlineStr">
        <is>
          <t>5%</t>
        </is>
      </c>
      <c r="F18" s="32" t="n">
        <v>50000</v>
      </c>
      <c r="G18" s="32" t="n">
        <v>127</v>
      </c>
      <c r="H18" s="31" t="inlineStr">
        <is>
          <t>NAZARA</t>
        </is>
      </c>
      <c r="I18" s="31" t="inlineStr">
        <is>
          <t>Nazara Technologies Ltd</t>
        </is>
      </c>
      <c r="J18" s="31" t="inlineStr">
        <is>
          <t>i.t</t>
        </is>
      </c>
      <c r="K18" s="31" t="inlineStr">
        <is>
          <t>telecommunications - service provider</t>
        </is>
      </c>
      <c r="L18" s="31" t="inlineStr">
        <is>
          <t>midcap</t>
        </is>
      </c>
      <c r="M18" s="32" t="n">
        <v>14941.59</v>
      </c>
      <c r="N18" s="32" t="n">
        <v>392.85</v>
      </c>
      <c r="O18" s="32" t="n">
        <v>1.15</v>
      </c>
      <c r="P18" s="32" t="n">
        <v>2088636</v>
      </c>
      <c r="Q18" s="31" t="n">
        <v>43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77.23999999999999</v>
      </c>
      <c r="U18" s="32" t="n">
        <v>33.44</v>
      </c>
      <c r="V18" s="32" t="n">
        <v>322.7</v>
      </c>
      <c r="W18" s="31" t="inlineStr">
        <is>
          <t>Near 52W High Breakout</t>
        </is>
      </c>
      <c r="X18" s="31" t="inlineStr">
        <is>
          <t>Nifty IT</t>
        </is>
      </c>
      <c r="Y18" s="32" t="n">
        <v>-18.39</v>
      </c>
      <c r="Z18" s="32" t="n">
        <v>40.03</v>
      </c>
      <c r="AA18" s="32" t="n">
        <v>71.59</v>
      </c>
      <c r="AB18" s="32" t="n">
        <v>14.24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Oligopoly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Yes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20 to 40</t>
        </is>
      </c>
      <c r="BD18" s="31">
        <f>IF(BC18="Above 40",20,IF(BC18="20 to 40",10,IF(BC18="0 to 20",-5,0)))</f>
        <v/>
      </c>
      <c r="BE18" s="31" t="inlineStr">
        <is>
          <t>Above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No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IF(B19=0,"",RANK(B19,$B$2:$B$23,0))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137.5</v>
      </c>
      <c r="E19" s="32" t="inlineStr">
        <is>
          <t>5%</t>
        </is>
      </c>
      <c r="F19" s="32" t="n">
        <v>50000</v>
      </c>
      <c r="G19" s="32" t="n">
        <v>277</v>
      </c>
      <c r="H19" s="31" t="inlineStr">
        <is>
          <t>MUKANDLTD</t>
        </is>
      </c>
      <c r="I19" s="31" t="inlineStr">
        <is>
          <t>Mukand Limited</t>
        </is>
      </c>
      <c r="J19" s="31" t="inlineStr">
        <is>
          <t>metals &amp; mining</t>
        </is>
      </c>
      <c r="K19" s="31" t="inlineStr">
        <is>
          <t>steel - medium / small</t>
        </is>
      </c>
      <c r="L19" s="31" t="inlineStr">
        <is>
          <t>smallcap</t>
        </is>
      </c>
      <c r="M19" s="32" t="n">
        <v>2492.4</v>
      </c>
      <c r="N19" s="32" t="n">
        <v>180.13</v>
      </c>
      <c r="O19" s="32" t="n">
        <v>4.43</v>
      </c>
      <c r="P19" s="32" t="n">
        <v>1438322</v>
      </c>
      <c r="Q19" s="31" t="inlineStr"/>
      <c r="R19" s="31" t="inlineStr"/>
      <c r="S19" s="32">
        <f>IF(R19="Underperforming",-5,IF(Q19&gt;=95,15,IF(Q19&gt;=90,10,IF(Q19&gt;=80,5,0))))</f>
        <v/>
      </c>
      <c r="T19" s="32" t="n">
        <v>73.83</v>
      </c>
      <c r="U19" s="32" t="n">
        <v>40.03</v>
      </c>
      <c r="V19" s="32" t="n">
        <v>143.82</v>
      </c>
      <c r="W19" s="31" t="inlineStr">
        <is>
          <t>Volume Spike &amp; Near 52W High Breakout</t>
        </is>
      </c>
      <c r="X19" s="31" t="inlineStr">
        <is>
          <t>Nifty Metal</t>
        </is>
      </c>
      <c r="Y19" s="32" t="inlineStr"/>
      <c r="Z19" s="32" t="inlineStr"/>
      <c r="AA19" s="32" t="inlineStr"/>
      <c r="AB19" s="32" t="inlineStr"/>
      <c r="AC19" s="31" t="inlineStr">
        <is>
          <t>Cyclical in an Upturn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Cyclical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Volatile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Above 40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No</t>
        </is>
      </c>
      <c r="BX19" s="31">
        <f>IF(BW19="NO",5,0)</f>
        <v/>
      </c>
      <c r="BY19" s="31" t="inlineStr">
        <is>
          <t>Less than 1.5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Between 0.7 to 1.2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IF(B20=0,"",RANK(B20,$B$2:$B$23,0))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138.1</v>
      </c>
      <c r="E20" s="32" t="inlineStr">
        <is>
          <t>5%</t>
        </is>
      </c>
      <c r="F20" s="32" t="n">
        <v>50000</v>
      </c>
      <c r="G20" s="32" t="n">
        <v>22</v>
      </c>
      <c r="H20" s="31" t="inlineStr">
        <is>
          <t>AXISCADES</t>
        </is>
      </c>
      <c r="I20" s="31" t="inlineStr">
        <is>
          <t>AXISCADES Technologies Ltd</t>
        </is>
      </c>
      <c r="J20" s="31" t="inlineStr">
        <is>
          <t>aerospace &amp; defence</t>
        </is>
      </c>
      <c r="K20" s="31" t="inlineStr">
        <is>
          <t>computers - software - medium / small</t>
        </is>
      </c>
      <c r="L20" s="31" t="inlineStr">
        <is>
          <t>midcap</t>
        </is>
      </c>
      <c r="M20" s="32" t="n">
        <v>8792.860000000001</v>
      </c>
      <c r="N20" s="32" t="n">
        <v>2231.2</v>
      </c>
      <c r="O20" s="32" t="n">
        <v>7.92</v>
      </c>
      <c r="P20" s="32" t="n">
        <v>1248290</v>
      </c>
      <c r="Q20" s="31" t="n">
        <v>42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69.8</v>
      </c>
      <c r="U20" s="32" t="n">
        <v>12.6</v>
      </c>
      <c r="V20" s="32" t="n">
        <v>1642.45</v>
      </c>
      <c r="W20" s="31" t="inlineStr">
        <is>
          <t>Volume Spike &amp; Near 52W High Breakout</t>
        </is>
      </c>
      <c r="X20" s="31" t="inlineStr">
        <is>
          <t>Nifty IT</t>
        </is>
      </c>
      <c r="Y20" s="32" t="n">
        <v>-18.39</v>
      </c>
      <c r="Z20" s="32" t="n">
        <v>30.77</v>
      </c>
      <c r="AA20" s="32" t="n">
        <v>60.25</v>
      </c>
      <c r="AB20" s="32" t="n">
        <v>14.19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Annuity, Lower One Time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0 to 20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Blue sky scenario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More than 20%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Yes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Above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Less than 0.7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IF(B21=0,"",RANK(B21,$B$2:$B$23,0))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137.5</v>
      </c>
      <c r="E21" s="32" t="inlineStr">
        <is>
          <t>5%</t>
        </is>
      </c>
      <c r="F21" s="32" t="n">
        <v>50000</v>
      </c>
      <c r="G21" s="32" t="n">
        <v>293</v>
      </c>
      <c r="H21" s="31" t="inlineStr">
        <is>
          <t>MBAPL</t>
        </is>
      </c>
      <c r="I21" s="31" t="inlineStr">
        <is>
          <t>Madhya Bharat Agro Products Ltd</t>
        </is>
      </c>
      <c r="J21" s="31" t="inlineStr">
        <is>
          <t>chemicals</t>
        </is>
      </c>
      <c r="K21" s="31" t="inlineStr">
        <is>
          <t>fertilizers</t>
        </is>
      </c>
      <c r="L21" s="31" t="inlineStr">
        <is>
          <t>smallcap</t>
        </is>
      </c>
      <c r="M21" s="32" t="n">
        <v>1461.97</v>
      </c>
      <c r="N21" s="32" t="n">
        <v>170.63</v>
      </c>
      <c r="O21" s="32" t="n">
        <v>2.27</v>
      </c>
      <c r="P21" s="32" t="n">
        <v>1417308</v>
      </c>
      <c r="Q21" s="31" t="n">
        <v>71</v>
      </c>
      <c r="R21" s="31" t="inlineStr">
        <is>
          <t>Outperforming</t>
        </is>
      </c>
      <c r="S21" s="32">
        <f>IF(R21="Underperforming",-5,IF(Q21&gt;=95,15,IF(Q21&gt;=90,10,IF(Q21&gt;=80,5,0))))</f>
        <v/>
      </c>
      <c r="T21" s="32" t="n">
        <v>76.5</v>
      </c>
      <c r="U21" s="32" t="n">
        <v>72.04000000000001</v>
      </c>
      <c r="V21" s="32" t="n">
        <v>135.9</v>
      </c>
      <c r="W21" s="31" t="inlineStr">
        <is>
          <t>Near 52W High Breakout</t>
        </is>
      </c>
      <c r="X21" s="31" t="inlineStr">
        <is>
          <t>Nifty 50</t>
        </is>
      </c>
      <c r="Y21" s="32" t="n">
        <v>-9.130000000000001</v>
      </c>
      <c r="Z21" s="32" t="n">
        <v>116.26</v>
      </c>
      <c r="AA21" s="32" t="n">
        <v>138</v>
      </c>
      <c r="AB21" s="32" t="n">
        <v>24.61</v>
      </c>
      <c r="AC21" s="31" t="inlineStr">
        <is>
          <t>Growing Industry</t>
        </is>
      </c>
      <c r="AD21" s="31">
        <f>IF(AC21="Growing Industry",10,IF(AC21="Cyclical in an Upturn",5,0))</f>
        <v/>
      </c>
      <c r="AE21" s="31" t="inlineStr">
        <is>
          <t>Too Many Players with High ROCE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No</t>
        </is>
      </c>
      <c r="AH21" s="31">
        <f>IF(AG21="No",5,0)</f>
        <v/>
      </c>
      <c r="AI21" s="31" t="inlineStr">
        <is>
          <t>Tailwind</t>
        </is>
      </c>
      <c r="AJ21" s="31">
        <f>IF(AI21="Tailwind",10,0)</f>
        <v/>
      </c>
      <c r="AK21" s="31" t="inlineStr">
        <is>
          <t>Structural (10 Years Consistency)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Stable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Yes</t>
        </is>
      </c>
      <c r="AV21" s="31">
        <f>IF(AU21="Yes",10,0)</f>
        <v/>
      </c>
      <c r="AW21" s="31" t="inlineStr">
        <is>
          <t>Higher One Time, Lower Annuity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Above 40</t>
        </is>
      </c>
      <c r="BD21" s="31">
        <f>IF(BC21="Above 40",20,IF(BC21="20 to 40",10,IF(BC21="0 to 20",-5,0)))</f>
        <v/>
      </c>
      <c r="BE21" s="31" t="inlineStr">
        <is>
          <t>Above 75</t>
        </is>
      </c>
      <c r="BF21" s="31">
        <f>IF(BE21="Between 50 to 75",10,IF(BE21="Above 75",0,0))</f>
        <v/>
      </c>
      <c r="BG21" s="31" t="inlineStr">
        <is>
          <t>Stage 2</t>
        </is>
      </c>
      <c r="BH21" s="31">
        <f>IF(BG21="Stage 2",20,IF(BG21="Stage 1",0,IF(BG21="Stage 3",5,IF(BG21="Stage 4",-5,0))))</f>
        <v/>
      </c>
      <c r="BI21" s="31" t="inlineStr">
        <is>
          <t>Positive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Blue sky scenario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Between 12 to 20%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Yes</t>
        </is>
      </c>
      <c r="BX21" s="31">
        <f>IF(BW21="NO",5,0)</f>
        <v/>
      </c>
      <c r="BY21" s="31" t="inlineStr">
        <is>
          <t>Above 2</t>
        </is>
      </c>
      <c r="BZ21" s="31">
        <f>IF(BY21="Above 2",0,IF(BY21="Between 1.5 to 2",5,IF(BY21="Less than 1.5",10,0)))</f>
        <v/>
      </c>
      <c r="CA21" s="31" t="inlineStr">
        <is>
          <t>Above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More than 1.2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  <row r="22">
      <c r="A22" s="31">
        <f>IF(B22=0,"",RANK(B22,$B$2:$B$23,0))</f>
        <v/>
      </c>
      <c r="B22" s="32">
        <f>SUM(S22,AD22,AF22,AH22,AJ22,AL22,AN22,AP22,AR22,AT22,AV22,AX22,AZ22,BB22,BD22,BF22,BH22,BJ22,BL22,BN22,BP22,BR22,BT22,BV22,BX22,BZ22,CB22,CD22,CF22,CH22,CJ22)</f>
        <v/>
      </c>
      <c r="C22" s="31" t="inlineStr">
        <is>
          <t>52W Breakout</t>
        </is>
      </c>
      <c r="D22" s="32" t="n">
        <v>138.6</v>
      </c>
      <c r="E22" s="32" t="inlineStr">
        <is>
          <t>5%</t>
        </is>
      </c>
      <c r="F22" s="32" t="n">
        <v>50000</v>
      </c>
      <c r="G22" s="32" t="n">
        <v>33</v>
      </c>
      <c r="H22" s="31" t="inlineStr">
        <is>
          <t>ROSSTECH</t>
        </is>
      </c>
      <c r="I22" s="31" t="inlineStr">
        <is>
          <t>Rossell Techsys Ltd</t>
        </is>
      </c>
      <c r="J22" s="31" t="inlineStr">
        <is>
          <t>aerospace &amp; defence</t>
        </is>
      </c>
      <c r="K22" s="31" t="inlineStr">
        <is>
          <t>engineering</t>
        </is>
      </c>
      <c r="L22" s="31" t="inlineStr">
        <is>
          <t>midcap</t>
        </is>
      </c>
      <c r="M22" s="32" t="n">
        <v>5585.49</v>
      </c>
      <c r="N22" s="32" t="n">
        <v>1503.2</v>
      </c>
      <c r="O22" s="32" t="n">
        <v>1.45</v>
      </c>
      <c r="P22" s="32" t="n">
        <v>253108</v>
      </c>
      <c r="Q22" s="31" t="n">
        <v>76</v>
      </c>
      <c r="R22" s="31" t="inlineStr">
        <is>
          <t>Outperforming</t>
        </is>
      </c>
      <c r="S22" s="32">
        <f>IF(R22="Underperforming",-5,IF(Q22&gt;=95,15,IF(Q22&gt;=90,10,IF(Q22&gt;=80,5,0))))</f>
        <v/>
      </c>
      <c r="T22" s="32" t="n">
        <v>80.23</v>
      </c>
      <c r="U22" s="32" t="n">
        <v>31.9</v>
      </c>
      <c r="V22" s="32" t="n">
        <v>1116.56</v>
      </c>
      <c r="W22" s="31" t="inlineStr">
        <is>
          <t>Near 52W High Breakout</t>
        </is>
      </c>
      <c r="X22" s="31" t="inlineStr">
        <is>
          <t>Nifty 50</t>
        </is>
      </c>
      <c r="Y22" s="32" t="n">
        <v>-9.130000000000001</v>
      </c>
      <c r="Z22" s="32" t="n">
        <v>107.58</v>
      </c>
      <c r="AA22" s="32" t="n">
        <v>128.45</v>
      </c>
      <c r="AB22" s="32" t="n">
        <v>28.78</v>
      </c>
      <c r="AC22" s="31" t="inlineStr">
        <is>
          <t>Growing Industry</t>
        </is>
      </c>
      <c r="AD22" s="31">
        <f>IF(AC22="Growing Industry",10,IF(AC22="Cyclical in an Upturn",5,0))</f>
        <v/>
      </c>
      <c r="AE22" s="31" t="inlineStr">
        <is>
          <t>Too Many Players with High ROCE</t>
        </is>
      </c>
      <c r="AF22" s="31">
        <f>IF(AE22="Monopoly",10,IF(AE22="Oligopoly",5,IF(AE22="Duopoly that cooperate",10,IF(AE22="Duopoly that compete",5,IF(AE22="Too many players with High ROCE",5,0)))))</f>
        <v/>
      </c>
      <c r="AG22" s="31" t="inlineStr">
        <is>
          <t>No</t>
        </is>
      </c>
      <c r="AH22" s="31">
        <f>IF(AG22="No",5,0)</f>
        <v/>
      </c>
      <c r="AI22" s="31" t="inlineStr">
        <is>
          <t>Tailwind</t>
        </is>
      </c>
      <c r="AJ22" s="31">
        <f>IF(AI22="Tailwind",10,0)</f>
        <v/>
      </c>
      <c r="AK22" s="31" t="inlineStr">
        <is>
          <t>Structural (10 Years Consistency)</t>
        </is>
      </c>
      <c r="AL22" s="31">
        <f>IF(AK22="Structural (10 Years Consistency)",10,IF(AK22="Shallow Cyclical (2 to 3 years growth)",5,0))</f>
        <v/>
      </c>
      <c r="AM22" s="31" t="inlineStr">
        <is>
          <t>No</t>
        </is>
      </c>
      <c r="AN22" s="31">
        <f>IF(AM22="Yes due to Product Mix change or Operating Leverage",10,IF(AM22="Yes, these are peak margins",-5,IF(AM22="No",5,0)))</f>
        <v/>
      </c>
      <c r="AO22" s="31" t="inlineStr">
        <is>
          <t>Stable</t>
        </is>
      </c>
      <c r="AP22" s="31">
        <f>IF(AO22="Stable",10,0)</f>
        <v/>
      </c>
      <c r="AQ22" s="31" t="inlineStr">
        <is>
          <t>Yes</t>
        </is>
      </c>
      <c r="AR22" s="31">
        <f>IF(AQ22="Yes",10,0)</f>
        <v/>
      </c>
      <c r="AS22" s="31" t="inlineStr">
        <is>
          <t>B2B</t>
        </is>
      </c>
      <c r="AT22" s="31">
        <f>IF(AS22="B2C",10,IF(AS22="B2B",5,0))</f>
        <v/>
      </c>
      <c r="AU22" s="31" t="inlineStr">
        <is>
          <t>Yes</t>
        </is>
      </c>
      <c r="AV22" s="31">
        <f>IF(AU22="Yes",10,0)</f>
        <v/>
      </c>
      <c r="AW22" s="31" t="inlineStr">
        <is>
          <t>Higher One Time, Lower Annuity</t>
        </is>
      </c>
      <c r="AX22" s="31">
        <f>IF(AW22="Fully Annuity",10,IF(AW22="Higher Annuity, Lower One Time",5,IF(AW22="Higher One Time, Lower Annuity",3,0)))</f>
        <v/>
      </c>
      <c r="AY22" s="31" t="inlineStr">
        <is>
          <t>Good</t>
        </is>
      </c>
      <c r="AZ22" s="31">
        <f>IF(AY22="Good",10,0)</f>
        <v/>
      </c>
      <c r="BA22" s="31" t="inlineStr">
        <is>
          <t>Yes for more than 2 years</t>
        </is>
      </c>
      <c r="BB22" s="31">
        <f>IF(BA22="Yes for more than 2 years",10,IF(BA22="Yes only for next 1 to 2 years",5,0))</f>
        <v/>
      </c>
      <c r="BC22" s="31" t="inlineStr">
        <is>
          <t>20 to 40</t>
        </is>
      </c>
      <c r="BD22" s="31">
        <f>IF(BC22="Above 40",20,IF(BC22="20 to 40",10,IF(BC22="0 to 20",-5,0)))</f>
        <v/>
      </c>
      <c r="BE22" s="31" t="inlineStr">
        <is>
          <t>Above 75</t>
        </is>
      </c>
      <c r="BF22" s="31">
        <f>IF(BE22="Between 50 to 75",10,IF(BE22="Above 75",0,0))</f>
        <v/>
      </c>
      <c r="BG22" s="31" t="inlineStr">
        <is>
          <t>Stage 2</t>
        </is>
      </c>
      <c r="BH22" s="31">
        <f>IF(BG22="Stage 2",20,IF(BG22="Stage 1",0,IF(BG22="Stage 3",5,IF(BG22="Stage 4",-5,0))))</f>
        <v/>
      </c>
      <c r="BI22" s="31" t="inlineStr">
        <is>
          <t>Positive Trend</t>
        </is>
      </c>
      <c r="BJ22" s="31">
        <f>IF(BI22="Positive Trend",20,IF(BI22="Negative Trend",-10,0))</f>
        <v/>
      </c>
      <c r="BK22" s="31" t="inlineStr">
        <is>
          <t>Uptrend</t>
        </is>
      </c>
      <c r="BL22" s="31">
        <f>IF(BK22="Uptrend",10,IF(BK22="Sideways",5,0))</f>
        <v/>
      </c>
      <c r="BM22" s="31" t="inlineStr">
        <is>
          <t>Uptrend</t>
        </is>
      </c>
      <c r="BN22" s="31">
        <f>IF(BM22="Uptrend",10,IF(BM22="Sideways",5,0))</f>
        <v/>
      </c>
      <c r="BO22" s="31" t="inlineStr">
        <is>
          <t>Blue sky scenario</t>
        </is>
      </c>
      <c r="BP22" s="31">
        <f>IF(BO22="Overhead supply in last 2 years in last 2 years",-5,IF(BO22="Close to 52 week high or retracement",5,IF(BO22="Blue sky scenario",10,IF(BO22="Long term Downtrend",-10,0))))</f>
        <v/>
      </c>
      <c r="BQ22" s="31" t="inlineStr">
        <is>
          <t>Yes</t>
        </is>
      </c>
      <c r="BR22" s="31">
        <f>IF(BQ22="Yes",10,0)</f>
        <v/>
      </c>
      <c r="BS22" s="31" t="inlineStr">
        <is>
          <t>More than 20%</t>
        </is>
      </c>
      <c r="BT22" s="31">
        <f>IF(BS22="More than 20%",10,IF(BS22="Between 12 to 20%",5,IF(BS22="Less than 12%",0,0)))</f>
        <v/>
      </c>
      <c r="BU22" s="31" t="inlineStr">
        <is>
          <t>No</t>
        </is>
      </c>
      <c r="BV22" s="31">
        <f>IF(BU22="No",10,0)</f>
        <v/>
      </c>
      <c r="BW22" s="31" t="inlineStr">
        <is>
          <t>Yes</t>
        </is>
      </c>
      <c r="BX22" s="31">
        <f>IF(BW22="NO",5,0)</f>
        <v/>
      </c>
      <c r="BY22" s="31" t="inlineStr">
        <is>
          <t>Above 2</t>
        </is>
      </c>
      <c r="BZ22" s="31">
        <f>IF(BY22="Above 2",0,IF(BY22="Between 1.5 to 2",5,IF(BY22="Less than 1.5",10,0)))</f>
        <v/>
      </c>
      <c r="CA22" s="31" t="inlineStr">
        <is>
          <t>Above 70%</t>
        </is>
      </c>
      <c r="CB22" s="31">
        <f>IF(CA22="Above 70%",10,IF(CA22="Between 50% to 70%",5,IF(CA22="Less than 50%",0,IF(CA22="Negative",-10,IF(CA22="Less than 50% and Borrowings are increasing",-5,0)))))</f>
        <v/>
      </c>
      <c r="CC22" s="31" t="inlineStr">
        <is>
          <t>More than 1.2</t>
        </is>
      </c>
      <c r="CD22" s="31">
        <f>IF(CC22="More than 1.2",-10,IF(CC22="Between 0.7 to 1.2",0,IF(CC22="Less than 0.7",10,0)))</f>
        <v/>
      </c>
      <c r="CE22" s="31" t="inlineStr">
        <is>
          <t>No</t>
        </is>
      </c>
      <c r="CF22" s="31">
        <f>IF(CE22="Yes",-10,0)</f>
        <v/>
      </c>
      <c r="CG22" s="31" t="inlineStr">
        <is>
          <t>Less than 15%</t>
        </is>
      </c>
      <c r="CH22" s="31">
        <f>IF(CG22="More than 15%",-10,IF(CG22="Less than 15%",10,0))</f>
        <v/>
      </c>
      <c r="CI22" s="31" t="inlineStr">
        <is>
          <t>No</t>
        </is>
      </c>
      <c r="CJ22" s="31">
        <f>IF(CI22="Yes, more than 10%",-10,IF(CI22="No",10,0))</f>
        <v/>
      </c>
    </row>
    <row r="23">
      <c r="A23" s="31">
        <f>IF(B23=0,"",RANK(B23,$B$2:$B$23,0))</f>
        <v/>
      </c>
      <c r="B23" s="32">
        <f>SUM(S23,AD23,AF23,AH23,AJ23,AL23,AN23,AP23,AR23,AT23,AV23,AX23,AZ23,BB23,BD23,BF23,BH23,BJ23,BL23,BN23,BP23,BR23,BT23,BV23,BX23,BZ23,CB23,CD23,CF23,CH23,CJ23)</f>
        <v/>
      </c>
      <c r="C23" s="31" t="inlineStr">
        <is>
          <t>52W Breakout</t>
        </is>
      </c>
      <c r="D23" s="32" t="n">
        <v>138</v>
      </c>
      <c r="E23" s="32" t="inlineStr">
        <is>
          <t>5%</t>
        </is>
      </c>
      <c r="F23" s="32" t="n">
        <v>50000</v>
      </c>
      <c r="G23" s="32" t="n">
        <v>857</v>
      </c>
      <c r="H23" s="31" t="inlineStr">
        <is>
          <t>SBC</t>
        </is>
      </c>
      <c r="I23" s="31" t="inlineStr">
        <is>
          <t>SBC Exports Ltd</t>
        </is>
      </c>
      <c r="J23" s="31" t="inlineStr">
        <is>
          <t>textiles</t>
        </is>
      </c>
      <c r="K23" s="31" t="inlineStr">
        <is>
          <t>textiles - products</t>
        </is>
      </c>
      <c r="L23" s="31" t="inlineStr">
        <is>
          <t>smallcap</t>
        </is>
      </c>
      <c r="M23" s="32" t="n">
        <v>2606.19</v>
      </c>
      <c r="N23" s="32" t="n">
        <v>58.29</v>
      </c>
      <c r="O23" s="32" t="n">
        <v>6.5</v>
      </c>
      <c r="P23" s="32" t="n">
        <v>35616365</v>
      </c>
      <c r="Q23" s="31" t="n">
        <v>79</v>
      </c>
      <c r="R23" s="31" t="inlineStr">
        <is>
          <t>Outperforming</t>
        </is>
      </c>
      <c r="S23" s="32">
        <f>IF(R23="Underperforming",-5,IF(Q23&gt;=95,15,IF(Q23&gt;=90,10,IF(Q23&gt;=80,5,0))))</f>
        <v/>
      </c>
      <c r="T23" s="32" t="n">
        <v>84.40000000000001</v>
      </c>
      <c r="U23" s="32" t="n">
        <v>31.93</v>
      </c>
      <c r="V23" s="32" t="n">
        <v>47.93</v>
      </c>
      <c r="W23" s="31" t="inlineStr">
        <is>
          <t>Near 52W High Breakout</t>
        </is>
      </c>
      <c r="X23" s="31" t="inlineStr">
        <is>
          <t>Nifty 50</t>
        </is>
      </c>
      <c r="Y23" s="32" t="n">
        <v>-9.130000000000001</v>
      </c>
      <c r="Z23" s="32" t="n">
        <v>162.45</v>
      </c>
      <c r="AA23" s="32" t="n">
        <v>188.83</v>
      </c>
      <c r="AB23" s="32" t="n">
        <v>30.01</v>
      </c>
      <c r="AC23" s="31" t="inlineStr">
        <is>
          <t>Growing Industry</t>
        </is>
      </c>
      <c r="AD23" s="31">
        <f>IF(AC23="Growing Industry",10,IF(AC23="Cyclical in an Upturn",5,0))</f>
        <v/>
      </c>
      <c r="AE23" s="31" t="inlineStr">
        <is>
          <t>Too Many Players with High ROCE</t>
        </is>
      </c>
      <c r="AF23" s="31">
        <f>IF(AE23="Monopoly",10,IF(AE23="Oligopoly",5,IF(AE23="Duopoly that cooperate",10,IF(AE23="Duopoly that compete",5,IF(AE23="Too many players with High ROCE",5,0)))))</f>
        <v/>
      </c>
      <c r="AG23" s="31" t="inlineStr">
        <is>
          <t>No</t>
        </is>
      </c>
      <c r="AH23" s="31">
        <f>IF(AG23="No",5,0)</f>
        <v/>
      </c>
      <c r="AI23" s="31" t="inlineStr">
        <is>
          <t>Tailwind</t>
        </is>
      </c>
      <c r="AJ23" s="31">
        <f>IF(AI23="Tailwind",10,0)</f>
        <v/>
      </c>
      <c r="AK23" s="31" t="inlineStr">
        <is>
          <t>Structural (10 Years Consistency)</t>
        </is>
      </c>
      <c r="AL23" s="31">
        <f>IF(AK23="Structural (10 Years Consistency)",10,IF(AK23="Shallow Cyclical (2 to 3 years growth)",5,0))</f>
        <v/>
      </c>
      <c r="AM23" s="31" t="inlineStr">
        <is>
          <t>No</t>
        </is>
      </c>
      <c r="AN23" s="31">
        <f>IF(AM23="Yes due to Product Mix change or Operating Leverage",10,IF(AM23="Yes, these are peak margins",-5,IF(AM23="No",5,0)))</f>
        <v/>
      </c>
      <c r="AO23" s="31" t="inlineStr">
        <is>
          <t>Stable</t>
        </is>
      </c>
      <c r="AP23" s="31">
        <f>IF(AO23="Stable",10,0)</f>
        <v/>
      </c>
      <c r="AQ23" s="31" t="inlineStr">
        <is>
          <t>Yes</t>
        </is>
      </c>
      <c r="AR23" s="31">
        <f>IF(AQ23="Yes",10,0)</f>
        <v/>
      </c>
      <c r="AS23" s="31" t="inlineStr">
        <is>
          <t>B2B</t>
        </is>
      </c>
      <c r="AT23" s="31">
        <f>IF(AS23="B2C",10,IF(AS23="B2B",5,0))</f>
        <v/>
      </c>
      <c r="AU23" s="31" t="inlineStr">
        <is>
          <t>Yes</t>
        </is>
      </c>
      <c r="AV23" s="31">
        <f>IF(AU23="Yes",10,0)</f>
        <v/>
      </c>
      <c r="AW23" s="31" t="inlineStr">
        <is>
          <t>Higher One Time, Lower Annuity</t>
        </is>
      </c>
      <c r="AX23" s="31">
        <f>IF(AW23="Fully Annuity",10,IF(AW23="Higher Annuity, Lower One Time",5,IF(AW23="Higher One Time, Lower Annuity",3,0)))</f>
        <v/>
      </c>
      <c r="AY23" s="31" t="inlineStr">
        <is>
          <t>Good</t>
        </is>
      </c>
      <c r="AZ23" s="31">
        <f>IF(AY23="Good",10,0)</f>
        <v/>
      </c>
      <c r="BA23" s="31" t="inlineStr">
        <is>
          <t>Yes for more than 2 years</t>
        </is>
      </c>
      <c r="BB23" s="31">
        <f>IF(BA23="Yes for more than 2 years",10,IF(BA23="Yes only for next 1 to 2 years",5,0))</f>
        <v/>
      </c>
      <c r="BC23" s="31" t="inlineStr">
        <is>
          <t>20 to 40</t>
        </is>
      </c>
      <c r="BD23" s="31">
        <f>IF(BC23="Above 40",20,IF(BC23="20 to 40",10,IF(BC23="0 to 20",-5,0)))</f>
        <v/>
      </c>
      <c r="BE23" s="31" t="inlineStr">
        <is>
          <t>Above 75</t>
        </is>
      </c>
      <c r="BF23" s="31">
        <f>IF(BE23="Between 50 to 75",10,IF(BE23="Above 75",0,0))</f>
        <v/>
      </c>
      <c r="BG23" s="31" t="inlineStr">
        <is>
          <t>Stage 2</t>
        </is>
      </c>
      <c r="BH23" s="31">
        <f>IF(BG23="Stage 2",20,IF(BG23="Stage 1",0,IF(BG23="Stage 3",5,IF(BG23="Stage 4",-5,0))))</f>
        <v/>
      </c>
      <c r="BI23" s="31" t="inlineStr">
        <is>
          <t>Positive Trend</t>
        </is>
      </c>
      <c r="BJ23" s="31">
        <f>IF(BI23="Positive Trend",20,IF(BI23="Negative Trend",-10,0))</f>
        <v/>
      </c>
      <c r="BK23" s="31" t="inlineStr">
        <is>
          <t>Uptrend</t>
        </is>
      </c>
      <c r="BL23" s="31">
        <f>IF(BK23="Uptrend",10,IF(BK23="Sideways",5,0))</f>
        <v/>
      </c>
      <c r="BM23" s="31" t="inlineStr">
        <is>
          <t>Uptrend</t>
        </is>
      </c>
      <c r="BN23" s="31">
        <f>IF(BM23="Uptrend",10,IF(BM23="Sideways",5,0))</f>
        <v/>
      </c>
      <c r="BO23" s="31" t="inlineStr">
        <is>
          <t>Blue sky scenario</t>
        </is>
      </c>
      <c r="BP23" s="31">
        <f>IF(BO23="Overhead supply in last 2 years in last 2 years",-5,IF(BO23="Close to 52 week high or retracement",5,IF(BO23="Blue sky scenario",10,IF(BO23="Long term Downtrend",-10,0))))</f>
        <v/>
      </c>
      <c r="BQ23" s="31" t="inlineStr">
        <is>
          <t>Yes</t>
        </is>
      </c>
      <c r="BR23" s="31">
        <f>IF(BQ23="Yes",10,0)</f>
        <v/>
      </c>
      <c r="BS23" s="31" t="inlineStr">
        <is>
          <t>More than 20%</t>
        </is>
      </c>
      <c r="BT23" s="31">
        <f>IF(BS23="More than 20%",10,IF(BS23="Between 12 to 20%",5,IF(BS23="Less than 12%",0,0)))</f>
        <v/>
      </c>
      <c r="BU23" s="31" t="inlineStr">
        <is>
          <t>No</t>
        </is>
      </c>
      <c r="BV23" s="31">
        <f>IF(BU23="No",10,0)</f>
        <v/>
      </c>
      <c r="BW23" s="31" t="inlineStr">
        <is>
          <t>Yes</t>
        </is>
      </c>
      <c r="BX23" s="31">
        <f>IF(BW23="NO",5,0)</f>
        <v/>
      </c>
      <c r="BY23" s="31" t="inlineStr">
        <is>
          <t>Above 2</t>
        </is>
      </c>
      <c r="BZ23" s="31">
        <f>IF(BY23="Above 2",0,IF(BY23="Between 1.5 to 2",5,IF(BY23="Less than 1.5",10,0)))</f>
        <v/>
      </c>
      <c r="CA23" s="31" t="inlineStr">
        <is>
          <t>Above 70%</t>
        </is>
      </c>
      <c r="CB23" s="31">
        <f>IF(CA23="Above 70%",10,IF(CA23="Between 50% to 70%",5,IF(CA23="Less than 50%",0,IF(CA23="Negative",-10,IF(CA23="Less than 50% and Borrowings are increasing",-5,0)))))</f>
        <v/>
      </c>
      <c r="CC23" s="31" t="inlineStr">
        <is>
          <t>More than 1.2</t>
        </is>
      </c>
      <c r="CD23" s="31">
        <f>IF(CC23="More than 1.2",-10,IF(CC23="Between 0.7 to 1.2",0,IF(CC23="Less than 0.7",10,0)))</f>
        <v/>
      </c>
      <c r="CE23" s="31" t="inlineStr">
        <is>
          <t>No</t>
        </is>
      </c>
      <c r="CF23" s="31">
        <f>IF(CE23="Yes",-10,0)</f>
        <v/>
      </c>
      <c r="CG23" s="31" t="inlineStr">
        <is>
          <t>Less than 15%</t>
        </is>
      </c>
      <c r="CH23" s="31">
        <f>IF(CG23="More than 15%",-10,IF(CG23="Less than 15%",10,0))</f>
        <v/>
      </c>
      <c r="CI23" s="31" t="inlineStr">
        <is>
          <t>No</t>
        </is>
      </c>
      <c r="CJ23" s="31">
        <f>IF(CI23="Yes, more than 10%",-10,IF(CI23="No",10,0))</f>
        <v/>
      </c>
    </row>
  </sheetData>
  <autoFilter ref="A1:CJ23"/>
  <conditionalFormatting sqref="B2:B2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3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3">
    <cfRule type="cellIs" priority="36" operator="equal" dxfId="3" stopIfTrue="1">
      <formula>"Underperforming"</formula>
    </cfRule>
  </conditionalFormatting>
  <conditionalFormatting sqref="S2:S23">
    <cfRule type="cellIs" priority="37" operator="equal" dxfId="3" stopIfTrue="1">
      <formula>-5</formula>
    </cfRule>
  </conditionalFormatting>
  <conditionalFormatting sqref="V2:V23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3" showDropDown="0" showInputMessage="0" showErrorMessage="0" allowBlank="1" type="list">
      <formula1>"Growing Industry,Stagnant Industry,Cyclical in an Upturn"</formula1>
    </dataValidation>
    <dataValidation sqref="AE2:AE23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3" showDropDown="0" showInputMessage="0" showErrorMessage="0" allowBlank="1" type="list">
      <formula1>"Yes,No"</formula1>
    </dataValidation>
    <dataValidation sqref="AI2:AI23" showDropDown="0" showInputMessage="0" showErrorMessage="0" allowBlank="1" type="list">
      <formula1>"Tailwind,Headwind"</formula1>
    </dataValidation>
    <dataValidation sqref="AK2:AK23" showDropDown="0" showInputMessage="0" showErrorMessage="0" allowBlank="1" type="list">
      <formula1>"Structural (10 Years Consistency),Shallow Cyclical (2 to 3 Years Growth),Cyclical"</formula1>
    </dataValidation>
    <dataValidation sqref="AM2:AM23" showDropDown="0" showInputMessage="0" showErrorMessage="0" allowBlank="1" type="list">
      <formula1>"Yes due to Product Mix change or Operating Leverage,Yes, these are peak margins,No"</formula1>
    </dataValidation>
    <dataValidation sqref="AO2:AO23" showDropDown="0" showInputMessage="0" showErrorMessage="0" allowBlank="1" type="list">
      <formula1>"Stable,Volatile"</formula1>
    </dataValidation>
    <dataValidation sqref="AQ2:AQ23" showDropDown="0" showInputMessage="0" showErrorMessage="0" allowBlank="1" type="list">
      <formula1>"Yes,No"</formula1>
    </dataValidation>
    <dataValidation sqref="AS2:AS23" showDropDown="0" showInputMessage="0" showErrorMessage="0" allowBlank="1" type="list">
      <formula1>"B2C,B2B,B2G"</formula1>
    </dataValidation>
    <dataValidation sqref="AU2:AU23" showDropDown="0" showInputMessage="0" showErrorMessage="0" allowBlank="1" type="list">
      <formula1>"Yes,No"</formula1>
    </dataValidation>
    <dataValidation sqref="AW2:AW23" showDropDown="0" showInputMessage="0" showErrorMessage="0" allowBlank="1" type="list">
      <formula1>"Fully Annuity,Higher Annuity, Lower One time,Higher One Time, Lower Annuity,Fully One Time"</formula1>
    </dataValidation>
    <dataValidation sqref="AY2:AY23" showDropDown="0" showInputMessage="0" showErrorMessage="0" allowBlank="1" type="list">
      <formula1>"Good,Allocated capital in Non-core Areas"</formula1>
    </dataValidation>
    <dataValidation sqref="BA2:BA23" showDropDown="0" showInputMessage="0" showErrorMessage="0" allowBlank="1" type="list">
      <formula1>"Yes for more than 2 years,Yes only for next 1 to 2 years,No"</formula1>
    </dataValidation>
    <dataValidation sqref="BC2:BC23" showDropDown="0" showInputMessage="0" showErrorMessage="0" allowBlank="1" type="list">
      <formula1>"Above 40,20 to 40,0 to 20"</formula1>
    </dataValidation>
    <dataValidation sqref="BE2:BE23" showDropDown="0" showInputMessage="0" showErrorMessage="0" allowBlank="1" type="list">
      <formula1>"Between 50 to 75,Above 75,Below 45"</formula1>
    </dataValidation>
    <dataValidation sqref="BG2:BG23" showDropDown="0" showInputMessage="0" showErrorMessage="0" allowBlank="1" type="list">
      <formula1>"Stage 1,Stage 2,Stage 3,Stage 4"</formula1>
    </dataValidation>
    <dataValidation sqref="BI2:BI23" showDropDown="0" showInputMessage="0" showErrorMessage="0" allowBlank="1" type="list">
      <formula1>"Positive Trend,Negative Trend"</formula1>
    </dataValidation>
    <dataValidation sqref="BK2:BK23" showDropDown="0" showInputMessage="0" showErrorMessage="0" allowBlank="1" type="list">
      <formula1>"Uptrend,Sideways,Downtrend"</formula1>
    </dataValidation>
    <dataValidation sqref="BM2:BM23" showDropDown="0" showInputMessage="0" showErrorMessage="0" allowBlank="1" type="list">
      <formula1>"Uptrend,Sideways,Downtrend"</formula1>
    </dataValidation>
    <dataValidation sqref="BO2:BO2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3" showDropDown="0" showInputMessage="0" showErrorMessage="0" allowBlank="1" type="list">
      <formula1>"Yes,No"</formula1>
    </dataValidation>
    <dataValidation sqref="BS2:BS23" showDropDown="0" showInputMessage="0" showErrorMessage="0" allowBlank="1" type="list">
      <formula1>"More than 20%,Between 12 to 20%,Less than 12%"</formula1>
    </dataValidation>
    <dataValidation sqref="BU2:BU23" showDropDown="0" showInputMessage="0" showErrorMessage="0" allowBlank="1" type="list">
      <formula1>"Yes,No"</formula1>
    </dataValidation>
    <dataValidation sqref="BW2:BW23" showDropDown="0" showInputMessage="0" showErrorMessage="0" allowBlank="1" type="list">
      <formula1>"Yes,No"</formula1>
    </dataValidation>
    <dataValidation sqref="BY2:BY23" showDropDown="0" showInputMessage="0" showErrorMessage="0" allowBlank="1" type="list">
      <formula1>"Above 2,Between 1.5 to 2,Less than 1.5"</formula1>
    </dataValidation>
    <dataValidation sqref="CA2:CA23" showDropDown="0" showInputMessage="0" showErrorMessage="0" allowBlank="1" type="list">
      <formula1>"Above 70%,Between 50% to 70%,Less than 50%,Less than 50% and Borrowings are increasing,Negative"</formula1>
    </dataValidation>
    <dataValidation sqref="CC2:CC23" showDropDown="0" showInputMessage="0" showErrorMessage="0" allowBlank="1" type="list">
      <formula1>"More than 1.2,Between 0.7 to 1.2,Less than 0.7"</formula1>
    </dataValidation>
    <dataValidation sqref="CE2:CE23" showDropDown="0" showInputMessage="0" showErrorMessage="0" allowBlank="1" type="list">
      <formula1>"Yes,No"</formula1>
    </dataValidation>
    <dataValidation sqref="CG2:CG23" showDropDown="0" showInputMessage="0" showErrorMessage="0" allowBlank="1" type="list">
      <formula1>"More than 15%,Less than 15%"</formula1>
    </dataValidation>
    <dataValidation sqref="CI2:CI23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29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IF(B2=0,"",RANK(B2,$B$2:$B$97,0))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AIMTRON</t>
        </is>
      </c>
      <c r="D2" s="31" t="inlineStr">
        <is>
          <t>Aimtron Electronics Ltd</t>
        </is>
      </c>
      <c r="E2" s="31" t="inlineStr">
        <is>
          <t>unknown</t>
        </is>
      </c>
      <c r="F2" s="31" t="inlineStr">
        <is>
          <t>EMS</t>
        </is>
      </c>
      <c r="G2" s="31" t="inlineStr">
        <is>
          <t>smallcap</t>
        </is>
      </c>
      <c r="H2" s="32" t="n">
        <v>4168.73</v>
      </c>
      <c r="I2" s="32" t="n">
        <v>1959.5</v>
      </c>
      <c r="J2" s="32" t="n">
        <v>4.6</v>
      </c>
      <c r="K2" s="32" t="n">
        <v>0</v>
      </c>
      <c r="L2" s="31" t="n">
        <v>82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71.72</v>
      </c>
      <c r="P2" s="32" t="n">
        <v>64.83</v>
      </c>
      <c r="Q2" s="32" t="n">
        <v>1421.58</v>
      </c>
      <c r="R2" s="31" t="inlineStr">
        <is>
          <t>Near 52W High Breakout</t>
        </is>
      </c>
      <c r="S2" s="31" t="inlineStr">
        <is>
          <t>Nifty 50</t>
        </is>
      </c>
      <c r="T2" s="32" t="n">
        <v>-9.130000000000001</v>
      </c>
      <c r="U2" s="32" t="n">
        <v>166.56</v>
      </c>
      <c r="V2" s="32" t="n">
        <v>193.36</v>
      </c>
      <c r="W2" s="32" t="n">
        <v>32.21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23</t>
        </is>
      </c>
      <c r="CG2" s="31">
        <f>IF(CF2&gt;20,10,IF(CF2&gt;=10,5,2))</f>
        <v/>
      </c>
    </row>
    <row r="3">
      <c r="A3" s="31">
        <f>IF(B3=0,"",RANK(B3,$B$2:$B$97,0))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RPTECH</t>
        </is>
      </c>
      <c r="D3" s="31" t="inlineStr">
        <is>
          <t>Rashi Peripherals Ltd</t>
        </is>
      </c>
      <c r="E3" s="31" t="inlineStr">
        <is>
          <t>i.t</t>
        </is>
      </c>
      <c r="F3" s="31" t="inlineStr">
        <is>
          <t>Trading</t>
        </is>
      </c>
      <c r="G3" s="31" t="inlineStr">
        <is>
          <t>midcap</t>
        </is>
      </c>
      <c r="H3" s="32" t="n">
        <v>6295.26</v>
      </c>
      <c r="I3" s="32" t="n">
        <v>948</v>
      </c>
      <c r="J3" s="32" t="n">
        <v>2.45</v>
      </c>
      <c r="K3" s="32" t="n">
        <v>0</v>
      </c>
      <c r="L3" s="31" t="n">
        <v>86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74.15000000000001</v>
      </c>
      <c r="P3" s="32" t="n">
        <v>69.59999999999999</v>
      </c>
      <c r="Q3" s="32" t="n">
        <v>705.23</v>
      </c>
      <c r="R3" s="31" t="inlineStr">
        <is>
          <t>Near 52W High Breakout</t>
        </is>
      </c>
      <c r="S3" s="31" t="inlineStr">
        <is>
          <t>Nifty IT</t>
        </is>
      </c>
      <c r="T3" s="32" t="n">
        <v>-18.39</v>
      </c>
      <c r="U3" s="32" t="n">
        <v>202.53</v>
      </c>
      <c r="V3" s="32" t="n">
        <v>270.72</v>
      </c>
      <c r="W3" s="32" t="n">
        <v>35.06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23</t>
        </is>
      </c>
      <c r="CG3" s="31">
        <f>IF(CF3&gt;20,10,IF(CF3&gt;=10,5,2))</f>
        <v/>
      </c>
    </row>
    <row r="4">
      <c r="A4" s="31">
        <f>IF(B4=0,"",RANK(B4,$B$2:$B$97,0))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GNA</t>
        </is>
      </c>
      <c r="D4" s="31" t="inlineStr">
        <is>
          <t>GNA Axles Ltd</t>
        </is>
      </c>
      <c r="E4" s="31" t="inlineStr">
        <is>
          <t>auto</t>
        </is>
      </c>
      <c r="F4" s="31" t="inlineStr">
        <is>
          <t>Auto Axles</t>
        </is>
      </c>
      <c r="G4" s="31" t="inlineStr">
        <is>
          <t>smallcap</t>
        </is>
      </c>
      <c r="H4" s="32" t="n">
        <v>2575.85</v>
      </c>
      <c r="I4" s="32" t="n">
        <v>600</v>
      </c>
      <c r="J4" s="32" t="n">
        <v>1.05</v>
      </c>
      <c r="K4" s="32" t="n">
        <v>0</v>
      </c>
      <c r="L4" s="31" t="inlineStr"/>
      <c r="M4" s="31" t="inlineStr"/>
      <c r="N4" s="32">
        <f>IF(M4="Underperforming",-5,IF(L4&gt;=95,15,IF(L4&gt;=90,10,IF(L4&gt;=80,5,0))))</f>
        <v/>
      </c>
      <c r="O4" s="32" t="n">
        <v>68.20999999999999</v>
      </c>
      <c r="P4" s="32" t="n">
        <v>50.86</v>
      </c>
      <c r="Q4" s="32" t="n">
        <v>461.16</v>
      </c>
      <c r="R4" s="31" t="inlineStr">
        <is>
          <t>Near 52W High Breakout</t>
        </is>
      </c>
      <c r="S4" s="31" t="inlineStr">
        <is>
          <t>Nifty Auto</t>
        </is>
      </c>
      <c r="T4" s="32" t="inlineStr"/>
      <c r="U4" s="32" t="inlineStr"/>
      <c r="V4" s="32" t="inlineStr"/>
      <c r="W4" s="32" t="inlineStr"/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22</t>
        </is>
      </c>
      <c r="CG4" s="31">
        <f>IF(CF4&gt;20,10,IF(CF4&gt;=10,5,2))</f>
        <v/>
      </c>
    </row>
    <row r="5">
      <c r="A5" s="31">
        <f>IF(B5=0,"",RANK(B5,$B$2:$B$97,0))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KINGFA</t>
        </is>
      </c>
      <c r="D5" s="31" t="inlineStr">
        <is>
          <t>Kingfa Science &amp; Technology (India) Ltd</t>
        </is>
      </c>
      <c r="E5" s="31" t="inlineStr">
        <is>
          <t>plastic products</t>
        </is>
      </c>
      <c r="F5" s="31" t="inlineStr">
        <is>
          <t>Plastics Plastic and Plastic Products</t>
        </is>
      </c>
      <c r="G5" s="31" t="inlineStr">
        <is>
          <t>midcap</t>
        </is>
      </c>
      <c r="H5" s="32" t="n">
        <v>8808.4</v>
      </c>
      <c r="I5" s="32" t="n">
        <v>6500</v>
      </c>
      <c r="J5" s="32" t="n">
        <v>-0.38</v>
      </c>
      <c r="K5" s="32" t="n">
        <v>0</v>
      </c>
      <c r="L5" s="31" t="n">
        <v>41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70.81999999999999</v>
      </c>
      <c r="P5" s="32" t="n">
        <v>41.93</v>
      </c>
      <c r="Q5" s="32" t="n">
        <v>5184.28</v>
      </c>
      <c r="R5" s="31" t="inlineStr">
        <is>
          <t>Near 52W High Breakout</t>
        </is>
      </c>
      <c r="S5" s="31" t="inlineStr">
        <is>
          <t>Nifty 50</t>
        </is>
      </c>
      <c r="T5" s="32" t="n">
        <v>-9.130000000000001</v>
      </c>
      <c r="U5" s="32" t="n">
        <v>42.77</v>
      </c>
      <c r="V5" s="32" t="n">
        <v>57.13</v>
      </c>
      <c r="W5" s="32" t="n">
        <v>13.68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22</t>
        </is>
      </c>
      <c r="CG5" s="31">
        <f>IF(CF5&gt;20,10,IF(CF5&gt;=10,5,2))</f>
        <v/>
      </c>
    </row>
    <row r="6">
      <c r="A6" s="31">
        <f>IF(B6=0,"",RANK(B6,$B$2:$B$97,0))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TIMEX</t>
        </is>
      </c>
      <c r="D6" s="31" t="inlineStr">
        <is>
          <t>Timex Group India Ltd</t>
        </is>
      </c>
      <c r="E6" s="31" t="inlineStr">
        <is>
          <t>Consumer Cyclical</t>
        </is>
      </c>
      <c r="F6" s="31" t="inlineStr">
        <is>
          <t>Watches</t>
        </is>
      </c>
      <c r="G6" s="31" t="inlineStr">
        <is>
          <t>midcap</t>
        </is>
      </c>
      <c r="H6" s="32" t="n">
        <v>7257.8</v>
      </c>
      <c r="I6" s="32" t="n">
        <v>718.95</v>
      </c>
      <c r="J6" s="32" t="n">
        <v>-1.79</v>
      </c>
      <c r="K6" s="32" t="n">
        <v>0</v>
      </c>
      <c r="L6" s="31" t="n">
        <v>79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71.59999999999999</v>
      </c>
      <c r="P6" s="32" t="n">
        <v>60.92</v>
      </c>
      <c r="Q6" s="32" t="n">
        <v>552.55</v>
      </c>
      <c r="R6" s="31" t="inlineStr">
        <is>
          <t>Near 52W High Breakout</t>
        </is>
      </c>
      <c r="S6" s="31" t="inlineStr">
        <is>
          <t>Nifty 50</t>
        </is>
      </c>
      <c r="T6" s="32" t="n">
        <v>-9.130000000000001</v>
      </c>
      <c r="U6" s="32" t="n">
        <v>99.83</v>
      </c>
      <c r="V6" s="32" t="n">
        <v>119.92</v>
      </c>
      <c r="W6" s="32" t="n">
        <v>29.64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Yes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22</t>
        </is>
      </c>
      <c r="CG6" s="31">
        <f>IF(CF6&gt;20,10,IF(CF6&gt;=10,5,2))</f>
        <v/>
      </c>
    </row>
    <row r="7">
      <c r="A7" s="31">
        <f>IF(B7=0,"",RANK(B7,$B$2:$B$97,0))</f>
        <v/>
      </c>
      <c r="B7" s="32">
        <f>SUM(N7,Y7,AA7,AC7,AE7,AG7,AI7,AK7,AM7,AO7,AQ7,AS7,AU7,AW7,AY7,BA7,BC7,BE7,BG7,BI7,BK7,BM7,BO7,BQ7,BS7,BU7,BW7,BY7,CA7,CC7,CE7,CG7)</f>
        <v/>
      </c>
      <c r="C7" s="34" t="inlineStr">
        <is>
          <t>JGCHEM</t>
        </is>
      </c>
      <c r="D7" s="34" t="inlineStr">
        <is>
          <t>JGChemicals Ltd</t>
        </is>
      </c>
      <c r="E7" s="31" t="inlineStr">
        <is>
          <t>chemicals</t>
        </is>
      </c>
      <c r="F7" s="31" t="inlineStr">
        <is>
          <t>Chemicals Inorganic</t>
        </is>
      </c>
      <c r="G7" s="31" t="inlineStr">
        <is>
          <t>smallcap</t>
        </is>
      </c>
      <c r="H7" s="32" t="n">
        <v>2496.15</v>
      </c>
      <c r="I7" s="32" t="n">
        <v>637</v>
      </c>
      <c r="J7" s="32" t="n">
        <v>-3.29</v>
      </c>
      <c r="K7" s="32" t="n">
        <v>0</v>
      </c>
      <c r="L7" s="31" t="n">
        <v>65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72.54000000000001</v>
      </c>
      <c r="P7" s="32" t="n">
        <v>46.21</v>
      </c>
      <c r="Q7" s="32" t="n">
        <v>483.9</v>
      </c>
      <c r="R7" s="31" t="inlineStr">
        <is>
          <t>Near 52W High Breakout</t>
        </is>
      </c>
      <c r="S7" s="31" t="inlineStr">
        <is>
          <t>Nifty 50</t>
        </is>
      </c>
      <c r="T7" s="32" t="n">
        <v>-9.130000000000001</v>
      </c>
      <c r="U7" s="32" t="n">
        <v>52.89</v>
      </c>
      <c r="V7" s="32" t="n">
        <v>68.26000000000001</v>
      </c>
      <c r="W7" s="32" t="n">
        <v>22.03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19</t>
        </is>
      </c>
      <c r="CG7" s="31">
        <f>IF(CF7&gt;20,10,IF(CF7&gt;=10,5,2))</f>
        <v/>
      </c>
    </row>
    <row r="8">
      <c r="A8" s="31">
        <f>IF(B8=0,"",RANK(B8,$B$2:$B$97,0))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VIKRAMTH</t>
        </is>
      </c>
      <c r="D8" s="31" t="inlineStr">
        <is>
          <t>Vikram Thermo (India) Ltd</t>
        </is>
      </c>
      <c r="E8" s="31" t="inlineStr">
        <is>
          <t>Healthcare</t>
        </is>
      </c>
      <c r="F8" s="31" t="inlineStr">
        <is>
          <t>Specialty Chemicals</t>
        </is>
      </c>
      <c r="G8" s="31" t="inlineStr">
        <is>
          <t>smallcap</t>
        </is>
      </c>
      <c r="H8" s="32" t="n">
        <v>1360.93</v>
      </c>
      <c r="I8" s="32" t="n">
        <v>434</v>
      </c>
      <c r="J8" s="32" t="n">
        <v>3.11</v>
      </c>
      <c r="K8" s="32" t="n">
        <v>0</v>
      </c>
      <c r="L8" s="31" t="n">
        <v>93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92.7</v>
      </c>
      <c r="P8" s="32" t="n">
        <v>70.11</v>
      </c>
      <c r="Q8" s="32" t="n">
        <v>339.3</v>
      </c>
      <c r="R8" s="31" t="inlineStr">
        <is>
          <t>Near 52W High Breakout</t>
        </is>
      </c>
      <c r="S8" s="31" t="inlineStr">
        <is>
          <t>Nifty Pharma</t>
        </is>
      </c>
      <c r="T8" s="32" t="n">
        <v>21.52</v>
      </c>
      <c r="U8" s="32" t="n">
        <v>165.14</v>
      </c>
      <c r="V8" s="32" t="n">
        <v>118.19</v>
      </c>
      <c r="W8" s="32" t="n">
        <v>44.51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25</t>
        </is>
      </c>
      <c r="CG8" s="31">
        <f>IF(CF8&gt;20,10,IF(CF8&gt;=10,5,2))</f>
        <v/>
      </c>
    </row>
    <row r="9">
      <c r="A9" s="31">
        <f>IF(B9=0,"",RANK(B9,$B$2:$B$97,0))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TBZ</t>
        </is>
      </c>
      <c r="D9" s="31" t="inlineStr">
        <is>
          <t>Tribhovandas Bhimji Zaveri Ltd</t>
        </is>
      </c>
      <c r="E9" s="31" t="inlineStr">
        <is>
          <t>consumer discretionary</t>
        </is>
      </c>
      <c r="F9" s="31" t="inlineStr">
        <is>
          <t>Diamond Gems and Jewellery</t>
        </is>
      </c>
      <c r="G9" s="31" t="inlineStr">
        <is>
          <t>smallcap</t>
        </is>
      </c>
      <c r="H9" s="32" t="n">
        <v>4260.75</v>
      </c>
      <c r="I9" s="32" t="n">
        <v>638.5</v>
      </c>
      <c r="J9" s="32" t="n">
        <v>2.03</v>
      </c>
      <c r="K9" s="32" t="n">
        <v>0</v>
      </c>
      <c r="L9" s="31" t="n">
        <v>99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88.33</v>
      </c>
      <c r="P9" s="32" t="n">
        <v>63.54</v>
      </c>
      <c r="Q9" s="32" t="n">
        <v>495.62</v>
      </c>
      <c r="R9" s="31" t="inlineStr">
        <is>
          <t>Near 52W High Breakout</t>
        </is>
      </c>
      <c r="S9" s="31" t="inlineStr">
        <is>
          <t>Nifty 50</t>
        </is>
      </c>
      <c r="T9" s="32" t="n">
        <v>-9.130000000000001</v>
      </c>
      <c r="U9" s="32" t="n">
        <v>239.14</v>
      </c>
      <c r="V9" s="32" t="n">
        <v>273.23</v>
      </c>
      <c r="W9" s="32" t="n">
        <v>95.87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Between 0.7 to 1.2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21</t>
        </is>
      </c>
      <c r="CG9" s="31">
        <f>IF(CF9&gt;20,10,IF(CF9&gt;=10,5,2))</f>
        <v/>
      </c>
    </row>
    <row r="10">
      <c r="A10" s="31">
        <f>IF(B10=0,"",RANK(B10,$B$2:$B$97,0))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NRL</t>
        </is>
      </c>
      <c r="D10" s="31" t="inlineStr">
        <is>
          <t>Nupur Recyclers Ltd</t>
        </is>
      </c>
      <c r="E10" s="31" t="inlineStr">
        <is>
          <t>services</t>
        </is>
      </c>
      <c r="F10" s="31" t="inlineStr">
        <is>
          <t>Trading</t>
        </is>
      </c>
      <c r="G10" s="31" t="inlineStr">
        <is>
          <t>smallcap</t>
        </is>
      </c>
      <c r="H10" s="32" t="n">
        <v>1103.72</v>
      </c>
      <c r="I10" s="32" t="n">
        <v>159.8</v>
      </c>
      <c r="J10" s="32" t="n">
        <v>-0.12</v>
      </c>
      <c r="K10" s="32" t="n">
        <v>0</v>
      </c>
      <c r="L10" s="31" t="n">
        <v>90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90.5</v>
      </c>
      <c r="P10" s="32" t="n">
        <v>76.47</v>
      </c>
      <c r="Q10" s="32" t="n">
        <v>133.95</v>
      </c>
      <c r="R10" s="31" t="inlineStr">
        <is>
          <t>Near 52W High Breakout</t>
        </is>
      </c>
      <c r="S10" s="31" t="inlineStr">
        <is>
          <t>Nifty 50</t>
        </is>
      </c>
      <c r="T10" s="32" t="n">
        <v>-9.130000000000001</v>
      </c>
      <c r="U10" s="32" t="n">
        <v>122.22</v>
      </c>
      <c r="V10" s="32" t="n">
        <v>144.56</v>
      </c>
      <c r="W10" s="32" t="n">
        <v>40.14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20</t>
        </is>
      </c>
      <c r="CG10" s="31">
        <f>IF(CF10&gt;20,10,IF(CF10&gt;=10,5,2))</f>
        <v/>
      </c>
    </row>
    <row r="11">
      <c r="A11" s="31">
        <f>IF(B11=0,"",RANK(B11,$B$2:$B$97,0))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KPL</t>
        </is>
      </c>
      <c r="D11" s="31" t="inlineStr">
        <is>
          <t>Kwality Pharmaceuticals Ltd</t>
        </is>
      </c>
      <c r="E11" s="31" t="inlineStr">
        <is>
          <t>Healthcare</t>
        </is>
      </c>
      <c r="F11" s="31" t="inlineStr">
        <is>
          <t>Pharma Formulations</t>
        </is>
      </c>
      <c r="G11" s="31" t="inlineStr">
        <is>
          <t>smallcap</t>
        </is>
      </c>
      <c r="H11" s="32" t="n">
        <v>3785.24</v>
      </c>
      <c r="I11" s="32" t="n">
        <v>3648</v>
      </c>
      <c r="J11" s="32" t="n">
        <v>0.58</v>
      </c>
      <c r="K11" s="32" t="n">
        <v>0</v>
      </c>
      <c r="L11" s="31" t="n">
        <v>92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73.89</v>
      </c>
      <c r="P11" s="32" t="n">
        <v>69.34</v>
      </c>
      <c r="Q11" s="32" t="n">
        <v>2687.03</v>
      </c>
      <c r="R11" s="31" t="inlineStr">
        <is>
          <t>Near 52W High Breakout</t>
        </is>
      </c>
      <c r="S11" s="31" t="inlineStr">
        <is>
          <t>Nifty Pharma</t>
        </is>
      </c>
      <c r="T11" s="32" t="n">
        <v>21.52</v>
      </c>
      <c r="U11" s="32" t="n">
        <v>297.42</v>
      </c>
      <c r="V11" s="32" t="n">
        <v>227.05</v>
      </c>
      <c r="W11" s="32" t="n">
        <v>41.87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24</t>
        </is>
      </c>
      <c r="CG11" s="31">
        <f>IF(CF11&gt;20,10,IF(CF11&gt;=10,5,2))</f>
        <v/>
      </c>
    </row>
    <row r="12">
      <c r="A12" s="31">
        <f>IF(B12=0,"",RANK(B12,$B$2:$B$97,0))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4" t="inlineStr">
        <is>
          <t>DPABHUSHAN</t>
        </is>
      </c>
      <c r="D12" s="34" t="inlineStr">
        <is>
          <t>DP Abhushan Ltd</t>
        </is>
      </c>
      <c r="E12" s="31" t="inlineStr">
        <is>
          <t>consumer discretionary</t>
        </is>
      </c>
      <c r="F12" s="31" t="inlineStr">
        <is>
          <t>Diamond Gems and Jewellery</t>
        </is>
      </c>
      <c r="G12" s="31" t="inlineStr">
        <is>
          <t>smallcap</t>
        </is>
      </c>
      <c r="H12" s="32" t="n">
        <v>4104.46</v>
      </c>
      <c r="I12" s="32" t="n">
        <v>1798</v>
      </c>
      <c r="J12" s="32" t="n">
        <v>7.94</v>
      </c>
      <c r="K12" s="32" t="n">
        <v>0</v>
      </c>
      <c r="L12" s="31" t="n">
        <v>73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72.54000000000001</v>
      </c>
      <c r="P12" s="32" t="n">
        <v>35.87</v>
      </c>
      <c r="Q12" s="32" t="n">
        <v>1308.27</v>
      </c>
      <c r="R12" s="31" t="inlineStr">
        <is>
          <t>Volume Spike &amp; Near 52W High Breakout</t>
        </is>
      </c>
      <c r="S12" s="31" t="inlineStr">
        <is>
          <t>Nifty 50</t>
        </is>
      </c>
      <c r="T12" s="32" t="n">
        <v>-9.130000000000001</v>
      </c>
      <c r="U12" s="32" t="n">
        <v>23.93</v>
      </c>
      <c r="V12" s="32" t="n">
        <v>36.39</v>
      </c>
      <c r="W12" s="32" t="n">
        <v>27.05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20 to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30</t>
        </is>
      </c>
      <c r="CG12" s="31">
        <f>IF(CF12&gt;20,10,IF(CF12&gt;=10,5,2))</f>
        <v/>
      </c>
    </row>
    <row r="13">
      <c r="A13" s="31">
        <f>IF(B13=0,"",RANK(B13,$B$2:$B$97,0))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BHAGERIA</t>
        </is>
      </c>
      <c r="D13" s="31" t="inlineStr">
        <is>
          <t>Bhageria Industries Ltd</t>
        </is>
      </c>
      <c r="E13" s="31" t="inlineStr">
        <is>
          <t>chemicals</t>
        </is>
      </c>
      <c r="F13" s="31" t="inlineStr">
        <is>
          <t>Dyes and Pigments</t>
        </is>
      </c>
      <c r="G13" s="31" t="inlineStr">
        <is>
          <t>smallcap</t>
        </is>
      </c>
      <c r="H13" s="32" t="n">
        <v>1780.68</v>
      </c>
      <c r="I13" s="32" t="n">
        <v>408</v>
      </c>
      <c r="J13" s="32" t="n">
        <v>7.98</v>
      </c>
      <c r="K13" s="32" t="n">
        <v>0</v>
      </c>
      <c r="L13" s="31" t="n">
        <v>92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84.22</v>
      </c>
      <c r="P13" s="32" t="n">
        <v>43.19</v>
      </c>
      <c r="Q13" s="32" t="n">
        <v>313.71</v>
      </c>
      <c r="R13" s="31" t="inlineStr">
        <is>
          <t>Near 52W High Breakout</t>
        </is>
      </c>
      <c r="S13" s="31" t="inlineStr">
        <is>
          <t>Nifty 50</t>
        </is>
      </c>
      <c r="T13" s="32" t="n">
        <v>-9.130000000000001</v>
      </c>
      <c r="U13" s="32" t="n">
        <v>132.06</v>
      </c>
      <c r="V13" s="32" t="n">
        <v>155.39</v>
      </c>
      <c r="W13" s="32" t="n">
        <v>41.33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28</t>
        </is>
      </c>
      <c r="CG13" s="31">
        <f>IF(CF13&gt;20,10,IF(CF13&gt;=10,5,2))</f>
        <v/>
      </c>
    </row>
    <row r="14">
      <c r="A14" s="31">
        <f>IF(B14=0,"",RANK(B14,$B$2:$B$97,0))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4" t="inlineStr">
        <is>
          <t>VALIANTORG</t>
        </is>
      </c>
      <c r="D14" s="34" t="inlineStr">
        <is>
          <t>Valiant Organics Ltd</t>
        </is>
      </c>
      <c r="E14" s="31" t="inlineStr">
        <is>
          <t>chemicals</t>
        </is>
      </c>
      <c r="F14" s="31" t="inlineStr">
        <is>
          <t>Chemicals Organic</t>
        </is>
      </c>
      <c r="G14" s="31" t="inlineStr">
        <is>
          <t>smallcap</t>
        </is>
      </c>
      <c r="H14" s="32" t="n">
        <v>1283.99</v>
      </c>
      <c r="I14" s="32" t="n">
        <v>458</v>
      </c>
      <c r="J14" s="32" t="n">
        <v>13.2</v>
      </c>
      <c r="K14" s="32" t="n">
        <v>0</v>
      </c>
      <c r="L14" s="31" t="n">
        <v>66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73.53</v>
      </c>
      <c r="P14" s="32" t="n">
        <v>44.22</v>
      </c>
      <c r="Q14" s="32" t="n">
        <v>332.1</v>
      </c>
      <c r="R14" s="31" t="inlineStr">
        <is>
          <t>Volume Spike &amp; Near 52W High Breakout</t>
        </is>
      </c>
      <c r="S14" s="31" t="inlineStr">
        <is>
          <t>Nifty 50</t>
        </is>
      </c>
      <c r="T14" s="32" t="n">
        <v>-9.130000000000001</v>
      </c>
      <c r="U14" s="32" t="n">
        <v>34.66</v>
      </c>
      <c r="V14" s="32" t="n">
        <v>48.2</v>
      </c>
      <c r="W14" s="32" t="n">
        <v>22.53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22</t>
        </is>
      </c>
      <c r="CG14" s="31">
        <f>IF(CF14&gt;20,10,IF(CF14&gt;=10,5,2))</f>
        <v/>
      </c>
    </row>
    <row r="15">
      <c r="A15" s="31">
        <f>IF(B15=0,"",RANK(B15,$B$2:$B$97,0))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CASTROLIND</t>
        </is>
      </c>
      <c r="D15" s="31" t="inlineStr">
        <is>
          <t>Castrol India Ltd</t>
        </is>
      </c>
      <c r="E15" s="31" t="inlineStr">
        <is>
          <t>chemicals</t>
        </is>
      </c>
      <c r="F15" s="31" t="inlineStr">
        <is>
          <t>Lubricants</t>
        </is>
      </c>
      <c r="G15" s="31" t="inlineStr">
        <is>
          <t>midcap</t>
        </is>
      </c>
      <c r="H15" s="32" t="n">
        <v>19822.01</v>
      </c>
      <c r="I15" s="32" t="n">
        <v>200.4</v>
      </c>
      <c r="J15" s="32" t="n">
        <v>0.29</v>
      </c>
      <c r="K15" s="32" t="n">
        <v>0</v>
      </c>
      <c r="L15" s="31" t="n">
        <v>9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73.12</v>
      </c>
      <c r="P15" s="32" t="n">
        <v>41.92</v>
      </c>
      <c r="Q15" s="32" t="n">
        <v>184.11</v>
      </c>
      <c r="R15" s="31" t="inlineStr">
        <is>
          <t>Near 52W High Breakout</t>
        </is>
      </c>
      <c r="S15" s="31" t="inlineStr">
        <is>
          <t>Nifty 50</t>
        </is>
      </c>
      <c r="T15" s="32" t="n">
        <v>-9.130000000000001</v>
      </c>
      <c r="U15" s="32" t="n">
        <v>5.2</v>
      </c>
      <c r="V15" s="32" t="n">
        <v>15.78</v>
      </c>
      <c r="W15" s="32" t="n">
        <v>3.7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Between 50% to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22</t>
        </is>
      </c>
      <c r="CG15" s="31">
        <f>IF(CF15&gt;20,10,IF(CF15&gt;=10,5,2))</f>
        <v/>
      </c>
    </row>
    <row r="16">
      <c r="A16" s="31">
        <f>IF(B16=0,"",RANK(B16,$B$2:$B$97,0))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KMEW</t>
        </is>
      </c>
      <c r="D16" s="31" t="inlineStr">
        <is>
          <t>Knowledge Marine &amp; Engineering Works Ltd</t>
        </is>
      </c>
      <c r="E16" s="31" t="inlineStr">
        <is>
          <t>transportation</t>
        </is>
      </c>
      <c r="F16" s="31" t="inlineStr">
        <is>
          <t>Shipping</t>
        </is>
      </c>
      <c r="G16" s="31" t="inlineStr">
        <is>
          <t>midcap</t>
        </is>
      </c>
      <c r="H16" s="32" t="n">
        <v>7749.81</v>
      </c>
      <c r="I16" s="32" t="n">
        <v>3055.4</v>
      </c>
      <c r="J16" s="32" t="n">
        <v>-0.58</v>
      </c>
      <c r="K16" s="32" t="n">
        <v>0</v>
      </c>
      <c r="L16" s="31" t="n">
        <v>81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74.72</v>
      </c>
      <c r="P16" s="32" t="n">
        <v>58.35</v>
      </c>
      <c r="Q16" s="32" t="n">
        <v>2209.36</v>
      </c>
      <c r="R16" s="31" t="inlineStr">
        <is>
          <t>Volume Spike &amp; Near 52W High Breakout</t>
        </is>
      </c>
      <c r="S16" s="31" t="inlineStr">
        <is>
          <t>Nifty 50</t>
        </is>
      </c>
      <c r="T16" s="32" t="n">
        <v>-9.130000000000001</v>
      </c>
      <c r="U16" s="32" t="n">
        <v>158.82</v>
      </c>
      <c r="V16" s="32" t="n">
        <v>184.83</v>
      </c>
      <c r="W16" s="32" t="n">
        <v>31.31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20</t>
        </is>
      </c>
      <c r="CG16" s="31">
        <f>IF(CF16&gt;20,10,IF(CF16&gt;=10,5,2))</f>
        <v/>
      </c>
    </row>
    <row r="17">
      <c r="A17" s="31">
        <f>IF(B17=0,"",RANK(B17,$B$2:$B$97,0))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MBECL</t>
        </is>
      </c>
      <c r="D17" s="31" t="inlineStr">
        <is>
          <t>McNally Bharat Engineering Company Ltd</t>
        </is>
      </c>
      <c r="E17" s="31" t="inlineStr">
        <is>
          <t>realty</t>
        </is>
      </c>
      <c r="F17" s="31" t="inlineStr">
        <is>
          <t>Engineering Turnkey Services</t>
        </is>
      </c>
      <c r="G17" s="31" t="inlineStr">
        <is>
          <t>smallcap</t>
        </is>
      </c>
      <c r="H17" s="32" t="n">
        <v>1614.4</v>
      </c>
      <c r="I17" s="32" t="n">
        <v>484.32</v>
      </c>
      <c r="J17" s="32" t="n">
        <v>2</v>
      </c>
      <c r="K17" s="32" t="n">
        <v>0</v>
      </c>
      <c r="L17" s="31" t="inlineStr"/>
      <c r="M17" s="31" t="inlineStr"/>
      <c r="N17" s="32">
        <f>IF(M17="Underperforming",-5,IF(L17&gt;=95,15,IF(L17&gt;=90,10,IF(L17&gt;=80,5,0))))</f>
        <v/>
      </c>
      <c r="O17" s="32" t="n">
        <v>99.95999999999999</v>
      </c>
      <c r="P17" s="32" t="n">
        <v>72.98999999999999</v>
      </c>
      <c r="Q17" s="32" t="n">
        <v>410.98</v>
      </c>
      <c r="R17" s="31" t="inlineStr">
        <is>
          <t>Near 52W High Breakout</t>
        </is>
      </c>
      <c r="S17" s="31" t="inlineStr">
        <is>
          <t>Nifty Realty</t>
        </is>
      </c>
      <c r="T17" s="32" t="inlineStr"/>
      <c r="U17" s="32" t="inlineStr"/>
      <c r="V17" s="32" t="inlineStr"/>
      <c r="W17" s="32" t="inlineStr"/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20</t>
        </is>
      </c>
      <c r="CG17" s="31">
        <f>IF(CF17&gt;20,10,IF(CF17&gt;=10,5,2))</f>
        <v/>
      </c>
    </row>
    <row r="18">
      <c r="A18" s="31">
        <f>IF(B18=0,"",RANK(B18,$B$2:$B$97,0))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IBULLSLTD</t>
        </is>
      </c>
      <c r="D18" s="31" t="inlineStr">
        <is>
          <t>Indiabulls Limited</t>
        </is>
      </c>
      <c r="E18" s="31" t="inlineStr">
        <is>
          <t>miscellaneous</t>
        </is>
      </c>
      <c r="F18" s="31" t="inlineStr">
        <is>
          <t>Diversified</t>
        </is>
      </c>
      <c r="G18" s="31" t="inlineStr">
        <is>
          <t>midcap</t>
        </is>
      </c>
      <c r="H18" s="32" t="n">
        <v>6894</v>
      </c>
      <c r="I18" s="32" t="n">
        <v>29.56</v>
      </c>
      <c r="J18" s="32" t="n">
        <v>-1.24</v>
      </c>
      <c r="K18" s="32" t="n">
        <v>0</v>
      </c>
      <c r="L18" s="31" t="n">
        <v>74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63.69</v>
      </c>
      <c r="P18" s="32" t="n">
        <v>39.66</v>
      </c>
      <c r="Q18" s="32" t="n">
        <v>21.16</v>
      </c>
      <c r="R18" s="31" t="inlineStr">
        <is>
          <t>Near 52W High Breakout</t>
        </is>
      </c>
      <c r="S18" s="31" t="inlineStr">
        <is>
          <t>Nifty 50</t>
        </is>
      </c>
      <c r="T18" s="32" t="n">
        <v>-9.130000000000001</v>
      </c>
      <c r="U18" s="32" t="n">
        <v>66.25</v>
      </c>
      <c r="V18" s="32" t="n">
        <v>82.97</v>
      </c>
      <c r="W18" s="32" t="n">
        <v>27.36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20 to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19</t>
        </is>
      </c>
      <c r="CG18" s="31">
        <f>IF(CF18&gt;20,10,IF(CF18&gt;=10,5,2))</f>
        <v/>
      </c>
    </row>
    <row r="19">
      <c r="A19" s="31">
        <f>IF(B19=0,"",RANK(B19,$B$2:$B$97,0))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QUADFUTURE</t>
        </is>
      </c>
      <c r="D19" s="31" t="inlineStr">
        <is>
          <t>Quadrant Future Tek Ltd</t>
        </is>
      </c>
      <c r="E19" s="31" t="inlineStr">
        <is>
          <t>industrials</t>
        </is>
      </c>
      <c r="F19" s="31" t="inlineStr">
        <is>
          <t>Railways Kavach and Springs</t>
        </is>
      </c>
      <c r="G19" s="31" t="inlineStr">
        <is>
          <t>smallcap</t>
        </is>
      </c>
      <c r="H19" s="32" t="n">
        <v>2188</v>
      </c>
      <c r="I19" s="32" t="n">
        <v>547</v>
      </c>
      <c r="J19" s="32" t="n">
        <v>0.89</v>
      </c>
      <c r="K19" s="32" t="n">
        <v>0</v>
      </c>
      <c r="L19" s="31" t="inlineStr"/>
      <c r="M19" s="31" t="inlineStr"/>
      <c r="N19" s="32">
        <f>IF(M19="Underperforming",-5,IF(L19&gt;=95,15,IF(L19&gt;=90,10,IF(L19&gt;=80,5,0))))</f>
        <v/>
      </c>
      <c r="O19" s="32" t="n">
        <v>71.95999999999999</v>
      </c>
      <c r="P19" s="32" t="n">
        <v>40.74</v>
      </c>
      <c r="Q19" s="32" t="n">
        <v>387.26</v>
      </c>
      <c r="R19" s="31" t="inlineStr">
        <is>
          <t>Near 52W High Breakout</t>
        </is>
      </c>
      <c r="S19" s="31" t="inlineStr">
        <is>
          <t>Nifty Energy</t>
        </is>
      </c>
      <c r="T19" s="32" t="inlineStr"/>
      <c r="U19" s="32" t="inlineStr"/>
      <c r="V19" s="32" t="inlineStr"/>
      <c r="W19" s="32" t="inlineStr"/>
      <c r="X19" s="31" t="inlineStr">
        <is>
          <t>Cyclical in an Upturn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18</t>
        </is>
      </c>
      <c r="CG19" s="31">
        <f>IF(CF19&gt;20,10,IF(CF19&gt;=10,5,2))</f>
        <v/>
      </c>
    </row>
    <row r="20">
      <c r="A20" s="31">
        <f>IF(B20=0,"",RANK(B20,$B$2:$B$97,0))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4" t="inlineStr">
        <is>
          <t>RPEL</t>
        </is>
      </c>
      <c r="D20" s="34" t="inlineStr">
        <is>
          <t>Raghav Productivity Enhancers Ltd</t>
        </is>
      </c>
      <c r="E20" s="31" t="inlineStr">
        <is>
          <t>building materials</t>
        </is>
      </c>
      <c r="F20" s="31" t="inlineStr">
        <is>
          <t>Refractories</t>
        </is>
      </c>
      <c r="G20" s="31" t="inlineStr">
        <is>
          <t>midcap</t>
        </is>
      </c>
      <c r="H20" s="32" t="n">
        <v>8311.870000000001</v>
      </c>
      <c r="I20" s="32" t="n">
        <v>1810</v>
      </c>
      <c r="J20" s="32" t="n">
        <v>5.35</v>
      </c>
      <c r="K20" s="32" t="n">
        <v>0</v>
      </c>
      <c r="L20" s="31" t="inlineStr"/>
      <c r="M20" s="31" t="inlineStr"/>
      <c r="N20" s="32">
        <f>IF(M20="Underperforming",-5,IF(L20&gt;=95,15,IF(L20&gt;=90,10,IF(L20&gt;=80,5,0))))</f>
        <v/>
      </c>
      <c r="O20" s="32" t="n">
        <v>74.12</v>
      </c>
      <c r="P20" s="32" t="n">
        <v>62.29</v>
      </c>
      <c r="Q20" s="32" t="n">
        <v>1369.74</v>
      </c>
      <c r="R20" s="31" t="inlineStr">
        <is>
          <t>Near 52W High Breakout</t>
        </is>
      </c>
      <c r="S20" s="31" t="inlineStr">
        <is>
          <t>Nifty Infra</t>
        </is>
      </c>
      <c r="T20" s="32" t="inlineStr"/>
      <c r="U20" s="32" t="inlineStr"/>
      <c r="V20" s="32" t="inlineStr"/>
      <c r="W20" s="32" t="inlineStr"/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Between 1.5 to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18</t>
        </is>
      </c>
      <c r="CG20" s="31">
        <f>IF(CF20&gt;20,10,IF(CF20&gt;=10,5,2))</f>
        <v/>
      </c>
    </row>
    <row r="21">
      <c r="A21" s="31">
        <f>IF(B21=0,"",RANK(B21,$B$2:$B$97,0))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MOREPENLAB</t>
        </is>
      </c>
      <c r="D21" s="31" t="inlineStr">
        <is>
          <t>Morepen Laboratories Ltd</t>
        </is>
      </c>
      <c r="E21" s="31" t="inlineStr">
        <is>
          <t>healthcare</t>
        </is>
      </c>
      <c r="F21" s="31" t="inlineStr">
        <is>
          <t>Pharma API</t>
        </is>
      </c>
      <c r="G21" s="31" t="inlineStr">
        <is>
          <t>midcap</t>
        </is>
      </c>
      <c r="H21" s="32" t="n">
        <v>6887.78</v>
      </c>
      <c r="I21" s="32" t="n">
        <v>125.7</v>
      </c>
      <c r="J21" s="32" t="n">
        <v>5.81</v>
      </c>
      <c r="K21" s="32" t="n">
        <v>0</v>
      </c>
      <c r="L21" s="31" t="n">
        <v>96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88.97</v>
      </c>
      <c r="P21" s="32" t="n">
        <v>56.52</v>
      </c>
      <c r="Q21" s="32" t="n">
        <v>94.54000000000001</v>
      </c>
      <c r="R21" s="31" t="inlineStr">
        <is>
          <t>Near 52W High Breakout</t>
        </is>
      </c>
      <c r="S21" s="31" t="inlineStr">
        <is>
          <t>Nifty Pharma</t>
        </is>
      </c>
      <c r="T21" s="32" t="n">
        <v>21.52</v>
      </c>
      <c r="U21" s="32" t="n">
        <v>156.35</v>
      </c>
      <c r="V21" s="32" t="n">
        <v>110.95</v>
      </c>
      <c r="W21" s="32" t="n">
        <v>51.77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21</t>
        </is>
      </c>
      <c r="CG21" s="31">
        <f>IF(CF21&gt;20,10,IF(CF21&gt;=10,5,2))</f>
        <v/>
      </c>
    </row>
    <row r="22">
      <c r="A22" s="31">
        <f>IF(B22=0,"",RANK(B22,$B$2:$B$97,0))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ASMTEC</t>
        </is>
      </c>
      <c r="D22" s="31" t="inlineStr">
        <is>
          <t>ASM Technologies Ltd</t>
        </is>
      </c>
      <c r="E22" s="31" t="inlineStr">
        <is>
          <t>Technology</t>
        </is>
      </c>
      <c r="F22" s="31" t="inlineStr">
        <is>
          <t>IT Services</t>
        </is>
      </c>
      <c r="G22" s="31" t="inlineStr">
        <is>
          <t>midcap</t>
        </is>
      </c>
      <c r="H22" s="32" t="n">
        <v>9838.700000000001</v>
      </c>
      <c r="I22" s="32" t="n">
        <v>6745</v>
      </c>
      <c r="J22" s="32" t="n">
        <v>-1.81</v>
      </c>
      <c r="K22" s="32" t="n">
        <v>0</v>
      </c>
      <c r="L22" s="31" t="n">
        <v>81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78</v>
      </c>
      <c r="P22" s="32" t="n">
        <v>59.39</v>
      </c>
      <c r="Q22" s="32" t="n">
        <v>5267.43</v>
      </c>
      <c r="R22" s="31" t="inlineStr">
        <is>
          <t>Near 52W High Breakout</t>
        </is>
      </c>
      <c r="S22" s="31" t="inlineStr">
        <is>
          <t>Nifty 50</t>
        </is>
      </c>
      <c r="T22" s="32" t="n">
        <v>-9.130000000000001</v>
      </c>
      <c r="U22" s="32" t="n">
        <v>63.43</v>
      </c>
      <c r="V22" s="32" t="n">
        <v>79.84999999999999</v>
      </c>
      <c r="W22" s="32" t="n">
        <v>31.01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Between 1.5 to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19</t>
        </is>
      </c>
      <c r="CG22" s="31">
        <f>IF(CF22&gt;20,10,IF(CF22&gt;=10,5,2))</f>
        <v/>
      </c>
    </row>
    <row r="23">
      <c r="A23" s="31">
        <f>IF(B23=0,"",RANK(B23,$B$2:$B$97,0))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INDSWFTLAB</t>
        </is>
      </c>
      <c r="D23" s="31" t="inlineStr">
        <is>
          <t>Ind-Swift Laboratories Ltd</t>
        </is>
      </c>
      <c r="E23" s="31" t="inlineStr">
        <is>
          <t>healthcare</t>
        </is>
      </c>
      <c r="F23" s="31" t="inlineStr">
        <is>
          <t>Pharma Formulations</t>
        </is>
      </c>
      <c r="G23" s="31" t="inlineStr">
        <is>
          <t>smallcap</t>
        </is>
      </c>
      <c r="H23" s="32" t="n">
        <v>3374.11</v>
      </c>
      <c r="I23" s="32" t="n">
        <v>388</v>
      </c>
      <c r="J23" s="32" t="n">
        <v>-6.08</v>
      </c>
      <c r="K23" s="32" t="n">
        <v>0</v>
      </c>
      <c r="L23" s="31" t="n">
        <v>97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79.70999999999999</v>
      </c>
      <c r="P23" s="32" t="n">
        <v>76.16</v>
      </c>
      <c r="Q23" s="32" t="n">
        <v>296.43</v>
      </c>
      <c r="R23" s="31" t="inlineStr">
        <is>
          <t>Near 52W High Breakout</t>
        </is>
      </c>
      <c r="S23" s="31" t="inlineStr">
        <is>
          <t>Nifty Pharma</t>
        </is>
      </c>
      <c r="T23" s="32" t="n">
        <v>21.52</v>
      </c>
      <c r="U23" s="32" t="n">
        <v>299.78</v>
      </c>
      <c r="V23" s="32" t="n">
        <v>228.99</v>
      </c>
      <c r="W23" s="32" t="n">
        <v>52.62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19</t>
        </is>
      </c>
      <c r="CG23" s="31">
        <f>IF(CF23&gt;20,10,IF(CF23&gt;=10,5,2))</f>
        <v/>
      </c>
    </row>
    <row r="24">
      <c r="A24" s="31">
        <f>IF(B24=0,"",RANK(B24,$B$2:$B$97,0))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AHCL</t>
        </is>
      </c>
      <c r="D24" s="31" t="inlineStr">
        <is>
          <t>Anlon Healthcare Ltd</t>
        </is>
      </c>
      <c r="E24" s="31" t="inlineStr">
        <is>
          <t>healthcare</t>
        </is>
      </c>
      <c r="F24" s="31" t="inlineStr">
        <is>
          <t>Pharma API</t>
        </is>
      </c>
      <c r="G24" s="31" t="inlineStr">
        <is>
          <t>smallcap</t>
        </is>
      </c>
      <c r="H24" s="32" t="n">
        <v>1837.98</v>
      </c>
      <c r="I24" s="32" t="n">
        <v>34.58</v>
      </c>
      <c r="J24" s="32" t="n">
        <v>-4.97</v>
      </c>
      <c r="K24" s="32" t="n">
        <v>0</v>
      </c>
      <c r="L24" s="31" t="n">
        <v>97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89.06</v>
      </c>
      <c r="P24" s="32" t="n">
        <v>47.36</v>
      </c>
      <c r="Q24" s="32" t="n">
        <v>26.7</v>
      </c>
      <c r="R24" s="31" t="inlineStr">
        <is>
          <t>Near 52W High Breakout</t>
        </is>
      </c>
      <c r="S24" s="31" t="inlineStr">
        <is>
          <t>Nifty Pharma</t>
        </is>
      </c>
      <c r="T24" s="32" t="n">
        <v>21.52</v>
      </c>
      <c r="U24" s="32" t="n">
        <v>172.63</v>
      </c>
      <c r="V24" s="32" t="n">
        <v>124.35</v>
      </c>
      <c r="W24" s="32" t="n">
        <v>54.23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18</t>
        </is>
      </c>
      <c r="CG24" s="31">
        <f>IF(CF24&gt;20,10,IF(CF24&gt;=10,5,2))</f>
        <v/>
      </c>
    </row>
    <row r="25">
      <c r="A25" s="31">
        <f>IF(B25=0,"",RANK(B25,$B$2:$B$97,0))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4" t="inlineStr">
        <is>
          <t>LENSKART</t>
        </is>
      </c>
      <c r="D25" s="34" t="inlineStr">
        <is>
          <t>Lenskart Solutions Ltd</t>
        </is>
      </c>
      <c r="E25" s="31" t="inlineStr">
        <is>
          <t>Healthcare</t>
        </is>
      </c>
      <c r="F25" s="31" t="inlineStr">
        <is>
          <t>New age Platform E Retail</t>
        </is>
      </c>
      <c r="G25" s="31" t="inlineStr">
        <is>
          <t>largecap</t>
        </is>
      </c>
      <c r="H25" s="32" t="n">
        <v>118794.61</v>
      </c>
      <c r="I25" s="32" t="n">
        <v>683</v>
      </c>
      <c r="J25" s="32" t="n">
        <v>1.25</v>
      </c>
      <c r="K25" s="32" t="n">
        <v>0</v>
      </c>
      <c r="L25" s="31" t="n">
        <v>51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69.40000000000001</v>
      </c>
      <c r="P25" s="32" t="n">
        <v>56.04</v>
      </c>
      <c r="Q25" s="32" t="n">
        <v>577.95</v>
      </c>
      <c r="R25" s="31" t="inlineStr">
        <is>
          <t>Near 52W High Breakout</t>
        </is>
      </c>
      <c r="S25" s="31" t="inlineStr">
        <is>
          <t>Nifty Pharma</t>
        </is>
      </c>
      <c r="T25" s="32" t="n">
        <v>15.85</v>
      </c>
      <c r="U25" s="32" t="n">
        <v>67.47</v>
      </c>
      <c r="V25" s="32" t="n">
        <v>44.56</v>
      </c>
      <c r="W25" s="32" t="n">
        <v>17.18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B2C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18</t>
        </is>
      </c>
      <c r="CG25" s="31">
        <f>IF(CF25&gt;20,10,IF(CF25&gt;=10,5,2))</f>
        <v/>
      </c>
    </row>
    <row r="26">
      <c r="A26" s="31">
        <f>IF(B26=0,"",RANK(B26,$B$2:$B$97,0))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BODALCHEM</t>
        </is>
      </c>
      <c r="D26" s="31" t="inlineStr">
        <is>
          <t>Bodal Chemicals Ltd</t>
        </is>
      </c>
      <c r="E26" s="31" t="inlineStr">
        <is>
          <t>chemicals</t>
        </is>
      </c>
      <c r="F26" s="31" t="inlineStr">
        <is>
          <t>Dyes and Pigments</t>
        </is>
      </c>
      <c r="G26" s="31" t="inlineStr">
        <is>
          <t>smallcap</t>
        </is>
      </c>
      <c r="H26" s="32" t="n">
        <v>2506.29</v>
      </c>
      <c r="I26" s="32" t="n">
        <v>199</v>
      </c>
      <c r="J26" s="32" t="n">
        <v>3.65</v>
      </c>
      <c r="K26" s="32" t="n">
        <v>0</v>
      </c>
      <c r="L26" s="31" t="n">
        <v>99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88.59</v>
      </c>
      <c r="P26" s="32" t="n">
        <v>48.06</v>
      </c>
      <c r="Q26" s="32" t="n">
        <v>156.98</v>
      </c>
      <c r="R26" s="31" t="inlineStr">
        <is>
          <t>Near 52W High Breakout</t>
        </is>
      </c>
      <c r="S26" s="31" t="inlineStr">
        <is>
          <t>Nifty 50</t>
        </is>
      </c>
      <c r="T26" s="32" t="n">
        <v>-9.130000000000001</v>
      </c>
      <c r="U26" s="32" t="n">
        <v>215.74</v>
      </c>
      <c r="V26" s="32" t="n">
        <v>247.48</v>
      </c>
      <c r="W26" s="32" t="n">
        <v>86.64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Between 0.7 to 1.2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27</t>
        </is>
      </c>
      <c r="CG26" s="31">
        <f>IF(CF26&gt;20,10,IF(CF26&gt;=10,5,2))</f>
        <v/>
      </c>
    </row>
    <row r="27">
      <c r="A27" s="31">
        <f>IF(B27=0,"",RANK(B27,$B$2:$B$97,0))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SKYGOLD</t>
        </is>
      </c>
      <c r="D27" s="31" t="inlineStr">
        <is>
          <t>Sky Gold &amp; Diamonds Ltd</t>
        </is>
      </c>
      <c r="E27" s="31" t="inlineStr">
        <is>
          <t>consumer discretionary</t>
        </is>
      </c>
      <c r="F27" s="31" t="inlineStr">
        <is>
          <t>Diamond Gems and Jewellery</t>
        </is>
      </c>
      <c r="G27" s="31" t="inlineStr">
        <is>
          <t>midcap</t>
        </is>
      </c>
      <c r="H27" s="32" t="n">
        <v>12574.21</v>
      </c>
      <c r="I27" s="32" t="n">
        <v>811.9</v>
      </c>
      <c r="J27" s="32" t="n">
        <v>-1.09</v>
      </c>
      <c r="K27" s="32" t="n">
        <v>0</v>
      </c>
      <c r="L27" s="31" t="n">
        <v>84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72.81</v>
      </c>
      <c r="P27" s="32" t="n">
        <v>67.92</v>
      </c>
      <c r="Q27" s="32" t="n">
        <v>629.28</v>
      </c>
      <c r="R27" s="31" t="inlineStr">
        <is>
          <t>Near 52W High Breakout</t>
        </is>
      </c>
      <c r="S27" s="31" t="inlineStr">
        <is>
          <t>Nifty 50</t>
        </is>
      </c>
      <c r="T27" s="32" t="n">
        <v>-9.130000000000001</v>
      </c>
      <c r="U27" s="32" t="n">
        <v>185.01</v>
      </c>
      <c r="V27" s="32" t="n">
        <v>213.65</v>
      </c>
      <c r="W27" s="32" t="n">
        <v>34.68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Between 0.7 to 1.2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24</t>
        </is>
      </c>
      <c r="CG27" s="31">
        <f>IF(CF27&gt;20,10,IF(CF27&gt;=10,5,2))</f>
        <v/>
      </c>
    </row>
    <row r="28">
      <c r="A28" s="31">
        <f>IF(B28=0,"",RANK(B28,$B$2:$B$97,0))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SYRMA</t>
        </is>
      </c>
      <c r="D28" s="31" t="inlineStr">
        <is>
          <t>Syrma SGS Technology Ltd</t>
        </is>
      </c>
      <c r="E28" s="31" t="inlineStr">
        <is>
          <t>consumer discretionary</t>
        </is>
      </c>
      <c r="F28" s="31" t="inlineStr">
        <is>
          <t>EMS</t>
        </is>
      </c>
      <c r="G28" s="31" t="inlineStr">
        <is>
          <t>largecap</t>
        </is>
      </c>
      <c r="H28" s="32" t="n">
        <v>34429.88</v>
      </c>
      <c r="I28" s="32" t="n">
        <v>1785.5</v>
      </c>
      <c r="J28" s="32" t="n">
        <v>5.49</v>
      </c>
      <c r="K28" s="32" t="n">
        <v>0</v>
      </c>
      <c r="L28" s="31" t="n">
        <v>73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78.06</v>
      </c>
      <c r="P28" s="32" t="n">
        <v>60.33</v>
      </c>
      <c r="Q28" s="32" t="n">
        <v>1387.79</v>
      </c>
      <c r="R28" s="31" t="inlineStr">
        <is>
          <t>Near 52W High Breakout</t>
        </is>
      </c>
      <c r="S28" s="31" t="inlineStr">
        <is>
          <t>Nifty 50</t>
        </is>
      </c>
      <c r="T28" s="32" t="n">
        <v>-9.130000000000001</v>
      </c>
      <c r="U28" s="32" t="n">
        <v>115.42</v>
      </c>
      <c r="V28" s="32" t="n">
        <v>137.07</v>
      </c>
      <c r="W28" s="32" t="n">
        <v>25.82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23</t>
        </is>
      </c>
      <c r="CG28" s="31">
        <f>IF(CF28&gt;20,10,IF(CF28&gt;=10,5,2))</f>
        <v/>
      </c>
    </row>
    <row r="29">
      <c r="A29" s="31">
        <f>IF(B29=0,"",RANK(B29,$B$2:$B$97,0))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LOTUSDEV</t>
        </is>
      </c>
      <c r="D29" s="31" t="inlineStr">
        <is>
          <t>Sri Lotus Developers &amp; Realty Ltd</t>
        </is>
      </c>
      <c r="E29" s="31" t="inlineStr">
        <is>
          <t>realty</t>
        </is>
      </c>
      <c r="F29" s="31" t="inlineStr">
        <is>
          <t>Construction Factories and Offices and Commercial</t>
        </is>
      </c>
      <c r="G29" s="31" t="inlineStr">
        <is>
          <t>midcap</t>
        </is>
      </c>
      <c r="H29" s="32" t="n">
        <v>10922.97</v>
      </c>
      <c r="I29" s="32" t="n">
        <v>223.5</v>
      </c>
      <c r="J29" s="32" t="n">
        <v>4.37</v>
      </c>
      <c r="K29" s="32" t="n">
        <v>0</v>
      </c>
      <c r="L29" s="31" t="inlineStr"/>
      <c r="M29" s="31" t="inlineStr"/>
      <c r="N29" s="32">
        <f>IF(M29="Underperforming",-5,IF(L29&gt;=95,15,IF(L29&gt;=90,10,IF(L29&gt;=80,5,0))))</f>
        <v/>
      </c>
      <c r="O29" s="32" t="n">
        <v>69.31999999999999</v>
      </c>
      <c r="P29" s="32" t="n">
        <v>28.67</v>
      </c>
      <c r="Q29" s="32" t="n">
        <v>171.47</v>
      </c>
      <c r="R29" s="31" t="inlineStr">
        <is>
          <t>Near 52W High Breakout</t>
        </is>
      </c>
      <c r="S29" s="31" t="inlineStr">
        <is>
          <t>Nifty Realty</t>
        </is>
      </c>
      <c r="T29" s="32" t="inlineStr"/>
      <c r="U29" s="32" t="inlineStr"/>
      <c r="V29" s="32" t="inlineStr"/>
      <c r="W29" s="32" t="inlineStr"/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22</t>
        </is>
      </c>
      <c r="CG29" s="31">
        <f>IF(CF29&gt;20,10,IF(CF29&gt;=10,5,2))</f>
        <v/>
      </c>
    </row>
    <row r="30">
      <c r="A30" s="31">
        <f>IF(B30=0,"",RANK(B30,$B$2:$B$97,0))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MACPOWER</t>
        </is>
      </c>
      <c r="D30" s="31" t="inlineStr">
        <is>
          <t>Macpower CNC Machines Ltd</t>
        </is>
      </c>
      <c r="E30" s="31" t="inlineStr">
        <is>
          <t>industrials</t>
        </is>
      </c>
      <c r="F30" s="31" t="inlineStr">
        <is>
          <t>CNC Machines</t>
        </is>
      </c>
      <c r="G30" s="31" t="inlineStr">
        <is>
          <t>smallcap</t>
        </is>
      </c>
      <c r="H30" s="32" t="n">
        <v>2104.98</v>
      </c>
      <c r="I30" s="32" t="n">
        <v>2104.1</v>
      </c>
      <c r="J30" s="32" t="n">
        <v>-1.13</v>
      </c>
      <c r="K30" s="32" t="n">
        <v>0</v>
      </c>
      <c r="L30" s="31" t="n">
        <v>84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73.84999999999999</v>
      </c>
      <c r="P30" s="32" t="n">
        <v>55.08</v>
      </c>
      <c r="Q30" s="32" t="n">
        <v>1494.69</v>
      </c>
      <c r="R30" s="31" t="inlineStr">
        <is>
          <t>Near 52W High Breakout</t>
        </is>
      </c>
      <c r="S30" s="31" t="inlineStr">
        <is>
          <t>Nifty 50</t>
        </is>
      </c>
      <c r="T30" s="32" t="n">
        <v>-9.130000000000001</v>
      </c>
      <c r="U30" s="32" t="n">
        <v>156.03</v>
      </c>
      <c r="V30" s="32" t="n">
        <v>181.77</v>
      </c>
      <c r="W30" s="32" t="n">
        <v>33.83</v>
      </c>
      <c r="X30" s="31" t="inlineStr">
        <is>
          <t>Cyclical in an Upturn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22</t>
        </is>
      </c>
      <c r="CG30" s="31">
        <f>IF(CF30&gt;20,10,IF(CF30&gt;=10,5,2))</f>
        <v/>
      </c>
    </row>
    <row r="31">
      <c r="A31" s="31">
        <f>IF(B31=0,"",RANK(B31,$B$2:$B$97,0))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4" t="inlineStr">
        <is>
          <t>SWARAJ</t>
        </is>
      </c>
      <c r="D31" s="34" t="inlineStr">
        <is>
          <t>Swaraj Suiting Ltd</t>
        </is>
      </c>
      <c r="E31" s="31" t="inlineStr">
        <is>
          <t>Consumer Cyclical</t>
        </is>
      </c>
      <c r="F31" s="31" t="inlineStr">
        <is>
          <t>Textiles Spinning</t>
        </is>
      </c>
      <c r="G31" s="31" t="inlineStr">
        <is>
          <t>smallcap</t>
        </is>
      </c>
      <c r="H31" s="32" t="n">
        <v>1031.63</v>
      </c>
      <c r="I31" s="32" t="n">
        <v>390.5</v>
      </c>
      <c r="J31" s="32" t="n">
        <v>4.64</v>
      </c>
      <c r="K31" s="32" t="n">
        <v>0</v>
      </c>
      <c r="L31" s="31" t="n">
        <v>70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62.63</v>
      </c>
      <c r="P31" s="32" t="n">
        <v>32.7</v>
      </c>
      <c r="Q31" s="32" t="n">
        <v>289.53</v>
      </c>
      <c r="R31" s="31" t="inlineStr">
        <is>
          <t>Near 52W High Breakout</t>
        </is>
      </c>
      <c r="S31" s="31" t="inlineStr">
        <is>
          <t>Nifty 50</t>
        </is>
      </c>
      <c r="T31" s="32" t="n">
        <v>-9.130000000000001</v>
      </c>
      <c r="U31" s="32" t="n">
        <v>130.55</v>
      </c>
      <c r="V31" s="32" t="n">
        <v>153.73</v>
      </c>
      <c r="W31" s="32" t="n">
        <v>24.5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B2C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Between 0.7 to 1.2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21</t>
        </is>
      </c>
      <c r="CG31" s="31">
        <f>IF(CF31&gt;20,10,IF(CF31&gt;=10,5,2))</f>
        <v/>
      </c>
    </row>
    <row r="32">
      <c r="A32" s="31">
        <f>IF(B32=0,"",RANK(B32,$B$2:$B$97,0))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WELSPUNLIV</t>
        </is>
      </c>
      <c r="D32" s="31" t="inlineStr">
        <is>
          <t>Welspun Living Ltd</t>
        </is>
      </c>
      <c r="E32" s="31" t="inlineStr">
        <is>
          <t>textiles</t>
        </is>
      </c>
      <c r="F32" s="31" t="inlineStr">
        <is>
          <t>Textiles Home Textile</t>
        </is>
      </c>
      <c r="G32" s="31" t="inlineStr">
        <is>
          <t>largecap</t>
        </is>
      </c>
      <c r="H32" s="32" t="n">
        <v>21464.78</v>
      </c>
      <c r="I32" s="32" t="n">
        <v>227.2</v>
      </c>
      <c r="J32" s="32" t="n">
        <v>0.88</v>
      </c>
      <c r="K32" s="32" t="n">
        <v>0</v>
      </c>
      <c r="L32" s="31" t="n">
        <v>67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82.48</v>
      </c>
      <c r="P32" s="32" t="n">
        <v>44.94</v>
      </c>
      <c r="Q32" s="32" t="n">
        <v>184.08</v>
      </c>
      <c r="R32" s="31" t="inlineStr">
        <is>
          <t>Near 52W High Breakout</t>
        </is>
      </c>
      <c r="S32" s="31" t="inlineStr">
        <is>
          <t>Nifty 50</t>
        </is>
      </c>
      <c r="T32" s="32" t="n">
        <v>-9.130000000000001</v>
      </c>
      <c r="U32" s="32" t="n">
        <v>94.06999999999999</v>
      </c>
      <c r="V32" s="32" t="n">
        <v>113.58</v>
      </c>
      <c r="W32" s="32" t="n">
        <v>22.82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20</t>
        </is>
      </c>
      <c r="CG32" s="31">
        <f>IF(CF32&gt;20,10,IF(CF32&gt;=10,5,2))</f>
        <v/>
      </c>
    </row>
    <row r="33">
      <c r="A33" s="31">
        <f>IF(B33=0,"",RANK(B33,$B$2:$B$97,0))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SHANTIGOLD</t>
        </is>
      </c>
      <c r="D33" s="31" t="inlineStr">
        <is>
          <t>Shanti Gold International Ltd</t>
        </is>
      </c>
      <c r="E33" s="31" t="inlineStr">
        <is>
          <t>consumer discretionary</t>
        </is>
      </c>
      <c r="F33" s="31" t="inlineStr">
        <is>
          <t>Diamond Gems and Jewellery</t>
        </is>
      </c>
      <c r="G33" s="31" t="inlineStr">
        <is>
          <t>smallcap</t>
        </is>
      </c>
      <c r="H33" s="32" t="n">
        <v>2371.02</v>
      </c>
      <c r="I33" s="32" t="n">
        <v>308.97</v>
      </c>
      <c r="J33" s="32" t="n">
        <v>0.6899999999999999</v>
      </c>
      <c r="K33" s="32" t="n">
        <v>0</v>
      </c>
      <c r="L33" s="31" t="n">
        <v>52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68.17</v>
      </c>
      <c r="P33" s="32" t="n">
        <v>41.32</v>
      </c>
      <c r="Q33" s="32" t="n">
        <v>241.14</v>
      </c>
      <c r="R33" s="31" t="inlineStr">
        <is>
          <t>Earnings / Momentum Support</t>
        </is>
      </c>
      <c r="S33" s="31" t="inlineStr">
        <is>
          <t>Nifty 50</t>
        </is>
      </c>
      <c r="T33" s="32" t="n">
        <v>-9.130000000000001</v>
      </c>
      <c r="U33" s="32" t="n">
        <v>44.54</v>
      </c>
      <c r="V33" s="32" t="n">
        <v>59.07</v>
      </c>
      <c r="W33" s="32" t="n">
        <v>17.47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20</t>
        </is>
      </c>
      <c r="CG33" s="31">
        <f>IF(CF33&gt;20,10,IF(CF33&gt;=10,5,2))</f>
        <v/>
      </c>
    </row>
    <row r="34">
      <c r="A34" s="31">
        <f>IF(B34=0,"",RANK(B34,$B$2:$B$97,0))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MOTISONS</t>
        </is>
      </c>
      <c r="D34" s="31" t="inlineStr">
        <is>
          <t>Motisons Jewellers Ltd</t>
        </is>
      </c>
      <c r="E34" s="31" t="inlineStr">
        <is>
          <t>consumer discretionary</t>
        </is>
      </c>
      <c r="F34" s="31" t="inlineStr">
        <is>
          <t>Diamond Gems and Jewellery</t>
        </is>
      </c>
      <c r="G34" s="31" t="inlineStr">
        <is>
          <t>smallcap</t>
        </is>
      </c>
      <c r="H34" s="32" t="n">
        <v>2048.65</v>
      </c>
      <c r="I34" s="32" t="n">
        <v>18.01</v>
      </c>
      <c r="J34" s="32" t="n">
        <v>2.21</v>
      </c>
      <c r="K34" s="32" t="n">
        <v>0</v>
      </c>
      <c r="L34" s="31" t="n">
        <v>17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64.09999999999999</v>
      </c>
      <c r="P34" s="32" t="n">
        <v>26.29</v>
      </c>
      <c r="Q34" s="32" t="n">
        <v>12.63</v>
      </c>
      <c r="R34" s="31" t="inlineStr">
        <is>
          <t>Near 52W High Breakout</t>
        </is>
      </c>
      <c r="S34" s="31" t="inlineStr">
        <is>
          <t>Nifty 50</t>
        </is>
      </c>
      <c r="T34" s="32" t="n">
        <v>-9.130000000000001</v>
      </c>
      <c r="U34" s="32" t="n">
        <v>-2.44</v>
      </c>
      <c r="V34" s="32" t="n">
        <v>7.37</v>
      </c>
      <c r="W34" s="32" t="n">
        <v>6.46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20</t>
        </is>
      </c>
      <c r="CG34" s="31">
        <f>IF(CF34&gt;20,10,IF(CF34&gt;=10,5,2))</f>
        <v/>
      </c>
    </row>
    <row r="35">
      <c r="A35" s="31">
        <f>IF(B35=0,"",RANK(B35,$B$2:$B$97,0))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4" t="inlineStr">
        <is>
          <t>AZAD</t>
        </is>
      </c>
      <c r="D35" s="34" t="inlineStr">
        <is>
          <t>Azad Engineering Ltd</t>
        </is>
      </c>
      <c r="E35" s="31" t="inlineStr">
        <is>
          <t>aerospace &amp; defence</t>
        </is>
      </c>
      <c r="F35" s="31" t="inlineStr">
        <is>
          <t>Aerospace and Defence Equipment</t>
        </is>
      </c>
      <c r="G35" s="31" t="inlineStr">
        <is>
          <t>midcap</t>
        </is>
      </c>
      <c r="H35" s="32" t="n">
        <v>19309.94</v>
      </c>
      <c r="I35" s="32" t="n">
        <v>2990</v>
      </c>
      <c r="J35" s="32" t="n">
        <v>2.6</v>
      </c>
      <c r="K35" s="32" t="n">
        <v>0</v>
      </c>
      <c r="L35" s="31" t="n">
        <v>61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69.02</v>
      </c>
      <c r="P35" s="32" t="n">
        <v>43</v>
      </c>
      <c r="Q35" s="32" t="n">
        <v>2252.24</v>
      </c>
      <c r="R35" s="31" t="inlineStr">
        <is>
          <t>Volume Spike &amp; Near 52W High Breakout</t>
        </is>
      </c>
      <c r="S35" s="31" t="inlineStr">
        <is>
          <t>Nifty 50</t>
        </is>
      </c>
      <c r="T35" s="32" t="n">
        <v>-9.130000000000001</v>
      </c>
      <c r="U35" s="32" t="n">
        <v>71.44</v>
      </c>
      <c r="V35" s="32" t="n">
        <v>88.68000000000001</v>
      </c>
      <c r="W35" s="32" t="n">
        <v>20.79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19</t>
        </is>
      </c>
      <c r="CG35" s="31">
        <f>IF(CF35&gt;20,10,IF(CF35&gt;=10,5,2))</f>
        <v/>
      </c>
    </row>
    <row r="36">
      <c r="A36" s="31">
        <f>IF(B36=0,"",RANK(B36,$B$2:$B$97,0))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4" t="inlineStr">
        <is>
          <t>THELEELA</t>
        </is>
      </c>
      <c r="D36" s="34" t="inlineStr">
        <is>
          <t>Leela Palaces Hotels &amp; Resorts Ltd</t>
        </is>
      </c>
      <c r="E36" s="31" t="inlineStr">
        <is>
          <t>services</t>
        </is>
      </c>
      <c r="F36" s="31" t="inlineStr">
        <is>
          <t>Hotels</t>
        </is>
      </c>
      <c r="G36" s="31" t="inlineStr">
        <is>
          <t>midcap</t>
        </is>
      </c>
      <c r="H36" s="32" t="n">
        <v>19336.16</v>
      </c>
      <c r="I36" s="32" t="n">
        <v>579</v>
      </c>
      <c r="J36" s="32" t="n">
        <v>8.51</v>
      </c>
      <c r="K36" s="32" t="n">
        <v>0</v>
      </c>
      <c r="L36" s="31" t="n">
        <v>33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69.89</v>
      </c>
      <c r="P36" s="32" t="n">
        <v>41.38</v>
      </c>
      <c r="Q36" s="32" t="n">
        <v>465.44</v>
      </c>
      <c r="R36" s="31" t="inlineStr">
        <is>
          <t>Near 52W High Breakout</t>
        </is>
      </c>
      <c r="S36" s="31" t="inlineStr">
        <is>
          <t>Nifty 50</t>
        </is>
      </c>
      <c r="T36" s="32" t="n">
        <v>-9.130000000000001</v>
      </c>
      <c r="U36" s="32" t="n">
        <v>32.96</v>
      </c>
      <c r="V36" s="32" t="n">
        <v>46.33</v>
      </c>
      <c r="W36" s="32" t="n">
        <v>10.44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19</t>
        </is>
      </c>
      <c r="CG36" s="31">
        <f>IF(CF36&gt;20,10,IF(CF36&gt;=10,5,2))</f>
        <v/>
      </c>
    </row>
    <row r="37">
      <c r="A37" s="31">
        <f>IF(B37=0,"",RANK(B37,$B$2:$B$97,0))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CUPID</t>
        </is>
      </c>
      <c r="D37" s="31" t="inlineStr">
        <is>
          <t>Cupid Ltd</t>
        </is>
      </c>
      <c r="E37" s="31" t="inlineStr">
        <is>
          <t>fmcg</t>
        </is>
      </c>
      <c r="F37" s="31" t="inlineStr">
        <is>
          <t>Contraceptives and Protectives</t>
        </is>
      </c>
      <c r="G37" s="31" t="inlineStr">
        <is>
          <t>largecap</t>
        </is>
      </c>
      <c r="H37" s="32" t="n">
        <v>41953.41</v>
      </c>
      <c r="I37" s="32" t="n">
        <v>312</v>
      </c>
      <c r="J37" s="32" t="n">
        <v>8.33</v>
      </c>
      <c r="K37" s="32" t="n">
        <v>0</v>
      </c>
      <c r="L37" s="31" t="inlineStr"/>
      <c r="M37" s="31" t="inlineStr"/>
      <c r="N37" s="32">
        <f>IF(M37="Underperforming",-5,IF(L37&gt;=95,15,IF(L37&gt;=90,10,IF(L37&gt;=80,5,0))))</f>
        <v/>
      </c>
      <c r="O37" s="32" t="n">
        <v>82.45</v>
      </c>
      <c r="P37" s="32" t="n">
        <v>67.40000000000001</v>
      </c>
      <c r="Q37" s="32" t="n">
        <v>235.33</v>
      </c>
      <c r="R37" s="31" t="inlineStr">
        <is>
          <t>Near 52W High Breakout</t>
        </is>
      </c>
      <c r="S37" s="31" t="inlineStr">
        <is>
          <t>Nifty FMCG</t>
        </is>
      </c>
      <c r="T37" s="32" t="inlineStr"/>
      <c r="U37" s="32" t="inlineStr"/>
      <c r="V37" s="32" t="inlineStr"/>
      <c r="W37" s="32" t="inlineStr"/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B2C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26</t>
        </is>
      </c>
      <c r="CG37" s="31">
        <f>IF(CF37&gt;20,10,IF(CF37&gt;=10,5,2))</f>
        <v/>
      </c>
    </row>
    <row r="38">
      <c r="A38" s="31">
        <f>IF(B38=0,"",RANK(B38,$B$2:$B$97,0))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SHILPAMED</t>
        </is>
      </c>
      <c r="D38" s="31" t="inlineStr">
        <is>
          <t>Shilpa Medicare Ltd</t>
        </is>
      </c>
      <c r="E38" s="31" t="inlineStr">
        <is>
          <t>healthcare</t>
        </is>
      </c>
      <c r="F38" s="31" t="inlineStr">
        <is>
          <t>Pharma API</t>
        </is>
      </c>
      <c r="G38" s="31" t="inlineStr">
        <is>
          <t>largecap</t>
        </is>
      </c>
      <c r="H38" s="32" t="n">
        <v>20378.65</v>
      </c>
      <c r="I38" s="32" t="n">
        <v>1041.95</v>
      </c>
      <c r="J38" s="32" t="n">
        <v>-1.31</v>
      </c>
      <c r="K38" s="32" t="n">
        <v>0</v>
      </c>
      <c r="L38" s="31" t="n">
        <v>91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91.17</v>
      </c>
      <c r="P38" s="32" t="n">
        <v>82.64</v>
      </c>
      <c r="Q38" s="32" t="n">
        <v>841.85</v>
      </c>
      <c r="R38" s="31" t="inlineStr">
        <is>
          <t>Near 52W High Breakout</t>
        </is>
      </c>
      <c r="S38" s="31" t="inlineStr">
        <is>
          <t>Nifty Pharma</t>
        </is>
      </c>
      <c r="T38" s="32" t="n">
        <v>21.52</v>
      </c>
      <c r="U38" s="32" t="n">
        <v>172.21</v>
      </c>
      <c r="V38" s="32" t="n">
        <v>124</v>
      </c>
      <c r="W38" s="32" t="n">
        <v>41.08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21</t>
        </is>
      </c>
      <c r="CG38" s="31">
        <f>IF(CF38&gt;20,10,IF(CF38&gt;=10,5,2))</f>
        <v/>
      </c>
    </row>
    <row r="39">
      <c r="A39" s="31">
        <f>IF(B39=0,"",RANK(B39,$B$2:$B$97,0))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LAURUSLABS</t>
        </is>
      </c>
      <c r="D39" s="31" t="inlineStr">
        <is>
          <t>Laurus Labs Ltd</t>
        </is>
      </c>
      <c r="E39" s="31" t="inlineStr">
        <is>
          <t>healthcare</t>
        </is>
      </c>
      <c r="F39" s="31" t="inlineStr">
        <is>
          <t>Pharma API</t>
        </is>
      </c>
      <c r="G39" s="31" t="inlineStr">
        <is>
          <t>largecap</t>
        </is>
      </c>
      <c r="H39" s="32" t="n">
        <v>106981.82</v>
      </c>
      <c r="I39" s="32" t="n">
        <v>1980</v>
      </c>
      <c r="J39" s="32" t="n">
        <v>0.05</v>
      </c>
      <c r="K39" s="32" t="n">
        <v>0</v>
      </c>
      <c r="L39" s="31" t="n">
        <v>72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74.95</v>
      </c>
      <c r="P39" s="32" t="n">
        <v>76.31</v>
      </c>
      <c r="Q39" s="32" t="n">
        <v>1714.49</v>
      </c>
      <c r="R39" s="31" t="inlineStr">
        <is>
          <t>Near 52W High Breakout</t>
        </is>
      </c>
      <c r="S39" s="31" t="inlineStr">
        <is>
          <t>Nifty Pharma</t>
        </is>
      </c>
      <c r="T39" s="32" t="n">
        <v>21.52</v>
      </c>
      <c r="U39" s="32" t="n">
        <v>129.48</v>
      </c>
      <c r="V39" s="32" t="n">
        <v>88.84</v>
      </c>
      <c r="W39" s="32" t="n">
        <v>25.43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20</t>
        </is>
      </c>
      <c r="CG39" s="31">
        <f>IF(CF39&gt;20,10,IF(CF39&gt;=10,5,2))</f>
        <v/>
      </c>
    </row>
    <row r="40">
      <c r="A40" s="31">
        <f>IF(B40=0,"",RANK(B40,$B$2:$B$97,0))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ENGINERSIN</t>
        </is>
      </c>
      <c r="D40" s="31" t="inlineStr">
        <is>
          <t>Engineers India Ltd</t>
        </is>
      </c>
      <c r="E40" s="31" t="inlineStr">
        <is>
          <t>realty</t>
        </is>
      </c>
      <c r="F40" s="31" t="inlineStr">
        <is>
          <t>Infra Engineering General</t>
        </is>
      </c>
      <c r="G40" s="31" t="inlineStr">
        <is>
          <t>midcap</t>
        </is>
      </c>
      <c r="H40" s="32" t="n">
        <v>17409.26</v>
      </c>
      <c r="I40" s="32" t="n">
        <v>309.75</v>
      </c>
      <c r="J40" s="32" t="n">
        <v>-0.15</v>
      </c>
      <c r="K40" s="32" t="n">
        <v>0</v>
      </c>
      <c r="L40" s="31" t="inlineStr"/>
      <c r="M40" s="31" t="inlineStr"/>
      <c r="N40" s="32">
        <f>IF(M40="Underperforming",-5,IF(L40&gt;=95,15,IF(L40&gt;=90,10,IF(L40&gt;=80,5,0))))</f>
        <v/>
      </c>
      <c r="O40" s="32" t="n">
        <v>70.5</v>
      </c>
      <c r="P40" s="32" t="n">
        <v>20.1</v>
      </c>
      <c r="Q40" s="32" t="n">
        <v>251.87</v>
      </c>
      <c r="R40" s="31" t="inlineStr">
        <is>
          <t>Near 52W High Breakout</t>
        </is>
      </c>
      <c r="S40" s="31" t="inlineStr">
        <is>
          <t>Nifty Realty</t>
        </is>
      </c>
      <c r="T40" s="32" t="inlineStr"/>
      <c r="U40" s="32" t="inlineStr"/>
      <c r="V40" s="32" t="inlineStr"/>
      <c r="W40" s="32" t="inlineStr"/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22</t>
        </is>
      </c>
      <c r="CG40" s="31">
        <f>IF(CF40&gt;20,10,IF(CF40&gt;=10,5,2))</f>
        <v/>
      </c>
    </row>
    <row r="41">
      <c r="A41" s="31">
        <f>IF(B41=0,"",RANK(B41,$B$2:$B$97,0))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FINCABLES</t>
        </is>
      </c>
      <c r="D41" s="31" t="inlineStr">
        <is>
          <t>Finolex Cables Ltd</t>
        </is>
      </c>
      <c r="E41" s="31" t="inlineStr">
        <is>
          <t>industrials</t>
        </is>
      </c>
      <c r="F41" s="31" t="inlineStr">
        <is>
          <t>Cables Telecom</t>
        </is>
      </c>
      <c r="G41" s="31" t="inlineStr">
        <is>
          <t>largecap</t>
        </is>
      </c>
      <c r="H41" s="32" t="n">
        <v>22202.2</v>
      </c>
      <c r="I41" s="32" t="n">
        <v>1451.7</v>
      </c>
      <c r="J41" s="32" t="n">
        <v>1.13</v>
      </c>
      <c r="K41" s="32" t="n">
        <v>0</v>
      </c>
      <c r="L41" s="31" t="inlineStr"/>
      <c r="M41" s="31" t="inlineStr"/>
      <c r="N41" s="32">
        <f>IF(M41="Underperforming",-5,IF(L41&gt;=95,15,IF(L41&gt;=90,10,IF(L41&gt;=80,5,0))))</f>
        <v/>
      </c>
      <c r="O41" s="32" t="n">
        <v>70.28</v>
      </c>
      <c r="P41" s="32" t="n">
        <v>39.08</v>
      </c>
      <c r="Q41" s="32" t="n">
        <v>1118.24</v>
      </c>
      <c r="R41" s="31" t="inlineStr">
        <is>
          <t>Near 52W High Breakout</t>
        </is>
      </c>
      <c r="S41" s="31" t="inlineStr">
        <is>
          <t>Nifty Energy</t>
        </is>
      </c>
      <c r="T41" s="32" t="inlineStr"/>
      <c r="U41" s="32" t="inlineStr"/>
      <c r="V41" s="32" t="inlineStr"/>
      <c r="W41" s="32" t="inlineStr"/>
      <c r="X41" s="31" t="inlineStr">
        <is>
          <t>Cyclical in an Upturn</t>
        </is>
      </c>
      <c r="Y41" s="31">
        <f>IF(X41="Growing Industry",10,IF(X41="Cyclical in an Upturn",5,0))</f>
        <v/>
      </c>
      <c r="Z41" s="31" t="inlineStr">
        <is>
          <t>Oligopoly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20</t>
        </is>
      </c>
      <c r="CG41" s="31">
        <f>IF(CF41&gt;20,10,IF(CF41&gt;=10,5,2))</f>
        <v/>
      </c>
    </row>
    <row r="42">
      <c r="A42" s="31">
        <f>IF(B42=0,"",RANK(B42,$B$2:$B$97,0))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NRBBEARING</t>
        </is>
      </c>
      <c r="D42" s="31" t="inlineStr">
        <is>
          <t>NRB Bearings Ltd</t>
        </is>
      </c>
      <c r="E42" s="31" t="inlineStr">
        <is>
          <t>industrials</t>
        </is>
      </c>
      <c r="F42" s="31" t="inlineStr">
        <is>
          <t>Bearings</t>
        </is>
      </c>
      <c r="G42" s="31" t="inlineStr">
        <is>
          <t>midcap</t>
        </is>
      </c>
      <c r="H42" s="32" t="n">
        <v>5122.36</v>
      </c>
      <c r="I42" s="32" t="n">
        <v>528.5</v>
      </c>
      <c r="J42" s="32" t="n">
        <v>-2.32</v>
      </c>
      <c r="K42" s="32" t="n">
        <v>0</v>
      </c>
      <c r="L42" s="31" t="n">
        <v>68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74.70999999999999</v>
      </c>
      <c r="P42" s="32" t="n">
        <v>51.06</v>
      </c>
      <c r="Q42" s="32" t="n">
        <v>414.14</v>
      </c>
      <c r="R42" s="31" t="inlineStr">
        <is>
          <t>Near 52W High Breakout</t>
        </is>
      </c>
      <c r="S42" s="31" t="inlineStr">
        <is>
          <t>Nifty 50</t>
        </is>
      </c>
      <c r="T42" s="32" t="n">
        <v>-9.130000000000001</v>
      </c>
      <c r="U42" s="32" t="n">
        <v>86.81</v>
      </c>
      <c r="V42" s="32" t="n">
        <v>105.59</v>
      </c>
      <c r="W42" s="32" t="n">
        <v>22.93</v>
      </c>
      <c r="X42" s="31" t="inlineStr">
        <is>
          <t>Cyclical in an Upturn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Between 12 to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20</t>
        </is>
      </c>
      <c r="CG42" s="31">
        <f>IF(CF42&gt;20,10,IF(CF42&gt;=10,5,2))</f>
        <v/>
      </c>
    </row>
    <row r="43">
      <c r="A43" s="31">
        <f>IF(B43=0,"",RANK(B43,$B$2:$B$97,0))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NRAIL</t>
        </is>
      </c>
      <c r="D43" s="31" t="inlineStr">
        <is>
          <t>N R Agarwal Industries Ltd</t>
        </is>
      </c>
      <c r="E43" s="31" t="inlineStr">
        <is>
          <t>building materials</t>
        </is>
      </c>
      <c r="F43" s="31" t="inlineStr">
        <is>
          <t>Paper</t>
        </is>
      </c>
      <c r="G43" s="31" t="inlineStr">
        <is>
          <t>smallcap</t>
        </is>
      </c>
      <c r="H43" s="32" t="n">
        <v>1144.36</v>
      </c>
      <c r="I43" s="32" t="n">
        <v>672.4</v>
      </c>
      <c r="J43" s="32" t="n">
        <v>1.8</v>
      </c>
      <c r="K43" s="32" t="n">
        <v>0</v>
      </c>
      <c r="L43" s="31" t="inlineStr"/>
      <c r="M43" s="31" t="inlineStr"/>
      <c r="N43" s="32">
        <f>IF(M43="Underperforming",-5,IF(L43&gt;=95,15,IF(L43&gt;=90,10,IF(L43&gt;=80,5,0))))</f>
        <v/>
      </c>
      <c r="O43" s="32" t="n">
        <v>71.28</v>
      </c>
      <c r="P43" s="32" t="n">
        <v>41.8</v>
      </c>
      <c r="Q43" s="32" t="n">
        <v>496.97</v>
      </c>
      <c r="R43" s="31" t="inlineStr">
        <is>
          <t>Near 52W High Breakout</t>
        </is>
      </c>
      <c r="S43" s="31" t="inlineStr">
        <is>
          <t>Nifty Infra</t>
        </is>
      </c>
      <c r="T43" s="32" t="inlineStr"/>
      <c r="U43" s="32" t="inlineStr"/>
      <c r="V43" s="32" t="inlineStr"/>
      <c r="W43" s="32" t="inlineStr"/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Between 0.7 to 1.2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18</t>
        </is>
      </c>
      <c r="CG43" s="31">
        <f>IF(CF43&gt;20,10,IF(CF43&gt;=10,5,2))</f>
        <v/>
      </c>
    </row>
    <row r="44">
      <c r="A44" s="31">
        <f>IF(B44=0,"",RANK(B44,$B$2:$B$97,0))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VALIANT</t>
        </is>
      </c>
      <c r="D44" s="31" t="inlineStr">
        <is>
          <t>Valiant Communications Ltd</t>
        </is>
      </c>
      <c r="E44" s="31" t="inlineStr">
        <is>
          <t>Technology</t>
        </is>
      </c>
      <c r="F44" s="31" t="inlineStr">
        <is>
          <t>Telecommunications Equipment</t>
        </is>
      </c>
      <c r="G44" s="31" t="inlineStr">
        <is>
          <t>smallcap</t>
        </is>
      </c>
      <c r="H44" s="32" t="n">
        <v>2028.58</v>
      </c>
      <c r="I44" s="32" t="n">
        <v>1735</v>
      </c>
      <c r="J44" s="32" t="n">
        <v>5.02</v>
      </c>
      <c r="K44" s="32" t="n">
        <v>0</v>
      </c>
      <c r="L44" s="31" t="n">
        <v>83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78.56999999999999</v>
      </c>
      <c r="P44" s="32" t="n">
        <v>27.83</v>
      </c>
      <c r="Q44" s="32" t="n">
        <v>1221.8</v>
      </c>
      <c r="R44" s="31" t="inlineStr">
        <is>
          <t>Volume Spike &amp; Near 52W High Breakout</t>
        </is>
      </c>
      <c r="S44" s="31" t="inlineStr">
        <is>
          <t>Nifty 50</t>
        </is>
      </c>
      <c r="T44" s="32" t="n">
        <v>-9.130000000000001</v>
      </c>
      <c r="U44" s="32" t="n">
        <v>135.23</v>
      </c>
      <c r="V44" s="32" t="n">
        <v>158.87</v>
      </c>
      <c r="W44" s="32" t="n">
        <v>32.46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Oligopoly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26</t>
        </is>
      </c>
      <c r="CG44" s="31">
        <f>IF(CF44&gt;20,10,IF(CF44&gt;=10,5,2))</f>
        <v/>
      </c>
    </row>
    <row r="45">
      <c r="A45" s="31">
        <f>IF(B45=0,"",RANK(B45,$B$2:$B$97,0))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3" t="inlineStr">
        <is>
          <t>AARTIPHARM</t>
        </is>
      </c>
      <c r="D45" s="33" t="inlineStr">
        <is>
          <t>Aarti Pharmalabs Ltd</t>
        </is>
      </c>
      <c r="E45" s="31" t="inlineStr">
        <is>
          <t>healthcare</t>
        </is>
      </c>
      <c r="F45" s="31" t="inlineStr">
        <is>
          <t>Pharma API</t>
        </is>
      </c>
      <c r="G45" s="31" t="inlineStr">
        <is>
          <t>midcap</t>
        </is>
      </c>
      <c r="H45" s="32" t="n">
        <v>8650.85</v>
      </c>
      <c r="I45" s="32" t="n">
        <v>954</v>
      </c>
      <c r="J45" s="32" t="n">
        <v>-1.93</v>
      </c>
      <c r="K45" s="32" t="n">
        <v>0</v>
      </c>
      <c r="L45" s="31" t="n">
        <v>36</v>
      </c>
      <c r="M45" s="31" t="inlineStr">
        <is>
          <t>Underperforming</t>
        </is>
      </c>
      <c r="N45" s="32">
        <f>IF(M45="Underperforming",-5,IF(L45&gt;=95,15,IF(L45&gt;=90,10,IF(L45&gt;=80,5,0))))</f>
        <v/>
      </c>
      <c r="O45" s="32" t="n">
        <v>70.03</v>
      </c>
      <c r="P45" s="32" t="n">
        <v>25.45</v>
      </c>
      <c r="Q45" s="32" t="n">
        <v>723.67</v>
      </c>
      <c r="R45" s="31" t="inlineStr">
        <is>
          <t>Near 52W High Breakout</t>
        </is>
      </c>
      <c r="S45" s="31" t="inlineStr">
        <is>
          <t>Nifty Pharma</t>
        </is>
      </c>
      <c r="T45" s="32" t="n">
        <v>21.52</v>
      </c>
      <c r="U45" s="32" t="n">
        <v>15.87</v>
      </c>
      <c r="V45" s="32" t="n">
        <v>-4.65</v>
      </c>
      <c r="W45" s="32" t="n">
        <v>11.41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25</t>
        </is>
      </c>
      <c r="CG45" s="31">
        <f>IF(CF45&gt;20,10,IF(CF45&gt;=10,5,2))</f>
        <v/>
      </c>
    </row>
    <row r="46">
      <c r="A46" s="31">
        <f>IF(B46=0,"",RANK(B46,$B$2:$B$97,0))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SYNCOMF</t>
        </is>
      </c>
      <c r="D46" s="31" t="inlineStr">
        <is>
          <t>Syncom Formulations (India) Ltd</t>
        </is>
      </c>
      <c r="E46" s="31" t="inlineStr">
        <is>
          <t>healthcare</t>
        </is>
      </c>
      <c r="F46" s="31" t="inlineStr">
        <is>
          <t>Pharma Others</t>
        </is>
      </c>
      <c r="G46" s="31" t="inlineStr">
        <is>
          <t>smallcap</t>
        </is>
      </c>
      <c r="H46" s="32" t="n">
        <v>2340.6</v>
      </c>
      <c r="I46" s="32" t="n">
        <v>24.9</v>
      </c>
      <c r="J46" s="32" t="n">
        <v>-4.89</v>
      </c>
      <c r="K46" s="32" t="n">
        <v>0</v>
      </c>
      <c r="L46" s="31" t="n">
        <v>76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80.97</v>
      </c>
      <c r="P46" s="32" t="n">
        <v>34.33</v>
      </c>
      <c r="Q46" s="32" t="n">
        <v>18.27</v>
      </c>
      <c r="R46" s="31" t="inlineStr">
        <is>
          <t>Volume Spike &amp; Near 52W High Breakout</t>
        </is>
      </c>
      <c r="S46" s="31" t="inlineStr">
        <is>
          <t>Nifty Pharma</t>
        </is>
      </c>
      <c r="T46" s="32" t="n">
        <v>21.52</v>
      </c>
      <c r="U46" s="32" t="n">
        <v>49.22</v>
      </c>
      <c r="V46" s="32" t="n">
        <v>22.8</v>
      </c>
      <c r="W46" s="32" t="n">
        <v>28.75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19</t>
        </is>
      </c>
      <c r="CG46" s="31">
        <f>IF(CF46&gt;20,10,IF(CF46&gt;=10,5,2))</f>
        <v/>
      </c>
    </row>
    <row r="47">
      <c r="A47" s="31">
        <f>IF(B47=0,"",RANK(B47,$B$2:$B$97,0))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BIRLACABLE</t>
        </is>
      </c>
      <c r="D47" s="31" t="inlineStr">
        <is>
          <t>Birla Cable Ltd</t>
        </is>
      </c>
      <c r="E47" s="31" t="inlineStr">
        <is>
          <t>industrials</t>
        </is>
      </c>
      <c r="F47" s="31" t="inlineStr">
        <is>
          <t>Cables Telecom</t>
        </is>
      </c>
      <c r="G47" s="31" t="inlineStr">
        <is>
          <t>smallcap</t>
        </is>
      </c>
      <c r="H47" s="32" t="n">
        <v>1140</v>
      </c>
      <c r="I47" s="32" t="n">
        <v>380</v>
      </c>
      <c r="J47" s="32" t="n">
        <v>2.99</v>
      </c>
      <c r="K47" s="32" t="n">
        <v>0</v>
      </c>
      <c r="L47" s="31" t="inlineStr"/>
      <c r="M47" s="31" t="inlineStr"/>
      <c r="N47" s="32">
        <f>IF(M47="Underperforming",-5,IF(L47&gt;=95,15,IF(L47&gt;=90,10,IF(L47&gt;=80,5,0))))</f>
        <v/>
      </c>
      <c r="O47" s="32" t="n">
        <v>71.41</v>
      </c>
      <c r="P47" s="32" t="n">
        <v>53.26</v>
      </c>
      <c r="Q47" s="32" t="n">
        <v>290.24</v>
      </c>
      <c r="R47" s="31" t="inlineStr">
        <is>
          <t>Earnings / Momentum Support</t>
        </is>
      </c>
      <c r="S47" s="31" t="inlineStr">
        <is>
          <t>Nifty Infra</t>
        </is>
      </c>
      <c r="T47" s="32" t="inlineStr"/>
      <c r="U47" s="32" t="inlineStr"/>
      <c r="V47" s="32" t="inlineStr"/>
      <c r="W47" s="32" t="inlineStr"/>
      <c r="X47" s="31" t="inlineStr">
        <is>
          <t>Cyclical in an Upturn</t>
        </is>
      </c>
      <c r="Y47" s="31">
        <f>IF(X47="Growing Industry",10,IF(X47="Cyclical in an Upturn",5,0))</f>
        <v/>
      </c>
      <c r="Z47" s="31" t="inlineStr">
        <is>
          <t>Oligopoly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29</t>
        </is>
      </c>
      <c r="CG47" s="31">
        <f>IF(CF47&gt;20,10,IF(CF47&gt;=10,5,2))</f>
        <v/>
      </c>
    </row>
    <row r="48">
      <c r="A48" s="31">
        <f>IF(B48=0,"",RANK(B48,$B$2:$B$97,0))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4" t="inlineStr">
        <is>
          <t>TATVA</t>
        </is>
      </c>
      <c r="D48" s="34" t="inlineStr">
        <is>
          <t>Tatva Chintan Pharma Chem Ltd</t>
        </is>
      </c>
      <c r="E48" s="31" t="inlineStr">
        <is>
          <t>chemicals</t>
        </is>
      </c>
      <c r="F48" s="31" t="inlineStr">
        <is>
          <t>Specialty Chemicals</t>
        </is>
      </c>
      <c r="G48" s="31" t="inlineStr">
        <is>
          <t>smallcap</t>
        </is>
      </c>
      <c r="H48" s="32" t="n">
        <v>4180.16</v>
      </c>
      <c r="I48" s="32" t="n">
        <v>1787</v>
      </c>
      <c r="J48" s="32" t="n">
        <v>-1.07</v>
      </c>
      <c r="K48" s="32" t="n">
        <v>0</v>
      </c>
      <c r="L48" s="31" t="n">
        <v>65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67.09999999999999</v>
      </c>
      <c r="P48" s="32" t="n">
        <v>39.92</v>
      </c>
      <c r="Q48" s="32" t="n">
        <v>1345.41</v>
      </c>
      <c r="R48" s="31" t="inlineStr">
        <is>
          <t>Near 52W High Breakout</t>
        </is>
      </c>
      <c r="S48" s="31" t="inlineStr">
        <is>
          <t>Nifty 50</t>
        </is>
      </c>
      <c r="T48" s="32" t="n">
        <v>-9.130000000000001</v>
      </c>
      <c r="U48" s="32" t="n">
        <v>70.98999999999999</v>
      </c>
      <c r="V48" s="32" t="n">
        <v>88.18000000000001</v>
      </c>
      <c r="W48" s="32" t="n">
        <v>22.28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22</t>
        </is>
      </c>
      <c r="CG48" s="31">
        <f>IF(CF48&gt;20,10,IF(CF48&gt;=10,5,2))</f>
        <v/>
      </c>
    </row>
    <row r="49">
      <c r="A49" s="31">
        <f>IF(B49=0,"",RANK(B49,$B$2:$B$97,0))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FCL</t>
        </is>
      </c>
      <c r="D49" s="31" t="inlineStr">
        <is>
          <t>Fineotex Chemical Ltd</t>
        </is>
      </c>
      <c r="E49" s="31" t="inlineStr">
        <is>
          <t>chemicals</t>
        </is>
      </c>
      <c r="F49" s="31" t="inlineStr">
        <is>
          <t>Specialty Chemicals</t>
        </is>
      </c>
      <c r="G49" s="31" t="inlineStr">
        <is>
          <t>midcap</t>
        </is>
      </c>
      <c r="H49" s="32" t="n">
        <v>6690.06</v>
      </c>
      <c r="I49" s="32" t="n">
        <v>57.45</v>
      </c>
      <c r="J49" s="32" t="n">
        <v>-0.85</v>
      </c>
      <c r="K49" s="32" t="n">
        <v>0</v>
      </c>
      <c r="L49" s="31" t="n">
        <v>83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74.23999999999999</v>
      </c>
      <c r="P49" s="32" t="n">
        <v>48.63</v>
      </c>
      <c r="Q49" s="32" t="n">
        <v>44.88</v>
      </c>
      <c r="R49" s="31" t="inlineStr">
        <is>
          <t>Earnings / Momentum Support</t>
        </is>
      </c>
      <c r="S49" s="31" t="inlineStr">
        <is>
          <t>Nifty 50</t>
        </is>
      </c>
      <c r="T49" s="32" t="n">
        <v>-9.130000000000001</v>
      </c>
      <c r="U49" s="32" t="n">
        <v>129.59</v>
      </c>
      <c r="V49" s="32" t="n">
        <v>152.67</v>
      </c>
      <c r="W49" s="32" t="n">
        <v>32.58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22</t>
        </is>
      </c>
      <c r="CG49" s="31">
        <f>IF(CF49&gt;20,10,IF(CF49&gt;=10,5,2))</f>
        <v/>
      </c>
    </row>
    <row r="50">
      <c r="A50" s="31">
        <f>IF(B50=0,"",RANK(B50,$B$2:$B$97,0))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PCJEWELLER</t>
        </is>
      </c>
      <c r="D50" s="31" t="inlineStr">
        <is>
          <t>PC Jeweller Ltd</t>
        </is>
      </c>
      <c r="E50" s="31" t="inlineStr">
        <is>
          <t>consumer discretionary</t>
        </is>
      </c>
      <c r="F50" s="31" t="inlineStr">
        <is>
          <t>Diamond Gems and Jewellery</t>
        </is>
      </c>
      <c r="G50" s="31" t="inlineStr">
        <is>
          <t>midcap</t>
        </is>
      </c>
      <c r="H50" s="32" t="n">
        <v>12946.24</v>
      </c>
      <c r="I50" s="32" t="n">
        <v>13.2</v>
      </c>
      <c r="J50" s="32" t="n">
        <v>-0.23</v>
      </c>
      <c r="K50" s="32" t="n">
        <v>0</v>
      </c>
      <c r="L50" s="31" t="n">
        <v>23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63.27</v>
      </c>
      <c r="P50" s="32" t="n">
        <v>34</v>
      </c>
      <c r="Q50" s="32" t="n">
        <v>9.960000000000001</v>
      </c>
      <c r="R50" s="31" t="inlineStr">
        <is>
          <t>Earnings / Momentum Support</t>
        </is>
      </c>
      <c r="S50" s="31" t="inlineStr">
        <is>
          <t>Nifty 50</t>
        </is>
      </c>
      <c r="T50" s="32" t="n">
        <v>-9.130000000000001</v>
      </c>
      <c r="U50" s="32" t="n">
        <v>-1.57</v>
      </c>
      <c r="V50" s="32" t="n">
        <v>8.33</v>
      </c>
      <c r="W50" s="32" t="n">
        <v>7.79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19</t>
        </is>
      </c>
      <c r="CG50" s="31">
        <f>IF(CF50&gt;20,10,IF(CF50&gt;=10,5,2))</f>
        <v/>
      </c>
    </row>
    <row r="51">
      <c r="A51" s="31">
        <f>IF(B51=0,"",RANK(B51,$B$2:$B$97,0))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ARROWGREEN</t>
        </is>
      </c>
      <c r="D51" s="31" t="inlineStr">
        <is>
          <t>Arrow Greentech Ltd</t>
        </is>
      </c>
      <c r="E51" s="31" t="inlineStr">
        <is>
          <t>plastic products</t>
        </is>
      </c>
      <c r="F51" s="31" t="inlineStr">
        <is>
          <t>Plastics Plastic and Plastic Products</t>
        </is>
      </c>
      <c r="G51" s="31" t="inlineStr">
        <is>
          <t>smallcap</t>
        </is>
      </c>
      <c r="H51" s="32" t="n">
        <v>1312.58</v>
      </c>
      <c r="I51" s="32" t="n">
        <v>869.95</v>
      </c>
      <c r="J51" s="32" t="n">
        <v>-0.29</v>
      </c>
      <c r="K51" s="32" t="n">
        <v>0</v>
      </c>
      <c r="L51" s="31" t="n">
        <v>51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65.69</v>
      </c>
      <c r="P51" s="32" t="n">
        <v>49.25</v>
      </c>
      <c r="Q51" s="32" t="n">
        <v>674.12</v>
      </c>
      <c r="R51" s="31" t="inlineStr">
        <is>
          <t>Earnings / Momentum Support</t>
        </is>
      </c>
      <c r="S51" s="31" t="inlineStr">
        <is>
          <t>Nifty 50</t>
        </is>
      </c>
      <c r="T51" s="32" t="n">
        <v>-9.130000000000001</v>
      </c>
      <c r="U51" s="32" t="n">
        <v>49.58</v>
      </c>
      <c r="V51" s="32" t="n">
        <v>64.61</v>
      </c>
      <c r="W51" s="32" t="n">
        <v>17.29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19</t>
        </is>
      </c>
      <c r="CG51" s="31">
        <f>IF(CF51&gt;20,10,IF(CF51&gt;=10,5,2))</f>
        <v/>
      </c>
    </row>
    <row r="52">
      <c r="A52" s="31">
        <f>IF(B52=0,"",RANK(B52,$B$2:$B$97,0))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ACMESOLAR</t>
        </is>
      </c>
      <c r="D52" s="31" t="inlineStr">
        <is>
          <t>ACME Solar Holdings Ltd</t>
        </is>
      </c>
      <c r="E52" s="31" t="inlineStr">
        <is>
          <t>realty</t>
        </is>
      </c>
      <c r="F52" s="31" t="inlineStr">
        <is>
          <t>Power Generation and Distribution</t>
        </is>
      </c>
      <c r="G52" s="31" t="inlineStr">
        <is>
          <t>largecap</t>
        </is>
      </c>
      <c r="H52" s="32" t="n">
        <v>31102.47</v>
      </c>
      <c r="I52" s="32" t="n">
        <v>440</v>
      </c>
      <c r="J52" s="32" t="n">
        <v>0.47</v>
      </c>
      <c r="K52" s="32" t="n">
        <v>0</v>
      </c>
      <c r="L52" s="31" t="inlineStr"/>
      <c r="M52" s="31" t="inlineStr"/>
      <c r="N52" s="32">
        <f>IF(M52="Underperforming",-5,IF(L52&gt;=95,15,IF(L52&gt;=90,10,IF(L52&gt;=80,5,0))))</f>
        <v/>
      </c>
      <c r="O52" s="32" t="n">
        <v>70.8</v>
      </c>
      <c r="P52" s="32" t="n">
        <v>53.81</v>
      </c>
      <c r="Q52" s="32" t="n">
        <v>346.26</v>
      </c>
      <c r="R52" s="31" t="inlineStr">
        <is>
          <t>Near 52W High Breakout</t>
        </is>
      </c>
      <c r="S52" s="31" t="inlineStr">
        <is>
          <t>Nifty Realty</t>
        </is>
      </c>
      <c r="T52" s="32" t="inlineStr"/>
      <c r="U52" s="32" t="inlineStr"/>
      <c r="V52" s="32" t="inlineStr"/>
      <c r="W52" s="32" t="inlineStr"/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More than 1.2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19</t>
        </is>
      </c>
      <c r="CG52" s="31">
        <f>IF(CF52&gt;20,10,IF(CF52&gt;=10,5,2))</f>
        <v/>
      </c>
    </row>
    <row r="53">
      <c r="A53" s="31">
        <f>IF(B53=0,"",RANK(B53,$B$2:$B$97,0))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SANSERA</t>
        </is>
      </c>
      <c r="D53" s="31" t="inlineStr">
        <is>
          <t>Sansera Engineering Ltd</t>
        </is>
      </c>
      <c r="E53" s="31" t="inlineStr">
        <is>
          <t>auto</t>
        </is>
      </c>
      <c r="F53" s="31" t="inlineStr">
        <is>
          <t>Diversified Auto Components</t>
        </is>
      </c>
      <c r="G53" s="31" t="inlineStr">
        <is>
          <t>largecap</t>
        </is>
      </c>
      <c r="H53" s="32" t="n">
        <v>28119.2</v>
      </c>
      <c r="I53" s="32" t="n">
        <v>4505</v>
      </c>
      <c r="J53" s="32" t="n">
        <v>3.27</v>
      </c>
      <c r="K53" s="32" t="n">
        <v>0</v>
      </c>
      <c r="L53" s="31" t="inlineStr"/>
      <c r="M53" s="31" t="inlineStr"/>
      <c r="N53" s="32">
        <f>IF(M53="Underperforming",-5,IF(L53&gt;=95,15,IF(L53&gt;=90,10,IF(L53&gt;=80,5,0))))</f>
        <v/>
      </c>
      <c r="O53" s="32" t="n">
        <v>80.45999999999999</v>
      </c>
      <c r="P53" s="32" t="n">
        <v>69.22</v>
      </c>
      <c r="Q53" s="32" t="n">
        <v>3704.34</v>
      </c>
      <c r="R53" s="31" t="inlineStr">
        <is>
          <t>Near 52W High Breakout</t>
        </is>
      </c>
      <c r="S53" s="31" t="inlineStr">
        <is>
          <t>Nifty Auto</t>
        </is>
      </c>
      <c r="T53" s="32" t="inlineStr"/>
      <c r="U53" s="32" t="inlineStr"/>
      <c r="V53" s="32" t="inlineStr"/>
      <c r="W53" s="32" t="inlineStr"/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19</t>
        </is>
      </c>
      <c r="CG53" s="31">
        <f>IF(CF53&gt;20,10,IF(CF53&gt;=10,5,2))</f>
        <v/>
      </c>
    </row>
    <row r="54">
      <c r="A54" s="31">
        <f>IF(B54=0,"",RANK(B54,$B$2:$B$97,0))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RGL</t>
        </is>
      </c>
      <c r="D54" s="31" t="inlineStr">
        <is>
          <t>Renaissance Global Ltd</t>
        </is>
      </c>
      <c r="E54" s="31" t="inlineStr">
        <is>
          <t>consumer discretionary</t>
        </is>
      </c>
      <c r="F54" s="31" t="inlineStr">
        <is>
          <t>Lab Grown Diamonds</t>
        </is>
      </c>
      <c r="G54" s="31" t="inlineStr">
        <is>
          <t>smallcap</t>
        </is>
      </c>
      <c r="H54" s="32" t="n">
        <v>1756.12</v>
      </c>
      <c r="I54" s="32" t="n">
        <v>163.5</v>
      </c>
      <c r="J54" s="32" t="n">
        <v>-0.47</v>
      </c>
      <c r="K54" s="32" t="n">
        <v>0</v>
      </c>
      <c r="L54" s="31" t="n">
        <v>46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74.8</v>
      </c>
      <c r="P54" s="32" t="n">
        <v>34.96</v>
      </c>
      <c r="Q54" s="32" t="n">
        <v>127.02</v>
      </c>
      <c r="R54" s="31" t="inlineStr">
        <is>
          <t>Near 52W High Breakout</t>
        </is>
      </c>
      <c r="S54" s="31" t="inlineStr">
        <is>
          <t>Nifty 50</t>
        </is>
      </c>
      <c r="T54" s="32" t="n">
        <v>-9.130000000000001</v>
      </c>
      <c r="U54" s="32" t="n">
        <v>36.91</v>
      </c>
      <c r="V54" s="32" t="n">
        <v>50.67</v>
      </c>
      <c r="W54" s="32" t="n">
        <v>15.13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19</t>
        </is>
      </c>
      <c r="CG54" s="31">
        <f>IF(CF54&gt;20,10,IF(CF54&gt;=10,5,2))</f>
        <v/>
      </c>
    </row>
    <row r="55">
      <c r="A55" s="31">
        <f>IF(B55=0,"",RANK(B55,$B$2:$B$97,0))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KMCSHIL</t>
        </is>
      </c>
      <c r="D55" s="31" t="inlineStr">
        <is>
          <t>KMC Speciality Hospitals (India) Ltd</t>
        </is>
      </c>
      <c r="E55" s="31" t="inlineStr">
        <is>
          <t>Healthcare</t>
        </is>
      </c>
      <c r="F55" s="31" t="inlineStr">
        <is>
          <t>Hospitals</t>
        </is>
      </c>
      <c r="G55" s="31" t="inlineStr">
        <is>
          <t>smallcap</t>
        </is>
      </c>
      <c r="H55" s="32" t="n">
        <v>2785.49</v>
      </c>
      <c r="I55" s="32" t="n">
        <v>170.8</v>
      </c>
      <c r="J55" s="32" t="n">
        <v>5.11</v>
      </c>
      <c r="K55" s="32" t="n">
        <v>0</v>
      </c>
      <c r="L55" s="31" t="n">
        <v>75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81.81999999999999</v>
      </c>
      <c r="P55" s="32" t="n">
        <v>52.95</v>
      </c>
      <c r="Q55" s="32" t="n">
        <v>132.43</v>
      </c>
      <c r="R55" s="31" t="inlineStr">
        <is>
          <t>Near 52W High Breakout</t>
        </is>
      </c>
      <c r="S55" s="31" t="inlineStr">
        <is>
          <t>Nifty Pharma</t>
        </is>
      </c>
      <c r="T55" s="32" t="n">
        <v>21.52</v>
      </c>
      <c r="U55" s="32" t="n">
        <v>154.11</v>
      </c>
      <c r="V55" s="32" t="n">
        <v>109.11</v>
      </c>
      <c r="W55" s="32" t="n">
        <v>28.17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25</t>
        </is>
      </c>
      <c r="CG55" s="31">
        <f>IF(CF55&gt;20,10,IF(CF55&gt;=10,5,2))</f>
        <v/>
      </c>
    </row>
    <row r="56">
      <c r="A56" s="31">
        <f>IF(B56=0,"",RANK(B56,$B$2:$B$97,0))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AVALON</t>
        </is>
      </c>
      <c r="D56" s="31" t="inlineStr">
        <is>
          <t>Avalon Technologies Ltd</t>
        </is>
      </c>
      <c r="E56" s="31" t="inlineStr">
        <is>
          <t>Technology</t>
        </is>
      </c>
      <c r="F56" s="31" t="inlineStr">
        <is>
          <t>EMS</t>
        </is>
      </c>
      <c r="G56" s="31" t="inlineStr">
        <is>
          <t>midcap</t>
        </is>
      </c>
      <c r="H56" s="32" t="n">
        <v>15456.5</v>
      </c>
      <c r="I56" s="32" t="n">
        <v>2311</v>
      </c>
      <c r="J56" s="32" t="n">
        <v>0.39</v>
      </c>
      <c r="K56" s="32" t="n">
        <v>0</v>
      </c>
      <c r="L56" s="31" t="n">
        <v>74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70.59</v>
      </c>
      <c r="P56" s="32" t="n">
        <v>52.49</v>
      </c>
      <c r="Q56" s="32" t="n">
        <v>1877.04</v>
      </c>
      <c r="R56" s="31" t="inlineStr">
        <is>
          <t>Earnings / Momentum Support</t>
        </is>
      </c>
      <c r="S56" s="31" t="inlineStr">
        <is>
          <t>Nifty 50</t>
        </is>
      </c>
      <c r="T56" s="32" t="n">
        <v>-9.130000000000001</v>
      </c>
      <c r="U56" s="32" t="n">
        <v>117.66</v>
      </c>
      <c r="V56" s="32" t="n">
        <v>139.53</v>
      </c>
      <c r="W56" s="32" t="n">
        <v>27.44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Annuity, Lower One Time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22</t>
        </is>
      </c>
      <c r="CG56" s="31">
        <f>IF(CF56&gt;20,10,IF(CF56&gt;=10,5,2))</f>
        <v/>
      </c>
    </row>
    <row r="57">
      <c r="A57" s="31">
        <f>IF(B57=0,"",RANK(B57,$B$2:$B$97,0))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4" t="inlineStr">
        <is>
          <t>SHUKRAPHAR</t>
        </is>
      </c>
      <c r="D57" s="34" t="inlineStr">
        <is>
          <t>Shukra Pharmaceuticals Ltd</t>
        </is>
      </c>
      <c r="E57" s="31" t="inlineStr">
        <is>
          <t>Healthcare</t>
        </is>
      </c>
      <c r="F57" s="31" t="inlineStr">
        <is>
          <t>Pharma Others</t>
        </is>
      </c>
      <c r="G57" s="31" t="inlineStr">
        <is>
          <t>smallcap</t>
        </is>
      </c>
      <c r="H57" s="32" t="n">
        <v>2752.72</v>
      </c>
      <c r="I57" s="32" t="n">
        <v>62.45</v>
      </c>
      <c r="J57" s="32" t="n">
        <v>3.38</v>
      </c>
      <c r="K57" s="32" t="n">
        <v>0</v>
      </c>
      <c r="L57" s="31" t="n">
        <v>93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77.25</v>
      </c>
      <c r="P57" s="32" t="n">
        <v>37.19</v>
      </c>
      <c r="Q57" s="32" t="n">
        <v>44.97</v>
      </c>
      <c r="R57" s="31" t="inlineStr">
        <is>
          <t>Near 52W High Breakout</t>
        </is>
      </c>
      <c r="S57" s="31" t="inlineStr">
        <is>
          <t>Nifty Pharma</t>
        </is>
      </c>
      <c r="T57" s="32" t="n">
        <v>21.52</v>
      </c>
      <c r="U57" s="32" t="n">
        <v>80.12</v>
      </c>
      <c r="V57" s="32" t="n">
        <v>48.22</v>
      </c>
      <c r="W57" s="32" t="n">
        <v>42.49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20</t>
        </is>
      </c>
      <c r="CG57" s="31">
        <f>IF(CF57&gt;20,10,IF(CF57&gt;=10,5,2))</f>
        <v/>
      </c>
    </row>
    <row r="58">
      <c r="A58" s="31">
        <f>IF(B58=0,"",RANK(B58,$B$2:$B$97,0))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ONEPOINT</t>
        </is>
      </c>
      <c r="D58" s="31" t="inlineStr">
        <is>
          <t>One Point One Solutions Ltd</t>
        </is>
      </c>
      <c r="E58" s="31" t="inlineStr">
        <is>
          <t>i.t</t>
        </is>
      </c>
      <c r="F58" s="31" t="inlineStr">
        <is>
          <t>IT Enabled Services</t>
        </is>
      </c>
      <c r="G58" s="31" t="inlineStr">
        <is>
          <t>smallcap</t>
        </is>
      </c>
      <c r="H58" s="32" t="n">
        <v>1929.96</v>
      </c>
      <c r="I58" s="32" t="n">
        <v>73.40000000000001</v>
      </c>
      <c r="J58" s="32" t="n">
        <v>2.49</v>
      </c>
      <c r="K58" s="32" t="n">
        <v>0</v>
      </c>
      <c r="L58" s="31" t="n">
        <v>46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71.89</v>
      </c>
      <c r="P58" s="32" t="n">
        <v>16.06</v>
      </c>
      <c r="Q58" s="32" t="n">
        <v>57.06</v>
      </c>
      <c r="R58" s="31" t="inlineStr">
        <is>
          <t>Volume Spike &amp; Near 52W High Breakout</t>
        </is>
      </c>
      <c r="S58" s="31" t="inlineStr">
        <is>
          <t>Nifty IT</t>
        </is>
      </c>
      <c r="T58" s="32" t="n">
        <v>-18.39</v>
      </c>
      <c r="U58" s="32" t="n">
        <v>52.39</v>
      </c>
      <c r="V58" s="32" t="n">
        <v>86.73999999999999</v>
      </c>
      <c r="W58" s="32" t="n">
        <v>15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0 to 20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25</t>
        </is>
      </c>
      <c r="CG58" s="31">
        <f>IF(CF58&gt;20,10,IF(CF58&gt;=10,5,2))</f>
        <v/>
      </c>
    </row>
    <row r="59">
      <c r="A59" s="31">
        <f>IF(B59=0,"",RANK(B59,$B$2:$B$97,0))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GANDHAR</t>
        </is>
      </c>
      <c r="D59" s="31" t="inlineStr">
        <is>
          <t>Gandhar Oil Refinery (India) Ltd</t>
        </is>
      </c>
      <c r="E59" s="31" t="inlineStr">
        <is>
          <t>energy</t>
        </is>
      </c>
      <c r="F59" s="31" t="inlineStr">
        <is>
          <t>Refineries</t>
        </is>
      </c>
      <c r="G59" s="31" t="inlineStr">
        <is>
          <t>smallcap</t>
        </is>
      </c>
      <c r="H59" s="32" t="n">
        <v>2732.31</v>
      </c>
      <c r="I59" s="32" t="n">
        <v>279.15</v>
      </c>
      <c r="J59" s="32" t="n">
        <v>2.05</v>
      </c>
      <c r="K59" s="32" t="n">
        <v>0</v>
      </c>
      <c r="L59" s="31" t="inlineStr"/>
      <c r="M59" s="31" t="inlineStr"/>
      <c r="N59" s="32">
        <f>IF(M59="Underperforming",-5,IF(L59&gt;=95,15,IF(L59&gt;=90,10,IF(L59&gt;=80,5,0))))</f>
        <v/>
      </c>
      <c r="O59" s="32" t="n">
        <v>68.81</v>
      </c>
      <c r="P59" s="32" t="n">
        <v>77.18000000000001</v>
      </c>
      <c r="Q59" s="32" t="n">
        <v>212.74</v>
      </c>
      <c r="R59" s="31" t="inlineStr">
        <is>
          <t>Near 52W High Breakout</t>
        </is>
      </c>
      <c r="S59" s="31" t="inlineStr">
        <is>
          <t>Nifty Energy</t>
        </is>
      </c>
      <c r="T59" s="32" t="inlineStr"/>
      <c r="U59" s="32" t="inlineStr"/>
      <c r="V59" s="32" t="inlineStr"/>
      <c r="W59" s="32" t="inlineStr"/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Oligopoly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Cyclical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Volatile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25</t>
        </is>
      </c>
      <c r="CG59" s="31">
        <f>IF(CF59&gt;20,10,IF(CF59&gt;=10,5,2))</f>
        <v/>
      </c>
    </row>
    <row r="60">
      <c r="A60" s="31">
        <f>IF(B60=0,"",RANK(B60,$B$2:$B$97,0))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JASH</t>
        </is>
      </c>
      <c r="D60" s="31" t="inlineStr">
        <is>
          <t>Jash Engineering Ltd</t>
        </is>
      </c>
      <c r="E60" s="31" t="inlineStr">
        <is>
          <t>industrials</t>
        </is>
      </c>
      <c r="F60" s="31" t="inlineStr">
        <is>
          <t>Water Treatment</t>
        </is>
      </c>
      <c r="G60" s="31" t="inlineStr">
        <is>
          <t>smallcap</t>
        </is>
      </c>
      <c r="H60" s="32" t="n">
        <v>3741.07</v>
      </c>
      <c r="I60" s="32" t="n">
        <v>592</v>
      </c>
      <c r="J60" s="32" t="n">
        <v>-1.07</v>
      </c>
      <c r="K60" s="32" t="n">
        <v>0</v>
      </c>
      <c r="L60" s="31" t="n">
        <v>32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69.45</v>
      </c>
      <c r="P60" s="32" t="n">
        <v>21.12</v>
      </c>
      <c r="Q60" s="32" t="n">
        <v>463.94</v>
      </c>
      <c r="R60" s="31" t="inlineStr">
        <is>
          <t>Near 52W High Breakout</t>
        </is>
      </c>
      <c r="S60" s="31" t="inlineStr">
        <is>
          <t>Nifty 50</t>
        </is>
      </c>
      <c r="T60" s="32" t="n">
        <v>-9.130000000000001</v>
      </c>
      <c r="U60" s="32" t="n">
        <v>24.83</v>
      </c>
      <c r="V60" s="32" t="n">
        <v>37.37</v>
      </c>
      <c r="W60" s="32" t="n">
        <v>10.18</v>
      </c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20</t>
        </is>
      </c>
      <c r="CG60" s="31">
        <f>IF(CF60&gt;20,10,IF(CF60&gt;=10,5,2))</f>
        <v/>
      </c>
    </row>
    <row r="61">
      <c r="A61" s="31">
        <f>IF(B61=0,"",RANK(B61,$B$2:$B$97,0))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UNIFIED</t>
        </is>
      </c>
      <c r="D61" s="31" t="inlineStr">
        <is>
          <t>Unified Data- Tech Solutions Ltd</t>
        </is>
      </c>
      <c r="E61" s="31" t="inlineStr">
        <is>
          <t>Technology</t>
        </is>
      </c>
      <c r="F61" s="31" t="inlineStr">
        <is>
          <t>IT Services</t>
        </is>
      </c>
      <c r="G61" s="31" t="inlineStr">
        <is>
          <t>smallcap</t>
        </is>
      </c>
      <c r="H61" s="32" t="n">
        <v>1064.78</v>
      </c>
      <c r="I61" s="32" t="n">
        <v>530</v>
      </c>
      <c r="J61" s="32" t="n">
        <v>2.62</v>
      </c>
      <c r="K61" s="32" t="n">
        <v>0</v>
      </c>
      <c r="L61" s="31" t="n">
        <v>45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73.52</v>
      </c>
      <c r="P61" s="32" t="n">
        <v>15.84</v>
      </c>
      <c r="Q61" s="32" t="n">
        <v>408.83</v>
      </c>
      <c r="R61" s="31" t="inlineStr">
        <is>
          <t>Near 52W High Breakout</t>
        </is>
      </c>
      <c r="S61" s="31" t="inlineStr">
        <is>
          <t>Nifty 50</t>
        </is>
      </c>
      <c r="T61" s="32" t="n">
        <v>-9.130000000000001</v>
      </c>
      <c r="U61" s="32" t="n">
        <v>31.91</v>
      </c>
      <c r="V61" s="32" t="n">
        <v>45.17</v>
      </c>
      <c r="W61" s="32" t="n">
        <v>14.98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0 to 20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Less than 50%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19</t>
        </is>
      </c>
      <c r="CG61" s="31">
        <f>IF(CF61&gt;20,10,IF(CF61&gt;=10,5,2))</f>
        <v/>
      </c>
    </row>
    <row r="62">
      <c r="A62" s="31">
        <f>IF(B62=0,"",RANK(B62,$B$2:$B$97,0))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SAMBHV</t>
        </is>
      </c>
      <c r="D62" s="31" t="inlineStr">
        <is>
          <t>Sambhv Steel Tubes Ltd</t>
        </is>
      </c>
      <c r="E62" s="31" t="inlineStr">
        <is>
          <t>metals &amp; mining</t>
        </is>
      </c>
      <c r="F62" s="31" t="inlineStr">
        <is>
          <t>Steel Tubes and Pipes</t>
        </is>
      </c>
      <c r="G62" s="31" t="inlineStr">
        <is>
          <t>smallcap</t>
        </is>
      </c>
      <c r="H62" s="32" t="n">
        <v>4853.24</v>
      </c>
      <c r="I62" s="32" t="n">
        <v>164.7</v>
      </c>
      <c r="J62" s="32" t="n">
        <v>1.52</v>
      </c>
      <c r="K62" s="32" t="n">
        <v>0</v>
      </c>
      <c r="L62" s="31" t="inlineStr"/>
      <c r="M62" s="31" t="inlineStr"/>
      <c r="N62" s="32">
        <f>IF(M62="Underperforming",-5,IF(L62&gt;=95,15,IF(L62&gt;=90,10,IF(L62&gt;=80,5,0))))</f>
        <v/>
      </c>
      <c r="O62" s="32" t="n">
        <v>79.92</v>
      </c>
      <c r="P62" s="32" t="n">
        <v>45.76</v>
      </c>
      <c r="Q62" s="32" t="n">
        <v>129.52</v>
      </c>
      <c r="R62" s="31" t="inlineStr">
        <is>
          <t>Near 52W High Breakout</t>
        </is>
      </c>
      <c r="S62" s="31" t="inlineStr">
        <is>
          <t>Nifty Metal</t>
        </is>
      </c>
      <c r="T62" s="32" t="inlineStr"/>
      <c r="U62" s="32" t="inlineStr"/>
      <c r="V62" s="32" t="inlineStr"/>
      <c r="W62" s="32" t="inlineStr"/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Cyclical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Volatile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27</t>
        </is>
      </c>
      <c r="CG62" s="31">
        <f>IF(CF62&gt;20,10,IF(CF62&gt;=10,5,2))</f>
        <v/>
      </c>
    </row>
    <row r="63">
      <c r="A63" s="31">
        <f>IF(B63=0,"",RANK(B63,$B$2:$B$97,0))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MUKANDLTD</t>
        </is>
      </c>
      <c r="D63" s="31" t="inlineStr">
        <is>
          <t>Mukand Ltd</t>
        </is>
      </c>
      <c r="E63" s="31" t="inlineStr">
        <is>
          <t>metals &amp; mining</t>
        </is>
      </c>
      <c r="F63" s="31" t="inlineStr">
        <is>
          <t>Steel</t>
        </is>
      </c>
      <c r="G63" s="31" t="inlineStr">
        <is>
          <t>smallcap</t>
        </is>
      </c>
      <c r="H63" s="32" t="n">
        <v>2600.92</v>
      </c>
      <c r="I63" s="32" t="n">
        <v>180</v>
      </c>
      <c r="J63" s="32" t="n">
        <v>4.35</v>
      </c>
      <c r="K63" s="32" t="n">
        <v>0</v>
      </c>
      <c r="L63" s="31" t="inlineStr"/>
      <c r="M63" s="31" t="inlineStr"/>
      <c r="N63" s="32">
        <f>IF(M63="Underperforming",-5,IF(L63&gt;=95,15,IF(L63&gt;=90,10,IF(L63&gt;=80,5,0))))</f>
        <v/>
      </c>
      <c r="O63" s="32" t="n">
        <v>73.83</v>
      </c>
      <c r="P63" s="32" t="n">
        <v>40.03</v>
      </c>
      <c r="Q63" s="32" t="n">
        <v>143.82</v>
      </c>
      <c r="R63" s="31" t="inlineStr">
        <is>
          <t>Volume Spike &amp; Near 52W High Breakout</t>
        </is>
      </c>
      <c r="S63" s="31" t="inlineStr">
        <is>
          <t>Nifty Metal</t>
        </is>
      </c>
      <c r="T63" s="32" t="inlineStr"/>
      <c r="U63" s="32" t="inlineStr"/>
      <c r="V63" s="32" t="inlineStr"/>
      <c r="W63" s="32" t="inlineStr"/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Cyclical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Volatile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Between 0.7 to 1.2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23</t>
        </is>
      </c>
      <c r="CG63" s="31">
        <f>IF(CF63&gt;20,10,IF(CF63&gt;=10,5,2))</f>
        <v/>
      </c>
    </row>
    <row r="64">
      <c r="A64" s="31">
        <f>IF(B64=0,"",RANK(B64,$B$2:$B$97,0))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AVTNPL</t>
        </is>
      </c>
      <c r="D64" s="31" t="inlineStr">
        <is>
          <t>AVT Natural Products Ltd</t>
        </is>
      </c>
      <c r="E64" s="31" t="inlineStr">
        <is>
          <t>Basic Materials</t>
        </is>
      </c>
      <c r="F64" s="31" t="inlineStr">
        <is>
          <t>Natural Extracts and Food Ingredients</t>
        </is>
      </c>
      <c r="G64" s="31" t="inlineStr">
        <is>
          <t>smallcap</t>
        </is>
      </c>
      <c r="H64" s="32" t="n">
        <v>1403.3</v>
      </c>
      <c r="I64" s="32" t="n">
        <v>92.15000000000001</v>
      </c>
      <c r="J64" s="32" t="n">
        <v>-0.05</v>
      </c>
      <c r="K64" s="32" t="n">
        <v>0</v>
      </c>
      <c r="L64" s="31" t="n">
        <v>38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68.7</v>
      </c>
      <c r="P64" s="32" t="n">
        <v>48.91</v>
      </c>
      <c r="Q64" s="32" t="n">
        <v>71.33</v>
      </c>
      <c r="R64" s="31" t="inlineStr">
        <is>
          <t>Near 52W High Breakout</t>
        </is>
      </c>
      <c r="S64" s="31" t="inlineStr">
        <is>
          <t>Nifty 50</t>
        </is>
      </c>
      <c r="T64" s="32" t="n">
        <v>-9.130000000000001</v>
      </c>
      <c r="U64" s="32" t="n">
        <v>29.15</v>
      </c>
      <c r="V64" s="32" t="n">
        <v>42.13</v>
      </c>
      <c r="W64" s="32" t="n">
        <v>12.11</v>
      </c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Cyclical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Volatile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21</t>
        </is>
      </c>
      <c r="CG64" s="31">
        <f>IF(CF64&gt;20,10,IF(CF64&gt;=10,5,2))</f>
        <v/>
      </c>
    </row>
    <row r="65">
      <c r="A65" s="31">
        <f>IF(B65=0,"",RANK(B65,$B$2:$B$97,0))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4" t="inlineStr">
        <is>
          <t>LUMAXTECH</t>
        </is>
      </c>
      <c r="D65" s="34" t="inlineStr">
        <is>
          <t>Lumax Auto Technologies Ltd</t>
        </is>
      </c>
      <c r="E65" s="31" t="inlineStr">
        <is>
          <t>auto</t>
        </is>
      </c>
      <c r="F65" s="31" t="inlineStr">
        <is>
          <t>Diversified Auto Components</t>
        </is>
      </c>
      <c r="G65" s="31" t="inlineStr">
        <is>
          <t>midcap</t>
        </is>
      </c>
      <c r="H65" s="32" t="n">
        <v>13987.32</v>
      </c>
      <c r="I65" s="32" t="n">
        <v>2052.2</v>
      </c>
      <c r="J65" s="32" t="n">
        <v>2.01</v>
      </c>
      <c r="K65" s="32" t="n">
        <v>0</v>
      </c>
      <c r="L65" s="31" t="inlineStr"/>
      <c r="M65" s="31" t="inlineStr"/>
      <c r="N65" s="32">
        <f>IF(M65="Underperforming",-5,IF(L65&gt;=95,15,IF(L65&gt;=90,10,IF(L65&gt;=80,5,0))))</f>
        <v/>
      </c>
      <c r="O65" s="32" t="n">
        <v>65.37</v>
      </c>
      <c r="P65" s="32" t="n">
        <v>26.44</v>
      </c>
      <c r="Q65" s="32" t="n">
        <v>1616.01</v>
      </c>
      <c r="R65" s="31" t="inlineStr">
        <is>
          <t>Near 52W High Breakout</t>
        </is>
      </c>
      <c r="S65" s="31" t="inlineStr">
        <is>
          <t>Nifty Auto</t>
        </is>
      </c>
      <c r="T65" s="32" t="inlineStr"/>
      <c r="U65" s="32" t="inlineStr"/>
      <c r="V65" s="32" t="inlineStr"/>
      <c r="W65" s="32" t="inlineStr"/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Between 0.7 to 1.2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19</t>
        </is>
      </c>
      <c r="CG65" s="31">
        <f>IF(CF65&gt;20,10,IF(CF65&gt;=10,5,2))</f>
        <v/>
      </c>
    </row>
    <row r="66">
      <c r="A66" s="31">
        <f>IF(B66=0,"",RANK(B66,$B$2:$B$97,0))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MMP</t>
        </is>
      </c>
      <c r="D66" s="31" t="inlineStr">
        <is>
          <t>MMP Industries Ltd</t>
        </is>
      </c>
      <c r="E66" s="31" t="inlineStr">
        <is>
          <t>metals &amp; mining</t>
        </is>
      </c>
      <c r="F66" s="31" t="inlineStr">
        <is>
          <t>Aluminium Products</t>
        </is>
      </c>
      <c r="G66" s="31" t="inlineStr">
        <is>
          <t>smallcap</t>
        </is>
      </c>
      <c r="H66" s="32" t="n">
        <v>1210.43</v>
      </c>
      <c r="I66" s="32" t="n">
        <v>476.5</v>
      </c>
      <c r="J66" s="32" t="n">
        <v>6.47</v>
      </c>
      <c r="K66" s="32" t="n">
        <v>0</v>
      </c>
      <c r="L66" s="31" t="inlineStr"/>
      <c r="M66" s="31" t="inlineStr"/>
      <c r="N66" s="32">
        <f>IF(M66="Underperforming",-5,IF(L66&gt;=95,15,IF(L66&gt;=90,10,IF(L66&gt;=80,5,0))))</f>
        <v/>
      </c>
      <c r="O66" s="32" t="n">
        <v>82.59</v>
      </c>
      <c r="P66" s="32" t="n">
        <v>59.14</v>
      </c>
      <c r="Q66" s="32" t="n">
        <v>355.17</v>
      </c>
      <c r="R66" s="31" t="inlineStr">
        <is>
          <t>Near 52W High Breakout</t>
        </is>
      </c>
      <c r="S66" s="31" t="inlineStr">
        <is>
          <t>Nifty Metal</t>
        </is>
      </c>
      <c r="T66" s="32" t="inlineStr"/>
      <c r="U66" s="32" t="inlineStr"/>
      <c r="V66" s="32" t="inlineStr"/>
      <c r="W66" s="32" t="inlineStr"/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Cyclical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Volatile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19</t>
        </is>
      </c>
      <c r="CG66" s="31">
        <f>IF(CF66&gt;20,10,IF(CF66&gt;=10,5,2))</f>
        <v/>
      </c>
    </row>
    <row r="67">
      <c r="A67" s="31">
        <f>IF(B67=0,"",RANK(B67,$B$2:$B$97,0))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4" t="inlineStr">
        <is>
          <t>DYNAMATECH</t>
        </is>
      </c>
      <c r="D67" s="34" t="inlineStr">
        <is>
          <t>Dynamatic Technologies Ltd</t>
        </is>
      </c>
      <c r="E67" s="31" t="inlineStr">
        <is>
          <t>aerospace &amp; defence</t>
        </is>
      </c>
      <c r="F67" s="31" t="inlineStr">
        <is>
          <t>Aerospace and Defence Equipment</t>
        </is>
      </c>
      <c r="G67" s="31" t="inlineStr">
        <is>
          <t>midcap</t>
        </is>
      </c>
      <c r="H67" s="32" t="n">
        <v>9182.030000000001</v>
      </c>
      <c r="I67" s="32" t="n">
        <v>13520</v>
      </c>
      <c r="J67" s="32" t="n">
        <v>3.48</v>
      </c>
      <c r="K67" s="32" t="n">
        <v>0</v>
      </c>
      <c r="L67" s="31" t="n">
        <v>62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70.2</v>
      </c>
      <c r="P67" s="32" t="n">
        <v>28.99</v>
      </c>
      <c r="Q67" s="32" t="n">
        <v>10486.99</v>
      </c>
      <c r="R67" s="31" t="inlineStr">
        <is>
          <t>Near 52W High Breakout</t>
        </is>
      </c>
      <c r="S67" s="31" t="inlineStr">
        <is>
          <t>Nifty 50</t>
        </is>
      </c>
      <c r="T67" s="32" t="n">
        <v>-9.130000000000001</v>
      </c>
      <c r="U67" s="32" t="n">
        <v>94.11</v>
      </c>
      <c r="V67" s="32" t="n">
        <v>113.63</v>
      </c>
      <c r="W67" s="32" t="n">
        <v>21.72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Between 0.7 to 1.2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19</t>
        </is>
      </c>
      <c r="CG67" s="31">
        <f>IF(CF67&gt;20,10,IF(CF67&gt;=10,5,2))</f>
        <v/>
      </c>
    </row>
    <row r="68">
      <c r="A68" s="31">
        <f>IF(B68=0,"",RANK(B68,$B$2:$B$97,0))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4" t="inlineStr">
        <is>
          <t>GESHIP</t>
        </is>
      </c>
      <c r="D68" s="34" t="inlineStr">
        <is>
          <t>Great Eastern Shipping Company Ltd</t>
        </is>
      </c>
      <c r="E68" s="31" t="inlineStr">
        <is>
          <t>transportation</t>
        </is>
      </c>
      <c r="F68" s="31" t="inlineStr">
        <is>
          <t>Shipping</t>
        </is>
      </c>
      <c r="G68" s="31" t="inlineStr">
        <is>
          <t>largecap</t>
        </is>
      </c>
      <c r="H68" s="32" t="n">
        <v>22288.81</v>
      </c>
      <c r="I68" s="32" t="n">
        <v>1561.2</v>
      </c>
      <c r="J68" s="32" t="n">
        <v>1.52</v>
      </c>
      <c r="K68" s="32" t="n">
        <v>0</v>
      </c>
      <c r="L68" s="31" t="n">
        <v>36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62.88</v>
      </c>
      <c r="P68" s="32" t="n">
        <v>24.28</v>
      </c>
      <c r="Q68" s="32" t="n">
        <v>1235.98</v>
      </c>
      <c r="R68" s="31" t="inlineStr">
        <is>
          <t>Earnings / Momentum Support</t>
        </is>
      </c>
      <c r="S68" s="31" t="inlineStr">
        <is>
          <t>Nifty 50</t>
        </is>
      </c>
      <c r="T68" s="32" t="n">
        <v>-9.130000000000001</v>
      </c>
      <c r="U68" s="32" t="n">
        <v>52.67</v>
      </c>
      <c r="V68" s="32" t="n">
        <v>68.01000000000001</v>
      </c>
      <c r="W68" s="32" t="n">
        <v>11.24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19</t>
        </is>
      </c>
      <c r="CG68" s="31">
        <f>IF(CF68&gt;20,10,IF(CF68&gt;=10,5,2))</f>
        <v/>
      </c>
    </row>
    <row r="69">
      <c r="A69" s="31">
        <f>IF(B69=0,"",RANK(B69,$B$2:$B$97,0))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KRISHANA</t>
        </is>
      </c>
      <c r="D69" s="31" t="inlineStr">
        <is>
          <t>Krishana Phoschem Ltd</t>
        </is>
      </c>
      <c r="E69" s="31" t="inlineStr">
        <is>
          <t>chemicals</t>
        </is>
      </c>
      <c r="F69" s="31" t="inlineStr">
        <is>
          <t>Fertilisers</t>
        </is>
      </c>
      <c r="G69" s="31" t="inlineStr">
        <is>
          <t>midcap</t>
        </is>
      </c>
      <c r="H69" s="32" t="n">
        <v>5780.88</v>
      </c>
      <c r="I69" s="32" t="n">
        <v>187</v>
      </c>
      <c r="J69" s="32" t="n">
        <v>0.98</v>
      </c>
      <c r="K69" s="32" t="n">
        <v>0</v>
      </c>
      <c r="L69" s="31" t="n">
        <v>61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68.75</v>
      </c>
      <c r="P69" s="32" t="n">
        <v>51.61</v>
      </c>
      <c r="Q69" s="32" t="n">
        <v>155.08</v>
      </c>
      <c r="R69" s="31" t="inlineStr">
        <is>
          <t>Earnings / Momentum Support</t>
        </is>
      </c>
      <c r="S69" s="31" t="inlineStr">
        <is>
          <t>Nifty 50</t>
        </is>
      </c>
      <c r="T69" s="32" t="n">
        <v>-9.130000000000001</v>
      </c>
      <c r="U69" s="32" t="n">
        <v>103.07</v>
      </c>
      <c r="V69" s="32" t="n">
        <v>123.48</v>
      </c>
      <c r="W69" s="32" t="n">
        <v>20.96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More than 1.2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18</t>
        </is>
      </c>
      <c r="CG69" s="31">
        <f>IF(CF69&gt;20,10,IF(CF69&gt;=10,5,2))</f>
        <v/>
      </c>
    </row>
    <row r="70">
      <c r="A70" s="31">
        <f>IF(B70=0,"",RANK(B70,$B$2:$B$97,0))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AEGISLOG</t>
        </is>
      </c>
      <c r="D70" s="31" t="inlineStr">
        <is>
          <t>Aegis Logistics Ltd</t>
        </is>
      </c>
      <c r="E70" s="31" t="inlineStr">
        <is>
          <t>Energy</t>
        </is>
      </c>
      <c r="F70" s="31" t="inlineStr">
        <is>
          <t>Logistics</t>
        </is>
      </c>
      <c r="G70" s="31" t="inlineStr">
        <is>
          <t>largecap</t>
        </is>
      </c>
      <c r="H70" s="32" t="n">
        <v>48438</v>
      </c>
      <c r="I70" s="32" t="n">
        <v>1380</v>
      </c>
      <c r="J70" s="32" t="n">
        <v>6.17</v>
      </c>
      <c r="K70" s="32" t="n">
        <v>0</v>
      </c>
      <c r="L70" s="31" t="inlineStr"/>
      <c r="M70" s="31" t="inlineStr"/>
      <c r="N70" s="32">
        <f>IF(M70="Underperforming",-5,IF(L70&gt;=95,15,IF(L70&gt;=90,10,IF(L70&gt;=80,5,0))))</f>
        <v/>
      </c>
      <c r="O70" s="32" t="n">
        <v>64.42</v>
      </c>
      <c r="P70" s="32" t="n">
        <v>58.76</v>
      </c>
      <c r="Q70" s="32" t="n">
        <v>1018.97</v>
      </c>
      <c r="R70" s="31" t="inlineStr">
        <is>
          <t>Near 52W High Breakout</t>
        </is>
      </c>
      <c r="S70" s="31" t="inlineStr">
        <is>
          <t>Nifty Energy</t>
        </is>
      </c>
      <c r="T70" s="32" t="inlineStr"/>
      <c r="U70" s="32" t="inlineStr"/>
      <c r="V70" s="32" t="inlineStr"/>
      <c r="W70" s="32" t="inlineStr"/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Oligopoly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Yes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Cyclical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Volatile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25</t>
        </is>
      </c>
      <c r="CG70" s="31">
        <f>IF(CF70&gt;20,10,IF(CF70&gt;=10,5,2))</f>
        <v/>
      </c>
    </row>
    <row r="71">
      <c r="A71" s="31">
        <f>IF(B71=0,"",RANK(B71,$B$2:$B$97,0))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SAPL</t>
        </is>
      </c>
      <c r="D71" s="31" t="inlineStr">
        <is>
          <t>Sar Auto Products Ltd</t>
        </is>
      </c>
      <c r="E71" s="31" t="inlineStr">
        <is>
          <t>Consumer Cyclical</t>
        </is>
      </c>
      <c r="F71" s="31" t="inlineStr">
        <is>
          <t>Auto Gears</t>
        </is>
      </c>
      <c r="G71" s="31" t="inlineStr">
        <is>
          <t>smallcap</t>
        </is>
      </c>
      <c r="H71" s="32" t="n">
        <v>4117.78</v>
      </c>
      <c r="I71" s="32" t="n">
        <v>8642.200000000001</v>
      </c>
      <c r="J71" s="32" t="n">
        <v>4.12</v>
      </c>
      <c r="K71" s="32" t="n">
        <v>0</v>
      </c>
      <c r="L71" s="31" t="inlineStr"/>
      <c r="M71" s="31" t="inlineStr"/>
      <c r="N71" s="32">
        <f>IF(M71="Underperforming",-5,IF(L71&gt;=95,15,IF(L71&gt;=90,10,IF(L71&gt;=80,5,0))))</f>
        <v/>
      </c>
      <c r="O71" s="32" t="n">
        <v>92.44</v>
      </c>
      <c r="P71" s="32" t="n">
        <v>52.26</v>
      </c>
      <c r="Q71" s="32" t="n">
        <v>6770.41</v>
      </c>
      <c r="R71" s="31" t="inlineStr">
        <is>
          <t>Near 52W High Breakout</t>
        </is>
      </c>
      <c r="S71" s="31" t="inlineStr">
        <is>
          <t>Nifty Auto</t>
        </is>
      </c>
      <c r="T71" s="32" t="inlineStr"/>
      <c r="U71" s="32" t="inlineStr"/>
      <c r="V71" s="32" t="inlineStr"/>
      <c r="W71" s="32" t="inlineStr"/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B2C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More than 1.2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24</t>
        </is>
      </c>
      <c r="CG71" s="31">
        <f>IF(CF71&gt;20,10,IF(CF71&gt;=10,5,2))</f>
        <v/>
      </c>
    </row>
    <row r="72">
      <c r="A72" s="31">
        <f>IF(B72=0,"",RANK(B72,$B$2:$B$97,0))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MANINDS</t>
        </is>
      </c>
      <c r="D72" s="31" t="inlineStr">
        <is>
          <t>Man Industries (India) Ltd</t>
        </is>
      </c>
      <c r="E72" s="31" t="inlineStr">
        <is>
          <t>metals &amp; mining</t>
        </is>
      </c>
      <c r="F72" s="31" t="inlineStr">
        <is>
          <t>Steel Tubes and Pipes</t>
        </is>
      </c>
      <c r="G72" s="31" t="inlineStr">
        <is>
          <t>midcap</t>
        </is>
      </c>
      <c r="H72" s="32" t="n">
        <v>6833.37</v>
      </c>
      <c r="I72" s="32" t="n">
        <v>911</v>
      </c>
      <c r="J72" s="32" t="n">
        <v>-5.06</v>
      </c>
      <c r="K72" s="32" t="n">
        <v>0</v>
      </c>
      <c r="L72" s="31" t="inlineStr"/>
      <c r="M72" s="31" t="inlineStr"/>
      <c r="N72" s="32">
        <f>IF(M72="Underperforming",-5,IF(L72&gt;=95,15,IF(L72&gt;=90,10,IF(L72&gt;=80,5,0))))</f>
        <v/>
      </c>
      <c r="O72" s="32" t="n">
        <v>69.93000000000001</v>
      </c>
      <c r="P72" s="32" t="n">
        <v>43.19</v>
      </c>
      <c r="Q72" s="32" t="n">
        <v>760.52</v>
      </c>
      <c r="R72" s="31" t="inlineStr">
        <is>
          <t>Earnings / Momentum Support</t>
        </is>
      </c>
      <c r="S72" s="31" t="inlineStr">
        <is>
          <t>Nifty Metal</t>
        </is>
      </c>
      <c r="T72" s="32" t="inlineStr"/>
      <c r="U72" s="32" t="inlineStr"/>
      <c r="V72" s="32" t="inlineStr"/>
      <c r="W72" s="32" t="inlineStr"/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Cyclical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Volatile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22</t>
        </is>
      </c>
      <c r="CG72" s="31">
        <f>IF(CF72&gt;20,10,IF(CF72&gt;=10,5,2))</f>
        <v/>
      </c>
    </row>
    <row r="73">
      <c r="A73" s="31">
        <f>IF(B73=0,"",RANK(B73,$B$2:$B$97,0))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4" t="inlineStr">
        <is>
          <t>AXISCADES</t>
        </is>
      </c>
      <c r="D73" s="34" t="inlineStr">
        <is>
          <t>AXISCADES Technologies Ltd</t>
        </is>
      </c>
      <c r="E73" s="31" t="inlineStr">
        <is>
          <t>aerospace &amp; defence</t>
        </is>
      </c>
      <c r="F73" s="31" t="inlineStr">
        <is>
          <t>Aerospace and Defence Equipment</t>
        </is>
      </c>
      <c r="G73" s="31" t="inlineStr">
        <is>
          <t>midcap</t>
        </is>
      </c>
      <c r="H73" s="32" t="n">
        <v>9446.690000000001</v>
      </c>
      <c r="I73" s="32" t="n">
        <v>2221</v>
      </c>
      <c r="J73" s="32" t="n">
        <v>7.43</v>
      </c>
      <c r="K73" s="32" t="n">
        <v>0</v>
      </c>
      <c r="L73" s="31" t="n">
        <v>42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69.8</v>
      </c>
      <c r="P73" s="32" t="n">
        <v>12.6</v>
      </c>
      <c r="Q73" s="32" t="n">
        <v>1642.45</v>
      </c>
      <c r="R73" s="31" t="inlineStr">
        <is>
          <t>Volume Spike &amp; Near 52W High Breakout</t>
        </is>
      </c>
      <c r="S73" s="31" t="inlineStr">
        <is>
          <t>Nifty IT</t>
        </is>
      </c>
      <c r="T73" s="32" t="n">
        <v>-18.39</v>
      </c>
      <c r="U73" s="32" t="n">
        <v>30.77</v>
      </c>
      <c r="V73" s="32" t="n">
        <v>60.25</v>
      </c>
      <c r="W73" s="32" t="n">
        <v>14.19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0 to 20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21</t>
        </is>
      </c>
      <c r="CG73" s="31">
        <f>IF(CF73&gt;20,10,IF(CF73&gt;=10,5,2))</f>
        <v/>
      </c>
    </row>
    <row r="74">
      <c r="A74" s="31">
        <f>IF(B74=0,"",RANK(B74,$B$2:$B$97,0))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4" t="inlineStr">
        <is>
          <t>EMIL</t>
        </is>
      </c>
      <c r="D74" s="34" t="inlineStr">
        <is>
          <t>Electronics Mart India Ltd</t>
        </is>
      </c>
      <c r="E74" s="31" t="inlineStr">
        <is>
          <t>consumer discretionary</t>
        </is>
      </c>
      <c r="F74" s="31" t="inlineStr">
        <is>
          <t>Retail Electronics</t>
        </is>
      </c>
      <c r="G74" s="31" t="inlineStr">
        <is>
          <t>midcap</t>
        </is>
      </c>
      <c r="H74" s="32" t="n">
        <v>7848.87</v>
      </c>
      <c r="I74" s="32" t="n">
        <v>204</v>
      </c>
      <c r="J74" s="32" t="n">
        <v>6.41</v>
      </c>
      <c r="K74" s="32" t="n">
        <v>0</v>
      </c>
      <c r="L74" s="31" t="n">
        <v>61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75.45999999999999</v>
      </c>
      <c r="P74" s="32" t="n">
        <v>44.52</v>
      </c>
      <c r="Q74" s="32" t="n">
        <v>155.48</v>
      </c>
      <c r="R74" s="31" t="inlineStr">
        <is>
          <t>Near 52W High Breakout</t>
        </is>
      </c>
      <c r="S74" s="31" t="inlineStr">
        <is>
          <t>Nifty 50</t>
        </is>
      </c>
      <c r="T74" s="32" t="n">
        <v>-9.130000000000001</v>
      </c>
      <c r="U74" s="32" t="n">
        <v>43.32</v>
      </c>
      <c r="V74" s="32" t="n">
        <v>57.72</v>
      </c>
      <c r="W74" s="32" t="n">
        <v>20.79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B2C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More than 1.2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21</t>
        </is>
      </c>
      <c r="CG74" s="31">
        <f>IF(CF74&gt;20,10,IF(CF74&gt;=10,5,2))</f>
        <v/>
      </c>
    </row>
    <row r="75">
      <c r="A75" s="31">
        <f>IF(B75=0,"",RANK(B75,$B$2:$B$97,0))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MENONBE</t>
        </is>
      </c>
      <c r="D75" s="31" t="inlineStr">
        <is>
          <t>Menon Bearings Ltd</t>
        </is>
      </c>
      <c r="E75" s="31" t="inlineStr">
        <is>
          <t>Consumer Cyclical</t>
        </is>
      </c>
      <c r="F75" s="31" t="inlineStr">
        <is>
          <t>Bearings</t>
        </is>
      </c>
      <c r="G75" s="31" t="inlineStr">
        <is>
          <t>smallcap</t>
        </is>
      </c>
      <c r="H75" s="32" t="n">
        <v>1656.82</v>
      </c>
      <c r="I75" s="32" t="n">
        <v>295.65</v>
      </c>
      <c r="J75" s="32" t="n">
        <v>1.56</v>
      </c>
      <c r="K75" s="32" t="n">
        <v>0</v>
      </c>
      <c r="L75" s="31" t="inlineStr"/>
      <c r="M75" s="31" t="inlineStr"/>
      <c r="N75" s="32">
        <f>IF(M75="Underperforming",-5,IF(L75&gt;=95,15,IF(L75&gt;=90,10,IF(L75&gt;=80,5,0))))</f>
        <v/>
      </c>
      <c r="O75" s="32" t="n">
        <v>70.73999999999999</v>
      </c>
      <c r="P75" s="32" t="n">
        <v>68.62</v>
      </c>
      <c r="Q75" s="32" t="n">
        <v>232.93</v>
      </c>
      <c r="R75" s="31" t="inlineStr">
        <is>
          <t>Earnings / Momentum Support</t>
        </is>
      </c>
      <c r="S75" s="31" t="inlineStr">
        <is>
          <t>Nifty Auto</t>
        </is>
      </c>
      <c r="T75" s="32" t="inlineStr"/>
      <c r="U75" s="32" t="inlineStr"/>
      <c r="V75" s="32" t="inlineStr"/>
      <c r="W75" s="32" t="inlineStr"/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B2C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19</t>
        </is>
      </c>
      <c r="CG75" s="31">
        <f>IF(CF75&gt;20,10,IF(CF75&gt;=10,5,2))</f>
        <v/>
      </c>
    </row>
    <row r="76">
      <c r="A76" s="31">
        <f>IF(B76=0,"",RANK(B76,$B$2:$B$97,0))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STLTECH</t>
        </is>
      </c>
      <c r="D76" s="31" t="inlineStr">
        <is>
          <t>Sterlite Technologies Ltd</t>
        </is>
      </c>
      <c r="E76" s="31" t="inlineStr">
        <is>
          <t>industrials</t>
        </is>
      </c>
      <c r="F76" s="31" t="inlineStr">
        <is>
          <t>Cables Telecom</t>
        </is>
      </c>
      <c r="G76" s="31" t="inlineStr">
        <is>
          <t>largecap</t>
        </is>
      </c>
      <c r="H76" s="32" t="n">
        <v>46774.09</v>
      </c>
      <c r="I76" s="32" t="n">
        <v>909.9</v>
      </c>
      <c r="J76" s="32" t="n">
        <v>5</v>
      </c>
      <c r="K76" s="32" t="n">
        <v>0</v>
      </c>
      <c r="L76" s="31" t="inlineStr"/>
      <c r="M76" s="31" t="inlineStr"/>
      <c r="N76" s="32">
        <f>IF(M76="Underperforming",-5,IF(L76&gt;=95,15,IF(L76&gt;=90,10,IF(L76&gt;=80,5,0))))</f>
        <v/>
      </c>
      <c r="O76" s="32" t="n">
        <v>76.64</v>
      </c>
      <c r="P76" s="32" t="n">
        <v>70.77</v>
      </c>
      <c r="Q76" s="32" t="n">
        <v>660.36</v>
      </c>
      <c r="R76" s="31" t="inlineStr">
        <is>
          <t>Near 52W High Breakout</t>
        </is>
      </c>
      <c r="S76" s="31" t="inlineStr">
        <is>
          <t>Nifty Infra</t>
        </is>
      </c>
      <c r="T76" s="32" t="inlineStr"/>
      <c r="U76" s="32" t="inlineStr"/>
      <c r="V76" s="32" t="inlineStr"/>
      <c r="W76" s="32" t="inlineStr"/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Oligopoly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Between 0.7 to 1.2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25</t>
        </is>
      </c>
      <c r="CG76" s="31">
        <f>IF(CF76&gt;20,10,IF(CF76&gt;=10,5,2))</f>
        <v/>
      </c>
    </row>
    <row r="77">
      <c r="A77" s="31">
        <f>IF(B77=0,"",RANK(B77,$B$2:$B$97,0))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MARINE</t>
        </is>
      </c>
      <c r="D77" s="31" t="inlineStr">
        <is>
          <t>Marine Electricals (India) Ltd</t>
        </is>
      </c>
      <c r="E77" s="31" t="inlineStr">
        <is>
          <t>industrials</t>
        </is>
      </c>
      <c r="F77" s="31" t="inlineStr">
        <is>
          <t>Shipping Proxy</t>
        </is>
      </c>
      <c r="G77" s="31" t="inlineStr">
        <is>
          <t>midcap</t>
        </is>
      </c>
      <c r="H77" s="32" t="n">
        <v>6045.6</v>
      </c>
      <c r="I77" s="32" t="n">
        <v>432</v>
      </c>
      <c r="J77" s="32" t="n">
        <v>-1.43</v>
      </c>
      <c r="K77" s="32" t="n">
        <v>0</v>
      </c>
      <c r="L77" s="31" t="n">
        <v>77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71.58</v>
      </c>
      <c r="P77" s="32" t="n">
        <v>49</v>
      </c>
      <c r="Q77" s="32" t="n">
        <v>308.3</v>
      </c>
      <c r="R77" s="31" t="inlineStr">
        <is>
          <t>Near 52W High Breakout</t>
        </is>
      </c>
      <c r="S77" s="31" t="inlineStr">
        <is>
          <t>Nifty 50</t>
        </is>
      </c>
      <c r="T77" s="32" t="n">
        <v>-9.130000000000001</v>
      </c>
      <c r="U77" s="32" t="n">
        <v>91.58</v>
      </c>
      <c r="V77" s="32" t="n">
        <v>110.84</v>
      </c>
      <c r="W77" s="32" t="n">
        <v>29.05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Between 1.5 to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22</t>
        </is>
      </c>
      <c r="CG77" s="31">
        <f>IF(CF77&gt;20,10,IF(CF77&gt;=10,5,2))</f>
        <v/>
      </c>
    </row>
    <row r="78">
      <c r="A78" s="31">
        <f>IF(B78=0,"",RANK(B78,$B$2:$B$97,0))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INOVSYNTH</t>
        </is>
      </c>
      <c r="D78" s="31" t="inlineStr">
        <is>
          <t>Innovassynth Technologies (India) Ltd</t>
        </is>
      </c>
      <c r="E78" s="31" t="inlineStr">
        <is>
          <t>Basic Materials</t>
        </is>
      </c>
      <c r="F78" s="31" t="inlineStr">
        <is>
          <t>Specialty Chemicals</t>
        </is>
      </c>
      <c r="G78" s="31" t="inlineStr">
        <is>
          <t>smallcap</t>
        </is>
      </c>
      <c r="H78" s="32" t="n">
        <v>1432.84</v>
      </c>
      <c r="I78" s="32" t="n">
        <v>154.3</v>
      </c>
      <c r="J78" s="32" t="n">
        <v>1.98</v>
      </c>
      <c r="K78" s="32" t="n">
        <v>0</v>
      </c>
      <c r="L78" s="31" t="n">
        <v>54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83.69</v>
      </c>
      <c r="P78" s="32" t="n">
        <v>56.58</v>
      </c>
      <c r="Q78" s="32" t="n">
        <v>136.53</v>
      </c>
      <c r="R78" s="31" t="inlineStr">
        <is>
          <t>Near 52W High Breakout</t>
        </is>
      </c>
      <c r="S78" s="31" t="inlineStr">
        <is>
          <t>Nifty 50</t>
        </is>
      </c>
      <c r="T78" s="32" t="n">
        <v>-9.130000000000001</v>
      </c>
      <c r="U78" s="32" t="n">
        <v>66.63</v>
      </c>
      <c r="V78" s="32" t="n">
        <v>83.38</v>
      </c>
      <c r="W78" s="32" t="n">
        <v>18.91</v>
      </c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Cyclical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Volatile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Between 0.7 to 1.2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19</t>
        </is>
      </c>
      <c r="CG78" s="31">
        <f>IF(CF78&gt;20,10,IF(CF78&gt;=10,5,2))</f>
        <v/>
      </c>
    </row>
    <row r="79">
      <c r="A79" s="31">
        <f>IF(B79=0,"",RANK(B79,$B$2:$B$97,0))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4" t="inlineStr">
        <is>
          <t>TEGA</t>
        </is>
      </c>
      <c r="D79" s="34" t="inlineStr">
        <is>
          <t>Tega Industries Ltd</t>
        </is>
      </c>
      <c r="E79" s="31" t="inlineStr">
        <is>
          <t>industrials</t>
        </is>
      </c>
      <c r="F79" s="31" t="inlineStr">
        <is>
          <t>Capital Goods Mining Equipment</t>
        </is>
      </c>
      <c r="G79" s="31" t="inlineStr">
        <is>
          <t>midcap</t>
        </is>
      </c>
      <c r="H79" s="32" t="n">
        <v>15776.82</v>
      </c>
      <c r="I79" s="32" t="n">
        <v>2100</v>
      </c>
      <c r="J79" s="32" t="n">
        <v>1.91</v>
      </c>
      <c r="K79" s="32" t="n">
        <v>0</v>
      </c>
      <c r="L79" s="31" t="n">
        <v>23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65.76000000000001</v>
      </c>
      <c r="P79" s="32" t="n">
        <v>15.2</v>
      </c>
      <c r="Q79" s="32" t="n">
        <v>1608.32</v>
      </c>
      <c r="R79" s="31" t="inlineStr">
        <is>
          <t>Near 52W High Breakout</t>
        </is>
      </c>
      <c r="S79" s="31" t="inlineStr">
        <is>
          <t>Nifty 50</t>
        </is>
      </c>
      <c r="T79" s="32" t="n">
        <v>-9.130000000000001</v>
      </c>
      <c r="U79" s="32" t="n">
        <v>6.85</v>
      </c>
      <c r="V79" s="32" t="n">
        <v>17.59</v>
      </c>
      <c r="W79" s="32" t="n">
        <v>7.83</v>
      </c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0 to 20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19</t>
        </is>
      </c>
      <c r="CG79" s="31">
        <f>IF(CF79&gt;20,10,IF(CF79&gt;=10,5,2))</f>
        <v/>
      </c>
    </row>
    <row r="80">
      <c r="A80" s="31">
        <f>IF(B80=0,"",RANK(B80,$B$2:$B$97,0))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MARKSANS</t>
        </is>
      </c>
      <c r="D80" s="31" t="inlineStr">
        <is>
          <t>Marksans Pharma Ltd</t>
        </is>
      </c>
      <c r="E80" s="31" t="inlineStr">
        <is>
          <t>Healthcare</t>
        </is>
      </c>
      <c r="F80" s="31" t="inlineStr">
        <is>
          <t>Pharma Formulations</t>
        </is>
      </c>
      <c r="G80" s="31" t="inlineStr">
        <is>
          <t>midcap</t>
        </is>
      </c>
      <c r="H80" s="32" t="n">
        <v>14612.26</v>
      </c>
      <c r="I80" s="32" t="n">
        <v>322.45</v>
      </c>
      <c r="J80" s="32" t="n">
        <v>-5.92</v>
      </c>
      <c r="K80" s="32" t="n">
        <v>0</v>
      </c>
      <c r="L80" s="31" t="n">
        <v>60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66.3</v>
      </c>
      <c r="P80" s="32" t="n">
        <v>55.8</v>
      </c>
      <c r="Q80" s="32" t="n">
        <v>260.39</v>
      </c>
      <c r="R80" s="31" t="inlineStr">
        <is>
          <t>Near 52W High Breakout</t>
        </is>
      </c>
      <c r="S80" s="31" t="inlineStr">
        <is>
          <t>Nifty Pharma</t>
        </is>
      </c>
      <c r="T80" s="32" t="n">
        <v>21.52</v>
      </c>
      <c r="U80" s="32" t="n">
        <v>94.06999999999999</v>
      </c>
      <c r="V80" s="32" t="n">
        <v>59.71</v>
      </c>
      <c r="W80" s="32" t="n">
        <v>20.68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Yes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Annuity, Lower One Time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20</t>
        </is>
      </c>
      <c r="CG80" s="31">
        <f>IF(CF80&gt;20,10,IF(CF80&gt;=10,5,2))</f>
        <v/>
      </c>
    </row>
    <row r="81">
      <c r="A81" s="31">
        <f>IF(B81=0,"",RANK(B81,$B$2:$B$97,0))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GHCLTEXTIL</t>
        </is>
      </c>
      <c r="D81" s="31" t="inlineStr">
        <is>
          <t>GHCL Textiles Ltd</t>
        </is>
      </c>
      <c r="E81" s="31" t="inlineStr">
        <is>
          <t>Consumer Cyclical</t>
        </is>
      </c>
      <c r="F81" s="31" t="inlineStr">
        <is>
          <t>Textiles General</t>
        </is>
      </c>
      <c r="G81" s="31" t="inlineStr">
        <is>
          <t>smallcap</t>
        </is>
      </c>
      <c r="H81" s="32" t="n">
        <v>1247.39</v>
      </c>
      <c r="I81" s="32" t="n">
        <v>130.5</v>
      </c>
      <c r="J81" s="32" t="n">
        <v>-1.34</v>
      </c>
      <c r="K81" s="32" t="n">
        <v>0</v>
      </c>
      <c r="L81" s="31" t="n">
        <v>48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61.91</v>
      </c>
      <c r="P81" s="32" t="n">
        <v>50.37</v>
      </c>
      <c r="Q81" s="32" t="n">
        <v>105.78</v>
      </c>
      <c r="R81" s="31" t="inlineStr">
        <is>
          <t>Earnings / Momentum Support</t>
        </is>
      </c>
      <c r="S81" s="31" t="inlineStr">
        <is>
          <t>Nifty 50</t>
        </is>
      </c>
      <c r="T81" s="32" t="n">
        <v>-9.130000000000001</v>
      </c>
      <c r="U81" s="32" t="n">
        <v>66.5</v>
      </c>
      <c r="V81" s="32" t="n">
        <v>83.23999999999999</v>
      </c>
      <c r="W81" s="32" t="n">
        <v>16.46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B2C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18</t>
        </is>
      </c>
      <c r="CG81" s="31">
        <f>IF(CF81&gt;20,10,IF(CF81&gt;=10,5,2))</f>
        <v/>
      </c>
    </row>
    <row r="82">
      <c r="A82" s="31">
        <f>IF(B82=0,"",RANK(B82,$B$2:$B$97,0))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MODISONLTD</t>
        </is>
      </c>
      <c r="D82" s="31" t="inlineStr">
        <is>
          <t>Modison Ltd</t>
        </is>
      </c>
      <c r="E82" s="31" t="inlineStr">
        <is>
          <t>industrials</t>
        </is>
      </c>
      <c r="F82" s="31" t="inlineStr">
        <is>
          <t>Capital Goods Electric General</t>
        </is>
      </c>
      <c r="G82" s="31" t="inlineStr">
        <is>
          <t>smallcap</t>
        </is>
      </c>
      <c r="H82" s="32" t="n">
        <v>1505.68</v>
      </c>
      <c r="I82" s="32" t="n">
        <v>464</v>
      </c>
      <c r="J82" s="32" t="n">
        <v>3.63</v>
      </c>
      <c r="K82" s="32" t="n">
        <v>0</v>
      </c>
      <c r="L82" s="31" t="n">
        <v>94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71.25</v>
      </c>
      <c r="P82" s="32" t="n">
        <v>56.49</v>
      </c>
      <c r="Q82" s="32" t="n">
        <v>363.2</v>
      </c>
      <c r="R82" s="31" t="inlineStr">
        <is>
          <t>Earnings / Momentum Support</t>
        </is>
      </c>
      <c r="S82" s="31" t="inlineStr">
        <is>
          <t>Nifty 50</t>
        </is>
      </c>
      <c r="T82" s="32" t="n">
        <v>-9.130000000000001</v>
      </c>
      <c r="U82" s="32" t="n">
        <v>190.26</v>
      </c>
      <c r="V82" s="32" t="n">
        <v>219.44</v>
      </c>
      <c r="W82" s="32" t="n">
        <v>45.63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18</t>
        </is>
      </c>
      <c r="CG82" s="31">
        <f>IF(CF82&gt;20,10,IF(CF82&gt;=10,5,2))</f>
        <v/>
      </c>
    </row>
    <row r="83">
      <c r="A83" s="31">
        <f>IF(B83=0,"",RANK(B83,$B$2:$B$97,0))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ANTELOPUS</t>
        </is>
      </c>
      <c r="D83" s="31" t="inlineStr">
        <is>
          <t>Antelopus Selan Energy Ltd</t>
        </is>
      </c>
      <c r="E83" s="31" t="inlineStr">
        <is>
          <t>energy</t>
        </is>
      </c>
      <c r="F83" s="31" t="inlineStr">
        <is>
          <t>Oil Drilling and Exploration</t>
        </is>
      </c>
      <c r="G83" s="31" t="inlineStr">
        <is>
          <t>smallcap</t>
        </is>
      </c>
      <c r="H83" s="32" t="n">
        <v>3952.24</v>
      </c>
      <c r="I83" s="32" t="n">
        <v>1120</v>
      </c>
      <c r="J83" s="32" t="n">
        <v>-3.66</v>
      </c>
      <c r="K83" s="32" t="n">
        <v>0</v>
      </c>
      <c r="L83" s="31" t="inlineStr"/>
      <c r="M83" s="31" t="inlineStr"/>
      <c r="N83" s="32">
        <f>IF(M83="Underperforming",-5,IF(L83&gt;=95,15,IF(L83&gt;=90,10,IF(L83&gt;=80,5,0))))</f>
        <v/>
      </c>
      <c r="O83" s="32" t="n">
        <v>65.31999999999999</v>
      </c>
      <c r="P83" s="32" t="n">
        <v>49.48</v>
      </c>
      <c r="Q83" s="32" t="n">
        <v>872.9299999999999</v>
      </c>
      <c r="R83" s="31" t="inlineStr">
        <is>
          <t>Earnings / Momentum Support</t>
        </is>
      </c>
      <c r="S83" s="31" t="inlineStr">
        <is>
          <t>Nifty Energy</t>
        </is>
      </c>
      <c r="T83" s="32" t="inlineStr"/>
      <c r="U83" s="32" t="inlineStr"/>
      <c r="V83" s="32" t="inlineStr"/>
      <c r="W83" s="32" t="inlineStr"/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Oligopoly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Yes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Cyclical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Volatile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26</t>
        </is>
      </c>
      <c r="CG83" s="31">
        <f>IF(CF83&gt;20,10,IF(CF83&gt;=10,5,2))</f>
        <v/>
      </c>
    </row>
    <row r="84">
      <c r="A84" s="31">
        <f>IF(B84=0,"",RANK(B84,$B$2:$B$97,0))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SBC</t>
        </is>
      </c>
      <c r="D84" s="31" t="inlineStr">
        <is>
          <t>SBC Exports Ltd</t>
        </is>
      </c>
      <c r="E84" s="31" t="inlineStr">
        <is>
          <t>textiles</t>
        </is>
      </c>
      <c r="F84" s="31" t="inlineStr">
        <is>
          <t>Textiles Readymade Apparel</t>
        </is>
      </c>
      <c r="G84" s="31" t="inlineStr">
        <is>
          <t>smallcap</t>
        </is>
      </c>
      <c r="H84" s="32" t="n">
        <v>2795.71</v>
      </c>
      <c r="I84" s="32" t="n">
        <v>58.71</v>
      </c>
      <c r="J84" s="32" t="n">
        <v>7.27</v>
      </c>
      <c r="K84" s="32" t="n">
        <v>0</v>
      </c>
      <c r="L84" s="31" t="n">
        <v>79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84.40000000000001</v>
      </c>
      <c r="P84" s="32" t="n">
        <v>31.93</v>
      </c>
      <c r="Q84" s="32" t="n">
        <v>47.93</v>
      </c>
      <c r="R84" s="31" t="inlineStr">
        <is>
          <t>Near 52W High Breakout</t>
        </is>
      </c>
      <c r="S84" s="31" t="inlineStr">
        <is>
          <t>Nifty 50</t>
        </is>
      </c>
      <c r="T84" s="32" t="n">
        <v>-9.130000000000001</v>
      </c>
      <c r="U84" s="32" t="n">
        <v>162.45</v>
      </c>
      <c r="V84" s="32" t="n">
        <v>188.83</v>
      </c>
      <c r="W84" s="32" t="n">
        <v>30.01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More than 1.2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25</t>
        </is>
      </c>
      <c r="CG84" s="31">
        <f>IF(CF84&gt;20,10,IF(CF84&gt;=10,5,2))</f>
        <v/>
      </c>
    </row>
    <row r="85">
      <c r="A85" s="31">
        <f>IF(B85=0,"",RANK(B85,$B$2:$B$97,0))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RATNAVEER</t>
        </is>
      </c>
      <c r="D85" s="31" t="inlineStr">
        <is>
          <t>Ratnaveer Precision Engineering Ltd</t>
        </is>
      </c>
      <c r="E85" s="31" t="inlineStr">
        <is>
          <t>metals &amp; mining</t>
        </is>
      </c>
      <c r="F85" s="31" t="inlineStr">
        <is>
          <t>Stainless Steel</t>
        </is>
      </c>
      <c r="G85" s="31" t="inlineStr">
        <is>
          <t>smallcap</t>
        </is>
      </c>
      <c r="H85" s="32" t="n">
        <v>2777.12</v>
      </c>
      <c r="I85" s="32" t="n">
        <v>330.9</v>
      </c>
      <c r="J85" s="32" t="n">
        <v>-0.08</v>
      </c>
      <c r="K85" s="32" t="n">
        <v>0</v>
      </c>
      <c r="L85" s="31" t="inlineStr"/>
      <c r="M85" s="31" t="inlineStr"/>
      <c r="N85" s="32">
        <f>IF(M85="Underperforming",-5,IF(L85&gt;=95,15,IF(L85&gt;=90,10,IF(L85&gt;=80,5,0))))</f>
        <v/>
      </c>
      <c r="O85" s="32" t="n">
        <v>79.64</v>
      </c>
      <c r="P85" s="32" t="n">
        <v>65.36</v>
      </c>
      <c r="Q85" s="32" t="n">
        <v>245.79</v>
      </c>
      <c r="R85" s="31" t="inlineStr">
        <is>
          <t>Near 52W High Breakout</t>
        </is>
      </c>
      <c r="S85" s="31" t="inlineStr">
        <is>
          <t>Nifty Metal</t>
        </is>
      </c>
      <c r="T85" s="32" t="inlineStr"/>
      <c r="U85" s="32" t="inlineStr"/>
      <c r="V85" s="32" t="inlineStr"/>
      <c r="W85" s="32" t="inlineStr"/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Cyclical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Volatile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Less than 12%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21</t>
        </is>
      </c>
      <c r="CG85" s="31">
        <f>IF(CF85&gt;20,10,IF(CF85&gt;=10,5,2))</f>
        <v/>
      </c>
    </row>
    <row r="86">
      <c r="A86" s="31">
        <f>IF(B86=0,"",RANK(B86,$B$2:$B$97,0))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ROSSTECH</t>
        </is>
      </c>
      <c r="D86" s="31" t="inlineStr">
        <is>
          <t>Rossell Techsys Ltd</t>
        </is>
      </c>
      <c r="E86" s="31" t="inlineStr">
        <is>
          <t>aerospace &amp; defence</t>
        </is>
      </c>
      <c r="F86" s="31" t="inlineStr">
        <is>
          <t>Aerospace and Defence Equipment</t>
        </is>
      </c>
      <c r="G86" s="31" t="inlineStr">
        <is>
          <t>midcap</t>
        </is>
      </c>
      <c r="H86" s="32" t="n">
        <v>5582.85</v>
      </c>
      <c r="I86" s="32" t="n">
        <v>1481</v>
      </c>
      <c r="J86" s="32" t="n">
        <v>-0.05</v>
      </c>
      <c r="K86" s="32" t="n">
        <v>0</v>
      </c>
      <c r="L86" s="31" t="n">
        <v>76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80.23</v>
      </c>
      <c r="P86" s="32" t="n">
        <v>31.9</v>
      </c>
      <c r="Q86" s="32" t="n">
        <v>1116.56</v>
      </c>
      <c r="R86" s="31" t="inlineStr">
        <is>
          <t>Near 52W High Breakout</t>
        </is>
      </c>
      <c r="S86" s="31" t="inlineStr">
        <is>
          <t>Nifty 50</t>
        </is>
      </c>
      <c r="T86" s="32" t="n">
        <v>-9.130000000000001</v>
      </c>
      <c r="U86" s="32" t="n">
        <v>107.58</v>
      </c>
      <c r="V86" s="32" t="n">
        <v>128.45</v>
      </c>
      <c r="W86" s="32" t="n">
        <v>28.78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More than 1.2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19</t>
        </is>
      </c>
      <c r="CG86" s="31">
        <f>IF(CF86&gt;20,10,IF(CF86&gt;=10,5,2))</f>
        <v/>
      </c>
    </row>
    <row r="87">
      <c r="A87" s="31">
        <f>IF(B87=0,"",RANK(B87,$B$2:$B$97,0))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4" t="inlineStr">
        <is>
          <t>SUNFLAG</t>
        </is>
      </c>
      <c r="D87" s="34" t="inlineStr">
        <is>
          <t>Sunflag Iron &amp; Steel Company Ltd</t>
        </is>
      </c>
      <c r="E87" s="31" t="inlineStr">
        <is>
          <t>metals &amp; mining</t>
        </is>
      </c>
      <c r="F87" s="31" t="inlineStr">
        <is>
          <t>Steel Products</t>
        </is>
      </c>
      <c r="G87" s="31" t="inlineStr">
        <is>
          <t>midcap</t>
        </is>
      </c>
      <c r="H87" s="32" t="n">
        <v>8158.53</v>
      </c>
      <c r="I87" s="32" t="n">
        <v>452.7</v>
      </c>
      <c r="J87" s="32" t="n">
        <v>-2.5</v>
      </c>
      <c r="K87" s="32" t="n">
        <v>0</v>
      </c>
      <c r="L87" s="31" t="inlineStr"/>
      <c r="M87" s="31" t="inlineStr"/>
      <c r="N87" s="32">
        <f>IF(M87="Underperforming",-5,IF(L87&gt;=95,15,IF(L87&gt;=90,10,IF(L87&gt;=80,5,0))))</f>
        <v/>
      </c>
      <c r="O87" s="32" t="n">
        <v>72.98</v>
      </c>
      <c r="P87" s="32" t="n">
        <v>33.41</v>
      </c>
      <c r="Q87" s="32" t="n">
        <v>353.14</v>
      </c>
      <c r="R87" s="31" t="inlineStr">
        <is>
          <t>Volume Spike &amp; Near 52W High Breakout</t>
        </is>
      </c>
      <c r="S87" s="31" t="inlineStr">
        <is>
          <t>Nifty Metal</t>
        </is>
      </c>
      <c r="T87" s="32" t="inlineStr"/>
      <c r="U87" s="32" t="inlineStr"/>
      <c r="V87" s="32" t="inlineStr"/>
      <c r="W87" s="32" t="inlineStr"/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Cyclical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Less than 12%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18</t>
        </is>
      </c>
      <c r="CG87" s="31">
        <f>IF(CF87&gt;20,10,IF(CF87&gt;=10,5,2))</f>
        <v/>
      </c>
    </row>
    <row r="88">
      <c r="A88" s="31">
        <f>IF(B88=0,"",RANK(B88,$B$2:$B$97,0))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INDOBORAX</t>
        </is>
      </c>
      <c r="D88" s="31" t="inlineStr">
        <is>
          <t>Indo Borax &amp; Chemicals Ltd</t>
        </is>
      </c>
      <c r="E88" s="31" t="inlineStr">
        <is>
          <t>Basic Materials</t>
        </is>
      </c>
      <c r="F88" s="31" t="inlineStr">
        <is>
          <t>Chemicals Inorganic</t>
        </is>
      </c>
      <c r="G88" s="31" t="inlineStr">
        <is>
          <t>smallcap</t>
        </is>
      </c>
      <c r="H88" s="32" t="n">
        <v>1533.58</v>
      </c>
      <c r="I88" s="32" t="n">
        <v>477.9</v>
      </c>
      <c r="J88" s="32" t="n">
        <v>-2.37</v>
      </c>
      <c r="K88" s="32" t="n">
        <v>0</v>
      </c>
      <c r="L88" s="31" t="n">
        <v>71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66.28</v>
      </c>
      <c r="P88" s="32" t="n">
        <v>68.34</v>
      </c>
      <c r="Q88" s="32" t="n">
        <v>367.38</v>
      </c>
      <c r="R88" s="31" t="inlineStr">
        <is>
          <t>Volume Spike / Accumulation</t>
        </is>
      </c>
      <c r="S88" s="31" t="inlineStr">
        <is>
          <t>Nifty 50</t>
        </is>
      </c>
      <c r="T88" s="32" t="n">
        <v>-9.130000000000001</v>
      </c>
      <c r="U88" s="32" t="n">
        <v>106.47</v>
      </c>
      <c r="V88" s="32" t="n">
        <v>127.22</v>
      </c>
      <c r="W88" s="32" t="n">
        <v>24.86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Cyclical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19</t>
        </is>
      </c>
      <c r="CG88" s="31">
        <f>IF(CF88&gt;20,10,IF(CF88&gt;=10,5,2))</f>
        <v/>
      </c>
    </row>
    <row r="89">
      <c r="A89" s="31">
        <f>IF(B89=0,"",RANK(B89,$B$2:$B$97,0))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1" t="inlineStr">
        <is>
          <t>AFCOM</t>
        </is>
      </c>
      <c r="D89" s="31" t="inlineStr">
        <is>
          <t>Afcom Holdings Ltd</t>
        </is>
      </c>
      <c r="E89" s="31" t="inlineStr">
        <is>
          <t>Industrials</t>
        </is>
      </c>
      <c r="F89" s="31" t="inlineStr">
        <is>
          <t>Air Transport Service</t>
        </is>
      </c>
      <c r="G89" s="31" t="inlineStr">
        <is>
          <t>smallcap</t>
        </is>
      </c>
      <c r="H89" s="32" t="n">
        <v>4343.26</v>
      </c>
      <c r="I89" s="32" t="n">
        <v>1502.15</v>
      </c>
      <c r="J89" s="32" t="n">
        <v>2.23</v>
      </c>
      <c r="K89" s="32" t="n">
        <v>0</v>
      </c>
      <c r="L89" s="31" t="n">
        <v>52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63.81</v>
      </c>
      <c r="P89" s="32" t="n">
        <v>43.44</v>
      </c>
      <c r="Q89" s="32" t="n">
        <v>1203.26</v>
      </c>
      <c r="R89" s="31" t="inlineStr">
        <is>
          <t>Earnings / Momentum Support</t>
        </is>
      </c>
      <c r="S89" s="31" t="inlineStr">
        <is>
          <t>Nifty 50</t>
        </is>
      </c>
      <c r="T89" s="32" t="n">
        <v>-9.130000000000001</v>
      </c>
      <c r="U89" s="32" t="n">
        <v>73.12</v>
      </c>
      <c r="V89" s="32" t="n">
        <v>90.52</v>
      </c>
      <c r="W89" s="32" t="n">
        <v>17.88</v>
      </c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Less than 50%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19</t>
        </is>
      </c>
      <c r="CG89" s="31">
        <f>IF(CF89&gt;20,10,IF(CF89&gt;=10,5,2))</f>
        <v/>
      </c>
    </row>
    <row r="90">
      <c r="A90" s="31">
        <f>IF(B90=0,"",RANK(B90,$B$2:$B$97,0))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4" t="inlineStr">
        <is>
          <t>BHEL</t>
        </is>
      </c>
      <c r="D90" s="34" t="inlineStr">
        <is>
          <t>Bharat Heavy Electricals Ltd</t>
        </is>
      </c>
      <c r="E90" s="31" t="inlineStr">
        <is>
          <t>Industrials</t>
        </is>
      </c>
      <c r="F90" s="31" t="inlineStr">
        <is>
          <t>Capital Goods Engineering Heavy</t>
        </is>
      </c>
      <c r="G90" s="31" t="inlineStr">
        <is>
          <t>largecap</t>
        </is>
      </c>
      <c r="H90" s="32" t="n">
        <v>144679.73</v>
      </c>
      <c r="I90" s="32" t="n">
        <v>415.5</v>
      </c>
      <c r="J90" s="32" t="n">
        <v>0.52</v>
      </c>
      <c r="K90" s="32" t="n">
        <v>0</v>
      </c>
      <c r="L90" s="31" t="n">
        <v>47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58.75</v>
      </c>
      <c r="P90" s="32" t="n">
        <v>35.31</v>
      </c>
      <c r="Q90" s="32" t="n">
        <v>358.19</v>
      </c>
      <c r="R90" s="31" t="inlineStr">
        <is>
          <t>Earnings / Momentum Support</t>
        </is>
      </c>
      <c r="S90" s="31" t="inlineStr">
        <is>
          <t>Nifty 50</t>
        </is>
      </c>
      <c r="T90" s="32" t="n">
        <v>-9.130000000000001</v>
      </c>
      <c r="U90" s="32" t="n">
        <v>70.13</v>
      </c>
      <c r="V90" s="32" t="n">
        <v>87.23</v>
      </c>
      <c r="W90" s="32" t="n">
        <v>15.4</v>
      </c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19</t>
        </is>
      </c>
      <c r="CG90" s="31">
        <f>IF(CF90&gt;20,10,IF(CF90&gt;=10,5,2))</f>
        <v/>
      </c>
    </row>
    <row r="91">
      <c r="A91" s="31">
        <f>IF(B91=0,"",RANK(B91,$B$2:$B$97,0))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1" t="inlineStr">
        <is>
          <t>DEEPINDS</t>
        </is>
      </c>
      <c r="D91" s="31" t="inlineStr">
        <is>
          <t>Deep Industries Ltd</t>
        </is>
      </c>
      <c r="E91" s="31" t="inlineStr">
        <is>
          <t>Energy</t>
        </is>
      </c>
      <c r="F91" s="31" t="inlineStr">
        <is>
          <t>Oil Drilling and Exploration</t>
        </is>
      </c>
      <c r="G91" s="31" t="inlineStr">
        <is>
          <t>smallcap</t>
        </is>
      </c>
      <c r="H91" s="32" t="n">
        <v>4842.56</v>
      </c>
      <c r="I91" s="32" t="n">
        <v>756.65</v>
      </c>
      <c r="J91" s="32" t="n">
        <v>-3.3</v>
      </c>
      <c r="K91" s="32" t="n">
        <v>0</v>
      </c>
      <c r="L91" s="31" t="inlineStr"/>
      <c r="M91" s="31" t="inlineStr"/>
      <c r="N91" s="32">
        <f>IF(M91="Underperforming",-5,IF(L91&gt;=95,15,IF(L91&gt;=90,10,IF(L91&gt;=80,5,0))))</f>
        <v/>
      </c>
      <c r="O91" s="32" t="n">
        <v>70.42</v>
      </c>
      <c r="P91" s="32" t="n">
        <v>37.1</v>
      </c>
      <c r="Q91" s="32" t="n">
        <v>602.52</v>
      </c>
      <c r="R91" s="31" t="inlineStr">
        <is>
          <t>Near 52W High Breakout</t>
        </is>
      </c>
      <c r="S91" s="31" t="inlineStr">
        <is>
          <t>Nifty Energy</t>
        </is>
      </c>
      <c r="T91" s="32" t="inlineStr"/>
      <c r="U91" s="32" t="inlineStr"/>
      <c r="V91" s="32" t="inlineStr"/>
      <c r="W91" s="32" t="inlineStr"/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Oligopoly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Yes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Cyclical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Volatile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Less than 1.5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19</t>
        </is>
      </c>
      <c r="CG91" s="31">
        <f>IF(CF91&gt;20,10,IF(CF91&gt;=10,5,2))</f>
        <v/>
      </c>
    </row>
    <row r="92">
      <c r="A92" s="31">
        <f>IF(B92=0,"",RANK(B92,$B$2:$B$97,0))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4" t="inlineStr">
        <is>
          <t>CHENNPETRO</t>
        </is>
      </c>
      <c r="D92" s="34" t="inlineStr">
        <is>
          <t>Chennai Petroleum Corporation Ltd</t>
        </is>
      </c>
      <c r="E92" s="31" t="inlineStr">
        <is>
          <t>Energy</t>
        </is>
      </c>
      <c r="F92" s="31" t="inlineStr">
        <is>
          <t>Refineries</t>
        </is>
      </c>
      <c r="G92" s="31" t="inlineStr">
        <is>
          <t>largecap</t>
        </is>
      </c>
      <c r="H92" s="32" t="n">
        <v>21324.11</v>
      </c>
      <c r="I92" s="32" t="n">
        <v>1432</v>
      </c>
      <c r="J92" s="32" t="n">
        <v>-0.34</v>
      </c>
      <c r="K92" s="32" t="n">
        <v>0</v>
      </c>
      <c r="L92" s="31" t="inlineStr"/>
      <c r="M92" s="31" t="inlineStr"/>
      <c r="N92" s="32">
        <f>IF(M92="Underperforming",-5,IF(L92&gt;=95,15,IF(L92&gt;=90,10,IF(L92&gt;=80,5,0))))</f>
        <v/>
      </c>
      <c r="O92" s="32" t="n">
        <v>64.14</v>
      </c>
      <c r="P92" s="32" t="n">
        <v>62.18</v>
      </c>
      <c r="Q92" s="32" t="n">
        <v>1172.84</v>
      </c>
      <c r="R92" s="31" t="inlineStr">
        <is>
          <t>Earnings / Momentum Support</t>
        </is>
      </c>
      <c r="S92" s="31" t="inlineStr">
        <is>
          <t>Nifty Energy</t>
        </is>
      </c>
      <c r="T92" s="32" t="inlineStr"/>
      <c r="U92" s="32" t="inlineStr"/>
      <c r="V92" s="32" t="inlineStr"/>
      <c r="W92" s="32" t="inlineStr"/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Oligopoly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Yes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Cyclical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Volatile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21</t>
        </is>
      </c>
      <c r="CG92" s="31">
        <f>IF(CF92&gt;20,10,IF(CF92&gt;=10,5,2))</f>
        <v/>
      </c>
    </row>
    <row r="93">
      <c r="A93" s="31">
        <f>IF(B93=0,"",RANK(B93,$B$2:$B$97,0))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4" t="inlineStr">
        <is>
          <t>UNITEDPOLY</t>
        </is>
      </c>
      <c r="D93" s="34" t="inlineStr">
        <is>
          <t>United Polyfab Gujarat Ltd</t>
        </is>
      </c>
      <c r="E93" s="31" t="inlineStr">
        <is>
          <t>textiles</t>
        </is>
      </c>
      <c r="F93" s="31" t="inlineStr">
        <is>
          <t>Textiles Others</t>
        </is>
      </c>
      <c r="G93" s="31" t="inlineStr">
        <is>
          <t>smallcap</t>
        </is>
      </c>
      <c r="H93" s="32" t="n">
        <v>1090.43</v>
      </c>
      <c r="I93" s="32" t="n">
        <v>47.51</v>
      </c>
      <c r="J93" s="32" t="n">
        <v>1.37</v>
      </c>
      <c r="K93" s="32" t="n">
        <v>0</v>
      </c>
      <c r="L93" s="31" t="n">
        <v>44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75.66</v>
      </c>
      <c r="P93" s="32" t="n">
        <v>25.8</v>
      </c>
      <c r="Q93" s="32" t="n">
        <v>35.35</v>
      </c>
      <c r="R93" s="31" t="inlineStr">
        <is>
          <t>Near 52W High Breakout</t>
        </is>
      </c>
      <c r="S93" s="31" t="inlineStr">
        <is>
          <t>Nifty 50</t>
        </is>
      </c>
      <c r="T93" s="32" t="n">
        <v>-9.130000000000001</v>
      </c>
      <c r="U93" s="32" t="n">
        <v>3.08</v>
      </c>
      <c r="V93" s="32" t="n">
        <v>13.45</v>
      </c>
      <c r="W93" s="32" t="n">
        <v>14.87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Oligopoly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Shallow Cyclical (2 to 3 Years Growth)</t>
        </is>
      </c>
      <c r="AG93" s="31">
        <f>IF(AF93="Structural (10 Years Consistency)",10,IF(AF93="Shallow Cyclical (2 to 3 years growth)",5,0))</f>
        <v/>
      </c>
      <c r="AH93" s="31" t="inlineStr">
        <is>
          <t>Yes due to Product Mix change or Operating Leverage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Volatile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Allocated capital in Non-core Areas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3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Sideways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Overhead supply in last 2 years in last 2 years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More than 15%</t>
        </is>
      </c>
      <c r="CC93" s="31">
        <f>IF(CB93="More than 15%",-10,IF(CB93="Less than 15%",10,0))</f>
        <v/>
      </c>
      <c r="CD93" s="31" t="inlineStr">
        <is>
          <t>Yes Upto 10%</t>
        </is>
      </c>
      <c r="CE93" s="31">
        <f>IF(CD93="Yes, more than 10%",-10,IF(CD93="No",10,0))</f>
        <v/>
      </c>
      <c r="CF93" s="31" t="inlineStr">
        <is>
          <t>20</t>
        </is>
      </c>
      <c r="CG93" s="31">
        <f>IF(CF93&gt;20,10,IF(CF93&gt;=10,5,2))</f>
        <v/>
      </c>
    </row>
    <row r="94">
      <c r="A94" s="31">
        <f>IF(B94=0,"",RANK(B94,$B$2:$B$97,0))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1" t="inlineStr">
        <is>
          <t>GNFC</t>
        </is>
      </c>
      <c r="D94" s="31" t="inlineStr">
        <is>
          <t>Gujarat Narmada Valley Fertilizers &amp; Chemicals Ltd</t>
        </is>
      </c>
      <c r="E94" s="31" t="inlineStr">
        <is>
          <t>chemicals</t>
        </is>
      </c>
      <c r="F94" s="31" t="inlineStr">
        <is>
          <t>Fertilisers</t>
        </is>
      </c>
      <c r="G94" s="31" t="inlineStr">
        <is>
          <t>midcap</t>
        </is>
      </c>
      <c r="H94" s="32" t="n">
        <v>8860.52</v>
      </c>
      <c r="I94" s="32" t="n">
        <v>603</v>
      </c>
      <c r="J94" s="32" t="n">
        <v>-1.39</v>
      </c>
      <c r="K94" s="32" t="n">
        <v>0</v>
      </c>
      <c r="L94" s="31" t="n">
        <v>31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66.65000000000001</v>
      </c>
      <c r="P94" s="32" t="n">
        <v>39.93</v>
      </c>
      <c r="Q94" s="32" t="n">
        <v>513.97</v>
      </c>
      <c r="R94" s="31" t="inlineStr">
        <is>
          <t>Near 52W High Breakout</t>
        </is>
      </c>
      <c r="S94" s="31" t="inlineStr">
        <is>
          <t>Nifty 50</t>
        </is>
      </c>
      <c r="T94" s="32" t="n">
        <v>-9.130000000000001</v>
      </c>
      <c r="U94" s="32" t="n">
        <v>24.77</v>
      </c>
      <c r="V94" s="32" t="n">
        <v>37.32</v>
      </c>
      <c r="W94" s="32" t="n">
        <v>9.73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Oligopoly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Shallow Cyclical (2 to 3 Years Growth)</t>
        </is>
      </c>
      <c r="AG94" s="31">
        <f>IF(AF94="Structural (10 Years Consistency)",10,IF(AF94="Shallow Cyclical (2 to 3 years growth)",5,0))</f>
        <v/>
      </c>
      <c r="AH94" s="31" t="inlineStr">
        <is>
          <t>Yes due to Product Mix change or Operating Leverage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Volatile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Allocated capital in Non-core Areas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3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Sideways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Overhead supply in last 2 years in last 2 years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More than 15%</t>
        </is>
      </c>
      <c r="CC94" s="31">
        <f>IF(CB94="More than 15%",-10,IF(CB94="Less than 15%",10,0))</f>
        <v/>
      </c>
      <c r="CD94" s="31" t="inlineStr">
        <is>
          <t>Yes Upto 10%</t>
        </is>
      </c>
      <c r="CE94" s="31">
        <f>IF(CD94="Yes, more than 10%",-10,IF(CD94="No",10,0))</f>
        <v/>
      </c>
      <c r="CF94" s="31" t="inlineStr">
        <is>
          <t>20</t>
        </is>
      </c>
      <c r="CG94" s="31">
        <f>IF(CF94&gt;20,10,IF(CF94&gt;=10,5,2))</f>
        <v/>
      </c>
    </row>
    <row r="95">
      <c r="A95" s="31">
        <f>IF(B95=0,"",RANK(B95,$B$2:$B$97,0))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1" t="inlineStr">
        <is>
          <t>CAPINVIT</t>
        </is>
      </c>
      <c r="D95" s="31" t="inlineStr">
        <is>
          <t>Capital Infra Trust</t>
        </is>
      </c>
      <c r="E95" s="31" t="inlineStr">
        <is>
          <t>unknown</t>
        </is>
      </c>
      <c r="F95" s="31" t="inlineStr">
        <is>
          <t>Infra and Real Estate Investment Trust</t>
        </is>
      </c>
      <c r="G95" s="31" t="inlineStr">
        <is>
          <t>smallcap</t>
        </is>
      </c>
      <c r="H95" s="32" t="n">
        <v>3911.33</v>
      </c>
      <c r="I95" s="32" t="n">
        <v>76.97</v>
      </c>
      <c r="J95" s="32" t="n">
        <v>0.38</v>
      </c>
      <c r="K95" s="32" t="n">
        <v>0</v>
      </c>
      <c r="L95" s="31" t="inlineStr"/>
      <c r="M95" s="31" t="inlineStr"/>
      <c r="N95" s="32">
        <f>IF(M95="Underperforming",-5,IF(L95&gt;=95,15,IF(L95&gt;=90,10,IF(L95&gt;=80,5,0))))</f>
        <v/>
      </c>
      <c r="O95" s="32" t="inlineStr"/>
      <c r="P95" s="32" t="inlineStr"/>
      <c r="Q95" s="32" t="inlineStr"/>
      <c r="R95" s="31" t="inlineStr"/>
      <c r="S95" s="31" t="inlineStr"/>
      <c r="T95" s="32" t="inlineStr"/>
      <c r="U95" s="32" t="inlineStr"/>
      <c r="V95" s="32" t="inlineStr"/>
      <c r="W95" s="32" t="inlineStr"/>
      <c r="X95" s="31" t="n"/>
      <c r="Y95" s="31">
        <f>IF(X95="Growing Industry",10,IF(X95="Cyclical in an Upturn",5,0))</f>
        <v/>
      </c>
      <c r="Z95" s="31" t="n"/>
      <c r="AA95" s="31">
        <f>IF(Z95="Monopoly",10,IF(Z95="Oligopoly",5,IF(Z95="Duopoly that cooperate",10,IF(Z95="Duopoly that compete",5,IF(Z95="Too many players with High ROCE",5,0)))))</f>
        <v/>
      </c>
      <c r="AB95" s="31" t="n"/>
      <c r="AC95" s="31">
        <f>IF(AB95="No",5,0)</f>
        <v/>
      </c>
      <c r="AD95" s="31" t="n"/>
      <c r="AE95" s="31">
        <f>IF(AD95="Tailwind",10,0)</f>
        <v/>
      </c>
      <c r="AF95" s="31" t="n"/>
      <c r="AG95" s="31">
        <f>IF(AF95="Structural (10 Years Consistency)",10,IF(AF95="Shallow Cyclical (2 to 3 years growth)",5,0))</f>
        <v/>
      </c>
      <c r="AH95" s="31" t="n"/>
      <c r="AI95" s="31">
        <f>IF(AH95="Yes due to Product Mix change or Operating Leverage",10,IF(AH95="Yes, these are peak margins",-5,IF(AH95="No",5,0)))</f>
        <v/>
      </c>
      <c r="AJ95" s="31" t="n"/>
      <c r="AK95" s="31">
        <f>IF(AJ95="Stable",10,0)</f>
        <v/>
      </c>
      <c r="AL95" s="31" t="n"/>
      <c r="AM95" s="31">
        <f>IF(AL95="Yes",10,0)</f>
        <v/>
      </c>
      <c r="AN95" s="31" t="n"/>
      <c r="AO95" s="31">
        <f>IF(AN95="B2C",10,IF(AN95="B2B",5,0))</f>
        <v/>
      </c>
      <c r="AP95" s="31" t="n"/>
      <c r="AQ95" s="31">
        <f>IF(AP95="Yes",10,0)</f>
        <v/>
      </c>
      <c r="AR95" s="31" t="n"/>
      <c r="AS95" s="31">
        <f>IF(AR95="Fully Annuity",10,IF(AR95="Higher Annuity, Lower One Time",5,IF(AR95="Higher One Time, Lower Annuity",3,0)))</f>
        <v/>
      </c>
      <c r="AT95" s="31" t="n"/>
      <c r="AU95" s="31">
        <f>IF(AT95="Good",10,0)</f>
        <v/>
      </c>
      <c r="AV95" s="31" t="n"/>
      <c r="AW95" s="31">
        <f>IF(AV95="Yes for more than 2 years",10,IF(AV95="Yes only for next 1 to 2 years",5,0))</f>
        <v/>
      </c>
      <c r="AX95" s="31" t="n"/>
      <c r="AY95" s="31">
        <f>IF(AX95="Above 40",20,IF(AX95="20 to 40",10,IF(AX95="0 to 20",-5,0)))</f>
        <v/>
      </c>
      <c r="AZ95" s="31" t="n"/>
      <c r="BA95" s="31">
        <f>IF(AZ95="Between 50 to 75",10,IF(AZ95="Above 75",0,0))</f>
        <v/>
      </c>
      <c r="BB95" s="31" t="n"/>
      <c r="BC95" s="31">
        <f>IF(BB95="Stage 2",20,IF(BB95="Stage 1",0,IF(BB95="Stage 3",5,IF(BB95="Stage 4",-5,0))))</f>
        <v/>
      </c>
      <c r="BD95" s="31" t="n"/>
      <c r="BE95" s="31">
        <f>IF(BD95="Positive Trend",20,IF(BD95="Negative Trend",-10,0))</f>
        <v/>
      </c>
      <c r="BF95" s="31" t="n"/>
      <c r="BG95" s="31">
        <f>IF(BF95="Uptrend",10,IF(BF95="Sideways",5,0))</f>
        <v/>
      </c>
      <c r="BH95" s="31" t="n"/>
      <c r="BI95" s="31">
        <f>IF(BH95="Uptrend",10,IF(BH95="Sideways",5,0))</f>
        <v/>
      </c>
      <c r="BJ95" s="31" t="n"/>
      <c r="BK95" s="31">
        <f>IF(BJ95="Overhead supply in last 2 years in last 2 years",-5,IF(BJ95="Close to 52 week high or retracement",5,IF(BJ95="Blue sky scenario",10,IF(BJ95="Long term Downtrend",-10,0))))</f>
        <v/>
      </c>
      <c r="BL95" s="31" t="n"/>
      <c r="BM95" s="31">
        <f>IF(BL95="Yes",10,0)</f>
        <v/>
      </c>
      <c r="BN95" s="31" t="n"/>
      <c r="BO95" s="31">
        <f>IF(BN95="More than 20%",10,IF(BN95="Between 12 to 20%",5,IF(BN95="Less than 12%",0,0)))</f>
        <v/>
      </c>
      <c r="BP95" s="31" t="n"/>
      <c r="BQ95" s="31">
        <f>IF(BP95="No",10,0)</f>
        <v/>
      </c>
      <c r="BR95" s="31" t="n"/>
      <c r="BS95" s="31">
        <f>IF(BR95="NO",5,0)</f>
        <v/>
      </c>
      <c r="BT95" s="31" t="n"/>
      <c r="BU95" s="31">
        <f>IF(BT95="Above 2",0,IF(BT95="Between 1.5 to 2",5,IF(BT95="Less than 1.5",10,0)))</f>
        <v/>
      </c>
      <c r="BV95" s="31" t="n"/>
      <c r="BW95" s="31">
        <f>IF(BV95="Above 70%",10,IF(BV95="Between 50% to 70%",5,IF(BV95="Less than 50%",0,IF(BV95="Negative",-10,IF(BV95="Less than 50% and Borrowings are increasing",-5,0)))))</f>
        <v/>
      </c>
      <c r="BX95" s="31" t="n"/>
      <c r="BY95" s="31">
        <f>IF(BX95="More than 1.2",-10,IF(BX95="Between 0.7 to 1.2",0,IF(BX95="Less than 0.7",10,0)))</f>
        <v/>
      </c>
      <c r="BZ95" s="31" t="n"/>
      <c r="CA95" s="31">
        <f>IF(BZ95="Yes",-10,0)</f>
        <v/>
      </c>
      <c r="CB95" s="31" t="n"/>
      <c r="CC95" s="31">
        <f>IF(CB95="More than 15%",-10,IF(CB95="Less than 15%",10,0))</f>
        <v/>
      </c>
      <c r="CD95" s="31" t="n"/>
      <c r="CE95" s="31">
        <f>IF(CD95="Yes, more than 10%",-10,IF(CD95="No",10,0))</f>
        <v/>
      </c>
      <c r="CF95" s="31" t="n"/>
      <c r="CG95" s="31">
        <f>IF(CF95&gt;20,10,IF(CF95&gt;=10,5,2))</f>
        <v/>
      </c>
    </row>
    <row r="96">
      <c r="A96" s="31">
        <f>IF(B96=0,"",RANK(B96,$B$2:$B$97,0))</f>
        <v/>
      </c>
      <c r="B96" s="32">
        <f>SUM(N96,Y96,AA96,AC96,AE96,AG96,AI96,AK96,AM96,AO96,AQ96,AS96,AU96,AW96,AY96,BA96,BC96,BE96,BG96,BI96,BK96,BM96,BO96,BQ96,BS96,BU96,BW96,BY96,CA96,CC96,CE96,CG96)</f>
        <v/>
      </c>
      <c r="C96" s="31" t="inlineStr">
        <is>
          <t>UTSSAV</t>
        </is>
      </c>
      <c r="D96" s="31" t="inlineStr">
        <is>
          <t>Utssav CZ Gold Jewels Ltd</t>
        </is>
      </c>
      <c r="E96" s="31" t="inlineStr">
        <is>
          <t>unknown</t>
        </is>
      </c>
      <c r="F96" s="31" t="inlineStr">
        <is>
          <t>Diamond Gems and Jewellery</t>
        </is>
      </c>
      <c r="G96" s="31" t="inlineStr">
        <is>
          <t>smallcap</t>
        </is>
      </c>
      <c r="H96" s="32" t="n">
        <v>1801.68</v>
      </c>
      <c r="I96" s="32" t="n">
        <v>746.1</v>
      </c>
      <c r="J96" s="32" t="n">
        <v>2</v>
      </c>
      <c r="K96" s="32" t="n">
        <v>0</v>
      </c>
      <c r="L96" s="31" t="inlineStr"/>
      <c r="M96" s="31" t="inlineStr"/>
      <c r="N96" s="32">
        <f>IF(M96="Underperforming",-5,IF(L96&gt;=95,15,IF(L96&gt;=90,10,IF(L96&gt;=80,5,0))))</f>
        <v/>
      </c>
      <c r="O96" s="32" t="inlineStr"/>
      <c r="P96" s="32" t="inlineStr"/>
      <c r="Q96" s="32" t="inlineStr"/>
      <c r="R96" s="31" t="inlineStr"/>
      <c r="S96" s="31" t="inlineStr"/>
      <c r="T96" s="32" t="inlineStr"/>
      <c r="U96" s="32" t="inlineStr"/>
      <c r="V96" s="32" t="inlineStr"/>
      <c r="W96" s="32" t="inlineStr"/>
      <c r="X96" s="31" t="n"/>
      <c r="Y96" s="31">
        <f>IF(X96="Growing Industry",10,IF(X96="Cyclical in an Upturn",5,0))</f>
        <v/>
      </c>
      <c r="Z96" s="31" t="n"/>
      <c r="AA96" s="31">
        <f>IF(Z96="Monopoly",10,IF(Z96="Oligopoly",5,IF(Z96="Duopoly that cooperate",10,IF(Z96="Duopoly that compete",5,IF(Z96="Too many players with High ROCE",5,0)))))</f>
        <v/>
      </c>
      <c r="AB96" s="31" t="n"/>
      <c r="AC96" s="31">
        <f>IF(AB96="No",5,0)</f>
        <v/>
      </c>
      <c r="AD96" s="31" t="n"/>
      <c r="AE96" s="31">
        <f>IF(AD96="Tailwind",10,0)</f>
        <v/>
      </c>
      <c r="AF96" s="31" t="n"/>
      <c r="AG96" s="31">
        <f>IF(AF96="Structural (10 Years Consistency)",10,IF(AF96="Shallow Cyclical (2 to 3 years growth)",5,0))</f>
        <v/>
      </c>
      <c r="AH96" s="31" t="n"/>
      <c r="AI96" s="31">
        <f>IF(AH96="Yes due to Product Mix change or Operating Leverage",10,IF(AH96="Yes, these are peak margins",-5,IF(AH96="No",5,0)))</f>
        <v/>
      </c>
      <c r="AJ96" s="31" t="n"/>
      <c r="AK96" s="31">
        <f>IF(AJ96="Stable",10,0)</f>
        <v/>
      </c>
      <c r="AL96" s="31" t="n"/>
      <c r="AM96" s="31">
        <f>IF(AL96="Yes",10,0)</f>
        <v/>
      </c>
      <c r="AN96" s="31" t="n"/>
      <c r="AO96" s="31">
        <f>IF(AN96="B2C",10,IF(AN96="B2B",5,0))</f>
        <v/>
      </c>
      <c r="AP96" s="31" t="n"/>
      <c r="AQ96" s="31">
        <f>IF(AP96="Yes",10,0)</f>
        <v/>
      </c>
      <c r="AR96" s="31" t="n"/>
      <c r="AS96" s="31">
        <f>IF(AR96="Fully Annuity",10,IF(AR96="Higher Annuity, Lower One Time",5,IF(AR96="Higher One Time, Lower Annuity",3,0)))</f>
        <v/>
      </c>
      <c r="AT96" s="31" t="n"/>
      <c r="AU96" s="31">
        <f>IF(AT96="Good",10,0)</f>
        <v/>
      </c>
      <c r="AV96" s="31" t="n"/>
      <c r="AW96" s="31">
        <f>IF(AV96="Yes for more than 2 years",10,IF(AV96="Yes only for next 1 to 2 years",5,0))</f>
        <v/>
      </c>
      <c r="AX96" s="31" t="n"/>
      <c r="AY96" s="31">
        <f>IF(AX96="Above 40",20,IF(AX96="20 to 40",10,IF(AX96="0 to 20",-5,0)))</f>
        <v/>
      </c>
      <c r="AZ96" s="31" t="n"/>
      <c r="BA96" s="31">
        <f>IF(AZ96="Between 50 to 75",10,IF(AZ96="Above 75",0,0))</f>
        <v/>
      </c>
      <c r="BB96" s="31" t="n"/>
      <c r="BC96" s="31">
        <f>IF(BB96="Stage 2",20,IF(BB96="Stage 1",0,IF(BB96="Stage 3",5,IF(BB96="Stage 4",-5,0))))</f>
        <v/>
      </c>
      <c r="BD96" s="31" t="n"/>
      <c r="BE96" s="31">
        <f>IF(BD96="Positive Trend",20,IF(BD96="Negative Trend",-10,0))</f>
        <v/>
      </c>
      <c r="BF96" s="31" t="n"/>
      <c r="BG96" s="31">
        <f>IF(BF96="Uptrend",10,IF(BF96="Sideways",5,0))</f>
        <v/>
      </c>
      <c r="BH96" s="31" t="n"/>
      <c r="BI96" s="31">
        <f>IF(BH96="Uptrend",10,IF(BH96="Sideways",5,0))</f>
        <v/>
      </c>
      <c r="BJ96" s="31" t="n"/>
      <c r="BK96" s="31">
        <f>IF(BJ96="Overhead supply in last 2 years in last 2 years",-5,IF(BJ96="Close to 52 week high or retracement",5,IF(BJ96="Blue sky scenario",10,IF(BJ96="Long term Downtrend",-10,0))))</f>
        <v/>
      </c>
      <c r="BL96" s="31" t="n"/>
      <c r="BM96" s="31">
        <f>IF(BL96="Yes",10,0)</f>
        <v/>
      </c>
      <c r="BN96" s="31" t="n"/>
      <c r="BO96" s="31">
        <f>IF(BN96="More than 20%",10,IF(BN96="Between 12 to 20%",5,IF(BN96="Less than 12%",0,0)))</f>
        <v/>
      </c>
      <c r="BP96" s="31" t="n"/>
      <c r="BQ96" s="31">
        <f>IF(BP96="No",10,0)</f>
        <v/>
      </c>
      <c r="BR96" s="31" t="n"/>
      <c r="BS96" s="31">
        <f>IF(BR96="NO",5,0)</f>
        <v/>
      </c>
      <c r="BT96" s="31" t="n"/>
      <c r="BU96" s="31">
        <f>IF(BT96="Above 2",0,IF(BT96="Between 1.5 to 2",5,IF(BT96="Less than 1.5",10,0)))</f>
        <v/>
      </c>
      <c r="BV96" s="31" t="n"/>
      <c r="BW96" s="31">
        <f>IF(BV96="Above 70%",10,IF(BV96="Between 50% to 70%",5,IF(BV96="Less than 50%",0,IF(BV96="Negative",-10,IF(BV96="Less than 50% and Borrowings are increasing",-5,0)))))</f>
        <v/>
      </c>
      <c r="BX96" s="31" t="n"/>
      <c r="BY96" s="31">
        <f>IF(BX96="More than 1.2",-10,IF(BX96="Between 0.7 to 1.2",0,IF(BX96="Less than 0.7",10,0)))</f>
        <v/>
      </c>
      <c r="BZ96" s="31" t="n"/>
      <c r="CA96" s="31">
        <f>IF(BZ96="Yes",-10,0)</f>
        <v/>
      </c>
      <c r="CB96" s="31" t="n"/>
      <c r="CC96" s="31">
        <f>IF(CB96="More than 15%",-10,IF(CB96="Less than 15%",10,0))</f>
        <v/>
      </c>
      <c r="CD96" s="31" t="n"/>
      <c r="CE96" s="31">
        <f>IF(CD96="Yes, more than 10%",-10,IF(CD96="No",10,0))</f>
        <v/>
      </c>
      <c r="CF96" s="31" t="n"/>
      <c r="CG96" s="31">
        <f>IF(CF96&gt;20,10,IF(CF96&gt;=10,5,2))</f>
        <v/>
      </c>
    </row>
    <row r="97">
      <c r="A97" s="31">
        <f>IF(B97=0,"",RANK(B97,$B$2:$B$97,0))</f>
        <v/>
      </c>
      <c r="B97" s="32">
        <f>SUM(N97,Y97,AA97,AC97,AE97,AG97,AI97,AK97,AM97,AO97,AQ97,AS97,AU97,AW97,AY97,BA97,BC97,BE97,BG97,BI97,BK97,BM97,BO97,BQ97,BS97,BU97,BW97,BY97,CA97,CC97,CE97,CG97)</f>
        <v/>
      </c>
      <c r="C97" s="31" t="inlineStr">
        <is>
          <t>MINDSPACE</t>
        </is>
      </c>
      <c r="D97" s="31" t="inlineStr">
        <is>
          <t>Mindspace Business Parks REIT</t>
        </is>
      </c>
      <c r="E97" s="31" t="inlineStr">
        <is>
          <t>unknown</t>
        </is>
      </c>
      <c r="F97" s="31" t="inlineStr">
        <is>
          <t>Real Estate Investment Trusts</t>
        </is>
      </c>
      <c r="G97" s="31" t="inlineStr">
        <is>
          <t>largecap</t>
        </is>
      </c>
      <c r="H97" s="32" t="n">
        <v>33165.87</v>
      </c>
      <c r="I97" s="32" t="n">
        <v>501</v>
      </c>
      <c r="J97" s="32" t="n">
        <v>1.04</v>
      </c>
      <c r="K97" s="32" t="n">
        <v>0</v>
      </c>
      <c r="L97" s="31" t="inlineStr"/>
      <c r="M97" s="31" t="inlineStr"/>
      <c r="N97" s="32">
        <f>IF(M97="Underperforming",-5,IF(L97&gt;=95,15,IF(L97&gt;=90,10,IF(L97&gt;=80,5,0))))</f>
        <v/>
      </c>
      <c r="O97" s="32" t="inlineStr"/>
      <c r="P97" s="32" t="inlineStr"/>
      <c r="Q97" s="32" t="inlineStr"/>
      <c r="R97" s="31" t="inlineStr"/>
      <c r="S97" s="31" t="inlineStr"/>
      <c r="T97" s="32" t="inlineStr"/>
      <c r="U97" s="32" t="inlineStr"/>
      <c r="V97" s="32" t="inlineStr"/>
      <c r="W97" s="32" t="inlineStr"/>
      <c r="X97" s="31" t="n"/>
      <c r="Y97" s="31">
        <f>IF(X97="Growing Industry",10,IF(X97="Cyclical in an Upturn",5,0))</f>
        <v/>
      </c>
      <c r="Z97" s="31" t="n"/>
      <c r="AA97" s="31">
        <f>IF(Z97="Monopoly",10,IF(Z97="Oligopoly",5,IF(Z97="Duopoly that cooperate",10,IF(Z97="Duopoly that compete",5,IF(Z97="Too many players with High ROCE",5,0)))))</f>
        <v/>
      </c>
      <c r="AB97" s="31" t="n"/>
      <c r="AC97" s="31">
        <f>IF(AB97="No",5,0)</f>
        <v/>
      </c>
      <c r="AD97" s="31" t="n"/>
      <c r="AE97" s="31">
        <f>IF(AD97="Tailwind",10,0)</f>
        <v/>
      </c>
      <c r="AF97" s="31" t="n"/>
      <c r="AG97" s="31">
        <f>IF(AF97="Structural (10 Years Consistency)",10,IF(AF97="Shallow Cyclical (2 to 3 years growth)",5,0))</f>
        <v/>
      </c>
      <c r="AH97" s="31" t="n"/>
      <c r="AI97" s="31">
        <f>IF(AH97="Yes due to Product Mix change or Operating Leverage",10,IF(AH97="Yes, these are peak margins",-5,IF(AH97="No",5,0)))</f>
        <v/>
      </c>
      <c r="AJ97" s="31" t="n"/>
      <c r="AK97" s="31">
        <f>IF(AJ97="Stable",10,0)</f>
        <v/>
      </c>
      <c r="AL97" s="31" t="n"/>
      <c r="AM97" s="31">
        <f>IF(AL97="Yes",10,0)</f>
        <v/>
      </c>
      <c r="AN97" s="31" t="n"/>
      <c r="AO97" s="31">
        <f>IF(AN97="B2C",10,IF(AN97="B2B",5,0))</f>
        <v/>
      </c>
      <c r="AP97" s="31" t="n"/>
      <c r="AQ97" s="31">
        <f>IF(AP97="Yes",10,0)</f>
        <v/>
      </c>
      <c r="AR97" s="31" t="n"/>
      <c r="AS97" s="31">
        <f>IF(AR97="Fully Annuity",10,IF(AR97="Higher Annuity, Lower One Time",5,IF(AR97="Higher One Time, Lower Annuity",3,0)))</f>
        <v/>
      </c>
      <c r="AT97" s="31" t="n"/>
      <c r="AU97" s="31">
        <f>IF(AT97="Good",10,0)</f>
        <v/>
      </c>
      <c r="AV97" s="31" t="n"/>
      <c r="AW97" s="31">
        <f>IF(AV97="Yes for more than 2 years",10,IF(AV97="Yes only for next 1 to 2 years",5,0))</f>
        <v/>
      </c>
      <c r="AX97" s="31" t="n"/>
      <c r="AY97" s="31">
        <f>IF(AX97="Above 40",20,IF(AX97="20 to 40",10,IF(AX97="0 to 20",-5,0)))</f>
        <v/>
      </c>
      <c r="AZ97" s="31" t="n"/>
      <c r="BA97" s="31">
        <f>IF(AZ97="Between 50 to 75",10,IF(AZ97="Above 75",0,0))</f>
        <v/>
      </c>
      <c r="BB97" s="31" t="n"/>
      <c r="BC97" s="31">
        <f>IF(BB97="Stage 2",20,IF(BB97="Stage 1",0,IF(BB97="Stage 3",5,IF(BB97="Stage 4",-5,0))))</f>
        <v/>
      </c>
      <c r="BD97" s="31" t="n"/>
      <c r="BE97" s="31">
        <f>IF(BD97="Positive Trend",20,IF(BD97="Negative Trend",-10,0))</f>
        <v/>
      </c>
      <c r="BF97" s="31" t="n"/>
      <c r="BG97" s="31">
        <f>IF(BF97="Uptrend",10,IF(BF97="Sideways",5,0))</f>
        <v/>
      </c>
      <c r="BH97" s="31" t="n"/>
      <c r="BI97" s="31">
        <f>IF(BH97="Uptrend",10,IF(BH97="Sideways",5,0))</f>
        <v/>
      </c>
      <c r="BJ97" s="31" t="n"/>
      <c r="BK97" s="31">
        <f>IF(BJ97="Overhead supply in last 2 years in last 2 years",-5,IF(BJ97="Close to 52 week high or retracement",5,IF(BJ97="Blue sky scenario",10,IF(BJ97="Long term Downtrend",-10,0))))</f>
        <v/>
      </c>
      <c r="BL97" s="31" t="n"/>
      <c r="BM97" s="31">
        <f>IF(BL97="Yes",10,0)</f>
        <v/>
      </c>
      <c r="BN97" s="31" t="n"/>
      <c r="BO97" s="31">
        <f>IF(BN97="More than 20%",10,IF(BN97="Between 12 to 20%",5,IF(BN97="Less than 12%",0,0)))</f>
        <v/>
      </c>
      <c r="BP97" s="31" t="n"/>
      <c r="BQ97" s="31">
        <f>IF(BP97="No",10,0)</f>
        <v/>
      </c>
      <c r="BR97" s="31" t="n"/>
      <c r="BS97" s="31">
        <f>IF(BR97="NO",5,0)</f>
        <v/>
      </c>
      <c r="BT97" s="31" t="n"/>
      <c r="BU97" s="31">
        <f>IF(BT97="Above 2",0,IF(BT97="Between 1.5 to 2",5,IF(BT97="Less than 1.5",10,0)))</f>
        <v/>
      </c>
      <c r="BV97" s="31" t="n"/>
      <c r="BW97" s="31">
        <f>IF(BV97="Above 70%",10,IF(BV97="Between 50% to 70%",5,IF(BV97="Less than 50%",0,IF(BV97="Negative",-10,IF(BV97="Less than 50% and Borrowings are increasing",-5,0)))))</f>
        <v/>
      </c>
      <c r="BX97" s="31" t="n"/>
      <c r="BY97" s="31">
        <f>IF(BX97="More than 1.2",-10,IF(BX97="Between 0.7 to 1.2",0,IF(BX97="Less than 0.7",10,0)))</f>
        <v/>
      </c>
      <c r="BZ97" s="31" t="n"/>
      <c r="CA97" s="31">
        <f>IF(BZ97="Yes",-10,0)</f>
        <v/>
      </c>
      <c r="CB97" s="31" t="n"/>
      <c r="CC97" s="31">
        <f>IF(CB97="More than 15%",-10,IF(CB97="Less than 15%",10,0))</f>
        <v/>
      </c>
      <c r="CD97" s="31" t="n"/>
      <c r="CE97" s="31">
        <f>IF(CD97="Yes, more than 10%",-10,IF(CD97="No",10,0))</f>
        <v/>
      </c>
      <c r="CF97" s="31" t="n"/>
      <c r="CG97" s="31">
        <f>IF(CF97&gt;20,10,IF(CF97&gt;=10,5,2))</f>
        <v/>
      </c>
    </row>
    <row r="101">
      <c r="A101" s="25" t="inlineStr">
        <is>
          <t>❌ REMOVED SCAN MATCH STOCKS (THIS WEEK)</t>
        </is>
      </c>
    </row>
    <row r="102">
      <c r="A102" s="35" t="inlineStr">
        <is>
          <t>Symbol</t>
        </is>
      </c>
      <c r="B102" s="35" t="inlineStr">
        <is>
          <t>Company Name</t>
        </is>
      </c>
      <c r="C102" s="35" t="inlineStr">
        <is>
          <t>Sector</t>
        </is>
      </c>
      <c r="D102" s="35" t="inlineStr">
        <is>
          <t>Date of Removal</t>
        </is>
      </c>
    </row>
    <row r="103">
      <c r="A103" s="36" t="inlineStr">
        <is>
          <t>ACCENTMIC</t>
        </is>
      </c>
      <c r="B103" s="37" t="inlineStr">
        <is>
          <t>ACCENTMIC</t>
        </is>
      </c>
      <c r="C103" s="37" t="inlineStr">
        <is>
          <t>unknown</t>
        </is>
      </c>
      <c r="D103" s="38" t="inlineStr">
        <is>
          <t>2026-09-29</t>
        </is>
      </c>
    </row>
    <row r="104">
      <c r="A104" s="36" t="inlineStr">
        <is>
          <t>AETHER</t>
        </is>
      </c>
      <c r="B104" s="37" t="inlineStr">
        <is>
          <t>Aether Industries Limited</t>
        </is>
      </c>
      <c r="C104" s="37" t="inlineStr">
        <is>
          <t>Basic Materials</t>
        </is>
      </c>
      <c r="D104" s="38" t="inlineStr">
        <is>
          <t>2026-09-30</t>
        </is>
      </c>
    </row>
    <row r="105">
      <c r="A105" s="36" t="inlineStr">
        <is>
          <t>ALGOQUANT</t>
        </is>
      </c>
      <c r="B105" s="37" t="inlineStr">
        <is>
          <t>ALGOQUANT</t>
        </is>
      </c>
      <c r="C105" s="37" t="inlineStr">
        <is>
          <t>unknown</t>
        </is>
      </c>
      <c r="D105" s="38" t="inlineStr">
        <is>
          <t>2026-09-29</t>
        </is>
      </c>
    </row>
    <row r="106">
      <c r="A106" s="36" t="inlineStr">
        <is>
          <t>ARTEMISMED</t>
        </is>
      </c>
      <c r="B106" s="37" t="inlineStr">
        <is>
          <t>ARTEMISMED</t>
        </is>
      </c>
      <c r="C106" s="37" t="inlineStr">
        <is>
          <t>unknown</t>
        </is>
      </c>
      <c r="D106" s="38" t="inlineStr">
        <is>
          <t>2026-09-30</t>
        </is>
      </c>
    </row>
    <row r="107">
      <c r="A107" s="36" t="inlineStr">
        <is>
          <t>BLISSGVS</t>
        </is>
      </c>
      <c r="B107" s="37" t="inlineStr">
        <is>
          <t>Bliss GVS Pharma Limited</t>
        </is>
      </c>
      <c r="C107" s="37" t="inlineStr">
        <is>
          <t>Healthcare</t>
        </is>
      </c>
      <c r="D107" s="38" t="inlineStr">
        <is>
          <t>2026-09-30</t>
        </is>
      </c>
    </row>
    <row r="108">
      <c r="A108" s="36" t="inlineStr">
        <is>
          <t>CFF</t>
        </is>
      </c>
      <c r="B108" s="37" t="inlineStr">
        <is>
          <t>CFF</t>
        </is>
      </c>
      <c r="C108" s="37" t="inlineStr">
        <is>
          <t>unknown</t>
        </is>
      </c>
      <c r="D108" s="38" t="inlineStr">
        <is>
          <t>2026-09-30</t>
        </is>
      </c>
    </row>
    <row r="109">
      <c r="A109" s="36" t="inlineStr">
        <is>
          <t>DIVISLAB</t>
        </is>
      </c>
      <c r="B109" s="37" t="inlineStr">
        <is>
          <t>DIVISLAB</t>
        </is>
      </c>
      <c r="C109" s="37" t="inlineStr">
        <is>
          <t>unknown</t>
        </is>
      </c>
      <c r="D109" s="38" t="inlineStr">
        <is>
          <t>2026-09-30</t>
        </is>
      </c>
    </row>
    <row r="110">
      <c r="A110" s="36" t="inlineStr">
        <is>
          <t>EBGNG</t>
        </is>
      </c>
      <c r="B110" s="37" t="inlineStr">
        <is>
          <t>GNG Electronics Limited</t>
        </is>
      </c>
      <c r="C110" s="37" t="inlineStr">
        <is>
          <t>Technology</t>
        </is>
      </c>
      <c r="D110" s="38" t="inlineStr">
        <is>
          <t>2026-09-29</t>
        </is>
      </c>
    </row>
    <row r="111">
      <c r="A111" s="36" t="inlineStr">
        <is>
          <t>EMUDHRA</t>
        </is>
      </c>
      <c r="B111" s="37" t="inlineStr">
        <is>
          <t>eMudhra Limited</t>
        </is>
      </c>
      <c r="C111" s="37" t="inlineStr">
        <is>
          <t>Technology</t>
        </is>
      </c>
      <c r="D111" s="38" t="inlineStr">
        <is>
          <t>2026-09-30</t>
        </is>
      </c>
    </row>
    <row r="112">
      <c r="A112" s="36" t="inlineStr">
        <is>
          <t>ENTERO</t>
        </is>
      </c>
      <c r="B112" s="37" t="inlineStr">
        <is>
          <t>ENTERO</t>
        </is>
      </c>
      <c r="C112" s="37" t="inlineStr">
        <is>
          <t>unknown</t>
        </is>
      </c>
      <c r="D112" s="38" t="inlineStr">
        <is>
          <t>2026-09-30</t>
        </is>
      </c>
    </row>
    <row r="113">
      <c r="A113" s="36" t="inlineStr">
        <is>
          <t>FILATEX</t>
        </is>
      </c>
      <c r="B113" s="37" t="inlineStr">
        <is>
          <t>Filatex India Limited</t>
        </is>
      </c>
      <c r="C113" s="37" t="inlineStr">
        <is>
          <t>Consumer Cyclical</t>
        </is>
      </c>
      <c r="D113" s="38" t="inlineStr">
        <is>
          <t>2026-09-29</t>
        </is>
      </c>
    </row>
    <row r="114">
      <c r="A114" s="36" t="inlineStr">
        <is>
          <t>GAYAPROJ</t>
        </is>
      </c>
      <c r="B114" s="37" t="inlineStr">
        <is>
          <t>GAYAPROJ</t>
        </is>
      </c>
      <c r="C114" s="37" t="inlineStr">
        <is>
          <t>unknown</t>
        </is>
      </c>
      <c r="D114" s="38" t="inlineStr">
        <is>
          <t>2026-09-30</t>
        </is>
      </c>
    </row>
    <row r="115">
      <c r="A115" s="36" t="inlineStr">
        <is>
          <t>IGPL</t>
        </is>
      </c>
      <c r="B115" s="37" t="inlineStr">
        <is>
          <t>I G Petrochemicals Limited</t>
        </is>
      </c>
      <c r="C115" s="37" t="inlineStr">
        <is>
          <t>Basic Materials</t>
        </is>
      </c>
      <c r="D115" s="38" t="inlineStr">
        <is>
          <t>2026-09-30</t>
        </is>
      </c>
    </row>
    <row r="116">
      <c r="A116" s="36" t="inlineStr">
        <is>
          <t>INNOVACAP</t>
        </is>
      </c>
      <c r="B116" s="37" t="inlineStr">
        <is>
          <t>INNOVACAP</t>
        </is>
      </c>
      <c r="C116" s="37" t="inlineStr">
        <is>
          <t>unknown</t>
        </is>
      </c>
      <c r="D116" s="38" t="inlineStr">
        <is>
          <t>2026-09-30</t>
        </is>
      </c>
    </row>
    <row r="117">
      <c r="A117" s="36" t="inlineStr">
        <is>
          <t>IOLCP</t>
        </is>
      </c>
      <c r="B117" s="37" t="inlineStr">
        <is>
          <t>IOL Chemicals and Pharmaceuticals Limited</t>
        </is>
      </c>
      <c r="C117" s="37" t="inlineStr">
        <is>
          <t>Healthcare</t>
        </is>
      </c>
      <c r="D117" s="38" t="inlineStr">
        <is>
          <t>2026-09-29</t>
        </is>
      </c>
    </row>
    <row r="118">
      <c r="A118" s="36" t="inlineStr">
        <is>
          <t>LLOYDSENGG</t>
        </is>
      </c>
      <c r="B118" s="37" t="inlineStr">
        <is>
          <t>Lloyds Engineering Works Limited</t>
        </is>
      </c>
      <c r="C118" s="37" t="inlineStr">
        <is>
          <t>Industrials</t>
        </is>
      </c>
      <c r="D118" s="38" t="inlineStr">
        <is>
          <t>2026-09-30</t>
        </is>
      </c>
    </row>
    <row r="119">
      <c r="A119" s="36" t="inlineStr">
        <is>
          <t>MINDSPACE</t>
        </is>
      </c>
      <c r="B119" s="37" t="inlineStr">
        <is>
          <t>MINDSPACE</t>
        </is>
      </c>
      <c r="C119" s="37" t="inlineStr">
        <is>
          <t>unknown</t>
        </is>
      </c>
      <c r="D119" s="38" t="inlineStr">
        <is>
          <t>2026-09-30</t>
        </is>
      </c>
    </row>
    <row r="120">
      <c r="A120" s="36" t="inlineStr">
        <is>
          <t>MVGJL</t>
        </is>
      </c>
      <c r="B120" s="37" t="inlineStr">
        <is>
          <t>Manoj Vaibhav Gems 'N' Jewellers Limited</t>
        </is>
      </c>
      <c r="C120" s="37" t="inlineStr">
        <is>
          <t>Consumer Cyclical</t>
        </is>
      </c>
      <c r="D120" s="38" t="inlineStr">
        <is>
          <t>2026-09-29</t>
        </is>
      </c>
    </row>
    <row r="121">
      <c r="A121" s="36" t="inlineStr">
        <is>
          <t>NEOGEN</t>
        </is>
      </c>
      <c r="B121" s="37" t="inlineStr">
        <is>
          <t>Neogen Chemicals Limited</t>
        </is>
      </c>
      <c r="C121" s="37" t="inlineStr">
        <is>
          <t>Basic Materials</t>
        </is>
      </c>
      <c r="D121" s="38" t="inlineStr">
        <is>
          <t>2026-09-30</t>
        </is>
      </c>
    </row>
    <row r="122">
      <c r="A122" s="36" t="inlineStr">
        <is>
          <t>NRAIL</t>
        </is>
      </c>
      <c r="B122" s="37" t="inlineStr">
        <is>
          <t>N R Agarwal Industries Limited</t>
        </is>
      </c>
      <c r="C122" s="37" t="inlineStr">
        <is>
          <t>Basic Materials</t>
        </is>
      </c>
      <c r="D122" s="38" t="inlineStr">
        <is>
          <t>2026-09-29</t>
        </is>
      </c>
    </row>
    <row r="123">
      <c r="A123" s="36" t="inlineStr">
        <is>
          <t>OPTIEMUS</t>
        </is>
      </c>
      <c r="B123" s="37" t="inlineStr">
        <is>
          <t>Optiemus Infracom Limited</t>
        </is>
      </c>
      <c r="C123" s="37" t="inlineStr">
        <is>
          <t>Technology</t>
        </is>
      </c>
      <c r="D123" s="38" t="inlineStr">
        <is>
          <t>2026-09-30</t>
        </is>
      </c>
    </row>
    <row r="124">
      <c r="A124" s="36" t="inlineStr">
        <is>
          <t>PREMIERPOL</t>
        </is>
      </c>
      <c r="B124" s="37" t="inlineStr">
        <is>
          <t>Premier Polyfilm Ltd.</t>
        </is>
      </c>
      <c r="C124" s="37" t="inlineStr">
        <is>
          <t>Basic Materials</t>
        </is>
      </c>
      <c r="D124" s="38" t="inlineStr">
        <is>
          <t>2026-09-30</t>
        </is>
      </c>
    </row>
    <row r="125">
      <c r="A125" s="36" t="inlineStr">
        <is>
          <t>RAMRAT</t>
        </is>
      </c>
      <c r="B125" s="37" t="inlineStr">
        <is>
          <t>Ram Ratna Wires Limited</t>
        </is>
      </c>
      <c r="C125" s="37" t="inlineStr">
        <is>
          <t>Industrials</t>
        </is>
      </c>
      <c r="D125" s="38" t="inlineStr">
        <is>
          <t>2026-09-29</t>
        </is>
      </c>
    </row>
    <row r="126">
      <c r="A126" s="36" t="inlineStr">
        <is>
          <t>RPGLIFE</t>
        </is>
      </c>
      <c r="B126" s="37" t="inlineStr">
        <is>
          <t>RPG Life Sciences Limited</t>
        </is>
      </c>
      <c r="C126" s="37" t="inlineStr">
        <is>
          <t>Healthcare</t>
        </is>
      </c>
      <c r="D126" s="38" t="inlineStr">
        <is>
          <t>2026-09-30</t>
        </is>
      </c>
    </row>
    <row r="127">
      <c r="A127" s="36" t="inlineStr">
        <is>
          <t>SAKAR</t>
        </is>
      </c>
      <c r="B127" s="37" t="inlineStr">
        <is>
          <t>SAKAR</t>
        </is>
      </c>
      <c r="C127" s="37" t="inlineStr">
        <is>
          <t>unknown</t>
        </is>
      </c>
      <c r="D127" s="38" t="inlineStr">
        <is>
          <t>2026-09-30</t>
        </is>
      </c>
    </row>
    <row r="128">
      <c r="A128" s="36" t="inlineStr">
        <is>
          <t>SOMANYCERA</t>
        </is>
      </c>
      <c r="B128" s="37" t="inlineStr">
        <is>
          <t>Somany Ceramics Limited</t>
        </is>
      </c>
      <c r="C128" s="37" t="inlineStr">
        <is>
          <t>Industrials</t>
        </is>
      </c>
      <c r="D128" s="38" t="inlineStr">
        <is>
          <t>2026-09-30</t>
        </is>
      </c>
    </row>
    <row r="129">
      <c r="A129" s="36" t="inlineStr">
        <is>
          <t>VINCOFE</t>
        </is>
      </c>
      <c r="B129" s="37" t="inlineStr">
        <is>
          <t>Vintage Coffee and Beverages Limited</t>
        </is>
      </c>
      <c r="C129" s="37" t="inlineStr">
        <is>
          <t>Consumer Defensive</t>
        </is>
      </c>
      <c r="D129" s="38" t="inlineStr">
        <is>
          <t>2026-09-30</t>
        </is>
      </c>
    </row>
  </sheetData>
  <autoFilter ref="A1:CG97"/>
  <conditionalFormatting sqref="B2:B9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7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7">
    <cfRule type="cellIs" priority="37" operator="equal" dxfId="3" stopIfTrue="1">
      <formula>"Underperforming"</formula>
    </cfRule>
  </conditionalFormatting>
  <conditionalFormatting sqref="N2:N97">
    <cfRule type="cellIs" priority="38" operator="equal" dxfId="3" stopIfTrue="1">
      <formula>-5</formula>
    </cfRule>
  </conditionalFormatting>
  <conditionalFormatting sqref="Q2:Q97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7" showDropDown="0" showInputMessage="0" showErrorMessage="0" allowBlank="1" type="list">
      <formula1>"Growing Industry,Stagnant Industry,Cyclical in an Upturn"</formula1>
    </dataValidation>
    <dataValidation sqref="Z2:Z97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7" showDropDown="0" showInputMessage="0" showErrorMessage="0" allowBlank="1" type="list">
      <formula1>"Yes,No"</formula1>
    </dataValidation>
    <dataValidation sqref="AD2:AD97" showDropDown="0" showInputMessage="0" showErrorMessage="0" allowBlank="1" type="list">
      <formula1>"Tailwind,Headwind"</formula1>
    </dataValidation>
    <dataValidation sqref="AF2:AF97" showDropDown="0" showInputMessage="0" showErrorMessage="0" allowBlank="1" type="list">
      <formula1>"Structural (10 Years Consistency),Shallow Cyclical (2 to 3 Years Growth),Cyclical"</formula1>
    </dataValidation>
    <dataValidation sqref="AH2:AH97" showDropDown="0" showInputMessage="0" showErrorMessage="0" allowBlank="1" type="list">
      <formula1>"Yes due to Product Mix change or Operating Leverage,Yes, these are peak margins,No"</formula1>
    </dataValidation>
    <dataValidation sqref="AJ2:AJ97" showDropDown="0" showInputMessage="0" showErrorMessage="0" allowBlank="1" type="list">
      <formula1>"Stable,Volatile"</formula1>
    </dataValidation>
    <dataValidation sqref="AL2:AL97" showDropDown="0" showInputMessage="0" showErrorMessage="0" allowBlank="1" type="list">
      <formula1>"Yes,No"</formula1>
    </dataValidation>
    <dataValidation sqref="AN2:AN97" showDropDown="0" showInputMessage="0" showErrorMessage="0" allowBlank="1" type="list">
      <formula1>"B2C,B2B,B2G"</formula1>
    </dataValidation>
    <dataValidation sqref="AP2:AP97" showDropDown="0" showInputMessage="0" showErrorMessage="0" allowBlank="1" type="list">
      <formula1>"Yes,No"</formula1>
    </dataValidation>
    <dataValidation sqref="AR2:AR97" showDropDown="0" showInputMessage="0" showErrorMessage="0" allowBlank="1" type="list">
      <formula1>"Fully Annuity,Higher Annuity, Lower One time,Higher One Time, Lower Annuity,Fully One Time"</formula1>
    </dataValidation>
    <dataValidation sqref="AT2:AT97" showDropDown="0" showInputMessage="0" showErrorMessage="0" allowBlank="1" type="list">
      <formula1>"Good,Allocated capital in Non-core Areas"</formula1>
    </dataValidation>
    <dataValidation sqref="AV2:AV97" showDropDown="0" showInputMessage="0" showErrorMessage="0" allowBlank="1" type="list">
      <formula1>"Yes for more than 2 years,Yes only for next 1 to 2 years,No"</formula1>
    </dataValidation>
    <dataValidation sqref="AX2:AX97" showDropDown="0" showInputMessage="0" showErrorMessage="0" allowBlank="1" type="list">
      <formula1>"Above 40,20 to 40,0 to 20"</formula1>
    </dataValidation>
    <dataValidation sqref="AZ2:AZ97" showDropDown="0" showInputMessage="0" showErrorMessage="0" allowBlank="1" type="list">
      <formula1>"Between 50 to 75,Above 75,Below 45"</formula1>
    </dataValidation>
    <dataValidation sqref="BB2:BB97" showDropDown="0" showInputMessage="0" showErrorMessage="0" allowBlank="1" type="list">
      <formula1>"Stage 1,Stage 2,Stage 3,Stage 4"</formula1>
    </dataValidation>
    <dataValidation sqref="BD2:BD97" showDropDown="0" showInputMessage="0" showErrorMessage="0" allowBlank="1" type="list">
      <formula1>"Positive Trend,Negative Trend"</formula1>
    </dataValidation>
    <dataValidation sqref="BF2:BF97" showDropDown="0" showInputMessage="0" showErrorMessage="0" allowBlank="1" type="list">
      <formula1>"Uptrend,Sideways,Downtrend"</formula1>
    </dataValidation>
    <dataValidation sqref="BH2:BH97" showDropDown="0" showInputMessage="0" showErrorMessage="0" allowBlank="1" type="list">
      <formula1>"Uptrend,Sideways,Downtrend"</formula1>
    </dataValidation>
    <dataValidation sqref="BJ2:BJ9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7" showDropDown="0" showInputMessage="0" showErrorMessage="0" allowBlank="1" type="list">
      <formula1>"Yes,No"</formula1>
    </dataValidation>
    <dataValidation sqref="BN2:BN97" showDropDown="0" showInputMessage="0" showErrorMessage="0" allowBlank="1" type="list">
      <formula1>"More than 20%,Between 12 to 20%,Less than 12%"</formula1>
    </dataValidation>
    <dataValidation sqref="BP2:BP97" showDropDown="0" showInputMessage="0" showErrorMessage="0" allowBlank="1" type="list">
      <formula1>"Yes,No"</formula1>
    </dataValidation>
    <dataValidation sqref="BR2:BR97" showDropDown="0" showInputMessage="0" showErrorMessage="0" allowBlank="1" type="list">
      <formula1>"Yes,No"</formula1>
    </dataValidation>
    <dataValidation sqref="BT2:BT97" showDropDown="0" showInputMessage="0" showErrorMessage="0" allowBlank="1" type="list">
      <formula1>"Above 2,Between 1.5 to 2,Less than 1.5"</formula1>
    </dataValidation>
    <dataValidation sqref="BV2:BV97" showDropDown="0" showInputMessage="0" showErrorMessage="0" allowBlank="1" type="list">
      <formula1>"Above 70%,Between 50% to 70%,Less than 50%,Less than 50% and Borrowings are increasing,Negative"</formula1>
    </dataValidation>
    <dataValidation sqref="BX2:BX97" showDropDown="0" showInputMessage="0" showErrorMessage="0" allowBlank="1" type="list">
      <formula1>"More than 1.2,Between 0.7 to 1.2,Less than 0.7"</formula1>
    </dataValidation>
    <dataValidation sqref="BZ2:BZ97" showDropDown="0" showInputMessage="0" showErrorMessage="0" allowBlank="1" type="list">
      <formula1>"Yes,No"</formula1>
    </dataValidation>
    <dataValidation sqref="CB2:CB97" showDropDown="0" showInputMessage="0" showErrorMessage="0" allowBlank="1" type="list">
      <formula1>"More than 15%,Less than 15%"</formula1>
    </dataValidation>
    <dataValidation sqref="CD2:CD97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IF(B2=0,"",RANK(B2,$B$2:$B$5,0))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SHAREINDIA</t>
        </is>
      </c>
      <c r="D2" s="31" t="inlineStr">
        <is>
          <t>Share India Securities Ltd</t>
        </is>
      </c>
      <c r="E2" s="31" t="inlineStr">
        <is>
          <t>financials</t>
        </is>
      </c>
      <c r="F2" s="31" t="inlineStr">
        <is>
          <t>Finance Capital Markets Brokers</t>
        </is>
      </c>
      <c r="G2" s="31" t="inlineStr">
        <is>
          <t>smallcap</t>
        </is>
      </c>
      <c r="H2" s="32" t="n">
        <v>4460.76</v>
      </c>
      <c r="I2" s="32" t="n">
        <v>203.85</v>
      </c>
      <c r="J2" s="32" t="n">
        <v>-0.89</v>
      </c>
      <c r="K2" s="32" t="n">
        <v>0</v>
      </c>
      <c r="L2" s="31" t="n">
        <v>60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62.58</v>
      </c>
      <c r="P2" s="32" t="n">
        <v>41.12</v>
      </c>
      <c r="Q2" s="32" t="n">
        <v>172.54</v>
      </c>
      <c r="R2" s="31" t="inlineStr">
        <is>
          <t>Earnings / Momentum Support</t>
        </is>
      </c>
      <c r="S2" s="31" t="inlineStr">
        <is>
          <t>Nifty Bank</t>
        </is>
      </c>
      <c r="T2" s="32" t="n">
        <v>-1.72</v>
      </c>
      <c r="U2" s="32" t="n">
        <v>49.04</v>
      </c>
      <c r="V2" s="32" t="n">
        <v>51.65</v>
      </c>
      <c r="W2" s="32" t="n">
        <v>20.43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No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19</t>
        </is>
      </c>
      <c r="CC2" s="31">
        <f>IF(CB2&gt;20,10,IF(CB2&gt;=10,5,2))</f>
        <v/>
      </c>
    </row>
    <row r="3">
      <c r="A3" s="31">
        <f>IF(B3=0,"",RANK(B3,$B$2:$B$5,0))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GCSL</t>
        </is>
      </c>
      <c r="D3" s="31" t="inlineStr">
        <is>
          <t>Gretex Corporate Services Ltd</t>
        </is>
      </c>
      <c r="E3" s="31" t="inlineStr">
        <is>
          <t>financials</t>
        </is>
      </c>
      <c r="F3" s="31" t="inlineStr">
        <is>
          <t>Finance and Investments Others</t>
        </is>
      </c>
      <c r="G3" s="31" t="inlineStr">
        <is>
          <t>smallcap</t>
        </is>
      </c>
      <c r="H3" s="32" t="n">
        <v>1695.24</v>
      </c>
      <c r="I3" s="32" t="n">
        <v>677.95</v>
      </c>
      <c r="J3" s="32" t="n">
        <v>1.65</v>
      </c>
      <c r="K3" s="32" t="n">
        <v>0</v>
      </c>
      <c r="L3" s="31" t="n">
        <v>82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80.23999999999999</v>
      </c>
      <c r="P3" s="32" t="n">
        <v>34.67</v>
      </c>
      <c r="Q3" s="32" t="n">
        <v>543.22</v>
      </c>
      <c r="R3" s="31" t="inlineStr">
        <is>
          <t>Near 52W High Breakout</t>
        </is>
      </c>
      <c r="S3" s="31" t="inlineStr">
        <is>
          <t>Nifty Bank</t>
        </is>
      </c>
      <c r="T3" s="32" t="n">
        <v>-1.72</v>
      </c>
      <c r="U3" s="32" t="n">
        <v>173.94</v>
      </c>
      <c r="V3" s="32" t="n">
        <v>178.74</v>
      </c>
      <c r="W3" s="32" t="n">
        <v>31.7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above 5x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23</t>
        </is>
      </c>
      <c r="CC3" s="31">
        <f>IF(CB3&gt;20,10,IF(CB3&gt;=10,5,2))</f>
        <v/>
      </c>
    </row>
    <row r="4">
      <c r="A4" s="31">
        <f>IF(B4=0,"",RANK(B4,$B$2:$B$5,0))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TFCILTD</t>
        </is>
      </c>
      <c r="D4" s="31" t="inlineStr">
        <is>
          <t>Tourism Finance Corporation of India Ltd</t>
        </is>
      </c>
      <c r="E4" s="31" t="inlineStr">
        <is>
          <t>financials</t>
        </is>
      </c>
      <c r="F4" s="31" t="inlineStr">
        <is>
          <t>Finance PSU Lending</t>
        </is>
      </c>
      <c r="G4" s="31" t="inlineStr">
        <is>
          <t>midcap</t>
        </is>
      </c>
      <c r="H4" s="32" t="n">
        <v>6550.2</v>
      </c>
      <c r="I4" s="32" t="n">
        <v>141.48</v>
      </c>
      <c r="J4" s="32" t="n">
        <v>1.84</v>
      </c>
      <c r="K4" s="32" t="n">
        <v>0</v>
      </c>
      <c r="L4" s="31" t="n">
        <v>85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81.13</v>
      </c>
      <c r="P4" s="32" t="n">
        <v>72.3</v>
      </c>
      <c r="Q4" s="32" t="n">
        <v>114.3</v>
      </c>
      <c r="R4" s="31" t="inlineStr">
        <is>
          <t>Near 52W High Breakout</t>
        </is>
      </c>
      <c r="S4" s="31" t="inlineStr">
        <is>
          <t>Nifty Bank</t>
        </is>
      </c>
      <c r="T4" s="32" t="n">
        <v>-1.72</v>
      </c>
      <c r="U4" s="32" t="n">
        <v>92.88</v>
      </c>
      <c r="V4" s="32" t="n">
        <v>96.25</v>
      </c>
      <c r="W4" s="32" t="n">
        <v>34.87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above 5x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22</t>
        </is>
      </c>
      <c r="CC4" s="31">
        <f>IF(CB4&gt;20,10,IF(CB4&gt;=10,5,2))</f>
        <v/>
      </c>
    </row>
    <row r="5">
      <c r="A5" s="31">
        <f>IF(B5=0,"",RANK(B5,$B$2:$B$5,0))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CGCL</t>
        </is>
      </c>
      <c r="D5" s="31" t="inlineStr">
        <is>
          <t>Capri Global Capital Ltd</t>
        </is>
      </c>
      <c r="E5" s="31" t="inlineStr">
        <is>
          <t>Financial Services</t>
        </is>
      </c>
      <c r="F5" s="31" t="inlineStr">
        <is>
          <t>Finance and Investments Gold Loan</t>
        </is>
      </c>
      <c r="G5" s="31" t="inlineStr">
        <is>
          <t>largecap</t>
        </is>
      </c>
      <c r="H5" s="32" t="n">
        <v>23717.1</v>
      </c>
      <c r="I5" s="32" t="n">
        <v>246.5</v>
      </c>
      <c r="J5" s="32" t="n">
        <v>-0.16</v>
      </c>
      <c r="K5" s="32" t="n">
        <v>0</v>
      </c>
      <c r="L5" s="31" t="n">
        <v>24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57.29</v>
      </c>
      <c r="P5" s="32" t="n">
        <v>36.96</v>
      </c>
      <c r="Q5" s="32" t="n">
        <v>219.91</v>
      </c>
      <c r="R5" s="31" t="inlineStr">
        <is>
          <t>Earnings / Momentum Support</t>
        </is>
      </c>
      <c r="S5" s="31" t="inlineStr">
        <is>
          <t>Nifty Bank</t>
        </is>
      </c>
      <c r="T5" s="32" t="n">
        <v>-1.72</v>
      </c>
      <c r="U5" s="32" t="n">
        <v>30.79</v>
      </c>
      <c r="V5" s="32" t="n">
        <v>33.08</v>
      </c>
      <c r="W5" s="32" t="n">
        <v>8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18</t>
        </is>
      </c>
      <c r="CC5" s="31">
        <f>IF(CB5&gt;20,10,IF(CB5&gt;=10,5,2))</f>
        <v/>
      </c>
    </row>
    <row r="9">
      <c r="A9" s="25" t="inlineStr">
        <is>
          <t>❌ REMOVED SCAN MATCH STOCKS (THIS WEEK)</t>
        </is>
      </c>
    </row>
    <row r="10">
      <c r="A10" s="35" t="inlineStr">
        <is>
          <t>Symbol</t>
        </is>
      </c>
      <c r="B10" s="35" t="inlineStr">
        <is>
          <t>Company Name</t>
        </is>
      </c>
      <c r="C10" s="35" t="inlineStr">
        <is>
          <t>Sector</t>
        </is>
      </c>
      <c r="D10" s="35" t="inlineStr">
        <is>
          <t>Date of Removal</t>
        </is>
      </c>
    </row>
    <row r="11">
      <c r="A11" s="36" t="inlineStr">
        <is>
          <t>SMCGLOBAL</t>
        </is>
      </c>
      <c r="B11" s="37" t="inlineStr">
        <is>
          <t>SMC Global Securities Limited</t>
        </is>
      </c>
      <c r="C11" s="37" t="inlineStr">
        <is>
          <t>Financial Services</t>
        </is>
      </c>
      <c r="D11" s="38" t="inlineStr">
        <is>
          <t>2026-09-29</t>
        </is>
      </c>
    </row>
  </sheetData>
  <autoFilter ref="A1:CC5"/>
  <conditionalFormatting sqref="B2:B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5">
    <cfRule type="cellIs" priority="35" operator="equal" dxfId="3" stopIfTrue="1">
      <formula>"Underperforming"</formula>
    </cfRule>
  </conditionalFormatting>
  <conditionalFormatting sqref="N2:N5">
    <cfRule type="cellIs" priority="36" operator="equal" dxfId="3" stopIfTrue="1">
      <formula>-5</formula>
    </cfRule>
  </conditionalFormatting>
  <conditionalFormatting sqref="Q2:Q5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5" showDropDown="0" showInputMessage="0" showErrorMessage="0" allowBlank="1" type="list">
      <formula1>"Growing Industry,Stagnant Industry,Cyclical in an Upturn"</formula1>
    </dataValidation>
    <dataValidation sqref="Z2:Z5" showDropDown="0" showInputMessage="0" showErrorMessage="0" allowBlank="1" type="list">
      <formula1>"Fragmented with Low ROE,Fragmented with High ROE,Highly Cyclical"</formula1>
    </dataValidation>
    <dataValidation sqref="AB2:AB5" showDropDown="0" showInputMessage="0" showErrorMessage="0" allowBlank="1" type="list">
      <formula1>"Yes,No"</formula1>
    </dataValidation>
    <dataValidation sqref="AD2:AD5" showDropDown="0" showInputMessage="0" showErrorMessage="0" allowBlank="1" type="list">
      <formula1>"Tailwind,Headwind"</formula1>
    </dataValidation>
    <dataValidation sqref="AF2:AF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5" showDropDown="0" showInputMessage="0" showErrorMessage="0" allowBlank="1" type="list">
      <formula1>"Yes,No"</formula1>
    </dataValidation>
    <dataValidation sqref="AJ2:AJ5" showDropDown="0" showInputMessage="0" showErrorMessage="0" allowBlank="1" type="list">
      <formula1>"Yes,No,Not Applicable"</formula1>
    </dataValidation>
    <dataValidation sqref="AL2:AL5" showDropDown="0" showInputMessage="0" showErrorMessage="0" allowBlank="1" type="list">
      <formula1>"Yes,No"</formula1>
    </dataValidation>
    <dataValidation sqref="AN2:AN5" showDropDown="0" showInputMessage="0" showErrorMessage="0" allowBlank="1" type="list">
      <formula1>"Yes,No"</formula1>
    </dataValidation>
    <dataValidation sqref="AP2:AP5" showDropDown="0" showInputMessage="0" showErrorMessage="0" allowBlank="1" type="list">
      <formula1>"Yes,No"</formula1>
    </dataValidation>
    <dataValidation sqref="AR2:AR5" showDropDown="0" showInputMessage="0" showErrorMessage="0" allowBlank="1" type="list">
      <formula1>"Yes,No"</formula1>
    </dataValidation>
    <dataValidation sqref="AT2:AT5" showDropDown="0" showInputMessage="0" showErrorMessage="0" allowBlank="1" type="list">
      <formula1>"No,Yes"</formula1>
    </dataValidation>
    <dataValidation sqref="AV2:AV5" showDropDown="0" showInputMessage="0" showErrorMessage="0" allowBlank="1" type="list">
      <formula1>"No,Yes"</formula1>
    </dataValidation>
    <dataValidation sqref="AX2:AX5" showDropDown="0" showInputMessage="0" showErrorMessage="0" allowBlank="1" type="list">
      <formula1>"No,Yes CEO Resignation,Yes CEO Retirement"</formula1>
    </dataValidation>
    <dataValidation sqref="AZ2:AZ5" showDropDown="0" showInputMessage="0" showErrorMessage="0" allowBlank="1" type="list">
      <formula1>"No,Yes"</formula1>
    </dataValidation>
    <dataValidation sqref="BB2:BB5" showDropDown="0" showInputMessage="0" showErrorMessage="0" allowBlank="1" type="list">
      <formula1>"No,Yes"</formula1>
    </dataValidation>
    <dataValidation sqref="BD2:BD5" showDropDown="0" showInputMessage="0" showErrorMessage="0" allowBlank="1" type="list">
      <formula1>"Yes,No"</formula1>
    </dataValidation>
    <dataValidation sqref="BF2:BF5" showDropDown="0" showInputMessage="0" showErrorMessage="0" allowBlank="1" type="list">
      <formula1>"Yes,No"</formula1>
    </dataValidation>
    <dataValidation sqref="BH2:BH5" showDropDown="0" showInputMessage="0" showErrorMessage="0" allowBlank="1" type="list">
      <formula1>"Yes,No"</formula1>
    </dataValidation>
    <dataValidation sqref="BJ2:BJ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5" showDropDown="0" showInputMessage="0" showErrorMessage="0" allowBlank="1" type="list">
      <formula1>"Above 40,20 to 40,0 to 20"</formula1>
    </dataValidation>
    <dataValidation sqref="BN2:BN5" showDropDown="0" showInputMessage="0" showErrorMessage="0" allowBlank="1" type="list">
      <formula1>"Between 50 to 75,Above 75,Below 45"</formula1>
    </dataValidation>
    <dataValidation sqref="BP2:BP5" showDropDown="0" showInputMessage="0" showErrorMessage="0" allowBlank="1" type="list">
      <formula1>"Stage 1,Stage 2,Stage 3,Stage 4"</formula1>
    </dataValidation>
    <dataValidation sqref="BR2:BR5" showDropDown="0" showInputMessage="0" showErrorMessage="0" allowBlank="1" type="list">
      <formula1>"Positive Trend,Negative Trend"</formula1>
    </dataValidation>
    <dataValidation sqref="BT2:BT5" showDropDown="0" showInputMessage="0" showErrorMessage="0" allowBlank="1" type="list">
      <formula1>"Uptrend,Sideways,Downtrend"</formula1>
    </dataValidation>
    <dataValidation sqref="BV2:BV5" showDropDown="0" showInputMessage="0" showErrorMessage="0" allowBlank="1" type="list">
      <formula1>"Uptrend,Sideways,Downtrend"</formula1>
    </dataValidation>
    <dataValidation sqref="BX2:BX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2026-09-30T16:27:27Z</dcterms:created>
  <dcterms:modified xmlns:dcterms="http://purl.org/dc/terms/" xmlns:xsi="http://www.w3.org/2001/XMLSchema-instance" xsi:type="dcterms:W3CDTF">2026-09-30T16:28:25Z</dcterms:modified>
</cp:coreProperties>
</file>