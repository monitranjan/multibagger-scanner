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Universe'!$A$1:$J$324</definedName>
    <definedName name="_xlnm._FilterDatabase" localSheetId="3" hidden="1">'Confluence Overlap'!$A$1:$K$87</definedName>
    <definedName name="_xlnm._FilterDatabase" localSheetId="4" hidden="1">'Monit Non Financial'!$A$1:$CE$282</definedName>
    <definedName name="_xlnm._FilterDatabase" localSheetId="5" hidden="1">'Monit Banks NBFC'!$A$1:$CA$43</definedName>
    <definedName name="_xlnm._FilterDatabase" localSheetId="6" hidden="1">'Scanner Non Financial'!$A$1:$CJ$16</definedName>
    <definedName name="_xlnm._FilterDatabase" localSheetId="7" hidden="1">'Scanner Banks NBFC'!$A$1:$CF$8</definedName>
    <definedName name="_xlnm._FilterDatabase" localSheetId="8" hidden="1">'Scan Match Non Financial'!$A$1:$CG$94</definedName>
    <definedName name="_xlnm._FilterDatabase" localSheetId="9" hidden="1">'Scan Match Banks NBFC'!$A$1:$CC$8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12 June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3" customWidth="1" min="2" max="2"/>
    <col width="25" customWidth="1" min="3" max="3"/>
    <col width="41" customWidth="1" min="4" max="4"/>
    <col width="22" customWidth="1" min="5" max="5"/>
    <col width="44" customWidth="1" min="6" max="6"/>
    <col width="25" customWidth="1" min="7" max="7"/>
    <col width="19" customWidth="1" min="8" max="8"/>
    <col width="11" customWidth="1" min="9" max="9"/>
    <col width="49" customWidth="1" min="10" max="10"/>
    <col width="19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426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56</v>
      </c>
      <c r="G6" s="19" t="n">
        <v>13589.07</v>
      </c>
      <c r="H6" s="18" t="inlineStr">
        <is>
          <t>Potential Leader</t>
        </is>
      </c>
      <c r="J6" s="18" t="inlineStr">
        <is>
          <t>nan</t>
        </is>
      </c>
      <c r="K6" s="16" t="n">
        <v>1</v>
      </c>
      <c r="L6" s="16" t="n">
        <v>0</v>
      </c>
      <c r="M6" s="20" t="inlineStr">
        <is>
          <t>100.0%</t>
        </is>
      </c>
    </row>
    <row r="7">
      <c r="A7" s="16" t="n">
        <v>2</v>
      </c>
      <c r="B7" s="17" t="n">
        <v>414</v>
      </c>
      <c r="C7" s="17" t="inlineStr">
        <is>
          <t>BLISSGVS</t>
        </is>
      </c>
      <c r="D7" s="18" t="inlineStr">
        <is>
          <t>Bliss Gvs Pharma Limited</t>
        </is>
      </c>
      <c r="E7" s="18" t="inlineStr">
        <is>
          <t>healthcare</t>
        </is>
      </c>
      <c r="F7" s="16" t="n">
        <v>54</v>
      </c>
      <c r="G7" s="19" t="n">
        <v>4618.22</v>
      </c>
      <c r="H7" s="18" t="inlineStr">
        <is>
          <t>Potential Leader</t>
        </is>
      </c>
      <c r="J7" s="18" t="inlineStr">
        <is>
          <t>bank</t>
        </is>
      </c>
      <c r="K7" s="16" t="n">
        <v>66</v>
      </c>
      <c r="L7" s="16" t="n">
        <v>52</v>
      </c>
      <c r="M7" s="20" t="inlineStr">
        <is>
          <t>26.9%</t>
        </is>
      </c>
    </row>
    <row r="8">
      <c r="A8" s="16" t="n">
        <v>3</v>
      </c>
      <c r="B8" s="17" t="n">
        <v>414</v>
      </c>
      <c r="C8" s="17" t="inlineStr">
        <is>
          <t>DEEDEV</t>
        </is>
      </c>
      <c r="D8" s="18" t="inlineStr">
        <is>
          <t>DEE Development Engineers Ltd</t>
        </is>
      </c>
      <c r="E8" s="18" t="inlineStr">
        <is>
          <t>metals &amp; mining</t>
        </is>
      </c>
      <c r="F8" s="16" t="n">
        <v>54</v>
      </c>
      <c r="G8" s="19" t="n">
        <v>4332.08</v>
      </c>
      <c r="H8" s="18" t="inlineStr">
        <is>
          <t>Potential Leader</t>
        </is>
      </c>
      <c r="J8" s="18" t="inlineStr">
        <is>
          <t>chemicals</t>
        </is>
      </c>
      <c r="K8" s="16" t="n">
        <v>69</v>
      </c>
      <c r="L8" s="16" t="n">
        <v>61</v>
      </c>
      <c r="M8" s="20" t="inlineStr">
        <is>
          <t>13.1%</t>
        </is>
      </c>
    </row>
    <row r="9">
      <c r="A9" s="16" t="n">
        <v>4</v>
      </c>
      <c r="B9" s="17" t="n">
        <v>408</v>
      </c>
      <c r="C9" s="17" t="inlineStr">
        <is>
          <t>ARVIND</t>
        </is>
      </c>
      <c r="D9" s="18" t="inlineStr">
        <is>
          <t>Arvind Limited</t>
        </is>
      </c>
      <c r="E9" s="18" t="inlineStr">
        <is>
          <t>textiles</t>
        </is>
      </c>
      <c r="F9" s="16" t="n">
        <v>53</v>
      </c>
      <c r="G9" s="19" t="n">
        <v>12928.8</v>
      </c>
      <c r="H9" s="18" t="inlineStr">
        <is>
          <t>Potential Leader</t>
        </is>
      </c>
      <c r="J9" s="18" t="inlineStr">
        <is>
          <t>building materials</t>
        </is>
      </c>
      <c r="K9" s="16" t="n">
        <v>36</v>
      </c>
      <c r="L9" s="16" t="n">
        <v>35</v>
      </c>
      <c r="M9" s="20" t="inlineStr">
        <is>
          <t>2.9%</t>
        </is>
      </c>
    </row>
    <row r="10">
      <c r="A10" s="16" t="n">
        <v>5</v>
      </c>
      <c r="B10" s="17" t="n">
        <v>408</v>
      </c>
      <c r="C10" s="17" t="inlineStr">
        <is>
          <t>NITINSPIN</t>
        </is>
      </c>
      <c r="D10" s="18" t="inlineStr">
        <is>
          <t>Nitin Spinners Limited</t>
        </is>
      </c>
      <c r="E10" s="18" t="inlineStr">
        <is>
          <t>textiles</t>
        </is>
      </c>
      <c r="F10" s="16" t="n">
        <v>53</v>
      </c>
      <c r="G10" s="19" t="n">
        <v>3000.74</v>
      </c>
      <c r="H10" s="18" t="inlineStr">
        <is>
          <t>Potential Leader</t>
        </is>
      </c>
      <c r="J10" s="18" t="inlineStr">
        <is>
          <t>telecom-service</t>
        </is>
      </c>
      <c r="K10" s="16" t="n">
        <v>10</v>
      </c>
      <c r="L10" s="16" t="n">
        <v>10</v>
      </c>
      <c r="M10" s="20" t="inlineStr">
        <is>
          <t>0.0%</t>
        </is>
      </c>
    </row>
    <row r="11">
      <c r="A11" s="16" t="n">
        <v>6</v>
      </c>
      <c r="B11" s="17" t="n">
        <v>408</v>
      </c>
      <c r="C11" s="17" t="inlineStr">
        <is>
          <t>WELCORP</t>
        </is>
      </c>
      <c r="D11" s="18" t="inlineStr">
        <is>
          <t>Welspun Corp Limited</t>
        </is>
      </c>
      <c r="E11" s="18" t="inlineStr">
        <is>
          <t>industrials</t>
        </is>
      </c>
      <c r="F11" s="16" t="n">
        <v>53</v>
      </c>
      <c r="G11" s="19" t="n">
        <v>36651.07</v>
      </c>
      <c r="H11" s="18" t="inlineStr">
        <is>
          <t>Potential Leader</t>
        </is>
      </c>
      <c r="J11" s="18" t="inlineStr">
        <is>
          <t>healthcare</t>
        </is>
      </c>
      <c r="K11" s="16" t="n">
        <v>218</v>
      </c>
      <c r="L11" s="16" t="n">
        <v>227</v>
      </c>
      <c r="M11" s="21" t="inlineStr">
        <is>
          <t>-4.0%</t>
        </is>
      </c>
    </row>
    <row r="12">
      <c r="A12" s="16" t="n">
        <v>7</v>
      </c>
      <c r="B12" s="17" t="n">
        <v>402</v>
      </c>
      <c r="C12" s="17" t="inlineStr">
        <is>
          <t>BAJAJCON</t>
        </is>
      </c>
      <c r="D12" s="18" t="inlineStr">
        <is>
          <t>Bajaj Consumer Care Ltd</t>
        </is>
      </c>
      <c r="E12" s="18" t="inlineStr">
        <is>
          <t>fmcg</t>
        </is>
      </c>
      <c r="F12" s="16" t="n">
        <v>52</v>
      </c>
      <c r="G12" s="19" t="n">
        <v>7396.26</v>
      </c>
      <c r="H12" s="18" t="inlineStr">
        <is>
          <t>Potential Leader</t>
        </is>
      </c>
      <c r="J12" s="18" t="inlineStr">
        <is>
          <t>fmcg</t>
        </is>
      </c>
      <c r="K12" s="16" t="n">
        <v>72</v>
      </c>
      <c r="L12" s="16" t="n">
        <v>76</v>
      </c>
      <c r="M12" s="21" t="inlineStr">
        <is>
          <t>-5.3%</t>
        </is>
      </c>
    </row>
    <row r="13">
      <c r="A13" s="16" t="n">
        <v>8</v>
      </c>
      <c r="B13" s="17" t="n">
        <v>402</v>
      </c>
      <c r="C13" s="17" t="inlineStr">
        <is>
          <t>STLTECH</t>
        </is>
      </c>
      <c r="D13" s="18" t="inlineStr">
        <is>
          <t>Sterlite Technologies Limited</t>
        </is>
      </c>
      <c r="E13" s="18" t="inlineStr">
        <is>
          <t>industrials</t>
        </is>
      </c>
      <c r="F13" s="16" t="n">
        <v>52</v>
      </c>
      <c r="G13" s="19" t="n">
        <v>27745.45</v>
      </c>
      <c r="H13" s="18" t="inlineStr">
        <is>
          <t>Potential Leader</t>
        </is>
      </c>
      <c r="J13" s="18" t="inlineStr">
        <is>
          <t>realty</t>
        </is>
      </c>
      <c r="K13" s="16" t="n">
        <v>57</v>
      </c>
      <c r="L13" s="16" t="n">
        <v>63</v>
      </c>
      <c r="M13" s="21" t="inlineStr">
        <is>
          <t>-9.5%</t>
        </is>
      </c>
    </row>
    <row r="14">
      <c r="A14" s="16" t="n">
        <v>9</v>
      </c>
      <c r="B14" s="17" t="n">
        <v>402</v>
      </c>
      <c r="C14" s="17" t="inlineStr">
        <is>
          <t>STYLAMIND</t>
        </is>
      </c>
      <c r="D14" s="18" t="inlineStr">
        <is>
          <t>Stylam Industries Ltd</t>
        </is>
      </c>
      <c r="E14" s="18" t="inlineStr">
        <is>
          <t>building materials</t>
        </is>
      </c>
      <c r="F14" s="16" t="n">
        <v>52</v>
      </c>
      <c r="G14" s="19" t="n">
        <v>5180.34</v>
      </c>
      <c r="H14" s="18" t="inlineStr">
        <is>
          <t>Potential Leader</t>
        </is>
      </c>
      <c r="J14" s="18" t="inlineStr">
        <is>
          <t>auto</t>
        </is>
      </c>
      <c r="K14" s="16" t="n">
        <v>110</v>
      </c>
      <c r="L14" s="16" t="n">
        <v>125</v>
      </c>
      <c r="M14" s="21" t="inlineStr">
        <is>
          <t>-12.0%</t>
        </is>
      </c>
    </row>
    <row r="15">
      <c r="A15" s="16" t="n">
        <v>10</v>
      </c>
      <c r="B15" s="17" t="n">
        <v>390</v>
      </c>
      <c r="C15" s="17" t="inlineStr">
        <is>
          <t>ADANIGREEN</t>
        </is>
      </c>
      <c r="D15" s="18" t="inlineStr">
        <is>
          <t>Adani Green Energy Ltd</t>
        </is>
      </c>
      <c r="E15" s="18" t="inlineStr">
        <is>
          <t>power &amp; utilities</t>
        </is>
      </c>
      <c r="F15" s="16" t="n">
        <v>50</v>
      </c>
      <c r="G15" s="19" t="n">
        <v>239581.77</v>
      </c>
      <c r="H15" s="18" t="inlineStr">
        <is>
          <t>Potential Leader</t>
        </is>
      </c>
      <c r="J15" s="18" t="inlineStr">
        <is>
          <t>miscellaneous</t>
        </is>
      </c>
      <c r="K15" s="16" t="n">
        <v>48</v>
      </c>
      <c r="L15" s="16" t="n">
        <v>56</v>
      </c>
      <c r="M15" s="21" t="inlineStr">
        <is>
          <t>-14.3%</t>
        </is>
      </c>
    </row>
    <row r="16">
      <c r="A16" s="16" t="n">
        <v>11</v>
      </c>
      <c r="B16" s="17" t="n">
        <v>390</v>
      </c>
      <c r="C16" s="17" t="inlineStr">
        <is>
          <t>APCOTEXIND</t>
        </is>
      </c>
      <c r="D16" s="18" t="inlineStr">
        <is>
          <t>Apcotex Industries Limited</t>
        </is>
      </c>
      <c r="E16" s="18" t="inlineStr">
        <is>
          <t>chemicals</t>
        </is>
      </c>
      <c r="F16" s="16" t="n">
        <v>50</v>
      </c>
      <c r="G16" s="19" t="n">
        <v>2705.01</v>
      </c>
      <c r="H16" s="18" t="inlineStr">
        <is>
          <t>Potential Leader</t>
        </is>
      </c>
      <c r="J16" s="18" t="inlineStr">
        <is>
          <t>i.t</t>
        </is>
      </c>
      <c r="K16" s="16" t="n">
        <v>55</v>
      </c>
      <c r="L16" s="16" t="n">
        <v>65</v>
      </c>
      <c r="M16" s="21" t="inlineStr">
        <is>
          <t>-15.4%</t>
        </is>
      </c>
    </row>
    <row r="17">
      <c r="A17" s="16" t="n">
        <v>12</v>
      </c>
      <c r="B17" s="17" t="n">
        <v>390</v>
      </c>
      <c r="C17" s="17" t="inlineStr">
        <is>
          <t>SHILPAMED</t>
        </is>
      </c>
      <c r="D17" s="18" t="inlineStr">
        <is>
          <t>Shilpa Medicare Limited</t>
        </is>
      </c>
      <c r="E17" s="18" t="inlineStr">
        <is>
          <t>healthcare</t>
        </is>
      </c>
      <c r="F17" s="16" t="n">
        <v>50</v>
      </c>
      <c r="G17" s="19" t="n">
        <v>10538.93</v>
      </c>
      <c r="H17" s="18" t="inlineStr">
        <is>
          <t>Potential Leader</t>
        </is>
      </c>
      <c r="J17" s="18" t="inlineStr">
        <is>
          <t>transportation</t>
        </is>
      </c>
      <c r="K17" s="16" t="n">
        <v>16</v>
      </c>
      <c r="L17" s="16" t="n">
        <v>19</v>
      </c>
      <c r="M17" s="21" t="inlineStr">
        <is>
          <t>-15.8%</t>
        </is>
      </c>
    </row>
    <row r="18">
      <c r="A18" s="16" t="n">
        <v>13</v>
      </c>
      <c r="B18" s="17" t="n">
        <v>378</v>
      </c>
      <c r="C18" s="17" t="inlineStr">
        <is>
          <t>BBOX</t>
        </is>
      </c>
      <c r="D18" s="18" t="inlineStr">
        <is>
          <t>Black Box Ltd</t>
        </is>
      </c>
      <c r="E18" s="18" t="inlineStr">
        <is>
          <t>i.t</t>
        </is>
      </c>
      <c r="F18" s="16" t="n">
        <v>48</v>
      </c>
      <c r="G18" s="19" t="n">
        <v>17545.41</v>
      </c>
      <c r="H18" s="18" t="inlineStr">
        <is>
          <t>Potential Leader</t>
        </is>
      </c>
      <c r="J18" s="18" t="inlineStr">
        <is>
          <t>services</t>
        </is>
      </c>
      <c r="K18" s="16" t="n">
        <v>41</v>
      </c>
      <c r="L18" s="16" t="n">
        <v>49</v>
      </c>
      <c r="M18" s="21" t="inlineStr">
        <is>
          <t>-16.3%</t>
        </is>
      </c>
    </row>
    <row r="19">
      <c r="A19" s="16" t="n">
        <v>14</v>
      </c>
      <c r="B19" s="17" t="n">
        <v>378</v>
      </c>
      <c r="C19" s="17" t="inlineStr">
        <is>
          <t>GVPIL</t>
        </is>
      </c>
      <c r="D19" s="18" t="inlineStr">
        <is>
          <t>GE Power India Ltd</t>
        </is>
      </c>
      <c r="E19" s="18" t="inlineStr">
        <is>
          <t>realty</t>
        </is>
      </c>
      <c r="F19" s="16" t="n">
        <v>48</v>
      </c>
      <c r="G19" s="19" t="n">
        <v>5951.65</v>
      </c>
      <c r="H19" s="18" t="inlineStr">
        <is>
          <t>Potential Leader</t>
        </is>
      </c>
      <c r="J19" s="18" t="inlineStr">
        <is>
          <t>energy</t>
        </is>
      </c>
      <c r="K19" s="16" t="n">
        <v>42</v>
      </c>
      <c r="L19" s="16" t="n">
        <v>53</v>
      </c>
      <c r="M19" s="21" t="inlineStr">
        <is>
          <t>-20.8%</t>
        </is>
      </c>
    </row>
    <row r="20">
      <c r="A20" s="16" t="n">
        <v>15</v>
      </c>
      <c r="B20" s="17" t="n">
        <v>366</v>
      </c>
      <c r="C20" s="17" t="inlineStr">
        <is>
          <t>NINSYS</t>
        </is>
      </c>
      <c r="D20" s="18" t="inlineStr">
        <is>
          <t>NINtec Systems Ltd</t>
        </is>
      </c>
      <c r="E20" s="18" t="inlineStr">
        <is>
          <t>i.t</t>
        </is>
      </c>
      <c r="F20" s="16" t="n">
        <v>46</v>
      </c>
      <c r="G20" s="19" t="n">
        <v>1281.56</v>
      </c>
      <c r="H20" s="18" t="inlineStr">
        <is>
          <t>Potential Leader</t>
        </is>
      </c>
      <c r="J20" s="18" t="inlineStr">
        <is>
          <t>industrials</t>
        </is>
      </c>
      <c r="K20" s="16" t="n">
        <v>187</v>
      </c>
      <c r="L20" s="16" t="n">
        <v>249</v>
      </c>
      <c r="M20" s="21" t="inlineStr">
        <is>
          <t>-24.9%</t>
        </is>
      </c>
    </row>
    <row r="21">
      <c r="A21" s="16" t="n">
        <v>16</v>
      </c>
      <c r="B21" s="17" t="n">
        <v>366</v>
      </c>
      <c r="C21" s="17" t="inlineStr">
        <is>
          <t>POLYCAB</t>
        </is>
      </c>
      <c r="D21" s="18" t="inlineStr">
        <is>
          <t>Polycab India Ltd</t>
        </is>
      </c>
      <c r="E21" s="18" t="inlineStr">
        <is>
          <t>industrials</t>
        </is>
      </c>
      <c r="F21" s="16" t="n">
        <v>46</v>
      </c>
      <c r="G21" s="19" t="n">
        <v>141095.94</v>
      </c>
      <c r="H21" s="18" t="inlineStr">
        <is>
          <t>Potential Leader</t>
        </is>
      </c>
    </row>
    <row r="22">
      <c r="A22" s="16" t="n">
        <v>17</v>
      </c>
      <c r="B22" s="17" t="n">
        <v>360</v>
      </c>
      <c r="C22" s="17" t="inlineStr">
        <is>
          <t>NRBBEARING</t>
        </is>
      </c>
      <c r="D22" s="18" t="inlineStr">
        <is>
          <t>Nrb Bearing Limited</t>
        </is>
      </c>
      <c r="E22" s="18" t="inlineStr">
        <is>
          <t>industrials</t>
        </is>
      </c>
      <c r="F22" s="16" t="n">
        <v>45</v>
      </c>
      <c r="G22" s="19" t="n">
        <v>4222.92</v>
      </c>
      <c r="H22" s="18" t="inlineStr">
        <is>
          <t>Potential Leader</t>
        </is>
      </c>
    </row>
    <row r="23">
      <c r="A23" s="16" t="n">
        <v>18</v>
      </c>
      <c r="B23" s="17" t="n">
        <v>360</v>
      </c>
      <c r="C23" s="17" t="inlineStr">
        <is>
          <t>SIGMAADV</t>
        </is>
      </c>
      <c r="D23" s="18" t="inlineStr">
        <is>
          <t>Sigma Advanced System Ltd</t>
        </is>
      </c>
      <c r="E23" s="18" t="inlineStr">
        <is>
          <t>aerospace &amp; defence</t>
        </is>
      </c>
      <c r="F23" s="16" t="n">
        <v>45</v>
      </c>
      <c r="G23" s="19" t="n">
        <v>8499.16</v>
      </c>
      <c r="H23" s="18" t="inlineStr">
        <is>
          <t>Potential Leader</t>
        </is>
      </c>
    </row>
    <row r="24">
      <c r="A24" s="16" t="n">
        <v>19</v>
      </c>
      <c r="B24" s="17" t="n">
        <v>360</v>
      </c>
      <c r="C24" s="17" t="inlineStr">
        <is>
          <t>TALBROAUTO</t>
        </is>
      </c>
      <c r="D24" s="18" t="inlineStr">
        <is>
          <t>Talbros Automotive Components Limited</t>
        </is>
      </c>
      <c r="E24" s="18" t="inlineStr">
        <is>
          <t>auto</t>
        </is>
      </c>
      <c r="F24" s="16" t="n">
        <v>45</v>
      </c>
      <c r="G24" s="19" t="n">
        <v>2202.77</v>
      </c>
      <c r="H24" s="18" t="inlineStr">
        <is>
          <t>Potential Leader</t>
        </is>
      </c>
    </row>
    <row r="25">
      <c r="A25" s="16" t="n">
        <v>20</v>
      </c>
      <c r="B25" s="17" t="n">
        <v>342</v>
      </c>
      <c r="C25" s="17" t="inlineStr">
        <is>
          <t>SIS</t>
        </is>
      </c>
      <c r="D25" s="18" t="inlineStr">
        <is>
          <t>Security &amp; Intelligence Services India</t>
        </is>
      </c>
      <c r="E25" s="18" t="inlineStr">
        <is>
          <t>miscellaneous</t>
        </is>
      </c>
      <c r="F25" s="16" t="n">
        <v>42</v>
      </c>
      <c r="G25" s="19" t="n">
        <v>6055.63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VADILALIND</t>
        </is>
      </c>
      <c r="B30" s="18" t="inlineStr">
        <is>
          <t>Vadilal Industries Limited</t>
        </is>
      </c>
      <c r="C30" s="18" t="inlineStr">
        <is>
          <t>fmcg</t>
        </is>
      </c>
      <c r="D30" s="16" t="n">
        <v>10</v>
      </c>
      <c r="E30" s="16" t="n">
        <v>2</v>
      </c>
      <c r="F30" s="19" t="n">
        <v>4270.22</v>
      </c>
      <c r="J30" s="17" t="inlineStr">
        <is>
          <t>KTKBANK</t>
        </is>
      </c>
      <c r="K30" s="18" t="inlineStr">
        <is>
          <t>bank</t>
        </is>
      </c>
      <c r="L30" s="19" t="n">
        <v>295</v>
      </c>
      <c r="M30" s="19" t="n">
        <v>10022.61</v>
      </c>
      <c r="N30" s="16" t="n">
        <v>16</v>
      </c>
    </row>
    <row r="31">
      <c r="A31" s="17" t="inlineStr">
        <is>
          <t>KPRMILL</t>
        </is>
      </c>
      <c r="B31" s="18" t="inlineStr">
        <is>
          <t>K.p.r. Mill Limited</t>
        </is>
      </c>
      <c r="C31" s="18" t="inlineStr">
        <is>
          <t>consumer discretionary</t>
        </is>
      </c>
      <c r="D31" s="16" t="n">
        <v>10</v>
      </c>
      <c r="E31" s="16" t="n">
        <v>0</v>
      </c>
      <c r="F31" s="19" t="n">
        <v>36051.12</v>
      </c>
      <c r="J31" s="17" t="inlineStr">
        <is>
          <t>IBULLSLTD</t>
        </is>
      </c>
      <c r="K31" s="18" t="inlineStr">
        <is>
          <t>miscellaneous</t>
        </is>
      </c>
      <c r="L31" s="19" t="n">
        <v>290</v>
      </c>
      <c r="M31" s="19" t="n">
        <v>5457.65</v>
      </c>
      <c r="N31" s="16" t="n">
        <v>26</v>
      </c>
    </row>
    <row r="32">
      <c r="A32" s="17" t="inlineStr">
        <is>
          <t>PANACEABIO</t>
        </is>
      </c>
      <c r="B32" s="18" t="inlineStr">
        <is>
          <t>Panacea Biotec Limited</t>
        </is>
      </c>
      <c r="C32" s="18" t="inlineStr">
        <is>
          <t>healthcare</t>
        </is>
      </c>
      <c r="D32" s="16" t="n">
        <v>9</v>
      </c>
      <c r="E32" s="16" t="n">
        <v>0</v>
      </c>
      <c r="F32" s="19" t="n">
        <v>3199.13</v>
      </c>
      <c r="J32" s="17" t="inlineStr">
        <is>
          <t>MBAPL</t>
        </is>
      </c>
      <c r="K32" s="18" t="inlineStr">
        <is>
          <t>chemicals</t>
        </is>
      </c>
      <c r="L32" s="19" t="n">
        <v>288</v>
      </c>
      <c r="M32" s="19" t="n">
        <v>4902.73</v>
      </c>
      <c r="N32" s="16" t="n">
        <v>10</v>
      </c>
    </row>
    <row r="33">
      <c r="A33" s="17" t="inlineStr">
        <is>
          <t>MSTCLTD</t>
        </is>
      </c>
      <c r="B33" s="18" t="inlineStr">
        <is>
          <t>MSTC Ltd</t>
        </is>
      </c>
      <c r="C33" s="18" t="inlineStr">
        <is>
          <t>i.t</t>
        </is>
      </c>
      <c r="D33" s="16" t="n">
        <v>9</v>
      </c>
      <c r="E33" s="16" t="n">
        <v>0</v>
      </c>
      <c r="F33" s="19" t="n">
        <v>3947.68</v>
      </c>
      <c r="J33" s="17" t="inlineStr">
        <is>
          <t>RBLBANK</t>
        </is>
      </c>
      <c r="K33" s="18" t="inlineStr">
        <is>
          <t>bank</t>
        </is>
      </c>
      <c r="L33" s="19" t="n">
        <v>285</v>
      </c>
      <c r="M33" s="19" t="n">
        <v>22196.38</v>
      </c>
      <c r="N33" s="16" t="n">
        <v>23</v>
      </c>
    </row>
    <row r="34">
      <c r="A34" s="17" t="inlineStr">
        <is>
          <t>GANESHBE</t>
        </is>
      </c>
      <c r="B34" s="18" t="inlineStr">
        <is>
          <t>Ganesh Benzoplast Ltd</t>
        </is>
      </c>
      <c r="C34" s="18" t="inlineStr">
        <is>
          <t>miscellaneous</t>
        </is>
      </c>
      <c r="D34" s="16" t="n">
        <v>9</v>
      </c>
      <c r="E34" s="16" t="n">
        <v>2</v>
      </c>
      <c r="F34" s="19" t="n">
        <v>779.14</v>
      </c>
      <c r="J34" s="17" t="inlineStr">
        <is>
          <t>TMB</t>
        </is>
      </c>
      <c r="K34" s="18" t="inlineStr">
        <is>
          <t>bank</t>
        </is>
      </c>
      <c r="L34" s="19" t="n">
        <v>285</v>
      </c>
      <c r="M34" s="19" t="n">
        <v>12151.89</v>
      </c>
      <c r="N34" s="16" t="n">
        <v>13</v>
      </c>
    </row>
    <row r="35">
      <c r="A35" s="17" t="inlineStr">
        <is>
          <t>MGEL</t>
        </is>
      </c>
      <c r="B35" s="18" t="inlineStr">
        <is>
          <t>Mangalam Global Enterprise Ltd</t>
        </is>
      </c>
      <c r="C35" s="18" t="inlineStr">
        <is>
          <t>services</t>
        </is>
      </c>
      <c r="D35" s="16" t="n">
        <v>9</v>
      </c>
      <c r="E35" s="16" t="n">
        <v>1</v>
      </c>
      <c r="F35" s="19" t="n">
        <v>527.95</v>
      </c>
      <c r="J35" s="17" t="inlineStr">
        <is>
          <t>BLISSGVS</t>
        </is>
      </c>
      <c r="K35" s="18" t="inlineStr">
        <is>
          <t>healthcare</t>
        </is>
      </c>
      <c r="L35" s="19" t="n">
        <v>282</v>
      </c>
      <c r="M35" s="19" t="n">
        <v>4618.22</v>
      </c>
      <c r="N35" s="16" t="n">
        <v>30</v>
      </c>
    </row>
    <row r="36">
      <c r="A36" s="17" t="inlineStr">
        <is>
          <t>HITECHCORP</t>
        </is>
      </c>
      <c r="B36" s="18" t="inlineStr">
        <is>
          <t>Hitech Corporation</t>
        </is>
      </c>
      <c r="C36" s="18" t="inlineStr">
        <is>
          <t>industrials</t>
        </is>
      </c>
      <c r="D36" s="16" t="n">
        <v>9</v>
      </c>
      <c r="E36" s="16" t="n">
        <v>0</v>
      </c>
      <c r="F36" s="19" t="n">
        <v>533.72</v>
      </c>
      <c r="J36" s="17" t="inlineStr">
        <is>
          <t>BAJAJCON</t>
        </is>
      </c>
      <c r="K36" s="18" t="inlineStr">
        <is>
          <t>fmcg</t>
        </is>
      </c>
      <c r="L36" s="19" t="n">
        <v>282</v>
      </c>
      <c r="M36" s="19" t="n">
        <v>7396.26</v>
      </c>
      <c r="N36" s="16" t="n">
        <v>30</v>
      </c>
    </row>
    <row r="37">
      <c r="A37" s="17" t="inlineStr">
        <is>
          <t>AEGISLOG</t>
        </is>
      </c>
      <c r="B37" s="18" t="inlineStr">
        <is>
          <t>Aegis Logistics Ltd</t>
        </is>
      </c>
      <c r="C37" s="18" t="inlineStr">
        <is>
          <t>services</t>
        </is>
      </c>
      <c r="D37" s="16" t="n">
        <v>9</v>
      </c>
      <c r="E37" s="16" t="n">
        <v>2</v>
      </c>
      <c r="F37" s="19" t="n">
        <v>32499.09</v>
      </c>
      <c r="J37" s="17" t="inlineStr">
        <is>
          <t>IOLCP</t>
        </is>
      </c>
      <c r="K37" s="18" t="inlineStr">
        <is>
          <t>healthcare</t>
        </is>
      </c>
      <c r="L37" s="19" t="n">
        <v>282</v>
      </c>
      <c r="M37" s="19" t="n">
        <v>3752.46</v>
      </c>
      <c r="N37" s="16" t="n">
        <v>29</v>
      </c>
    </row>
    <row r="38">
      <c r="A38" s="17" t="inlineStr">
        <is>
          <t>SSWL</t>
        </is>
      </c>
      <c r="B38" s="18" t="inlineStr">
        <is>
          <t>Steel Strips Wheels Limited</t>
        </is>
      </c>
      <c r="C38" s="18" t="inlineStr">
        <is>
          <t>auto</t>
        </is>
      </c>
      <c r="D38" s="16" t="n">
        <v>8</v>
      </c>
      <c r="E38" s="16" t="n">
        <v>0</v>
      </c>
      <c r="F38" s="19" t="n">
        <v>3549.61</v>
      </c>
      <c r="J38" s="17" t="inlineStr">
        <is>
          <t>VENUSREM</t>
        </is>
      </c>
      <c r="K38" s="18" t="inlineStr">
        <is>
          <t>healthcare</t>
        </is>
      </c>
      <c r="L38" s="19" t="n">
        <v>282</v>
      </c>
      <c r="M38" s="19" t="n">
        <v>2292.57</v>
      </c>
      <c r="N38" s="16" t="n">
        <v>24</v>
      </c>
    </row>
    <row r="39">
      <c r="A39" s="17" t="inlineStr">
        <is>
          <t>BHAGERIA</t>
        </is>
      </c>
      <c r="B39" s="18" t="inlineStr">
        <is>
          <t>Bhageria Industries Limited</t>
        </is>
      </c>
      <c r="C39" s="18" t="inlineStr">
        <is>
          <t>chemicals</t>
        </is>
      </c>
      <c r="D39" s="16" t="n">
        <v>8</v>
      </c>
      <c r="E39" s="16" t="n">
        <v>0</v>
      </c>
      <c r="F39" s="19" t="n">
        <v>896.3200000000001</v>
      </c>
      <c r="J39" s="17" t="inlineStr">
        <is>
          <t>SATIN</t>
        </is>
      </c>
      <c r="K39" s="18" t="inlineStr">
        <is>
          <t>financials</t>
        </is>
      </c>
      <c r="L39" s="19" t="n">
        <v>282</v>
      </c>
      <c r="M39" s="19" t="n">
        <v>2426.94</v>
      </c>
      <c r="N39" s="16" t="n">
        <v>29</v>
      </c>
    </row>
    <row r="40">
      <c r="A40" s="17" t="inlineStr">
        <is>
          <t>GEECEE</t>
        </is>
      </c>
      <c r="B40" s="18" t="inlineStr">
        <is>
          <t>GEECEE</t>
        </is>
      </c>
      <c r="C40" s="18" t="inlineStr">
        <is>
          <t>unknown</t>
        </is>
      </c>
      <c r="D40" s="16" t="n">
        <v>8</v>
      </c>
      <c r="E40" s="16" t="n">
        <v>2</v>
      </c>
      <c r="F40" s="19" t="n">
        <v>0</v>
      </c>
      <c r="J40" s="17" t="inlineStr">
        <is>
          <t>INDOBORAX</t>
        </is>
      </c>
      <c r="K40" s="18" t="inlineStr">
        <is>
          <t>chemicals</t>
        </is>
      </c>
      <c r="L40" s="19" t="n">
        <v>280</v>
      </c>
      <c r="M40" s="19" t="n">
        <v>1151.87</v>
      </c>
      <c r="N40" s="16" t="n">
        <v>30</v>
      </c>
    </row>
    <row r="41">
      <c r="A41" s="17" t="inlineStr">
        <is>
          <t>SVLL</t>
        </is>
      </c>
      <c r="B41" s="18" t="inlineStr">
        <is>
          <t>SVLL</t>
        </is>
      </c>
      <c r="C41" s="18" t="inlineStr">
        <is>
          <t>unknown</t>
        </is>
      </c>
      <c r="D41" s="16" t="n">
        <v>8</v>
      </c>
      <c r="E41" s="16" t="n">
        <v>0</v>
      </c>
      <c r="F41" s="19" t="n">
        <v>0</v>
      </c>
      <c r="J41" s="17" t="inlineStr">
        <is>
          <t>J&amp;KBANK</t>
        </is>
      </c>
      <c r="K41" s="18" t="inlineStr">
        <is>
          <t>bank</t>
        </is>
      </c>
      <c r="L41" s="19" t="n">
        <v>280</v>
      </c>
      <c r="M41" s="19" t="n">
        <v>16855.8</v>
      </c>
      <c r="N41" s="16" t="n">
        <v>24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107.58</v>
      </c>
      <c r="D47" s="28" t="n">
        <v>245</v>
      </c>
      <c r="E47" s="17" t="inlineStr">
        <is>
          <t>STLTECH</t>
        </is>
      </c>
      <c r="F47" s="18" t="inlineStr">
        <is>
          <t>Sterlite Technologies Limited</t>
        </is>
      </c>
      <c r="G47" s="18" t="inlineStr">
        <is>
          <t>industrials</t>
        </is>
      </c>
      <c r="H47" s="19" t="n">
        <v>27745.45</v>
      </c>
    </row>
    <row r="48">
      <c r="A48" s="16" t="n">
        <v>2</v>
      </c>
      <c r="B48" s="27" t="n">
        <v>99</v>
      </c>
      <c r="C48" s="28" t="n">
        <v>102.99</v>
      </c>
      <c r="D48" s="28" t="n">
        <v>255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8499.16</v>
      </c>
    </row>
    <row r="49">
      <c r="A49" s="16" t="n">
        <v>3</v>
      </c>
      <c r="B49" s="27" t="n">
        <v>98</v>
      </c>
      <c r="C49" s="28" t="n">
        <v>84.01000000000001</v>
      </c>
      <c r="D49" s="28" t="n">
        <v>277</v>
      </c>
      <c r="E49" s="17" t="inlineStr">
        <is>
          <t>CUPID</t>
        </is>
      </c>
      <c r="F49" s="18" t="inlineStr">
        <is>
          <t>Cupid Limited</t>
        </is>
      </c>
      <c r="G49" s="18" t="inlineStr">
        <is>
          <t>fmcg</t>
        </is>
      </c>
      <c r="H49" s="19" t="n">
        <v>20866.44</v>
      </c>
    </row>
    <row r="50">
      <c r="A50" s="16" t="n">
        <v>4</v>
      </c>
      <c r="B50" s="27" t="n">
        <v>98</v>
      </c>
      <c r="C50" s="28" t="n">
        <v>65.76000000000001</v>
      </c>
      <c r="D50" s="28" t="n">
        <v>248</v>
      </c>
      <c r="E50" s="17" t="inlineStr">
        <is>
          <t>UFBL</t>
        </is>
      </c>
      <c r="F50" s="18" t="inlineStr">
        <is>
          <t>United Foodbrands Ltd</t>
        </is>
      </c>
      <c r="G50" s="18" t="inlineStr">
        <is>
          <t>consumer discretionary</t>
        </is>
      </c>
      <c r="H50" s="19" t="n">
        <v>2175.35</v>
      </c>
    </row>
    <row r="51">
      <c r="A51" s="16" t="n">
        <v>5</v>
      </c>
      <c r="B51" s="27" t="n">
        <v>98</v>
      </c>
      <c r="C51" s="28" t="n">
        <v>61.3</v>
      </c>
      <c r="D51" s="28" t="n">
        <v>240</v>
      </c>
      <c r="E51" s="17" t="inlineStr">
        <is>
          <t>MTARTECH</t>
        </is>
      </c>
      <c r="F51" s="18" t="inlineStr">
        <is>
          <t>MTAR Technologies Limited</t>
        </is>
      </c>
      <c r="G51" s="18" t="inlineStr">
        <is>
          <t>Industrials</t>
        </is>
      </c>
      <c r="H51" s="19" t="n">
        <v>22022.33</v>
      </c>
    </row>
    <row r="52">
      <c r="A52" s="16" t="n">
        <v>6</v>
      </c>
      <c r="B52" s="27" t="n">
        <v>98</v>
      </c>
      <c r="C52" s="28" t="n">
        <v>60.26</v>
      </c>
      <c r="D52" s="28" t="n">
        <v>238</v>
      </c>
      <c r="E52" s="17" t="inlineStr">
        <is>
          <t>BHAGYANGR</t>
        </is>
      </c>
      <c r="F52" s="18" t="inlineStr">
        <is>
          <t>Bhagyanagar India</t>
        </is>
      </c>
      <c r="G52" s="18" t="inlineStr">
        <is>
          <t>power &amp; utilities</t>
        </is>
      </c>
      <c r="H52" s="19" t="n">
        <v>975.21</v>
      </c>
    </row>
    <row r="53">
      <c r="A53" s="16" t="n">
        <v>7</v>
      </c>
      <c r="B53" s="27" t="n">
        <v>97</v>
      </c>
      <c r="C53" s="28" t="n">
        <v>58.33</v>
      </c>
      <c r="D53" s="28" t="n">
        <v>282</v>
      </c>
      <c r="E53" s="17" t="inlineStr">
        <is>
          <t>VENUSREM</t>
        </is>
      </c>
      <c r="F53" s="18" t="inlineStr">
        <is>
          <t>Venus Remedies Limited</t>
        </is>
      </c>
      <c r="G53" s="18" t="inlineStr">
        <is>
          <t>healthcare</t>
        </is>
      </c>
      <c r="H53" s="19" t="n">
        <v>2292.57</v>
      </c>
    </row>
    <row r="54">
      <c r="A54" s="16" t="n">
        <v>8</v>
      </c>
      <c r="B54" s="27" t="n">
        <v>97</v>
      </c>
      <c r="C54" s="28" t="n">
        <v>58.29</v>
      </c>
      <c r="D54" s="28" t="n">
        <v>290</v>
      </c>
      <c r="E54" s="17" t="inlineStr">
        <is>
          <t>VMARCIND</t>
        </is>
      </c>
      <c r="F54" s="18" t="inlineStr">
        <is>
          <t>VMARCIND</t>
        </is>
      </c>
      <c r="G54" s="18" t="inlineStr">
        <is>
          <t>unknown</t>
        </is>
      </c>
      <c r="H54" s="19" t="n">
        <v>441.28</v>
      </c>
    </row>
    <row r="55">
      <c r="A55" s="16" t="n">
        <v>9</v>
      </c>
      <c r="B55" s="27" t="n">
        <v>97</v>
      </c>
      <c r="C55" s="28" t="n">
        <v>57.77</v>
      </c>
      <c r="D55" s="28" t="n">
        <v>263</v>
      </c>
      <c r="E55" s="17" t="inlineStr">
        <is>
          <t>MODISONLTD</t>
        </is>
      </c>
      <c r="F55" s="18" t="inlineStr">
        <is>
          <t>Modison Ltd</t>
        </is>
      </c>
      <c r="G55" s="18" t="inlineStr">
        <is>
          <t>industrials</t>
        </is>
      </c>
      <c r="H55" s="19" t="n">
        <v>1041.48</v>
      </c>
    </row>
    <row r="56">
      <c r="A56" s="16" t="n">
        <v>10</v>
      </c>
      <c r="B56" s="27" t="n">
        <v>96</v>
      </c>
      <c r="C56" s="28" t="n">
        <v>53.79</v>
      </c>
      <c r="D56" s="28" t="n">
        <v>282</v>
      </c>
      <c r="E56" s="17" t="inlineStr">
        <is>
          <t>BLISSGVS</t>
        </is>
      </c>
      <c r="F56" s="18" t="inlineStr">
        <is>
          <t>Bliss Gvs Pharma Limited</t>
        </is>
      </c>
      <c r="G56" s="18" t="inlineStr">
        <is>
          <t>healthcare</t>
        </is>
      </c>
      <c r="H56" s="19" t="n">
        <v>4618.22</v>
      </c>
    </row>
    <row r="57">
      <c r="A57" s="16" t="n">
        <v>11</v>
      </c>
      <c r="B57" s="27" t="n">
        <v>96</v>
      </c>
      <c r="C57" s="28" t="n">
        <v>52.55</v>
      </c>
      <c r="D57" s="28" t="n">
        <v>272</v>
      </c>
      <c r="E57" s="17" t="inlineStr">
        <is>
          <t>GVPIL</t>
        </is>
      </c>
      <c r="F57" s="18" t="inlineStr">
        <is>
          <t>GE Power India Ltd</t>
        </is>
      </c>
      <c r="G57" s="18" t="inlineStr">
        <is>
          <t>realty</t>
        </is>
      </c>
      <c r="H57" s="19" t="n">
        <v>5951.65</v>
      </c>
    </row>
    <row r="58">
      <c r="A58" s="16" t="n">
        <v>12</v>
      </c>
      <c r="B58" s="27" t="n">
        <v>96</v>
      </c>
      <c r="C58" s="28" t="n">
        <v>52.22</v>
      </c>
      <c r="D58" s="28" t="n">
        <v>238</v>
      </c>
      <c r="E58" s="17" t="inlineStr">
        <is>
          <t>HFCL</t>
        </is>
      </c>
      <c r="F58" s="18" t="inlineStr">
        <is>
          <t>HFCL Ltd</t>
        </is>
      </c>
      <c r="G58" s="18" t="inlineStr">
        <is>
          <t>telecom</t>
        </is>
      </c>
      <c r="H58" s="19" t="n">
        <v>25052.9</v>
      </c>
    </row>
    <row r="59">
      <c r="A59" s="16" t="n">
        <v>13</v>
      </c>
      <c r="B59" s="27" t="n">
        <v>96</v>
      </c>
      <c r="C59" s="28" t="n">
        <v>51.82</v>
      </c>
      <c r="D59" s="28" t="n">
        <v>265</v>
      </c>
      <c r="E59" s="17" t="inlineStr">
        <is>
          <t>COCKERILL</t>
        </is>
      </c>
      <c r="F59" s="18" t="inlineStr">
        <is>
          <t>John Cockerill India Ltd</t>
        </is>
      </c>
      <c r="G59" s="18" t="inlineStr">
        <is>
          <t>Industrials</t>
        </is>
      </c>
      <c r="H59" s="19" t="n">
        <v>4952.16</v>
      </c>
    </row>
    <row r="60">
      <c r="A60" s="16" t="n">
        <v>14</v>
      </c>
      <c r="B60" s="27" t="n">
        <v>95</v>
      </c>
      <c r="C60" s="28" t="n">
        <v>50.9</v>
      </c>
      <c r="D60" s="28" t="n">
        <v>223</v>
      </c>
      <c r="E60" s="17" t="inlineStr">
        <is>
          <t>DEEDEV</t>
        </is>
      </c>
      <c r="F60" s="18" t="inlineStr">
        <is>
          <t>DEE Development Engineers Ltd</t>
        </is>
      </c>
      <c r="G60" s="18" t="inlineStr">
        <is>
          <t>metals &amp; mining</t>
        </is>
      </c>
      <c r="H60" s="19" t="n">
        <v>4332.08</v>
      </c>
    </row>
    <row r="61">
      <c r="A61" s="16" t="n">
        <v>15</v>
      </c>
      <c r="B61" s="27" t="n">
        <v>95</v>
      </c>
      <c r="C61" s="28" t="n">
        <v>50.08</v>
      </c>
      <c r="D61" s="28" t="n">
        <v>272</v>
      </c>
      <c r="E61" s="17" t="inlineStr">
        <is>
          <t>MODINSU</t>
        </is>
      </c>
      <c r="F61" s="18" t="inlineStr">
        <is>
          <t>Modern Insulators Limited</t>
        </is>
      </c>
      <c r="G61" s="18" t="inlineStr">
        <is>
          <t>Technology</t>
        </is>
      </c>
      <c r="H61" s="19" t="n">
        <v>1945.86</v>
      </c>
    </row>
    <row r="62">
      <c r="A62" s="16" t="n">
        <v>16</v>
      </c>
      <c r="B62" s="27" t="n">
        <v>95</v>
      </c>
      <c r="C62" s="28" t="n">
        <v>47.45</v>
      </c>
      <c r="D62" s="28" t="n">
        <v>290</v>
      </c>
      <c r="E62" s="17" t="inlineStr">
        <is>
          <t>IBULLSLTD</t>
        </is>
      </c>
      <c r="F62" s="18" t="inlineStr">
        <is>
          <t>Indiabulls Limited</t>
        </is>
      </c>
      <c r="G62" s="18" t="inlineStr">
        <is>
          <t>miscellaneous</t>
        </is>
      </c>
      <c r="H62" s="19" t="n">
        <v>5457.65</v>
      </c>
    </row>
    <row r="63">
      <c r="A63" s="16" t="n">
        <v>17</v>
      </c>
      <c r="B63" s="29" t="n">
        <v>94</v>
      </c>
      <c r="C63" s="28" t="n">
        <v>47.14</v>
      </c>
      <c r="D63" s="28" t="n">
        <v>258</v>
      </c>
      <c r="E63" s="17" t="inlineStr">
        <is>
          <t>HITECHCORP</t>
        </is>
      </c>
      <c r="F63" s="18" t="inlineStr">
        <is>
          <t>Hitech Corporation</t>
        </is>
      </c>
      <c r="G63" s="18" t="inlineStr">
        <is>
          <t>industrials</t>
        </is>
      </c>
      <c r="H63" s="19" t="n">
        <v>533.72</v>
      </c>
    </row>
    <row r="64">
      <c r="A64" s="16" t="n">
        <v>18</v>
      </c>
      <c r="B64" s="29" t="n">
        <v>94</v>
      </c>
      <c r="C64" s="28" t="n">
        <v>46.5</v>
      </c>
      <c r="D64" s="28" t="n">
        <v>252</v>
      </c>
      <c r="E64" s="17" t="inlineStr">
        <is>
          <t>APOLLO</t>
        </is>
      </c>
      <c r="F64" s="18" t="inlineStr">
        <is>
          <t>Apollo Micro Systems Ltd</t>
        </is>
      </c>
      <c r="G64" s="18" t="inlineStr">
        <is>
          <t>aerospace &amp; defence</t>
        </is>
      </c>
      <c r="H64" s="19" t="n">
        <v>13639.64</v>
      </c>
    </row>
    <row r="65">
      <c r="A65" s="16" t="n">
        <v>19</v>
      </c>
      <c r="B65" s="29" t="n">
        <v>94</v>
      </c>
      <c r="C65" s="28" t="n">
        <v>46.38</v>
      </c>
      <c r="D65" s="28" t="n">
        <v>270</v>
      </c>
      <c r="E65" s="17" t="inlineStr">
        <is>
          <t>NINSYS</t>
        </is>
      </c>
      <c r="F65" s="18" t="inlineStr">
        <is>
          <t>NINtec Systems Ltd</t>
        </is>
      </c>
      <c r="G65" s="18" t="inlineStr">
        <is>
          <t>i.t</t>
        </is>
      </c>
      <c r="H65" s="19" t="n">
        <v>1281.56</v>
      </c>
    </row>
    <row r="66">
      <c r="A66" s="16" t="n">
        <v>20</v>
      </c>
      <c r="B66" s="29" t="n">
        <v>94</v>
      </c>
      <c r="C66" s="28" t="n">
        <v>45.08</v>
      </c>
      <c r="D66" s="28" t="n">
        <v>282</v>
      </c>
      <c r="E66" s="17" t="inlineStr">
        <is>
          <t>BAJAJCON</t>
        </is>
      </c>
      <c r="F66" s="18" t="inlineStr">
        <is>
          <t>Bajaj Consumer Care Ltd</t>
        </is>
      </c>
      <c r="G66" s="18" t="inlineStr">
        <is>
          <t>fmcg</t>
        </is>
      </c>
      <c r="H66" s="19" t="n">
        <v>7396.26</v>
      </c>
    </row>
    <row r="67">
      <c r="A67" s="16" t="n">
        <v>21</v>
      </c>
      <c r="B67" s="29" t="n">
        <v>93</v>
      </c>
      <c r="C67" s="28" t="n">
        <v>43.76</v>
      </c>
      <c r="D67" s="28" t="n">
        <v>260</v>
      </c>
      <c r="E67" s="17" t="inlineStr">
        <is>
          <t>AEROFLEX</t>
        </is>
      </c>
      <c r="F67" s="18" t="inlineStr">
        <is>
          <t>Aeroflex Industries Ltd</t>
        </is>
      </c>
      <c r="G67" s="18" t="inlineStr">
        <is>
          <t>metals &amp; mining</t>
        </is>
      </c>
      <c r="H67" s="19" t="n">
        <v>5406.37</v>
      </c>
    </row>
    <row r="68">
      <c r="A68" s="16" t="n">
        <v>22</v>
      </c>
      <c r="B68" s="29" t="n">
        <v>93</v>
      </c>
      <c r="C68" s="28" t="n">
        <v>41.38</v>
      </c>
      <c r="D68" s="28" t="n">
        <v>220</v>
      </c>
      <c r="E68" s="17" t="inlineStr">
        <is>
          <t>BBOX</t>
        </is>
      </c>
      <c r="F68" s="18" t="inlineStr">
        <is>
          <t>Black Box Ltd</t>
        </is>
      </c>
      <c r="G68" s="18" t="inlineStr">
        <is>
          <t>i.t</t>
        </is>
      </c>
      <c r="H68" s="19" t="n">
        <v>17545.41</v>
      </c>
    </row>
    <row r="69">
      <c r="A69" s="16" t="n">
        <v>23</v>
      </c>
      <c r="B69" s="29" t="n">
        <v>93</v>
      </c>
      <c r="C69" s="28" t="n">
        <v>40.32</v>
      </c>
      <c r="D69" s="28" t="n">
        <v>245</v>
      </c>
      <c r="E69" s="17" t="inlineStr">
        <is>
          <t>YASHO</t>
        </is>
      </c>
      <c r="F69" s="18" t="inlineStr">
        <is>
          <t>Yasho Industries Ltd</t>
        </is>
      </c>
      <c r="G69" s="18" t="inlineStr">
        <is>
          <t>chemicals</t>
        </is>
      </c>
      <c r="H69" s="19" t="n">
        <v>3078.42</v>
      </c>
    </row>
    <row r="70">
      <c r="A70" s="16" t="n">
        <v>24</v>
      </c>
      <c r="B70" s="29" t="n">
        <v>92</v>
      </c>
      <c r="C70" s="28" t="n">
        <v>39.06</v>
      </c>
      <c r="D70" s="28" t="n">
        <v>275</v>
      </c>
      <c r="E70" s="17" t="inlineStr">
        <is>
          <t>SYRMA</t>
        </is>
      </c>
      <c r="F70" s="18" t="inlineStr">
        <is>
          <t>Syrma SGS Technology Ltd</t>
        </is>
      </c>
      <c r="G70" s="18" t="inlineStr">
        <is>
          <t>consumer discretionary</t>
        </is>
      </c>
      <c r="H70" s="19" t="n">
        <v>23826.13</v>
      </c>
    </row>
    <row r="71">
      <c r="A71" s="16" t="n">
        <v>25</v>
      </c>
      <c r="B71" s="29" t="n">
        <v>92</v>
      </c>
      <c r="C71" s="28" t="n">
        <v>38.89</v>
      </c>
      <c r="D71" s="28" t="n">
        <v>253</v>
      </c>
      <c r="E71" s="17" t="inlineStr">
        <is>
          <t>IDEAFORGE</t>
        </is>
      </c>
      <c r="F71" s="18" t="inlineStr">
        <is>
          <t>Ideaforge Technology Ltd</t>
        </is>
      </c>
      <c r="G71" s="18" t="inlineStr">
        <is>
          <t>aerospace &amp; defence</t>
        </is>
      </c>
      <c r="H71" s="19" t="n">
        <v>3768.9</v>
      </c>
    </row>
    <row r="72">
      <c r="A72" s="16" t="n">
        <v>26</v>
      </c>
      <c r="B72" s="29" t="n">
        <v>92</v>
      </c>
      <c r="C72" s="28" t="n">
        <v>38.83</v>
      </c>
      <c r="D72" s="28" t="n">
        <v>178</v>
      </c>
      <c r="E72" s="17" t="inlineStr">
        <is>
          <t>BALAMINES</t>
        </is>
      </c>
      <c r="F72" s="18" t="inlineStr">
        <is>
          <t>Balaji Amines Limited</t>
        </is>
      </c>
      <c r="G72" s="18" t="inlineStr">
        <is>
          <t>chemicals</t>
        </is>
      </c>
      <c r="H72" s="19" t="n">
        <v>6655.17</v>
      </c>
    </row>
    <row r="73">
      <c r="A73" s="16" t="n">
        <v>27</v>
      </c>
      <c r="B73" s="29" t="n">
        <v>92</v>
      </c>
      <c r="C73" s="28" t="n">
        <v>38.75</v>
      </c>
      <c r="D73" s="28" t="n">
        <v>253</v>
      </c>
      <c r="E73" s="17" t="inlineStr">
        <is>
          <t>UNIVCABLES</t>
        </is>
      </c>
      <c r="F73" s="18" t="inlineStr">
        <is>
          <t>Universal Cables Limited</t>
        </is>
      </c>
      <c r="G73" s="18" t="inlineStr">
        <is>
          <t>industrials</t>
        </is>
      </c>
      <c r="H73" s="19" t="n">
        <v>3935.5</v>
      </c>
    </row>
    <row r="74">
      <c r="A74" s="16" t="n">
        <v>28</v>
      </c>
      <c r="B74" s="29" t="n">
        <v>91</v>
      </c>
      <c r="C74" s="28" t="n">
        <v>38.56</v>
      </c>
      <c r="D74" s="28" t="n">
        <v>280</v>
      </c>
      <c r="E74" s="17" t="inlineStr">
        <is>
          <t>ATHERENERG</t>
        </is>
      </c>
      <c r="F74" s="18" t="inlineStr">
        <is>
          <t>Ather Energy Ltd</t>
        </is>
      </c>
      <c r="G74" s="18" t="inlineStr">
        <is>
          <t>auto</t>
        </is>
      </c>
      <c r="H74" s="19" t="n">
        <v>39315.84</v>
      </c>
    </row>
    <row r="75">
      <c r="A75" s="16" t="n">
        <v>29</v>
      </c>
      <c r="B75" s="29" t="n">
        <v>91</v>
      </c>
      <c r="C75" s="28" t="n">
        <v>38.41</v>
      </c>
      <c r="D75" s="28" t="n">
        <v>240</v>
      </c>
      <c r="E75" s="17" t="inlineStr">
        <is>
          <t>JNKINDIA</t>
        </is>
      </c>
      <c r="F75" s="18" t="inlineStr">
        <is>
          <t>JNK India Ltd</t>
        </is>
      </c>
      <c r="G75" s="18" t="inlineStr">
        <is>
          <t>realty</t>
        </is>
      </c>
      <c r="H75" s="19" t="n">
        <v>2629.83</v>
      </c>
    </row>
    <row r="76">
      <c r="A76" s="16" t="n">
        <v>30</v>
      </c>
      <c r="B76" s="29" t="n">
        <v>91</v>
      </c>
      <c r="C76" s="28" t="n">
        <v>38.24</v>
      </c>
      <c r="D76" s="28" t="n">
        <v>265</v>
      </c>
      <c r="E76" s="17" t="inlineStr">
        <is>
          <t>AVALON</t>
        </is>
      </c>
      <c r="F76" s="18" t="inlineStr">
        <is>
          <t>Avalon Technologies Ltd</t>
        </is>
      </c>
      <c r="G76" s="18" t="inlineStr">
        <is>
          <t>consumer discretionary</t>
        </is>
      </c>
      <c r="H76" s="19" t="n">
        <v>10470.27</v>
      </c>
    </row>
    <row r="77">
      <c r="A77" s="16" t="n">
        <v>31</v>
      </c>
      <c r="B77" s="29" t="n">
        <v>90</v>
      </c>
      <c r="C77" s="28" t="n">
        <v>38</v>
      </c>
      <c r="D77" s="28" t="n">
        <v>258</v>
      </c>
      <c r="E77" s="17" t="inlineStr">
        <is>
          <t>CEMPRO</t>
        </is>
      </c>
      <c r="F77" s="18" t="inlineStr">
        <is>
          <t>Cemindia Projects Ltd</t>
        </is>
      </c>
      <c r="G77" s="18" t="inlineStr">
        <is>
          <t>realty</t>
        </is>
      </c>
      <c r="H77" s="19" t="n">
        <v>20190.19</v>
      </c>
    </row>
    <row r="78">
      <c r="A78" s="16" t="n">
        <v>32</v>
      </c>
      <c r="B78" s="29" t="n">
        <v>90</v>
      </c>
      <c r="C78" s="28" t="n">
        <v>37.76</v>
      </c>
      <c r="D78" s="28" t="n">
        <v>240</v>
      </c>
      <c r="E78" s="17" t="inlineStr">
        <is>
          <t>SASKEN</t>
        </is>
      </c>
      <c r="F78" s="18" t="inlineStr">
        <is>
          <t>Sasken Communication Technologies Limited</t>
        </is>
      </c>
      <c r="G78" s="18" t="inlineStr">
        <is>
          <t>i.t</t>
        </is>
      </c>
      <c r="H78" s="19" t="n">
        <v>3148</v>
      </c>
    </row>
    <row r="79">
      <c r="A79" s="16" t="n">
        <v>33</v>
      </c>
      <c r="B79" s="29" t="n">
        <v>90</v>
      </c>
      <c r="C79" s="28" t="n">
        <v>37.49</v>
      </c>
      <c r="D79" s="28" t="n">
        <v>253</v>
      </c>
      <c r="E79" s="17" t="inlineStr">
        <is>
          <t>QPOWER</t>
        </is>
      </c>
      <c r="F79" s="18" t="inlineStr">
        <is>
          <t>Quality Power Electrical Equipments Ltd</t>
        </is>
      </c>
      <c r="G79" s="18" t="inlineStr">
        <is>
          <t>industrials</t>
        </is>
      </c>
      <c r="H79" s="19" t="n">
        <v>9006.75</v>
      </c>
    </row>
    <row r="80">
      <c r="A80" s="16" t="n">
        <v>34</v>
      </c>
      <c r="B80" s="29" t="n">
        <v>90</v>
      </c>
      <c r="C80" s="28" t="n">
        <v>37.47</v>
      </c>
      <c r="D80" s="28" t="n">
        <v>270</v>
      </c>
      <c r="E80" s="17" t="inlineStr">
        <is>
          <t>THANGAMAYL</t>
        </is>
      </c>
      <c r="F80" s="18" t="inlineStr">
        <is>
          <t>Thangamayil Jewellery Limited</t>
        </is>
      </c>
      <c r="G80" s="18" t="inlineStr">
        <is>
          <t>consumer discretionary</t>
        </is>
      </c>
      <c r="H80" s="19" t="n">
        <v>16832.16</v>
      </c>
    </row>
    <row r="8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IFCI</t>
        </is>
      </c>
      <c r="B2" s="31" t="inlineStr">
        <is>
          <t>Ifci Limited</t>
        </is>
      </c>
      <c r="C2" s="31" t="inlineStr">
        <is>
          <t>financials</t>
        </is>
      </c>
      <c r="D2" s="31" t="inlineStr">
        <is>
          <t>finance - term-lending institutions</t>
        </is>
      </c>
      <c r="E2" s="31" t="inlineStr">
        <is>
          <t>midcap</t>
        </is>
      </c>
      <c r="F2" s="31" t="n">
        <v>18989.53</v>
      </c>
      <c r="G2" s="31" t="n">
        <v>84.56999999999999</v>
      </c>
      <c r="H2" s="31" t="n">
        <v>19.99</v>
      </c>
      <c r="I2" s="31" t="n">
        <v>240541132</v>
      </c>
      <c r="J2" s="31" t="inlineStr">
        <is>
          <t>500106</t>
        </is>
      </c>
    </row>
    <row r="3">
      <c r="A3" s="31" t="inlineStr">
        <is>
          <t>GOLDIAM</t>
        </is>
      </c>
      <c r="B3" s="31" t="inlineStr">
        <is>
          <t>Goldiam International Limited</t>
        </is>
      </c>
      <c r="C3" s="31" t="inlineStr">
        <is>
          <t>consumer discretionary</t>
        </is>
      </c>
      <c r="D3" s="31" t="inlineStr">
        <is>
          <t>diamond cutting / jewellery</t>
        </is>
      </c>
      <c r="E3" s="31" t="inlineStr">
        <is>
          <t>smallcap</t>
        </is>
      </c>
      <c r="F3" s="31" t="n">
        <v>4785.46</v>
      </c>
      <c r="G3" s="31" t="n">
        <v>478.8</v>
      </c>
      <c r="H3" s="31" t="n">
        <v>12.98</v>
      </c>
      <c r="I3" s="31" t="n">
        <v>8101241</v>
      </c>
      <c r="J3" s="31" t="inlineStr">
        <is>
          <t>526729</t>
        </is>
      </c>
    </row>
    <row r="4">
      <c r="A4" s="31" t="inlineStr">
        <is>
          <t>YASHO</t>
        </is>
      </c>
      <c r="B4" s="31" t="inlineStr">
        <is>
          <t>Yasho Industries Ltd</t>
        </is>
      </c>
      <c r="C4" s="31" t="inlineStr">
        <is>
          <t>chemicals</t>
        </is>
      </c>
      <c r="D4" s="31" t="inlineStr">
        <is>
          <t>chemicals</t>
        </is>
      </c>
      <c r="E4" s="31" t="inlineStr">
        <is>
          <t>smallcap</t>
        </is>
      </c>
      <c r="F4" s="31" t="n">
        <v>3078.42</v>
      </c>
      <c r="G4" s="31" t="n">
        <v>2870.4</v>
      </c>
      <c r="H4" s="31" t="n">
        <v>12.42</v>
      </c>
      <c r="I4" s="31" t="n">
        <v>201292</v>
      </c>
      <c r="J4" s="31" t="inlineStr">
        <is>
          <t>541167</t>
        </is>
      </c>
    </row>
    <row r="5">
      <c r="A5" s="31" t="inlineStr">
        <is>
          <t>NGLFINE</t>
        </is>
      </c>
      <c r="B5" s="31" t="inlineStr">
        <is>
          <t>NGL Fine Chem Ltd</t>
        </is>
      </c>
      <c r="C5" s="31" t="inlineStr">
        <is>
          <t>healthcare</t>
        </is>
      </c>
      <c r="D5" s="31" t="inlineStr">
        <is>
          <t>pharmaceuticals - indian - bulk drugs</t>
        </is>
      </c>
      <c r="E5" s="31" t="inlineStr">
        <is>
          <t>smallcap</t>
        </is>
      </c>
      <c r="F5" s="31" t="n">
        <v>1678.26</v>
      </c>
      <c r="G5" s="31" t="n">
        <v>3048.8</v>
      </c>
      <c r="H5" s="31" t="n">
        <v>12.23</v>
      </c>
      <c r="I5" s="31" t="n">
        <v>102235</v>
      </c>
      <c r="J5" s="31" t="inlineStr">
        <is>
          <t>524774</t>
        </is>
      </c>
    </row>
    <row r="6">
      <c r="A6" s="31" t="inlineStr">
        <is>
          <t>SENORES</t>
        </is>
      </c>
      <c r="B6" s="31" t="inlineStr">
        <is>
          <t>Senores Pharmaceuticals Ltd</t>
        </is>
      </c>
      <c r="C6" s="31" t="inlineStr">
        <is>
          <t>healthcare</t>
        </is>
      </c>
      <c r="D6" s="31" t="inlineStr">
        <is>
          <t>pharmaceuticals - indian - formulations</t>
        </is>
      </c>
      <c r="E6" s="31" t="inlineStr">
        <is>
          <t>midcap</t>
        </is>
      </c>
      <c r="F6" s="31" t="n">
        <v>5345.44</v>
      </c>
      <c r="G6" s="31" t="n">
        <v>1290</v>
      </c>
      <c r="H6" s="31" t="n">
        <v>11.14</v>
      </c>
      <c r="I6" s="31" t="n">
        <v>1348158</v>
      </c>
      <c r="J6" s="31" t="inlineStr">
        <is>
          <t>544319</t>
        </is>
      </c>
    </row>
    <row r="7">
      <c r="A7" s="31" t="inlineStr">
        <is>
          <t>PARAS</t>
        </is>
      </c>
      <c r="B7" s="31" t="inlineStr">
        <is>
          <t>Paras Defence and Space Technologies Ltd</t>
        </is>
      </c>
      <c r="C7" s="31" t="inlineStr">
        <is>
          <t>aerospace &amp; defence</t>
        </is>
      </c>
      <c r="D7" s="31" t="inlineStr">
        <is>
          <t>engineering</t>
        </is>
      </c>
      <c r="E7" s="31" t="inlineStr">
        <is>
          <t>midcap</t>
        </is>
      </c>
      <c r="F7" s="31" t="n">
        <v>7970.89</v>
      </c>
      <c r="G7" s="31" t="n">
        <v>1097.15</v>
      </c>
      <c r="H7" s="31" t="n">
        <v>10.92</v>
      </c>
      <c r="I7" s="31" t="n">
        <v>6088215</v>
      </c>
      <c r="J7" s="31" t="inlineStr">
        <is>
          <t>543367</t>
        </is>
      </c>
    </row>
    <row r="8">
      <c r="A8" s="31" t="inlineStr">
        <is>
          <t>TBZ</t>
        </is>
      </c>
      <c r="B8" s="31" t="inlineStr">
        <is>
          <t>Tribhovandas Bhimji Zaveri Limited</t>
        </is>
      </c>
      <c r="C8" s="31" t="inlineStr">
        <is>
          <t>consumer discretionary</t>
        </is>
      </c>
      <c r="D8" s="31" t="inlineStr">
        <is>
          <t>diamond cutting / jewellery</t>
        </is>
      </c>
      <c r="E8" s="31" t="inlineStr">
        <is>
          <t>smallcap</t>
        </is>
      </c>
      <c r="F8" s="31" t="n">
        <v>1108.33</v>
      </c>
      <c r="G8" s="31" t="n">
        <v>183.77</v>
      </c>
      <c r="H8" s="31" t="n">
        <v>10.64</v>
      </c>
      <c r="I8" s="31" t="n">
        <v>4353315</v>
      </c>
      <c r="J8" s="31" t="inlineStr">
        <is>
          <t>534369</t>
        </is>
      </c>
    </row>
    <row r="9">
      <c r="A9" s="31" t="inlineStr">
        <is>
          <t>MANALIPETC</t>
        </is>
      </c>
      <c r="B9" s="31" t="inlineStr">
        <is>
          <t>Manali Petrochemicals Limited</t>
        </is>
      </c>
      <c r="C9" s="31" t="inlineStr">
        <is>
          <t>energy</t>
        </is>
      </c>
      <c r="D9" s="31" t="inlineStr">
        <is>
          <t>petrochemicals</t>
        </is>
      </c>
      <c r="E9" s="31" t="inlineStr">
        <is>
          <t>smallcap</t>
        </is>
      </c>
      <c r="F9" s="31" t="n">
        <v>1018.58</v>
      </c>
      <c r="G9" s="31" t="n">
        <v>65.2</v>
      </c>
      <c r="H9" s="31" t="n">
        <v>10.1</v>
      </c>
      <c r="I9" s="31" t="n">
        <v>9295357</v>
      </c>
      <c r="J9" s="31" t="inlineStr">
        <is>
          <t>500268</t>
        </is>
      </c>
    </row>
    <row r="10">
      <c r="A10" s="31" t="inlineStr">
        <is>
          <t>JAYBARMARU</t>
        </is>
      </c>
      <c r="B10" s="31" t="inlineStr">
        <is>
          <t>Jay Bharat Maruti Limited</t>
        </is>
      </c>
      <c r="C10" s="31" t="inlineStr">
        <is>
          <t>auto</t>
        </is>
      </c>
      <c r="D10" s="31" t="inlineStr">
        <is>
          <t>auto ancillaries</t>
        </is>
      </c>
      <c r="E10" s="31" t="inlineStr">
        <is>
          <t>smallcap</t>
        </is>
      </c>
      <c r="F10" s="31" t="n">
        <v>1423.6</v>
      </c>
      <c r="G10" s="31" t="n">
        <v>144.66</v>
      </c>
      <c r="H10" s="31" t="n">
        <v>10</v>
      </c>
      <c r="I10" s="31" t="n">
        <v>2359452</v>
      </c>
      <c r="J10" s="31" t="inlineStr">
        <is>
          <t>520066</t>
        </is>
      </c>
    </row>
    <row r="11">
      <c r="A11" s="31" t="inlineStr">
        <is>
          <t>TVSSCS</t>
        </is>
      </c>
      <c r="B11" s="31" t="inlineStr">
        <is>
          <t>TVS Supply Chain Solutions Ltd</t>
        </is>
      </c>
      <c r="C11" s="31" t="inlineStr">
        <is>
          <t>transportation</t>
        </is>
      </c>
      <c r="D11" s="31" t="inlineStr">
        <is>
          <t>miscellaneous</t>
        </is>
      </c>
      <c r="E11" s="31" t="inlineStr">
        <is>
          <t>midcap</t>
        </is>
      </c>
      <c r="F11" s="31" t="n">
        <v>5304.75</v>
      </c>
      <c r="G11" s="31" t="n">
        <v>132.26</v>
      </c>
      <c r="H11" s="31" t="n">
        <v>10</v>
      </c>
      <c r="I11" s="31" t="n">
        <v>1581448</v>
      </c>
      <c r="J11" s="31" t="inlineStr">
        <is>
          <t>543965</t>
        </is>
      </c>
    </row>
    <row r="12">
      <c r="A12" s="31" t="inlineStr">
        <is>
          <t>AEROFLEX</t>
        </is>
      </c>
      <c r="B12" s="31" t="inlineStr">
        <is>
          <t>Aeroflex Industries Ltd</t>
        </is>
      </c>
      <c r="C12" s="31" t="inlineStr">
        <is>
          <t>metals &amp; mining</t>
        </is>
      </c>
      <c r="D12" s="31" t="inlineStr">
        <is>
          <t>steel - medium / small</t>
        </is>
      </c>
      <c r="E12" s="31" t="inlineStr">
        <is>
          <t>midcap</t>
        </is>
      </c>
      <c r="F12" s="31" t="n">
        <v>5406.37</v>
      </c>
      <c r="G12" s="31" t="n">
        <v>448.1</v>
      </c>
      <c r="H12" s="31" t="n">
        <v>9.68</v>
      </c>
      <c r="I12" s="31" t="n">
        <v>2868692</v>
      </c>
      <c r="J12" s="31" t="inlineStr">
        <is>
          <t>543972</t>
        </is>
      </c>
    </row>
    <row r="13">
      <c r="A13" s="31" t="inlineStr">
        <is>
          <t>SPARC</t>
        </is>
      </c>
      <c r="B13" s="31" t="inlineStr">
        <is>
          <t>Sun Pharma Advanced Research Company Limited</t>
        </is>
      </c>
      <c r="C13" s="31" t="inlineStr">
        <is>
          <t>healthcare</t>
        </is>
      </c>
      <c r="D13" s="31" t="inlineStr">
        <is>
          <t>miscellaneous</t>
        </is>
      </c>
      <c r="E13" s="31" t="inlineStr">
        <is>
          <t>midcap</t>
        </is>
      </c>
      <c r="F13" s="31" t="n">
        <v>6623.81</v>
      </c>
      <c r="G13" s="31" t="n">
        <v>223.76</v>
      </c>
      <c r="H13" s="31" t="n">
        <v>9.630000000000001</v>
      </c>
      <c r="I13" s="31" t="n">
        <v>8056789</v>
      </c>
      <c r="J13" s="31" t="inlineStr">
        <is>
          <t>532872</t>
        </is>
      </c>
    </row>
    <row r="14">
      <c r="A14" s="31" t="inlineStr">
        <is>
          <t>NETWEB</t>
        </is>
      </c>
      <c r="B14" s="31" t="inlineStr">
        <is>
          <t>Netweb Technologies India Ltd</t>
        </is>
      </c>
      <c r="C14" s="31" t="inlineStr">
        <is>
          <t>i.t</t>
        </is>
      </c>
      <c r="D14" s="31" t="inlineStr">
        <is>
          <t>computers - hardware</t>
        </is>
      </c>
      <c r="E14" s="31" t="inlineStr">
        <is>
          <t>largecap</t>
        </is>
      </c>
      <c r="F14" s="31" t="n">
        <v>23866.12</v>
      </c>
      <c r="G14" s="31" t="n">
        <v>4587.4</v>
      </c>
      <c r="H14" s="31" t="n">
        <v>9.449999999999999</v>
      </c>
      <c r="I14" s="31" t="n">
        <v>4344896</v>
      </c>
      <c r="J14" s="31" t="inlineStr">
        <is>
          <t>543945</t>
        </is>
      </c>
    </row>
    <row r="15">
      <c r="A15" s="31" t="inlineStr">
        <is>
          <t>WALCHANNAG</t>
        </is>
      </c>
      <c r="B15" s="31" t="inlineStr">
        <is>
          <t>Walchandnagar Industries Limited</t>
        </is>
      </c>
      <c r="C15" s="31" t="inlineStr">
        <is>
          <t>industrials</t>
        </is>
      </c>
      <c r="D15" s="31" t="inlineStr">
        <is>
          <t>engineering</t>
        </is>
      </c>
      <c r="E15" s="31" t="inlineStr">
        <is>
          <t>smallcap</t>
        </is>
      </c>
      <c r="F15" s="31" t="n">
        <v>1648.56</v>
      </c>
      <c r="G15" s="31" t="n">
        <v>265.45</v>
      </c>
      <c r="H15" s="31" t="n">
        <v>9.24</v>
      </c>
      <c r="I15" s="31" t="n">
        <v>6180535</v>
      </c>
      <c r="J15" s="31" t="inlineStr">
        <is>
          <t>507410</t>
        </is>
      </c>
    </row>
    <row r="16">
      <c r="A16" s="31" t="inlineStr">
        <is>
          <t>ORCHPHARMA</t>
        </is>
      </c>
      <c r="B16" s="31" t="inlineStr">
        <is>
          <t>Orchid Pharma Ltd</t>
        </is>
      </c>
      <c r="C16" s="31" t="inlineStr">
        <is>
          <t>healthcare</t>
        </is>
      </c>
      <c r="D16" s="31" t="inlineStr">
        <is>
          <t>pharmaceuticals - indian - bulk drugs &amp; formln</t>
        </is>
      </c>
      <c r="E16" s="31" t="inlineStr">
        <is>
          <t>smallcap</t>
        </is>
      </c>
      <c r="F16" s="31" t="n">
        <v>4290.58</v>
      </c>
      <c r="G16" s="31" t="n">
        <v>917.1</v>
      </c>
      <c r="H16" s="31" t="n">
        <v>8.41</v>
      </c>
      <c r="I16" s="31" t="n">
        <v>496587</v>
      </c>
      <c r="J16" s="31" t="inlineStr">
        <is>
          <t>524372</t>
        </is>
      </c>
    </row>
    <row r="17">
      <c r="A17" s="31" t="inlineStr">
        <is>
          <t>DATAPATTNS</t>
        </is>
      </c>
      <c r="B17" s="31" t="inlineStr">
        <is>
          <t>Data Patterns (India) Ltd</t>
        </is>
      </c>
      <c r="C17" s="31" t="inlineStr">
        <is>
          <t>aerospace &amp; defence</t>
        </is>
      </c>
      <c r="D17" s="31" t="inlineStr">
        <is>
          <t>electronics - components</t>
        </is>
      </c>
      <c r="E17" s="31" t="inlineStr">
        <is>
          <t>largecap</t>
        </is>
      </c>
      <c r="F17" s="31" t="n">
        <v>23541.26</v>
      </c>
      <c r="G17" s="31" t="n">
        <v>4545.7</v>
      </c>
      <c r="H17" s="31" t="n">
        <v>8.1</v>
      </c>
      <c r="I17" s="31" t="n">
        <v>2698671</v>
      </c>
      <c r="J17" s="31" t="inlineStr">
        <is>
          <t>543428</t>
        </is>
      </c>
    </row>
    <row r="18">
      <c r="A18" s="31" t="inlineStr">
        <is>
          <t>MMTC</t>
        </is>
      </c>
      <c r="B18" s="31" t="inlineStr">
        <is>
          <t>Mmtc Limited</t>
        </is>
      </c>
      <c r="C18" s="31" t="inlineStr">
        <is>
          <t>services</t>
        </is>
      </c>
      <c r="D18" s="31" t="inlineStr">
        <is>
          <t>trading</t>
        </is>
      </c>
      <c r="E18" s="31" t="inlineStr">
        <is>
          <t>midcap</t>
        </is>
      </c>
      <c r="F18" s="31" t="n">
        <v>9460.5</v>
      </c>
      <c r="G18" s="31" t="n">
        <v>68.06</v>
      </c>
      <c r="H18" s="31" t="n">
        <v>7.91</v>
      </c>
      <c r="I18" s="31" t="n">
        <v>86049979</v>
      </c>
      <c r="J18" s="31" t="inlineStr">
        <is>
          <t>513377</t>
        </is>
      </c>
    </row>
    <row r="19">
      <c r="A19" s="31" t="inlineStr">
        <is>
          <t>UNIMECH</t>
        </is>
      </c>
      <c r="B19" s="31" t="inlineStr">
        <is>
          <t>Unimech Aerospace and Manufacturing Ltd</t>
        </is>
      </c>
      <c r="C19" s="31" t="inlineStr">
        <is>
          <t>aerospace &amp; defence</t>
        </is>
      </c>
      <c r="D19" s="31" t="inlineStr">
        <is>
          <t>engineering</t>
        </is>
      </c>
      <c r="E19" s="31" t="inlineStr">
        <is>
          <t>midcap</t>
        </is>
      </c>
      <c r="F19" s="31" t="n">
        <v>5476.27</v>
      </c>
      <c r="G19" s="31" t="n">
        <v>1159.55</v>
      </c>
      <c r="H19" s="31" t="n">
        <v>7.68</v>
      </c>
      <c r="I19" s="31" t="n">
        <v>464128</v>
      </c>
      <c r="J19" s="31" t="inlineStr">
        <is>
          <t>544322</t>
        </is>
      </c>
    </row>
    <row r="20">
      <c r="A20" s="31" t="inlineStr">
        <is>
          <t>AVALON</t>
        </is>
      </c>
      <c r="B20" s="31" t="inlineStr">
        <is>
          <t>Avalon Technologies Ltd</t>
        </is>
      </c>
      <c r="C20" s="31" t="inlineStr">
        <is>
          <t>consumer discretionary</t>
        </is>
      </c>
      <c r="D20" s="31" t="inlineStr">
        <is>
          <t>electronics - components</t>
        </is>
      </c>
      <c r="E20" s="31" t="inlineStr">
        <is>
          <t>midcap</t>
        </is>
      </c>
      <c r="F20" s="31" t="n">
        <v>10470.27</v>
      </c>
      <c r="G20" s="31" t="n">
        <v>1687</v>
      </c>
      <c r="H20" s="31" t="n">
        <v>7.58</v>
      </c>
      <c r="I20" s="31" t="n">
        <v>476593</v>
      </c>
      <c r="J20" s="31" t="inlineStr">
        <is>
          <t>543896</t>
        </is>
      </c>
    </row>
    <row r="21">
      <c r="A21" s="31" t="inlineStr">
        <is>
          <t>POWERMECH</t>
        </is>
      </c>
      <c r="B21" s="31" t="inlineStr">
        <is>
          <t>Power Mech Projects Limited</t>
        </is>
      </c>
      <c r="C21" s="31" t="inlineStr">
        <is>
          <t>realty</t>
        </is>
      </c>
      <c r="D21" s="31" t="inlineStr">
        <is>
          <t>engineering - turnkey services</t>
        </is>
      </c>
      <c r="E21" s="31" t="inlineStr">
        <is>
          <t>midcap</t>
        </is>
      </c>
      <c r="F21" s="31" t="n">
        <v>8215.18</v>
      </c>
      <c r="G21" s="31" t="n">
        <v>2789.5</v>
      </c>
      <c r="H21" s="31" t="n">
        <v>7.35</v>
      </c>
      <c r="I21" s="31" t="n">
        <v>582573</v>
      </c>
      <c r="J21" s="31" t="inlineStr">
        <is>
          <t>539302</t>
        </is>
      </c>
    </row>
    <row r="22">
      <c r="A22" s="31" t="inlineStr">
        <is>
          <t>MANINDS</t>
        </is>
      </c>
      <c r="B22" s="31" t="inlineStr">
        <is>
          <t>Man Industries (india) Limited</t>
        </is>
      </c>
      <c r="C22" s="31" t="inlineStr">
        <is>
          <t>metals &amp; mining</t>
        </is>
      </c>
      <c r="D22" s="31" t="inlineStr">
        <is>
          <t>steel - medium / small</t>
        </is>
      </c>
      <c r="E22" s="31" t="inlineStr">
        <is>
          <t>smallcap</t>
        </is>
      </c>
      <c r="F22" s="31" t="n">
        <v>3818.36</v>
      </c>
      <c r="G22" s="31" t="n">
        <v>545.95</v>
      </c>
      <c r="H22" s="31" t="n">
        <v>7.25</v>
      </c>
      <c r="I22" s="31" t="n">
        <v>605722</v>
      </c>
      <c r="J22" s="31" t="inlineStr">
        <is>
          <t>513269</t>
        </is>
      </c>
    </row>
    <row r="23">
      <c r="A23" s="31" t="inlineStr">
        <is>
          <t>JNKINDIA</t>
        </is>
      </c>
      <c r="B23" s="31" t="inlineStr">
        <is>
          <t>JNK India Ltd</t>
        </is>
      </c>
      <c r="C23" s="31" t="inlineStr">
        <is>
          <t>realty</t>
        </is>
      </c>
      <c r="D23" s="31" t="inlineStr">
        <is>
          <t>engineering - turnkey services</t>
        </is>
      </c>
      <c r="E23" s="31" t="inlineStr">
        <is>
          <t>smallcap</t>
        </is>
      </c>
      <c r="F23" s="31" t="n">
        <v>2629.83</v>
      </c>
      <c r="G23" s="31" t="n">
        <v>504.05</v>
      </c>
      <c r="H23" s="31" t="n">
        <v>7.24</v>
      </c>
      <c r="I23" s="31" t="n">
        <v>3001681</v>
      </c>
      <c r="J23" s="31" t="inlineStr">
        <is>
          <t>544167</t>
        </is>
      </c>
    </row>
    <row r="24">
      <c r="A24" s="31" t="inlineStr">
        <is>
          <t>APOLLO</t>
        </is>
      </c>
      <c r="B24" s="31" t="inlineStr">
        <is>
          <t>Apollo Micro Systems Ltd</t>
        </is>
      </c>
      <c r="C24" s="31" t="inlineStr">
        <is>
          <t>aerospace &amp; defence</t>
        </is>
      </c>
      <c r="D24" s="31" t="inlineStr">
        <is>
          <t>electronics - components</t>
        </is>
      </c>
      <c r="E24" s="31" t="inlineStr">
        <is>
          <t>midcap</t>
        </is>
      </c>
      <c r="F24" s="31" t="n">
        <v>13639.64</v>
      </c>
      <c r="G24" s="31" t="n">
        <v>409.4</v>
      </c>
      <c r="H24" s="31" t="n">
        <v>7.24</v>
      </c>
      <c r="I24" s="31" t="n">
        <v>24583322</v>
      </c>
      <c r="J24" s="31" t="inlineStr">
        <is>
          <t>540879</t>
        </is>
      </c>
    </row>
    <row r="25">
      <c r="A25" s="31" t="inlineStr">
        <is>
          <t>MOTILALOFS</t>
        </is>
      </c>
      <c r="B25" s="31" t="inlineStr">
        <is>
          <t>Motilal Oswal Financial Services Limited</t>
        </is>
      </c>
      <c r="C25" s="31" t="inlineStr">
        <is>
          <t>financials</t>
        </is>
      </c>
      <c r="D25" s="31" t="inlineStr">
        <is>
          <t>finance &amp; investments</t>
        </is>
      </c>
      <c r="E25" s="31" t="inlineStr">
        <is>
          <t>largecap</t>
        </is>
      </c>
      <c r="F25" s="31" t="n">
        <v>50050.68</v>
      </c>
      <c r="G25" s="31" t="n">
        <v>888.45</v>
      </c>
      <c r="H25" s="31" t="n">
        <v>6.84</v>
      </c>
      <c r="I25" s="31" t="n">
        <v>3169428</v>
      </c>
      <c r="J25" s="31" t="inlineStr">
        <is>
          <t>532892</t>
        </is>
      </c>
    </row>
    <row r="26">
      <c r="A26" s="31" t="inlineStr">
        <is>
          <t>PITTIENG</t>
        </is>
      </c>
      <c r="B26" s="31" t="inlineStr">
        <is>
          <t>Pitti Engineering Ltd</t>
        </is>
      </c>
      <c r="C26" s="31" t="inlineStr">
        <is>
          <t>industrials</t>
        </is>
      </c>
      <c r="D26" s="31" t="inlineStr">
        <is>
          <t>engineering</t>
        </is>
      </c>
      <c r="E26" s="31" t="inlineStr">
        <is>
          <t>smallcap</t>
        </is>
      </c>
      <c r="F26" s="31" t="n">
        <v>3502.73</v>
      </c>
      <c r="G26" s="31" t="n">
        <v>993</v>
      </c>
      <c r="H26" s="31" t="n">
        <v>6.75</v>
      </c>
      <c r="I26" s="31" t="n">
        <v>104486</v>
      </c>
      <c r="J26" s="31" t="inlineStr">
        <is>
          <t>513519</t>
        </is>
      </c>
    </row>
    <row r="27">
      <c r="A27" s="31" t="inlineStr">
        <is>
          <t>AEROENTER</t>
        </is>
      </c>
      <c r="B27" s="31" t="inlineStr">
        <is>
          <t>Aeroflex Enterprises Ltd</t>
        </is>
      </c>
      <c r="C27" s="31" t="inlineStr">
        <is>
          <t>metals &amp; mining</t>
        </is>
      </c>
      <c r="D27" s="31" t="inlineStr">
        <is>
          <t>steel - medium / small</t>
        </is>
      </c>
      <c r="E27" s="31" t="inlineStr">
        <is>
          <t>smallcap</t>
        </is>
      </c>
      <c r="F27" s="31" t="n">
        <v>1162.97</v>
      </c>
      <c r="G27" s="31" t="n">
        <v>109.78</v>
      </c>
      <c r="H27" s="31" t="n">
        <v>6.75</v>
      </c>
      <c r="I27" s="31" t="n">
        <v>1070685</v>
      </c>
      <c r="J27" s="31" t="inlineStr">
        <is>
          <t>511076</t>
        </is>
      </c>
    </row>
    <row r="28">
      <c r="A28" s="31" t="inlineStr">
        <is>
          <t>UFBL</t>
        </is>
      </c>
      <c r="B28" s="31" t="inlineStr">
        <is>
          <t>United Foodbrands Ltd</t>
        </is>
      </c>
      <c r="C28" s="31" t="inlineStr">
        <is>
          <t>consumer discretionary</t>
        </is>
      </c>
      <c r="D28" s="31" t="inlineStr">
        <is>
          <t>hotels</t>
        </is>
      </c>
      <c r="E28" s="31" t="inlineStr">
        <is>
          <t>smallcap</t>
        </is>
      </c>
      <c r="F28" s="31" t="n">
        <v>2175.35</v>
      </c>
      <c r="G28" s="31" t="n">
        <v>593.6</v>
      </c>
      <c r="H28" s="31" t="n">
        <v>6.66</v>
      </c>
      <c r="I28" s="31" t="n">
        <v>342253</v>
      </c>
      <c r="J28" s="31" t="inlineStr">
        <is>
          <t>543283</t>
        </is>
      </c>
    </row>
    <row r="29">
      <c r="A29" s="31" t="inlineStr">
        <is>
          <t>LLOYDSENGG</t>
        </is>
      </c>
      <c r="B29" s="31" t="inlineStr">
        <is>
          <t>Lloyds Engineering Works Ltd</t>
        </is>
      </c>
      <c r="C29" s="31" t="inlineStr">
        <is>
          <t>industrials</t>
        </is>
      </c>
      <c r="D29" s="31" t="inlineStr">
        <is>
          <t>engineering</t>
        </is>
      </c>
      <c r="E29" s="31" t="inlineStr">
        <is>
          <t>midcap</t>
        </is>
      </c>
      <c r="F29" s="31" t="n">
        <v>9876.59</v>
      </c>
      <c r="G29" s="31" t="n">
        <v>70.94</v>
      </c>
      <c r="H29" s="31" t="n">
        <v>6.31</v>
      </c>
      <c r="I29" s="31" t="n">
        <v>7051380</v>
      </c>
      <c r="J29" s="31" t="inlineStr">
        <is>
          <t>539992</t>
        </is>
      </c>
    </row>
    <row r="30">
      <c r="A30" s="31" t="inlineStr">
        <is>
          <t>ICIL</t>
        </is>
      </c>
      <c r="B30" s="31" t="inlineStr">
        <is>
          <t>Indo Count Industries Limited</t>
        </is>
      </c>
      <c r="C30" s="31" t="inlineStr">
        <is>
          <t>textiles</t>
        </is>
      </c>
      <c r="D30" s="31" t="inlineStr">
        <is>
          <t>textiles - cotton/blended</t>
        </is>
      </c>
      <c r="E30" s="31" t="inlineStr">
        <is>
          <t>midcap</t>
        </is>
      </c>
      <c r="F30" s="31" t="n">
        <v>6418.94</v>
      </c>
      <c r="G30" s="31" t="n">
        <v>344.45</v>
      </c>
      <c r="H30" s="31" t="n">
        <v>6.28</v>
      </c>
      <c r="I30" s="31" t="n">
        <v>585037</v>
      </c>
      <c r="J30" s="31" t="inlineStr">
        <is>
          <t>521016</t>
        </is>
      </c>
    </row>
    <row r="31">
      <c r="A31" s="31" t="inlineStr">
        <is>
          <t>PRIVISCL</t>
        </is>
      </c>
      <c r="B31" s="31" t="inlineStr">
        <is>
          <t>Privi Speciality Chemicals Ltd</t>
        </is>
      </c>
      <c r="C31" s="31" t="inlineStr">
        <is>
          <t>chemicals</t>
        </is>
      </c>
      <c r="D31" s="31" t="inlineStr">
        <is>
          <t>chemicals</t>
        </is>
      </c>
      <c r="E31" s="31" t="inlineStr">
        <is>
          <t>midcap</t>
        </is>
      </c>
      <c r="F31" s="31" t="n">
        <v>12668.82</v>
      </c>
      <c r="G31" s="31" t="n">
        <v>3444.3</v>
      </c>
      <c r="H31" s="31" t="n">
        <v>6.2</v>
      </c>
      <c r="I31" s="31" t="n">
        <v>294649</v>
      </c>
      <c r="J31" s="31" t="inlineStr">
        <is>
          <t>530117</t>
        </is>
      </c>
    </row>
    <row r="32">
      <c r="A32" s="31" t="inlineStr">
        <is>
          <t>JBMA</t>
        </is>
      </c>
      <c r="B32" s="31" t="inlineStr">
        <is>
          <t>Jbm Auto Limited</t>
        </is>
      </c>
      <c r="C32" s="31" t="inlineStr">
        <is>
          <t>auto</t>
        </is>
      </c>
      <c r="D32" s="31" t="inlineStr">
        <is>
          <t>auto ancillaries</t>
        </is>
      </c>
      <c r="E32" s="31" t="inlineStr">
        <is>
          <t>midcap</t>
        </is>
      </c>
      <c r="F32" s="31" t="n">
        <v>15250.33</v>
      </c>
      <c r="G32" s="31" t="n">
        <v>683.8</v>
      </c>
      <c r="H32" s="31" t="n">
        <v>6.04</v>
      </c>
      <c r="I32" s="31" t="n">
        <v>4784656</v>
      </c>
      <c r="J32" s="31" t="inlineStr">
        <is>
          <t>532605</t>
        </is>
      </c>
    </row>
    <row r="33">
      <c r="A33" s="31" t="inlineStr">
        <is>
          <t>ABDL</t>
        </is>
      </c>
      <c r="B33" s="31" t="inlineStr">
        <is>
          <t>Allied Blenders &amp; Distillers Ltd</t>
        </is>
      </c>
      <c r="C33" s="31" t="inlineStr">
        <is>
          <t>fmcg</t>
        </is>
      </c>
      <c r="D33" s="31" t="inlineStr">
        <is>
          <t>breweries &amp; distilleries</t>
        </is>
      </c>
      <c r="E33" s="31" t="inlineStr">
        <is>
          <t>midcap</t>
        </is>
      </c>
      <c r="F33" s="31" t="n">
        <v>17018.96</v>
      </c>
      <c r="G33" s="31" t="n">
        <v>644.45</v>
      </c>
      <c r="H33" s="31" t="n">
        <v>5.92</v>
      </c>
      <c r="I33" s="31" t="n">
        <v>2054909</v>
      </c>
      <c r="J33" s="31" t="inlineStr">
        <is>
          <t>544203</t>
        </is>
      </c>
    </row>
    <row r="34">
      <c r="A34" s="31" t="inlineStr">
        <is>
          <t>EQUITASBNK</t>
        </is>
      </c>
      <c r="B34" s="31" t="inlineStr">
        <is>
          <t>Equitas Small Finance Bank Ltd</t>
        </is>
      </c>
      <c r="C34" s="31" t="inlineStr">
        <is>
          <t>bank</t>
        </is>
      </c>
      <c r="D34" s="31" t="inlineStr">
        <is>
          <t>banks - private sector</t>
        </is>
      </c>
      <c r="E34" s="31" t="inlineStr">
        <is>
          <t>midcap</t>
        </is>
      </c>
      <c r="F34" s="31" t="n">
        <v>8145.91</v>
      </c>
      <c r="G34" s="31" t="n">
        <v>75.54000000000001</v>
      </c>
      <c r="H34" s="31" t="n">
        <v>5.81</v>
      </c>
      <c r="I34" s="31" t="n">
        <v>14409502</v>
      </c>
      <c r="J34" s="31" t="inlineStr">
        <is>
          <t>543243</t>
        </is>
      </c>
    </row>
    <row r="35">
      <c r="A35" s="31" t="inlineStr">
        <is>
          <t>FCL</t>
        </is>
      </c>
      <c r="B35" s="31" t="inlineStr">
        <is>
          <t>Fineotex Chemical Limited</t>
        </is>
      </c>
      <c r="C35" s="31" t="inlineStr">
        <is>
          <t>chemicals</t>
        </is>
      </c>
      <c r="D35" s="31" t="inlineStr">
        <is>
          <t>chemicals</t>
        </is>
      </c>
      <c r="E35" s="31" t="inlineStr">
        <is>
          <t>smallcap</t>
        </is>
      </c>
      <c r="F35" s="31" t="n">
        <v>4312.15</v>
      </c>
      <c r="G35" s="31" t="n">
        <v>39.17</v>
      </c>
      <c r="H35" s="31" t="n">
        <v>5.78</v>
      </c>
      <c r="I35" s="31" t="n">
        <v>10040741</v>
      </c>
      <c r="J35" s="31" t="inlineStr">
        <is>
          <t>533333</t>
        </is>
      </c>
    </row>
    <row r="36">
      <c r="A36" s="31" t="inlineStr">
        <is>
          <t>PREMEXPLN</t>
        </is>
      </c>
      <c r="B36" s="31" t="inlineStr">
        <is>
          <t>Premier Explosives Limited</t>
        </is>
      </c>
      <c r="C36" s="31" t="inlineStr">
        <is>
          <t>aerospace &amp; defence</t>
        </is>
      </c>
      <c r="D36" s="31" t="inlineStr">
        <is>
          <t>chemicals</t>
        </is>
      </c>
      <c r="E36" s="31" t="inlineStr">
        <is>
          <t>smallcap</t>
        </is>
      </c>
      <c r="F36" s="31" t="n">
        <v>3520.55</v>
      </c>
      <c r="G36" s="31" t="n">
        <v>692.65</v>
      </c>
      <c r="H36" s="31" t="n">
        <v>5.77</v>
      </c>
      <c r="I36" s="31" t="n">
        <v>646540</v>
      </c>
      <c r="J36" s="31" t="inlineStr">
        <is>
          <t>526247</t>
        </is>
      </c>
    </row>
    <row r="37">
      <c r="A37" s="31" t="inlineStr">
        <is>
          <t>RANEHOLDIN</t>
        </is>
      </c>
      <c r="B37" s="31" t="inlineStr">
        <is>
          <t>Rane Holdings Limited</t>
        </is>
      </c>
      <c r="C37" s="31" t="inlineStr">
        <is>
          <t>financials</t>
        </is>
      </c>
      <c r="D37" s="31" t="inlineStr">
        <is>
          <t>finance &amp; investments</t>
        </is>
      </c>
      <c r="E37" s="31" t="inlineStr">
        <is>
          <t>smallcap</t>
        </is>
      </c>
      <c r="F37" s="31" t="n">
        <v>1957.49</v>
      </c>
      <c r="G37" s="31" t="n">
        <v>1450</v>
      </c>
      <c r="H37" s="31" t="n">
        <v>5.76</v>
      </c>
      <c r="I37" s="31" t="n">
        <v>11385</v>
      </c>
      <c r="J37" s="31" t="inlineStr">
        <is>
          <t>505800</t>
        </is>
      </c>
    </row>
    <row r="38">
      <c r="A38" s="31" t="inlineStr">
        <is>
          <t>THELEELA</t>
        </is>
      </c>
      <c r="B38" s="31" t="inlineStr">
        <is>
          <t>Leela Palaces Hotels &amp; Resorts Ltd</t>
        </is>
      </c>
      <c r="C38" s="31" t="inlineStr">
        <is>
          <t>services</t>
        </is>
      </c>
      <c r="D38" s="31" t="inlineStr">
        <is>
          <t>hotels</t>
        </is>
      </c>
      <c r="E38" s="31" t="inlineStr">
        <is>
          <t>midcap</t>
        </is>
      </c>
      <c r="F38" s="31" t="n">
        <v>13580.4</v>
      </c>
      <c r="G38" s="31" t="n">
        <v>429.8</v>
      </c>
      <c r="H38" s="31" t="n">
        <v>5.69</v>
      </c>
      <c r="I38" s="31" t="n">
        <v>303851</v>
      </c>
      <c r="J38" s="31" t="inlineStr">
        <is>
          <t>544408</t>
        </is>
      </c>
    </row>
    <row r="39">
      <c r="A39" s="31" t="inlineStr">
        <is>
          <t>CENTUM</t>
        </is>
      </c>
      <c r="B39" s="31" t="inlineStr">
        <is>
          <t>Centum Electronics Limited</t>
        </is>
      </c>
      <c r="C39" s="31" t="inlineStr">
        <is>
          <t>consumer discretionary</t>
        </is>
      </c>
      <c r="D39" s="31" t="inlineStr">
        <is>
          <t>electronics - components</t>
        </is>
      </c>
      <c r="E39" s="31" t="inlineStr">
        <is>
          <t>smallcap</t>
        </is>
      </c>
      <c r="F39" s="31" t="n">
        <v>4996.9</v>
      </c>
      <c r="G39" s="31" t="n">
        <v>3582.8</v>
      </c>
      <c r="H39" s="31" t="n">
        <v>5.69</v>
      </c>
      <c r="I39" s="31" t="n">
        <v>104575</v>
      </c>
      <c r="J39" s="31" t="inlineStr">
        <is>
          <t>517544</t>
        </is>
      </c>
    </row>
    <row r="40">
      <c r="A40" s="31" t="inlineStr">
        <is>
          <t>JSWINFRA</t>
        </is>
      </c>
      <c r="B40" s="31" t="inlineStr">
        <is>
          <t>JSW Infrastructure Ltd</t>
        </is>
      </c>
      <c r="C40" s="31" t="inlineStr">
        <is>
          <t>transportation</t>
        </is>
      </c>
      <c r="D40" s="31" t="inlineStr">
        <is>
          <t>miscellaneous</t>
        </is>
      </c>
      <c r="E40" s="31" t="inlineStr">
        <is>
          <t>largecap</t>
        </is>
      </c>
      <c r="F40" s="31" t="n">
        <v>57844.54</v>
      </c>
      <c r="G40" s="31" t="n">
        <v>291</v>
      </c>
      <c r="H40" s="31" t="n">
        <v>5.65</v>
      </c>
      <c r="I40" s="31" t="n">
        <v>4700920</v>
      </c>
      <c r="J40" s="31" t="inlineStr">
        <is>
          <t>543994</t>
        </is>
      </c>
    </row>
    <row r="41">
      <c r="A41" s="31" t="inlineStr">
        <is>
          <t>TIINDIA</t>
        </is>
      </c>
      <c r="B41" s="31" t="inlineStr">
        <is>
          <t>Tube Investments of India Ltd</t>
        </is>
      </c>
      <c r="C41" s="31" t="inlineStr">
        <is>
          <t>industrials</t>
        </is>
      </c>
      <c r="D41" s="31" t="inlineStr">
        <is>
          <t>steel - large</t>
        </is>
      </c>
      <c r="E41" s="31" t="inlineStr">
        <is>
          <t>largecap</t>
        </is>
      </c>
      <c r="F41" s="31" t="n">
        <v>57587.79</v>
      </c>
      <c r="G41" s="31" t="n">
        <v>3141.8</v>
      </c>
      <c r="H41" s="31" t="n">
        <v>5.6</v>
      </c>
      <c r="I41" s="31" t="n">
        <v>260594</v>
      </c>
      <c r="J41" s="31" t="inlineStr">
        <is>
          <t>540762</t>
        </is>
      </c>
    </row>
    <row r="42">
      <c r="A42" s="31" t="inlineStr">
        <is>
          <t>CARBORUNIV</t>
        </is>
      </c>
      <c r="B42" s="31" t="inlineStr">
        <is>
          <t>Carborundum Universal Limited</t>
        </is>
      </c>
      <c r="C42" s="31" t="inlineStr">
        <is>
          <t>industrials</t>
        </is>
      </c>
      <c r="D42" s="31" t="inlineStr">
        <is>
          <t>abrasives and grinding wheels</t>
        </is>
      </c>
      <c r="E42" s="31" t="inlineStr">
        <is>
          <t>midcap</t>
        </is>
      </c>
      <c r="F42" s="31" t="n">
        <v>19007.34</v>
      </c>
      <c r="G42" s="31" t="n">
        <v>1053.1</v>
      </c>
      <c r="H42" s="31" t="n">
        <v>5.54</v>
      </c>
      <c r="I42" s="31" t="n">
        <v>367180</v>
      </c>
      <c r="J42" s="31" t="inlineStr">
        <is>
          <t>513375</t>
        </is>
      </c>
    </row>
    <row r="43">
      <c r="A43" s="31" t="inlineStr">
        <is>
          <t>BANDHANBNK</t>
        </is>
      </c>
      <c r="B43" s="31" t="inlineStr">
        <is>
          <t>Bandhan Bank Ltd</t>
        </is>
      </c>
      <c r="C43" s="31" t="inlineStr">
        <is>
          <t>bank</t>
        </is>
      </c>
      <c r="D43" s="31" t="inlineStr">
        <is>
          <t>banks - private sector</t>
        </is>
      </c>
      <c r="E43" s="31" t="inlineStr">
        <is>
          <t>largecap</t>
        </is>
      </c>
      <c r="F43" s="31" t="n">
        <v>31236.75</v>
      </c>
      <c r="G43" s="31" t="n">
        <v>204.6</v>
      </c>
      <c r="H43" s="31" t="n">
        <v>5.52</v>
      </c>
      <c r="I43" s="31" t="n">
        <v>10237548</v>
      </c>
      <c r="J43" s="31" t="inlineStr">
        <is>
          <t>541153</t>
        </is>
      </c>
    </row>
    <row r="44">
      <c r="A44" s="31" t="inlineStr">
        <is>
          <t>VINDHYATEL</t>
        </is>
      </c>
      <c r="B44" s="31" t="inlineStr">
        <is>
          <t>Vindhya Telelinks Limited</t>
        </is>
      </c>
      <c r="C44" s="31" t="inlineStr">
        <is>
          <t>realty</t>
        </is>
      </c>
      <c r="D44" s="31" t="inlineStr">
        <is>
          <t>construction</t>
        </is>
      </c>
      <c r="E44" s="31" t="inlineStr">
        <is>
          <t>smallcap</t>
        </is>
      </c>
      <c r="F44" s="31" t="n">
        <v>2346</v>
      </c>
      <c r="G44" s="31" t="n">
        <v>2087.8</v>
      </c>
      <c r="H44" s="31" t="n">
        <v>5.47</v>
      </c>
      <c r="I44" s="31" t="n">
        <v>100881</v>
      </c>
      <c r="J44" s="31" t="inlineStr">
        <is>
          <t>517015</t>
        </is>
      </c>
    </row>
    <row r="45">
      <c r="A45" s="31" t="inlineStr">
        <is>
          <t>AUBANK</t>
        </is>
      </c>
      <c r="B45" s="31" t="inlineStr">
        <is>
          <t>AU Small Finance Bank Ltd</t>
        </is>
      </c>
      <c r="C45" s="31" t="inlineStr">
        <is>
          <t>bank</t>
        </is>
      </c>
      <c r="D45" s="31" t="inlineStr">
        <is>
          <t>banks - private sector</t>
        </is>
      </c>
      <c r="E45" s="31" t="inlineStr">
        <is>
          <t>largecap</t>
        </is>
      </c>
      <c r="F45" s="31" t="n">
        <v>72080.57000000001</v>
      </c>
      <c r="G45" s="31" t="n">
        <v>1015.5</v>
      </c>
      <c r="H45" s="31" t="n">
        <v>5.42</v>
      </c>
      <c r="I45" s="31" t="n">
        <v>4077611</v>
      </c>
      <c r="J45" s="31" t="inlineStr">
        <is>
          <t>540611</t>
        </is>
      </c>
    </row>
    <row r="46">
      <c r="A46" s="31" t="inlineStr">
        <is>
          <t>RKFORGE</t>
        </is>
      </c>
      <c r="B46" s="31" t="inlineStr">
        <is>
          <t>Ramkrishna Forgings Limited</t>
        </is>
      </c>
      <c r="C46" s="31" t="inlineStr">
        <is>
          <t>industrials</t>
        </is>
      </c>
      <c r="D46" s="31" t="inlineStr">
        <is>
          <t>castings &amp; forgings</t>
        </is>
      </c>
      <c r="E46" s="31" t="inlineStr">
        <is>
          <t>midcap</t>
        </is>
      </c>
      <c r="F46" s="31" t="n">
        <v>10208.98</v>
      </c>
      <c r="G46" s="31" t="n">
        <v>592.2</v>
      </c>
      <c r="H46" s="31" t="n">
        <v>5.38</v>
      </c>
      <c r="I46" s="31" t="n">
        <v>776746</v>
      </c>
      <c r="J46" s="31" t="inlineStr">
        <is>
          <t>532527</t>
        </is>
      </c>
    </row>
    <row r="47">
      <c r="A47" s="31" t="inlineStr">
        <is>
          <t>PARACABLES</t>
        </is>
      </c>
      <c r="B47" s="31" t="inlineStr">
        <is>
          <t>Paramount Communications Limited</t>
        </is>
      </c>
      <c r="C47" s="31" t="inlineStr">
        <is>
          <t>industrials</t>
        </is>
      </c>
      <c r="D47" s="31" t="inlineStr">
        <is>
          <t>cables - power</t>
        </is>
      </c>
      <c r="E47" s="31" t="inlineStr">
        <is>
          <t>smallcap</t>
        </is>
      </c>
      <c r="F47" s="31" t="n">
        <v>1857.2</v>
      </c>
      <c r="G47" s="31" t="n">
        <v>64.12</v>
      </c>
      <c r="H47" s="31" t="n">
        <v>5.37</v>
      </c>
      <c r="I47" s="31" t="n">
        <v>2201942</v>
      </c>
      <c r="J47" s="31" t="inlineStr">
        <is>
          <t>530555</t>
        </is>
      </c>
    </row>
    <row r="48">
      <c r="A48" s="31" t="inlineStr">
        <is>
          <t>GOCLCORP</t>
        </is>
      </c>
      <c r="B48" s="31" t="inlineStr">
        <is>
          <t>Gocl Corporation Limited</t>
        </is>
      </c>
      <c r="C48" s="31" t="inlineStr">
        <is>
          <t>miscellaneous</t>
        </is>
      </c>
      <c r="D48" s="31" t="inlineStr">
        <is>
          <t>diversified - medium / small</t>
        </is>
      </c>
      <c r="E48" s="31" t="inlineStr">
        <is>
          <t>smallcap</t>
        </is>
      </c>
      <c r="F48" s="31" t="n">
        <v>1893.42</v>
      </c>
      <c r="G48" s="31" t="n">
        <v>402.35</v>
      </c>
      <c r="H48" s="31" t="n">
        <v>5.34</v>
      </c>
      <c r="I48" s="31" t="n">
        <v>99937</v>
      </c>
      <c r="J48" s="31" t="inlineStr">
        <is>
          <t>506480</t>
        </is>
      </c>
    </row>
    <row r="49">
      <c r="A49" s="31" t="inlineStr">
        <is>
          <t>SKMEGGPROD</t>
        </is>
      </c>
      <c r="B49" s="31" t="inlineStr">
        <is>
          <t>Skm Egg Products Export (india) Limited</t>
        </is>
      </c>
      <c r="C49" s="31" t="inlineStr">
        <is>
          <t>fmcg</t>
        </is>
      </c>
      <c r="D49" s="31" t="inlineStr">
        <is>
          <t>food - processing - indian</t>
        </is>
      </c>
      <c r="E49" s="31" t="inlineStr">
        <is>
          <t>smallcap</t>
        </is>
      </c>
      <c r="F49" s="31" t="n">
        <v>1203.44</v>
      </c>
      <c r="G49" s="31" t="n">
        <v>240.62</v>
      </c>
      <c r="H49" s="31" t="n">
        <v>5.29</v>
      </c>
      <c r="I49" s="31" t="n">
        <v>383613</v>
      </c>
      <c r="J49" s="31" t="inlineStr">
        <is>
          <t>532143</t>
        </is>
      </c>
    </row>
    <row r="50">
      <c r="A50" s="31" t="inlineStr">
        <is>
          <t>KERNEX</t>
        </is>
      </c>
      <c r="B50" s="31" t="inlineStr">
        <is>
          <t>Kernex Microsystems (india) Limited</t>
        </is>
      </c>
      <c r="C50" s="31" t="inlineStr">
        <is>
          <t>consumer discretionary</t>
        </is>
      </c>
      <c r="D50" s="31" t="inlineStr">
        <is>
          <t>electronics - components</t>
        </is>
      </c>
      <c r="E50" s="31" t="inlineStr">
        <is>
          <t>smallcap</t>
        </is>
      </c>
      <c r="F50" s="31" t="n">
        <v>3181.87</v>
      </c>
      <c r="G50" s="31" t="n">
        <v>1993.3</v>
      </c>
      <c r="H50" s="31" t="n">
        <v>5.26</v>
      </c>
      <c r="I50" s="31" t="n">
        <v>310640</v>
      </c>
      <c r="J50" s="31" t="inlineStr">
        <is>
          <t>532686</t>
        </is>
      </c>
    </row>
    <row r="51">
      <c r="A51" s="31" t="inlineStr">
        <is>
          <t>SPORTKING</t>
        </is>
      </c>
      <c r="B51" s="31" t="inlineStr">
        <is>
          <t>Sportking India Ltd</t>
        </is>
      </c>
      <c r="C51" s="31" t="inlineStr">
        <is>
          <t>textiles</t>
        </is>
      </c>
      <c r="D51" s="31" t="inlineStr">
        <is>
          <t>textiles - spinning - synthetic / blended</t>
        </is>
      </c>
      <c r="E51" s="31" t="inlineStr">
        <is>
          <t>smallcap</t>
        </is>
      </c>
      <c r="F51" s="31" t="n">
        <v>2206.1</v>
      </c>
      <c r="G51" s="31" t="n">
        <v>182.62</v>
      </c>
      <c r="H51" s="31" t="n">
        <v>5.19</v>
      </c>
      <c r="I51" s="31" t="n">
        <v>476001</v>
      </c>
      <c r="J51" s="31" t="inlineStr">
        <is>
          <t>539221</t>
        </is>
      </c>
    </row>
    <row r="52">
      <c r="A52" s="31" t="inlineStr">
        <is>
          <t>NUVAMA</t>
        </is>
      </c>
      <c r="B52" s="31" t="inlineStr">
        <is>
          <t>Nuvama Wealth Management Ltd</t>
        </is>
      </c>
      <c r="C52" s="31" t="inlineStr">
        <is>
          <t>financials</t>
        </is>
      </c>
      <c r="D52" s="31" t="inlineStr">
        <is>
          <t>finance &amp; investments</t>
        </is>
      </c>
      <c r="E52" s="31" t="inlineStr">
        <is>
          <t>largecap</t>
        </is>
      </c>
      <c r="F52" s="31" t="n">
        <v>27491.91</v>
      </c>
      <c r="G52" s="31" t="n">
        <v>1588.1</v>
      </c>
      <c r="H52" s="31" t="n">
        <v>5.16</v>
      </c>
      <c r="I52" s="31" t="n">
        <v>474650</v>
      </c>
      <c r="J52" s="31" t="inlineStr">
        <is>
          <t>543988</t>
        </is>
      </c>
    </row>
    <row r="53">
      <c r="A53" s="31" t="inlineStr">
        <is>
          <t>IDEA</t>
        </is>
      </c>
      <c r="B53" s="31" t="inlineStr">
        <is>
          <t>Vodafone Idea Ltd</t>
        </is>
      </c>
      <c r="C53" s="31" t="inlineStr">
        <is>
          <t>telecom-service</t>
        </is>
      </c>
      <c r="D53" s="31" t="inlineStr">
        <is>
          <t>telecommunications - service provider</t>
        </is>
      </c>
      <c r="E53" s="31" t="inlineStr">
        <is>
          <t>largecap</t>
        </is>
      </c>
      <c r="F53" s="31" t="n">
        <v>153522.08</v>
      </c>
      <c r="G53" s="31" t="n">
        <v>14.9</v>
      </c>
      <c r="H53" s="31" t="n">
        <v>5.15</v>
      </c>
      <c r="I53" s="31" t="n">
        <v>930356200</v>
      </c>
      <c r="J53" s="31" t="inlineStr">
        <is>
          <t>532822</t>
        </is>
      </c>
    </row>
    <row r="54">
      <c r="A54" s="31" t="inlineStr">
        <is>
          <t>JTLIND</t>
        </is>
      </c>
      <c r="B54" s="31" t="inlineStr">
        <is>
          <t>JTL Industries Ltd</t>
        </is>
      </c>
      <c r="C54" s="31" t="inlineStr">
        <is>
          <t>metals &amp; mining</t>
        </is>
      </c>
      <c r="D54" s="31" t="inlineStr">
        <is>
          <t>steel - medium / small</t>
        </is>
      </c>
      <c r="E54" s="31" t="inlineStr">
        <is>
          <t>smallcap</t>
        </is>
      </c>
      <c r="F54" s="31" t="n">
        <v>2803.46</v>
      </c>
      <c r="G54" s="31" t="n">
        <v>74.98999999999999</v>
      </c>
      <c r="H54" s="31" t="n">
        <v>5.15</v>
      </c>
      <c r="I54" s="31" t="n">
        <v>5520684</v>
      </c>
      <c r="J54" s="31" t="inlineStr">
        <is>
          <t>534600</t>
        </is>
      </c>
    </row>
    <row r="55">
      <c r="A55" s="31" t="inlineStr">
        <is>
          <t>KIRLOSENG</t>
        </is>
      </c>
      <c r="B55" s="31" t="inlineStr">
        <is>
          <t>Kirloskar Oil Engines Limited</t>
        </is>
      </c>
      <c r="C55" s="31" t="inlineStr">
        <is>
          <t>industrials</t>
        </is>
      </c>
      <c r="D55" s="31" t="inlineStr">
        <is>
          <t>engines</t>
        </is>
      </c>
      <c r="E55" s="31" t="inlineStr">
        <is>
          <t>largecap</t>
        </is>
      </c>
      <c r="F55" s="31" t="n">
        <v>26134.13</v>
      </c>
      <c r="G55" s="31" t="n">
        <v>1890.5</v>
      </c>
      <c r="H55" s="31" t="n">
        <v>5.15</v>
      </c>
      <c r="I55" s="31" t="n">
        <v>238134</v>
      </c>
      <c r="J55" s="31" t="inlineStr">
        <is>
          <t>533293</t>
        </is>
      </c>
    </row>
    <row r="56">
      <c r="A56" s="31" t="inlineStr">
        <is>
          <t>RPTECH</t>
        </is>
      </c>
      <c r="B56" s="31" t="inlineStr">
        <is>
          <t>Rashi Peripherals Ltd</t>
        </is>
      </c>
      <c r="C56" s="31" t="inlineStr">
        <is>
          <t>services</t>
        </is>
      </c>
      <c r="D56" s="31" t="inlineStr">
        <is>
          <t>trading</t>
        </is>
      </c>
      <c r="E56" s="31" t="inlineStr">
        <is>
          <t>smallcap</t>
        </is>
      </c>
      <c r="F56" s="31" t="n">
        <v>3500.26</v>
      </c>
      <c r="G56" s="31" t="n">
        <v>558.4</v>
      </c>
      <c r="H56" s="31" t="n">
        <v>5.13</v>
      </c>
      <c r="I56" s="31" t="n">
        <v>129836</v>
      </c>
      <c r="J56" s="31" t="n"/>
    </row>
    <row r="57">
      <c r="A57" s="31" t="inlineStr">
        <is>
          <t>GUFICBIO</t>
        </is>
      </c>
      <c r="B57" s="31" t="inlineStr">
        <is>
          <t>Gufic Biosciences Limited</t>
        </is>
      </c>
      <c r="C57" s="31" t="inlineStr">
        <is>
          <t>healthcare</t>
        </is>
      </c>
      <c r="D57" s="31" t="inlineStr">
        <is>
          <t>pharmaceuticals - indian - bulk drugs &amp; formln</t>
        </is>
      </c>
      <c r="E57" s="31" t="inlineStr">
        <is>
          <t>smallcap</t>
        </is>
      </c>
      <c r="F57" s="31" t="n">
        <v>3541.98</v>
      </c>
      <c r="G57" s="31" t="n">
        <v>371.25</v>
      </c>
      <c r="H57" s="31" t="n">
        <v>5.11</v>
      </c>
      <c r="I57" s="31" t="n">
        <v>161321</v>
      </c>
      <c r="J57" s="31" t="inlineStr">
        <is>
          <t>509079</t>
        </is>
      </c>
    </row>
    <row r="58">
      <c r="A58" s="31" t="inlineStr">
        <is>
          <t>ADOR</t>
        </is>
      </c>
      <c r="B58" s="31" t="inlineStr">
        <is>
          <t>Ador Welding Ltd</t>
        </is>
      </c>
      <c r="C58" s="31" t="inlineStr">
        <is>
          <t>industrials</t>
        </is>
      </c>
      <c r="D58" s="31" t="inlineStr">
        <is>
          <t>electrodes - welding equipment</t>
        </is>
      </c>
      <c r="E58" s="31" t="inlineStr">
        <is>
          <t>smallcap</t>
        </is>
      </c>
      <c r="F58" s="31" t="n">
        <v>1929.97</v>
      </c>
      <c r="G58" s="31" t="n">
        <v>1165.7</v>
      </c>
      <c r="H58" s="31" t="n">
        <v>5.11</v>
      </c>
      <c r="I58" s="31" t="n">
        <v>27333</v>
      </c>
      <c r="J58" s="31" t="inlineStr">
        <is>
          <t>517041</t>
        </is>
      </c>
    </row>
    <row r="59">
      <c r="A59" s="31" t="inlineStr">
        <is>
          <t>NYKAA</t>
        </is>
      </c>
      <c r="B59" s="31" t="inlineStr">
        <is>
          <t>FSN E-Commerce Ventures Ltd</t>
        </is>
      </c>
      <c r="C59" s="31" t="inlineStr">
        <is>
          <t>i.t</t>
        </is>
      </c>
      <c r="D59" s="31" t="inlineStr">
        <is>
          <t>trading</t>
        </is>
      </c>
      <c r="E59" s="31" t="inlineStr">
        <is>
          <t>largecap</t>
        </is>
      </c>
      <c r="F59" s="31" t="n">
        <v>74515.49000000001</v>
      </c>
      <c r="G59" s="31" t="n">
        <v>273.5</v>
      </c>
      <c r="H59" s="31" t="n">
        <v>5.09</v>
      </c>
      <c r="I59" s="31" t="n">
        <v>12127542</v>
      </c>
      <c r="J59" s="31" t="inlineStr">
        <is>
          <t>543384</t>
        </is>
      </c>
    </row>
    <row r="60">
      <c r="A60" s="31" t="inlineStr">
        <is>
          <t>MAHABANK</t>
        </is>
      </c>
      <c r="B60" s="31" t="inlineStr">
        <is>
          <t>Bank Of Maharashtra Ltd</t>
        </is>
      </c>
      <c r="C60" s="31" t="inlineStr">
        <is>
          <t>bank</t>
        </is>
      </c>
      <c r="D60" s="31" t="inlineStr">
        <is>
          <t>banks - public sector</t>
        </is>
      </c>
      <c r="E60" s="31" t="inlineStr">
        <is>
          <t>largecap</t>
        </is>
      </c>
      <c r="F60" s="31" t="n">
        <v>63901.44</v>
      </c>
      <c r="G60" s="31" t="n">
        <v>87.3</v>
      </c>
      <c r="H60" s="31" t="n">
        <v>5.08</v>
      </c>
      <c r="I60" s="31" t="n">
        <v>36284743</v>
      </c>
      <c r="J60" s="31" t="inlineStr">
        <is>
          <t>532525</t>
        </is>
      </c>
    </row>
    <row r="61">
      <c r="A61" s="31" t="inlineStr">
        <is>
          <t>IOLCP</t>
        </is>
      </c>
      <c r="B61" s="31" t="inlineStr">
        <is>
          <t>Iol Chemicals And Pharmaceuticals Limited</t>
        </is>
      </c>
      <c r="C61" s="31" t="inlineStr">
        <is>
          <t>healthcare</t>
        </is>
      </c>
      <c r="D61" s="31" t="inlineStr">
        <is>
          <t>pharmaceuticals - indian - bulk drugs &amp; formln</t>
        </is>
      </c>
      <c r="E61" s="31" t="inlineStr">
        <is>
          <t>smallcap</t>
        </is>
      </c>
      <c r="F61" s="31" t="n">
        <v>3752.46</v>
      </c>
      <c r="G61" s="31" t="n">
        <v>134.24</v>
      </c>
      <c r="H61" s="31" t="n">
        <v>5.01</v>
      </c>
      <c r="I61" s="31" t="n">
        <v>1686744</v>
      </c>
      <c r="J61" s="31" t="inlineStr">
        <is>
          <t>524164</t>
        </is>
      </c>
    </row>
    <row r="62">
      <c r="A62" s="31" t="inlineStr">
        <is>
          <t>HFCL</t>
        </is>
      </c>
      <c r="B62" s="31" t="inlineStr">
        <is>
          <t>HFCL Ltd</t>
        </is>
      </c>
      <c r="C62" s="31" t="inlineStr">
        <is>
          <t>telecom</t>
        </is>
      </c>
      <c r="D62" s="31" t="inlineStr">
        <is>
          <t>cables - telephone</t>
        </is>
      </c>
      <c r="E62" s="31" t="inlineStr">
        <is>
          <t>largecap</t>
        </is>
      </c>
      <c r="F62" s="31" t="n">
        <v>25052.9</v>
      </c>
      <c r="G62" s="31" t="n">
        <v>171.86</v>
      </c>
      <c r="H62" s="31" t="n">
        <v>5</v>
      </c>
      <c r="I62" s="31" t="n">
        <v>9299089</v>
      </c>
      <c r="J62" s="31" t="inlineStr">
        <is>
          <t>500183</t>
        </is>
      </c>
    </row>
    <row r="63">
      <c r="A63" s="31" t="inlineStr">
        <is>
          <t>GVPIL</t>
        </is>
      </c>
      <c r="B63" s="31" t="inlineStr">
        <is>
          <t>GE Power India Ltd</t>
        </is>
      </c>
      <c r="C63" s="31" t="inlineStr">
        <is>
          <t>realty</t>
        </is>
      </c>
      <c r="D63" s="31" t="inlineStr">
        <is>
          <t>engineering - turnkey services</t>
        </is>
      </c>
      <c r="E63" s="31" t="inlineStr">
        <is>
          <t>midcap</t>
        </is>
      </c>
      <c r="F63" s="31" t="n">
        <v>5951.65</v>
      </c>
      <c r="G63" s="31" t="n">
        <v>929.55</v>
      </c>
      <c r="H63" s="31" t="n">
        <v>5</v>
      </c>
      <c r="I63" s="31" t="n">
        <v>431265</v>
      </c>
      <c r="J63" s="31" t="inlineStr">
        <is>
          <t>532309</t>
        </is>
      </c>
    </row>
    <row r="64">
      <c r="A64" s="31" t="inlineStr">
        <is>
          <t>DEEDEV</t>
        </is>
      </c>
      <c r="B64" s="31" t="inlineStr">
        <is>
          <t>DEE Development Engineers Ltd</t>
        </is>
      </c>
      <c r="C64" s="31" t="inlineStr">
        <is>
          <t>metals &amp; mining</t>
        </is>
      </c>
      <c r="D64" s="31" t="inlineStr">
        <is>
          <t>steel - medium / small</t>
        </is>
      </c>
      <c r="E64" s="31" t="inlineStr">
        <is>
          <t>smallcap</t>
        </is>
      </c>
      <c r="F64" s="31" t="n">
        <v>4332.08</v>
      </c>
      <c r="G64" s="31" t="n">
        <v>656.7</v>
      </c>
      <c r="H64" s="31" t="n">
        <v>5</v>
      </c>
      <c r="I64" s="31" t="n">
        <v>141364</v>
      </c>
      <c r="J64" s="31" t="n"/>
    </row>
    <row r="65">
      <c r="A65" s="31" t="inlineStr">
        <is>
          <t>OCCLLTD</t>
        </is>
      </c>
      <c r="B65" s="31" t="inlineStr">
        <is>
          <t>OCCL Ltd</t>
        </is>
      </c>
      <c r="C65" s="31" t="inlineStr">
        <is>
          <t>chemicals</t>
        </is>
      </c>
      <c r="D65" s="31" t="inlineStr">
        <is>
          <t>chemicals</t>
        </is>
      </c>
      <c r="E65" s="31" t="inlineStr">
        <is>
          <t>smallcap</t>
        </is>
      </c>
      <c r="F65" s="31" t="n">
        <v>613.6900000000001</v>
      </c>
      <c r="G65" s="31" t="n">
        <v>129</v>
      </c>
      <c r="H65" s="31" t="n">
        <v>5</v>
      </c>
      <c r="I65" s="31" t="n">
        <v>131651</v>
      </c>
      <c r="J65" s="31" t="inlineStr">
        <is>
          <t>544278</t>
        </is>
      </c>
    </row>
    <row r="66">
      <c r="A66" s="31" t="inlineStr">
        <is>
          <t>KRN</t>
        </is>
      </c>
      <c r="B66" s="31" t="inlineStr">
        <is>
          <t>KRN Heat Exchanger and Refrigeration Ltd</t>
        </is>
      </c>
      <c r="C66" s="31" t="inlineStr">
        <is>
          <t>industrials</t>
        </is>
      </c>
      <c r="D66" s="31" t="inlineStr">
        <is>
          <t>engineering</t>
        </is>
      </c>
      <c r="E66" s="31" t="inlineStr">
        <is>
          <t>midcap</t>
        </is>
      </c>
      <c r="F66" s="31" t="n">
        <v>7466.25</v>
      </c>
      <c r="G66" s="31" t="n">
        <v>1261.2</v>
      </c>
      <c r="H66" s="31" t="n">
        <v>5</v>
      </c>
      <c r="I66" s="31" t="n">
        <v>150786</v>
      </c>
      <c r="J66" s="31" t="inlineStr">
        <is>
          <t>544263</t>
        </is>
      </c>
    </row>
    <row r="67">
      <c r="A67" s="31" t="inlineStr">
        <is>
          <t>QPOWER</t>
        </is>
      </c>
      <c r="B67" s="31" t="inlineStr">
        <is>
          <t>Quality Power Electrical Equipments Ltd</t>
        </is>
      </c>
      <c r="C67" s="31" t="inlineStr">
        <is>
          <t>industrials</t>
        </is>
      </c>
      <c r="D67" s="31" t="inlineStr">
        <is>
          <t>electric equipment</t>
        </is>
      </c>
      <c r="E67" s="31" t="inlineStr">
        <is>
          <t>midcap</t>
        </is>
      </c>
      <c r="F67" s="31" t="n">
        <v>9006.75</v>
      </c>
      <c r="G67" s="31" t="n">
        <v>1221.1</v>
      </c>
      <c r="H67" s="31" t="n">
        <v>5</v>
      </c>
      <c r="I67" s="31" t="n">
        <v>250571</v>
      </c>
      <c r="J67" s="31" t="inlineStr">
        <is>
          <t>544367</t>
        </is>
      </c>
    </row>
    <row r="68">
      <c r="A68" s="31" t="inlineStr">
        <is>
          <t>SILVERTUC</t>
        </is>
      </c>
      <c r="B68" s="31" t="inlineStr">
        <is>
          <t>Silver Touch Technologies Ltd</t>
        </is>
      </c>
      <c r="C68" s="31" t="inlineStr">
        <is>
          <t>i.t</t>
        </is>
      </c>
      <c r="D68" s="31" t="inlineStr">
        <is>
          <t>computers - software - medium / small</t>
        </is>
      </c>
      <c r="E68" s="31" t="inlineStr">
        <is>
          <t>smallcap</t>
        </is>
      </c>
      <c r="F68" s="31" t="n">
        <v>2401.4</v>
      </c>
      <c r="G68" s="31" t="n">
        <v>198.78</v>
      </c>
      <c r="H68" s="31" t="n">
        <v>4.97</v>
      </c>
      <c r="I68" s="31" t="n">
        <v>698308</v>
      </c>
      <c r="J68" s="31" t="inlineStr">
        <is>
          <t>535031</t>
        </is>
      </c>
    </row>
    <row r="69">
      <c r="A69" s="31" t="inlineStr">
        <is>
          <t>RAJRATAN</t>
        </is>
      </c>
      <c r="B69" s="31" t="inlineStr">
        <is>
          <t>Rajratan Global Wire Ltd</t>
        </is>
      </c>
      <c r="C69" s="31" t="inlineStr">
        <is>
          <t>metals &amp; mining</t>
        </is>
      </c>
      <c r="D69" s="31" t="inlineStr">
        <is>
          <t>steel - medium / small</t>
        </is>
      </c>
      <c r="E69" s="31" t="inlineStr">
        <is>
          <t>smallcap</t>
        </is>
      </c>
      <c r="F69" s="31" t="n">
        <v>2221.23</v>
      </c>
      <c r="G69" s="31" t="n">
        <v>459.2</v>
      </c>
      <c r="H69" s="31" t="n">
        <v>4.96</v>
      </c>
      <c r="I69" s="31" t="n">
        <v>155486</v>
      </c>
      <c r="J69" s="31" t="inlineStr">
        <is>
          <t>517522</t>
        </is>
      </c>
    </row>
    <row r="70">
      <c r="A70" s="31" t="inlineStr">
        <is>
          <t>BHAGCHEM</t>
        </is>
      </c>
      <c r="B70" s="31" t="inlineStr">
        <is>
          <t>Bhagiradha Chemicals &amp; Industries Ltd</t>
        </is>
      </c>
      <c r="C70" s="31" t="inlineStr">
        <is>
          <t>chemicals</t>
        </is>
      </c>
      <c r="D70" s="31" t="inlineStr">
        <is>
          <t>pesticides / agrochemicals - indian</t>
        </is>
      </c>
      <c r="E70" s="31" t="inlineStr">
        <is>
          <t>smallcap</t>
        </is>
      </c>
      <c r="F70" s="31" t="n">
        <v>3336.9</v>
      </c>
      <c r="G70" s="31" t="n">
        <v>270.04</v>
      </c>
      <c r="H70" s="31" t="n">
        <v>4.94</v>
      </c>
      <c r="I70" s="31" t="n">
        <v>235100</v>
      </c>
      <c r="J70" s="31" t="inlineStr">
        <is>
          <t>531719</t>
        </is>
      </c>
    </row>
    <row r="71">
      <c r="A71" s="31" t="inlineStr">
        <is>
          <t>CERA</t>
        </is>
      </c>
      <c r="B71" s="31" t="inlineStr">
        <is>
          <t>Cera Sanitaryware Limited</t>
        </is>
      </c>
      <c r="C71" s="31" t="inlineStr">
        <is>
          <t>building materials</t>
        </is>
      </c>
      <c r="D71" s="31" t="inlineStr">
        <is>
          <t>ceramics - tiles / sanitaryware</t>
        </is>
      </c>
      <c r="E71" s="31" t="inlineStr">
        <is>
          <t>midcap</t>
        </is>
      </c>
      <c r="F71" s="31" t="n">
        <v>7550.87</v>
      </c>
      <c r="G71" s="31" t="n">
        <v>6144</v>
      </c>
      <c r="H71" s="31" t="n">
        <v>4.94</v>
      </c>
      <c r="I71" s="31" t="n">
        <v>37391</v>
      </c>
      <c r="J71" s="31" t="inlineStr">
        <is>
          <t>532443</t>
        </is>
      </c>
    </row>
    <row r="72">
      <c r="A72" s="31" t="inlineStr">
        <is>
          <t>SOTL</t>
        </is>
      </c>
      <c r="B72" s="31" t="inlineStr">
        <is>
          <t>Savita Oil Technologies Limited</t>
        </is>
      </c>
      <c r="C72" s="31" t="inlineStr">
        <is>
          <t>energy</t>
        </is>
      </c>
      <c r="D72" s="31" t="inlineStr">
        <is>
          <t>petrochemicals</t>
        </is>
      </c>
      <c r="E72" s="31" t="inlineStr">
        <is>
          <t>smallcap</t>
        </is>
      </c>
      <c r="F72" s="31" t="n">
        <v>3726.94</v>
      </c>
      <c r="G72" s="31" t="n">
        <v>570.35</v>
      </c>
      <c r="H72" s="31" t="n">
        <v>4.92</v>
      </c>
      <c r="I72" s="31" t="n">
        <v>536033</v>
      </c>
      <c r="J72" s="31" t="inlineStr">
        <is>
          <t>524667</t>
        </is>
      </c>
    </row>
    <row r="73">
      <c r="A73" s="31" t="inlineStr">
        <is>
          <t>IDFCFIRSTB</t>
        </is>
      </c>
      <c r="B73" s="31" t="inlineStr">
        <is>
          <t>IDFC First Bank Ltd</t>
        </is>
      </c>
      <c r="C73" s="31" t="inlineStr">
        <is>
          <t>bank</t>
        </is>
      </c>
      <c r="D73" s="31" t="inlineStr">
        <is>
          <t>banks - private sector</t>
        </is>
      </c>
      <c r="E73" s="31" t="inlineStr">
        <is>
          <t>largecap</t>
        </is>
      </c>
      <c r="F73" s="31" t="n">
        <v>62749.4</v>
      </c>
      <c r="G73" s="31" t="n">
        <v>76.5</v>
      </c>
      <c r="H73" s="31" t="n">
        <v>4.87</v>
      </c>
      <c r="I73" s="31" t="n">
        <v>47039199</v>
      </c>
      <c r="J73" s="31" t="inlineStr">
        <is>
          <t>539437</t>
        </is>
      </c>
    </row>
    <row r="74">
      <c r="A74" s="31" t="inlineStr">
        <is>
          <t>ANGELONE</t>
        </is>
      </c>
      <c r="B74" s="31" t="inlineStr">
        <is>
          <t>Angel One Ltd</t>
        </is>
      </c>
      <c r="C74" s="31" t="inlineStr">
        <is>
          <t>financials</t>
        </is>
      </c>
      <c r="D74" s="31" t="inlineStr">
        <is>
          <t>finance &amp; investments</t>
        </is>
      </c>
      <c r="E74" s="31" t="inlineStr">
        <is>
          <t>largecap</t>
        </is>
      </c>
      <c r="F74" s="31" t="n">
        <v>29489.07</v>
      </c>
      <c r="G74" s="31" t="n">
        <v>339.5</v>
      </c>
      <c r="H74" s="31" t="n">
        <v>4.86</v>
      </c>
      <c r="I74" s="31" t="n">
        <v>7318502</v>
      </c>
      <c r="J74" s="31" t="n"/>
    </row>
    <row r="75">
      <c r="A75" s="31" t="inlineStr">
        <is>
          <t>LT</t>
        </is>
      </c>
      <c r="B75" s="31" t="inlineStr">
        <is>
          <t>Larsen &amp; Toubro Limited</t>
        </is>
      </c>
      <c r="C75" s="31" t="inlineStr">
        <is>
          <t>realty</t>
        </is>
      </c>
      <c r="D75" s="31" t="inlineStr">
        <is>
          <t>engineering - turnkey services</t>
        </is>
      </c>
      <c r="E75" s="31" t="inlineStr">
        <is>
          <t>largecap</t>
        </is>
      </c>
      <c r="F75" s="31" t="n">
        <v>531269.15</v>
      </c>
      <c r="G75" s="31" t="n">
        <v>4049.3</v>
      </c>
      <c r="H75" s="31" t="n">
        <v>4.85</v>
      </c>
      <c r="I75" s="31" t="n">
        <v>3065790</v>
      </c>
      <c r="J75" s="31" t="inlineStr">
        <is>
          <t>500510</t>
        </is>
      </c>
    </row>
    <row r="76">
      <c r="A76" s="31" t="inlineStr">
        <is>
          <t>SOLARA</t>
        </is>
      </c>
      <c r="B76" s="31" t="inlineStr">
        <is>
          <t>Solara Active Pharma Sciences Ltd</t>
        </is>
      </c>
      <c r="C76" s="31" t="inlineStr">
        <is>
          <t>healthcare</t>
        </is>
      </c>
      <c r="D76" s="31" t="inlineStr">
        <is>
          <t>pharmaceuticals - indian - bulk drugs &amp; formln</t>
        </is>
      </c>
      <c r="E76" s="31" t="inlineStr">
        <is>
          <t>smallcap</t>
        </is>
      </c>
      <c r="F76" s="31" t="n">
        <v>2797.45</v>
      </c>
      <c r="G76" s="31" t="n">
        <v>608.55</v>
      </c>
      <c r="H76" s="31" t="n">
        <v>4.8</v>
      </c>
      <c r="I76" s="31" t="n">
        <v>664223</v>
      </c>
      <c r="J76" s="31" t="inlineStr">
        <is>
          <t>541540</t>
        </is>
      </c>
    </row>
    <row r="77">
      <c r="A77" s="31" t="inlineStr">
        <is>
          <t>NITINSPIN</t>
        </is>
      </c>
      <c r="B77" s="31" t="inlineStr">
        <is>
          <t>Nitin Spinners Limited</t>
        </is>
      </c>
      <c r="C77" s="31" t="inlineStr">
        <is>
          <t>textiles</t>
        </is>
      </c>
      <c r="D77" s="31" t="inlineStr">
        <is>
          <t>textiles - cotton/blended</t>
        </is>
      </c>
      <c r="E77" s="31" t="inlineStr">
        <is>
          <t>smallcap</t>
        </is>
      </c>
      <c r="F77" s="31" t="n">
        <v>3000.74</v>
      </c>
      <c r="G77" s="31" t="n">
        <v>559.35</v>
      </c>
      <c r="H77" s="31" t="n">
        <v>4.8</v>
      </c>
      <c r="I77" s="31" t="n">
        <v>182362</v>
      </c>
      <c r="J77" s="31" t="inlineStr">
        <is>
          <t>532698</t>
        </is>
      </c>
    </row>
    <row r="78">
      <c r="A78" s="31" t="inlineStr">
        <is>
          <t>VENUSREM</t>
        </is>
      </c>
      <c r="B78" s="31" t="inlineStr">
        <is>
          <t>Venus Remedies Limited</t>
        </is>
      </c>
      <c r="C78" s="31" t="inlineStr">
        <is>
          <t>healthcare</t>
        </is>
      </c>
      <c r="D78" s="31" t="inlineStr">
        <is>
          <t>pharmaceuticals - indian - formulations</t>
        </is>
      </c>
      <c r="E78" s="31" t="inlineStr">
        <is>
          <t>smallcap</t>
        </is>
      </c>
      <c r="F78" s="31" t="n">
        <v>2292.57</v>
      </c>
      <c r="G78" s="31" t="n">
        <v>1797.5</v>
      </c>
      <c r="H78" s="31" t="n">
        <v>4.8</v>
      </c>
      <c r="I78" s="31" t="n">
        <v>246228</v>
      </c>
      <c r="J78" s="31" t="inlineStr">
        <is>
          <t>526953</t>
        </is>
      </c>
    </row>
    <row r="79">
      <c r="A79" s="31" t="inlineStr">
        <is>
          <t>TRITURBINE</t>
        </is>
      </c>
      <c r="B79" s="31" t="inlineStr">
        <is>
          <t>Triveni Turbine Limited</t>
        </is>
      </c>
      <c r="C79" s="31" t="inlineStr">
        <is>
          <t>industrials</t>
        </is>
      </c>
      <c r="D79" s="31" t="inlineStr">
        <is>
          <t>electric equipment</t>
        </is>
      </c>
      <c r="E79" s="31" t="inlineStr">
        <is>
          <t>largecap</t>
        </is>
      </c>
      <c r="F79" s="31" t="n">
        <v>20367.53</v>
      </c>
      <c r="G79" s="31" t="n">
        <v>671.2</v>
      </c>
      <c r="H79" s="31" t="n">
        <v>4.76</v>
      </c>
      <c r="I79" s="31" t="n">
        <v>671285</v>
      </c>
      <c r="J79" s="31" t="inlineStr">
        <is>
          <t>533655</t>
        </is>
      </c>
    </row>
    <row r="80">
      <c r="A80" s="31" t="inlineStr">
        <is>
          <t>VENUSPIPES</t>
        </is>
      </c>
      <c r="B80" s="31" t="inlineStr">
        <is>
          <t>Venus Pipes &amp; Tubes Ltd</t>
        </is>
      </c>
      <c r="C80" s="31" t="inlineStr">
        <is>
          <t>metals &amp; mining</t>
        </is>
      </c>
      <c r="D80" s="31" t="inlineStr">
        <is>
          <t>steel - medium / small</t>
        </is>
      </c>
      <c r="E80" s="31" t="inlineStr">
        <is>
          <t>smallcap</t>
        </is>
      </c>
      <c r="F80" s="31" t="n">
        <v>2798.95</v>
      </c>
      <c r="G80" s="31" t="n">
        <v>1414.3</v>
      </c>
      <c r="H80" s="31" t="n">
        <v>4.68</v>
      </c>
      <c r="I80" s="31" t="n">
        <v>34090</v>
      </c>
      <c r="J80" s="31" t="inlineStr">
        <is>
          <t>543528</t>
        </is>
      </c>
    </row>
    <row r="81">
      <c r="A81" s="31" t="inlineStr">
        <is>
          <t>NBCC</t>
        </is>
      </c>
      <c r="B81" s="31" t="inlineStr">
        <is>
          <t>Nbcc (india) Limited</t>
        </is>
      </c>
      <c r="C81" s="31" t="inlineStr">
        <is>
          <t>miscellaneous</t>
        </is>
      </c>
      <c r="D81" s="31" t="inlineStr">
        <is>
          <t>miscellaneous</t>
        </is>
      </c>
      <c r="E81" s="31" t="inlineStr">
        <is>
          <t>largecap</t>
        </is>
      </c>
      <c r="F81" s="31" t="n">
        <v>27140.4</v>
      </c>
      <c r="G81" s="31" t="n">
        <v>105.16</v>
      </c>
      <c r="H81" s="31" t="n">
        <v>4.62</v>
      </c>
      <c r="I81" s="31" t="n">
        <v>15469674</v>
      </c>
      <c r="J81" s="31" t="inlineStr">
        <is>
          <t>534309</t>
        </is>
      </c>
    </row>
    <row r="82">
      <c r="A82" s="31" t="inlineStr">
        <is>
          <t>CGCL</t>
        </is>
      </c>
      <c r="B82" s="31" t="inlineStr">
        <is>
          <t>Capri Global Capital Limited</t>
        </is>
      </c>
      <c r="C82" s="31" t="inlineStr">
        <is>
          <t>financials</t>
        </is>
      </c>
      <c r="D82" s="31" t="inlineStr">
        <is>
          <t>finance &amp; investments</t>
        </is>
      </c>
      <c r="E82" s="31" t="inlineStr">
        <is>
          <t>midcap</t>
        </is>
      </c>
      <c r="F82" s="31" t="n">
        <v>19174.77</v>
      </c>
      <c r="G82" s="31" t="n">
        <v>208.48</v>
      </c>
      <c r="H82" s="31" t="n">
        <v>4.61</v>
      </c>
      <c r="I82" s="31" t="n">
        <v>3918586</v>
      </c>
      <c r="J82" s="31" t="inlineStr">
        <is>
          <t>531595</t>
        </is>
      </c>
    </row>
    <row r="83">
      <c r="A83" s="31" t="inlineStr">
        <is>
          <t>APARINDS</t>
        </is>
      </c>
      <c r="B83" s="31" t="inlineStr">
        <is>
          <t>Apar Industries Limited</t>
        </is>
      </c>
      <c r="C83" s="31" t="inlineStr">
        <is>
          <t>industrials</t>
        </is>
      </c>
      <c r="D83" s="31" t="inlineStr">
        <is>
          <t>electric equipment</t>
        </is>
      </c>
      <c r="E83" s="31" t="inlineStr">
        <is>
          <t>largecap</t>
        </is>
      </c>
      <c r="F83" s="31" t="n">
        <v>58448.92</v>
      </c>
      <c r="G83" s="31" t="n">
        <v>15221</v>
      </c>
      <c r="H83" s="31" t="n">
        <v>4.6</v>
      </c>
      <c r="I83" s="31" t="n">
        <v>271159</v>
      </c>
      <c r="J83" s="31" t="inlineStr">
        <is>
          <t>532259</t>
        </is>
      </c>
    </row>
    <row r="84">
      <c r="A84" s="31" t="inlineStr">
        <is>
          <t>ZENTEC</t>
        </is>
      </c>
      <c r="B84" s="31" t="inlineStr">
        <is>
          <t>Zen Technologies Limited</t>
        </is>
      </c>
      <c r="C84" s="31" t="inlineStr">
        <is>
          <t>aerospace &amp; defence</t>
        </is>
      </c>
      <c r="D84" s="31" t="inlineStr">
        <is>
          <t>miscellaneous</t>
        </is>
      </c>
      <c r="E84" s="31" t="inlineStr">
        <is>
          <t>midcap</t>
        </is>
      </c>
      <c r="F84" s="31" t="n">
        <v>15485.7</v>
      </c>
      <c r="G84" s="31" t="n">
        <v>1793.8</v>
      </c>
      <c r="H84" s="31" t="n">
        <v>4.59</v>
      </c>
      <c r="I84" s="31" t="n">
        <v>900956</v>
      </c>
      <c r="J84" s="31" t="inlineStr">
        <is>
          <t>533339</t>
        </is>
      </c>
    </row>
    <row r="85">
      <c r="A85" s="31" t="inlineStr">
        <is>
          <t>SKIPPER</t>
        </is>
      </c>
      <c r="B85" s="31" t="inlineStr">
        <is>
          <t>Skipper Limited</t>
        </is>
      </c>
      <c r="C85" s="31" t="inlineStr">
        <is>
          <t>industrials</t>
        </is>
      </c>
      <c r="D85" s="31" t="inlineStr">
        <is>
          <t>engineering</t>
        </is>
      </c>
      <c r="E85" s="31" t="inlineStr">
        <is>
          <t>midcap</t>
        </is>
      </c>
      <c r="F85" s="31" t="n">
        <v>5880.04</v>
      </c>
      <c r="G85" s="31" t="n">
        <v>544.65</v>
      </c>
      <c r="H85" s="31" t="n">
        <v>4.58</v>
      </c>
      <c r="I85" s="31" t="n">
        <v>738660</v>
      </c>
      <c r="J85" s="31" t="inlineStr">
        <is>
          <t>538562</t>
        </is>
      </c>
    </row>
    <row r="86">
      <c r="A86" s="31" t="inlineStr">
        <is>
          <t>RICOAUTO</t>
        </is>
      </c>
      <c r="B86" s="31" t="inlineStr">
        <is>
          <t>Rico Auto Industries Limited</t>
        </is>
      </c>
      <c r="C86" s="31" t="inlineStr">
        <is>
          <t>auto</t>
        </is>
      </c>
      <c r="D86" s="31" t="inlineStr">
        <is>
          <t>auto ancillaries</t>
        </is>
      </c>
      <c r="E86" s="31" t="inlineStr">
        <is>
          <t>smallcap</t>
        </is>
      </c>
      <c r="F86" s="31" t="n">
        <v>1723.8</v>
      </c>
      <c r="G86" s="31" t="n">
        <v>133.19</v>
      </c>
      <c r="H86" s="31" t="n">
        <v>4.53</v>
      </c>
      <c r="I86" s="31" t="n">
        <v>2415303</v>
      </c>
      <c r="J86" s="31" t="inlineStr">
        <is>
          <t>520008</t>
        </is>
      </c>
    </row>
    <row r="87">
      <c r="A87" s="31" t="inlineStr">
        <is>
          <t>GREENLAM</t>
        </is>
      </c>
      <c r="B87" s="31" t="inlineStr">
        <is>
          <t>Greenlam Industries Limited</t>
        </is>
      </c>
      <c r="C87" s="31" t="inlineStr">
        <is>
          <t>building materials</t>
        </is>
      </c>
      <c r="D87" s="31" t="inlineStr">
        <is>
          <t>miscellaneous</t>
        </is>
      </c>
      <c r="E87" s="31" t="inlineStr">
        <is>
          <t>midcap</t>
        </is>
      </c>
      <c r="F87" s="31" t="n">
        <v>6162.33</v>
      </c>
      <c r="G87" s="31" t="n">
        <v>252.39</v>
      </c>
      <c r="H87" s="31" t="n">
        <v>4.5</v>
      </c>
      <c r="I87" s="31" t="n">
        <v>344947</v>
      </c>
      <c r="J87" s="31" t="inlineStr">
        <is>
          <t>538979</t>
        </is>
      </c>
    </row>
    <row r="88">
      <c r="A88" s="31" t="inlineStr">
        <is>
          <t>BAJAJCON</t>
        </is>
      </c>
      <c r="B88" s="31" t="inlineStr">
        <is>
          <t>Bajaj Consumer Care Ltd</t>
        </is>
      </c>
      <c r="C88" s="31" t="inlineStr">
        <is>
          <t>fmcg</t>
        </is>
      </c>
      <c r="D88" s="31" t="inlineStr">
        <is>
          <t>personal care - indian</t>
        </is>
      </c>
      <c r="E88" s="31" t="inlineStr">
        <is>
          <t>midcap</t>
        </is>
      </c>
      <c r="F88" s="31" t="n">
        <v>7396.26</v>
      </c>
      <c r="G88" s="31" t="n">
        <v>591.65</v>
      </c>
      <c r="H88" s="31" t="n">
        <v>4.49</v>
      </c>
      <c r="I88" s="31" t="n">
        <v>544779</v>
      </c>
      <c r="J88" s="31" t="inlineStr">
        <is>
          <t>533229</t>
        </is>
      </c>
    </row>
    <row r="89">
      <c r="A89" s="31" t="inlineStr">
        <is>
          <t>PSPPROJECT</t>
        </is>
      </c>
      <c r="B89" s="31" t="inlineStr">
        <is>
          <t>PSP Projects Ltd</t>
        </is>
      </c>
      <c r="C89" s="31" t="inlineStr">
        <is>
          <t>realty</t>
        </is>
      </c>
      <c r="D89" s="31" t="inlineStr">
        <is>
          <t>construction</t>
        </is>
      </c>
      <c r="E89" s="31" t="inlineStr">
        <is>
          <t>smallcap</t>
        </is>
      </c>
      <c r="F89" s="31" t="n">
        <v>3480.15</v>
      </c>
      <c r="G89" s="31" t="n">
        <v>917.2</v>
      </c>
      <c r="H89" s="31" t="n">
        <v>4.48</v>
      </c>
      <c r="I89" s="31" t="n">
        <v>161387</v>
      </c>
      <c r="J89" s="31" t="inlineStr">
        <is>
          <t>540544</t>
        </is>
      </c>
    </row>
    <row r="90">
      <c r="A90" s="31" t="inlineStr">
        <is>
          <t>SANGHVIMOV</t>
        </is>
      </c>
      <c r="B90" s="31" t="inlineStr">
        <is>
          <t>Sanghvi Movers Limited</t>
        </is>
      </c>
      <c r="C90" s="31" t="inlineStr">
        <is>
          <t>miscellaneous</t>
        </is>
      </c>
      <c r="D90" s="31" t="inlineStr">
        <is>
          <t>miscellaneous</t>
        </is>
      </c>
      <c r="E90" s="31" t="inlineStr">
        <is>
          <t>smallcap</t>
        </is>
      </c>
      <c r="F90" s="31" t="n">
        <v>3214.57</v>
      </c>
      <c r="G90" s="31" t="n">
        <v>387.95</v>
      </c>
      <c r="H90" s="31" t="n">
        <v>4.48</v>
      </c>
      <c r="I90" s="31" t="n">
        <v>310635</v>
      </c>
      <c r="J90" s="31" t="inlineStr">
        <is>
          <t>530073</t>
        </is>
      </c>
    </row>
    <row r="91">
      <c r="A91" s="31" t="inlineStr">
        <is>
          <t>JAYAGROGN</t>
        </is>
      </c>
      <c r="B91" s="31" t="inlineStr">
        <is>
          <t>Jayant Agro Organics Limited</t>
        </is>
      </c>
      <c r="C91" s="31" t="inlineStr">
        <is>
          <t>chemicals</t>
        </is>
      </c>
      <c r="D91" s="31" t="inlineStr">
        <is>
          <t>chemicals</t>
        </is>
      </c>
      <c r="E91" s="31" t="inlineStr">
        <is>
          <t>smallcap</t>
        </is>
      </c>
      <c r="F91" s="31" t="n">
        <v>648.9299999999999</v>
      </c>
      <c r="G91" s="31" t="n">
        <v>225.85</v>
      </c>
      <c r="H91" s="31" t="n">
        <v>4.41</v>
      </c>
      <c r="I91" s="31" t="n">
        <v>10624</v>
      </c>
      <c r="J91" s="31" t="inlineStr">
        <is>
          <t>524330</t>
        </is>
      </c>
    </row>
    <row r="92">
      <c r="A92" s="31" t="inlineStr">
        <is>
          <t>LICHSGFIN</t>
        </is>
      </c>
      <c r="B92" s="31" t="inlineStr">
        <is>
          <t>Lic Housing Finance Limited</t>
        </is>
      </c>
      <c r="C92" s="31" t="inlineStr">
        <is>
          <t>financials</t>
        </is>
      </c>
      <c r="D92" s="31" t="inlineStr">
        <is>
          <t>finance - housing</t>
        </is>
      </c>
      <c r="E92" s="31" t="inlineStr">
        <is>
          <t>largecap</t>
        </is>
      </c>
      <c r="F92" s="31" t="n">
        <v>29477.88</v>
      </c>
      <c r="G92" s="31" t="n">
        <v>559.5</v>
      </c>
      <c r="H92" s="31" t="n">
        <v>4.4</v>
      </c>
      <c r="I92" s="31" t="n">
        <v>2541823</v>
      </c>
      <c r="J92" s="31" t="inlineStr">
        <is>
          <t>500253</t>
        </is>
      </c>
    </row>
    <row r="93">
      <c r="A93" s="31" t="inlineStr">
        <is>
          <t>GVT&amp;D</t>
        </is>
      </c>
      <c r="B93" s="31" t="inlineStr">
        <is>
          <t>GE Vernova T&amp;D India Ltd</t>
        </is>
      </c>
      <c r="C93" s="31" t="inlineStr">
        <is>
          <t>industrials</t>
        </is>
      </c>
      <c r="D93" s="31" t="inlineStr">
        <is>
          <t>electric equipment</t>
        </is>
      </c>
      <c r="E93" s="31" t="inlineStr">
        <is>
          <t>largecap</t>
        </is>
      </c>
      <c r="F93" s="31" t="n">
        <v>121238.03</v>
      </c>
      <c r="G93" s="31" t="n">
        <v>4942.5</v>
      </c>
      <c r="H93" s="31" t="n">
        <v>4.38</v>
      </c>
      <c r="I93" s="31" t="n">
        <v>460629</v>
      </c>
      <c r="J93" s="31" t="inlineStr">
        <is>
          <t>522275</t>
        </is>
      </c>
    </row>
    <row r="94">
      <c r="A94" s="31" t="inlineStr">
        <is>
          <t>TITAGARH</t>
        </is>
      </c>
      <c r="B94" s="31" t="inlineStr">
        <is>
          <t>Titagarh Rail Systems Ltd</t>
        </is>
      </c>
      <c r="C94" s="31" t="inlineStr">
        <is>
          <t>industrials</t>
        </is>
      </c>
      <c r="D94" s="31" t="inlineStr">
        <is>
          <t>engineering</t>
        </is>
      </c>
      <c r="E94" s="31" t="inlineStr">
        <is>
          <t>midcap</t>
        </is>
      </c>
      <c r="F94" s="31" t="n">
        <v>11079.61</v>
      </c>
      <c r="G94" s="31" t="n">
        <v>858.65</v>
      </c>
      <c r="H94" s="31" t="n">
        <v>4.37</v>
      </c>
      <c r="I94" s="31" t="n">
        <v>994625</v>
      </c>
      <c r="J94" s="31" t="inlineStr">
        <is>
          <t>532966</t>
        </is>
      </c>
    </row>
    <row r="95">
      <c r="A95" s="31" t="inlineStr">
        <is>
          <t>SUPRIYA</t>
        </is>
      </c>
      <c r="B95" s="31" t="inlineStr">
        <is>
          <t>Supriya Lifescience Ltd</t>
        </is>
      </c>
      <c r="C95" s="31" t="inlineStr">
        <is>
          <t>healthcare</t>
        </is>
      </c>
      <c r="D95" s="31" t="inlineStr">
        <is>
          <t>pharmaceuticals - indian - bulk drugs &amp; formln</t>
        </is>
      </c>
      <c r="E95" s="31" t="inlineStr">
        <is>
          <t>midcap</t>
        </is>
      </c>
      <c r="F95" s="31" t="n">
        <v>7541.24</v>
      </c>
      <c r="G95" s="31" t="n">
        <v>977.15</v>
      </c>
      <c r="H95" s="31" t="n">
        <v>4.29</v>
      </c>
      <c r="I95" s="31" t="n">
        <v>709530</v>
      </c>
      <c r="J95" s="31" t="inlineStr">
        <is>
          <t>543434</t>
        </is>
      </c>
    </row>
    <row r="96">
      <c r="A96" s="31" t="inlineStr">
        <is>
          <t>DIACABS</t>
        </is>
      </c>
      <c r="B96" s="31" t="inlineStr">
        <is>
          <t>Diamond Power Infrastructure Ltd</t>
        </is>
      </c>
      <c r="C96" s="31" t="inlineStr">
        <is>
          <t>industrials</t>
        </is>
      </c>
      <c r="D96" s="31" t="inlineStr">
        <is>
          <t>cables - power</t>
        </is>
      </c>
      <c r="E96" s="31" t="inlineStr">
        <is>
          <t>midcap</t>
        </is>
      </c>
      <c r="F96" s="31" t="n">
        <v>10209.01</v>
      </c>
      <c r="G96" s="31" t="n">
        <v>201.91</v>
      </c>
      <c r="H96" s="31" t="n">
        <v>4.22</v>
      </c>
      <c r="I96" s="31" t="n">
        <v>4513813</v>
      </c>
      <c r="J96" s="31" t="inlineStr">
        <is>
          <t>522163</t>
        </is>
      </c>
    </row>
    <row r="97">
      <c r="A97" s="31" t="inlineStr">
        <is>
          <t>GAYAPROJ</t>
        </is>
      </c>
      <c r="B97" s="31" t="inlineStr">
        <is>
          <t>Gayatri Projects Limited</t>
        </is>
      </c>
      <c r="C97" s="31" t="inlineStr">
        <is>
          <t>realty</t>
        </is>
      </c>
      <c r="D97" s="31" t="inlineStr">
        <is>
          <t>construction</t>
        </is>
      </c>
      <c r="E97" s="31" t="inlineStr">
        <is>
          <t>smallcap</t>
        </is>
      </c>
      <c r="F97" s="31" t="n">
        <v>621.42</v>
      </c>
      <c r="G97" s="31" t="n">
        <v>21.86</v>
      </c>
      <c r="H97" s="31" t="n">
        <v>4.19</v>
      </c>
      <c r="I97" s="31" t="n">
        <v>369116</v>
      </c>
      <c r="J97" s="31" t="inlineStr">
        <is>
          <t>532767</t>
        </is>
      </c>
    </row>
    <row r="98">
      <c r="A98" s="31" t="inlineStr">
        <is>
          <t>SANSTAR</t>
        </is>
      </c>
      <c r="B98" s="31" t="inlineStr">
        <is>
          <t>Sanstar Ltd</t>
        </is>
      </c>
      <c r="C98" s="31" t="inlineStr">
        <is>
          <t>fmcg</t>
        </is>
      </c>
      <c r="D98" s="31" t="inlineStr">
        <is>
          <t>miscellaneous</t>
        </is>
      </c>
      <c r="E98" s="31" t="inlineStr">
        <is>
          <t>smallcap</t>
        </is>
      </c>
      <c r="F98" s="31" t="n">
        <v>2038.22</v>
      </c>
      <c r="G98" s="31" t="n">
        <v>116.48</v>
      </c>
      <c r="H98" s="31" t="n">
        <v>4.15</v>
      </c>
      <c r="I98" s="31" t="n">
        <v>563976</v>
      </c>
      <c r="J98" s="31" t="inlineStr">
        <is>
          <t>544217</t>
        </is>
      </c>
    </row>
    <row r="99">
      <c r="A99" s="31" t="inlineStr">
        <is>
          <t>CYIENTDLM</t>
        </is>
      </c>
      <c r="B99" s="31" t="inlineStr">
        <is>
          <t>Cyient DLM Ltd</t>
        </is>
      </c>
      <c r="C99" s="31" t="inlineStr">
        <is>
          <t>consumer discretionary</t>
        </is>
      </c>
      <c r="D99" s="31" t="inlineStr">
        <is>
          <t>electronics - components</t>
        </is>
      </c>
      <c r="E99" s="31" t="inlineStr">
        <is>
          <t>smallcap</t>
        </is>
      </c>
      <c r="F99" s="31" t="n">
        <v>3427.35</v>
      </c>
      <c r="G99" s="31" t="n">
        <v>449.7</v>
      </c>
      <c r="H99" s="31" t="n">
        <v>4.13</v>
      </c>
      <c r="I99" s="31" t="n">
        <v>243804</v>
      </c>
      <c r="J99" s="31" t="inlineStr">
        <is>
          <t>543933</t>
        </is>
      </c>
    </row>
    <row r="100">
      <c r="A100" s="31" t="inlineStr">
        <is>
          <t>TATATECH</t>
        </is>
      </c>
      <c r="B100" s="31" t="inlineStr">
        <is>
          <t>Tata Technologies Ltd</t>
        </is>
      </c>
      <c r="C100" s="31" t="inlineStr">
        <is>
          <t>i.t</t>
        </is>
      </c>
      <c r="D100" s="31" t="inlineStr">
        <is>
          <t>computers - software - medium / small</t>
        </is>
      </c>
      <c r="E100" s="31" t="inlineStr">
        <is>
          <t>largecap</t>
        </is>
      </c>
      <c r="F100" s="31" t="n">
        <v>29695.36</v>
      </c>
      <c r="G100" s="31" t="n">
        <v>761</v>
      </c>
      <c r="H100" s="31" t="n">
        <v>4.04</v>
      </c>
      <c r="I100" s="31" t="n">
        <v>1516932</v>
      </c>
      <c r="J100" s="31" t="inlineStr">
        <is>
          <t>544028</t>
        </is>
      </c>
    </row>
    <row r="101">
      <c r="A101" s="31" t="inlineStr">
        <is>
          <t>INDOBORAX</t>
        </is>
      </c>
      <c r="B101" s="31" t="inlineStr">
        <is>
          <t>Indo Borax &amp; Chemicals Ltd</t>
        </is>
      </c>
      <c r="C101" s="31" t="inlineStr">
        <is>
          <t>chemicals</t>
        </is>
      </c>
      <c r="D101" s="31" t="inlineStr">
        <is>
          <t>chemicals</t>
        </is>
      </c>
      <c r="E101" s="31" t="inlineStr">
        <is>
          <t>smallcap</t>
        </is>
      </c>
      <c r="F101" s="31" t="n">
        <v>1151.87</v>
      </c>
      <c r="G101" s="31" t="n">
        <v>373.45</v>
      </c>
      <c r="H101" s="31" t="n">
        <v>4.04</v>
      </c>
      <c r="I101" s="31" t="n">
        <v>120839</v>
      </c>
      <c r="J101" s="31" t="inlineStr">
        <is>
          <t>524342</t>
        </is>
      </c>
    </row>
    <row r="102">
      <c r="A102" s="31" t="inlineStr">
        <is>
          <t>STYLAMIND</t>
        </is>
      </c>
      <c r="B102" s="31" t="inlineStr">
        <is>
          <t>Stylam Industries Ltd</t>
        </is>
      </c>
      <c r="C102" s="31" t="inlineStr">
        <is>
          <t>building materials</t>
        </is>
      </c>
      <c r="D102" s="31" t="inlineStr">
        <is>
          <t>miscellaneous</t>
        </is>
      </c>
      <c r="E102" s="31" t="inlineStr">
        <is>
          <t>midcap</t>
        </is>
      </c>
      <c r="F102" s="31" t="n">
        <v>5180.34</v>
      </c>
      <c r="G102" s="31" t="n">
        <v>3179.9</v>
      </c>
      <c r="H102" s="31" t="n">
        <v>4.03</v>
      </c>
      <c r="I102" s="31" t="n">
        <v>37398</v>
      </c>
      <c r="J102" s="31" t="inlineStr">
        <is>
          <t>526951</t>
        </is>
      </c>
    </row>
    <row r="103">
      <c r="A103" s="31" t="inlineStr">
        <is>
          <t>KTKBANK</t>
        </is>
      </c>
      <c r="B103" s="31" t="inlineStr">
        <is>
          <t>The Karnataka Bank Limited</t>
        </is>
      </c>
      <c r="C103" s="31" t="inlineStr">
        <is>
          <t>bank</t>
        </is>
      </c>
      <c r="D103" s="31" t="inlineStr">
        <is>
          <t>banks - private sector</t>
        </is>
      </c>
      <c r="E103" s="31" t="inlineStr">
        <is>
          <t>midcap</t>
        </is>
      </c>
      <c r="F103" s="31" t="n">
        <v>10022.61</v>
      </c>
      <c r="G103" s="31" t="n">
        <v>275.7</v>
      </c>
      <c r="H103" s="31" t="n">
        <v>4.02</v>
      </c>
      <c r="I103" s="31" t="n">
        <v>3073840</v>
      </c>
      <c r="J103" s="31" t="inlineStr">
        <is>
          <t>532652</t>
        </is>
      </c>
    </row>
    <row r="104">
      <c r="A104" s="31" t="inlineStr">
        <is>
          <t>BOSCHLTD</t>
        </is>
      </c>
      <c r="B104" s="31" t="inlineStr">
        <is>
          <t>Bosch Limited</t>
        </is>
      </c>
      <c r="C104" s="31" t="inlineStr">
        <is>
          <t>auto</t>
        </is>
      </c>
      <c r="D104" s="31" t="inlineStr">
        <is>
          <t>auto ancillaries</t>
        </is>
      </c>
      <c r="E104" s="31" t="inlineStr">
        <is>
          <t>largecap</t>
        </is>
      </c>
      <c r="F104" s="31" t="n">
        <v>110792.86</v>
      </c>
      <c r="G104" s="31" t="n">
        <v>39060</v>
      </c>
      <c r="H104" s="31" t="n">
        <v>3.98</v>
      </c>
      <c r="I104" s="31" t="n">
        <v>78501</v>
      </c>
      <c r="J104" s="31" t="inlineStr">
        <is>
          <t>500530</t>
        </is>
      </c>
    </row>
    <row r="105">
      <c r="A105" s="31" t="inlineStr">
        <is>
          <t>KPIL</t>
        </is>
      </c>
      <c r="B105" s="31" t="inlineStr">
        <is>
          <t>Kalpataru Projects International Ltd</t>
        </is>
      </c>
      <c r="C105" s="31" t="inlineStr">
        <is>
          <t>realty</t>
        </is>
      </c>
      <c r="D105" s="31" t="inlineStr">
        <is>
          <t>transmisson line towers / equipment</t>
        </is>
      </c>
      <c r="E105" s="31" t="inlineStr">
        <is>
          <t>largecap</t>
        </is>
      </c>
      <c r="F105" s="31" t="n">
        <v>21390.97</v>
      </c>
      <c r="G105" s="31" t="n">
        <v>1301.6</v>
      </c>
      <c r="H105" s="31" t="n">
        <v>3.91</v>
      </c>
      <c r="I105" s="31" t="n">
        <v>138153</v>
      </c>
      <c r="J105" s="31" t="inlineStr">
        <is>
          <t>522287</t>
        </is>
      </c>
    </row>
    <row r="106">
      <c r="A106" s="31" t="inlineStr">
        <is>
          <t>KAMDHENU</t>
        </is>
      </c>
      <c r="B106" s="31" t="inlineStr">
        <is>
          <t>Kamdhenu Limited</t>
        </is>
      </c>
      <c r="C106" s="31" t="inlineStr">
        <is>
          <t>metals &amp; mining</t>
        </is>
      </c>
      <c r="D106" s="31" t="inlineStr">
        <is>
          <t>steel - medium / small</t>
        </is>
      </c>
      <c r="E106" s="31" t="inlineStr">
        <is>
          <t>smallcap</t>
        </is>
      </c>
      <c r="F106" s="31" t="n">
        <v>794.91</v>
      </c>
      <c r="G106" s="31" t="n">
        <v>29.29</v>
      </c>
      <c r="H106" s="31" t="n">
        <v>3.87</v>
      </c>
      <c r="I106" s="31" t="n">
        <v>2494603</v>
      </c>
      <c r="J106" s="31" t="inlineStr">
        <is>
          <t>532741</t>
        </is>
      </c>
    </row>
    <row r="107">
      <c r="A107" s="31" t="inlineStr">
        <is>
          <t>MUTHOOTMF</t>
        </is>
      </c>
      <c r="B107" s="31" t="inlineStr">
        <is>
          <t>Muthoot Microfin Ltd</t>
        </is>
      </c>
      <c r="C107" s="31" t="inlineStr">
        <is>
          <t>financials</t>
        </is>
      </c>
      <c r="D107" s="31" t="inlineStr">
        <is>
          <t>finance &amp; investments</t>
        </is>
      </c>
      <c r="E107" s="31" t="inlineStr">
        <is>
          <t>smallcap</t>
        </is>
      </c>
      <c r="F107" s="31" t="n">
        <v>3079.6</v>
      </c>
      <c r="G107" s="31" t="n">
        <v>187.6</v>
      </c>
      <c r="H107" s="31" t="n">
        <v>3.86</v>
      </c>
      <c r="I107" s="31" t="n">
        <v>212022</v>
      </c>
      <c r="J107" s="31" t="inlineStr">
        <is>
          <t>544055</t>
        </is>
      </c>
    </row>
    <row r="108">
      <c r="A108" s="31" t="inlineStr">
        <is>
          <t>BALAMINES</t>
        </is>
      </c>
      <c r="B108" s="31" t="inlineStr">
        <is>
          <t>Balaji Amines Limited</t>
        </is>
      </c>
      <c r="C108" s="31" t="inlineStr">
        <is>
          <t>chemicals</t>
        </is>
      </c>
      <c r="D108" s="31" t="inlineStr">
        <is>
          <t>chemicals</t>
        </is>
      </c>
      <c r="E108" s="31" t="inlineStr">
        <is>
          <t>midcap</t>
        </is>
      </c>
      <c r="F108" s="31" t="n">
        <v>6655.17</v>
      </c>
      <c r="G108" s="31" t="n">
        <v>2133</v>
      </c>
      <c r="H108" s="31" t="n">
        <v>3.85</v>
      </c>
      <c r="I108" s="31" t="n">
        <v>212251</v>
      </c>
      <c r="J108" s="31" t="inlineStr">
        <is>
          <t>530999</t>
        </is>
      </c>
    </row>
    <row r="109">
      <c r="A109" s="31" t="inlineStr">
        <is>
          <t>SAMMAANCAP</t>
        </is>
      </c>
      <c r="B109" s="31" t="inlineStr">
        <is>
          <t>Sammaan Capital Ltd</t>
        </is>
      </c>
      <c r="C109" s="31" t="inlineStr">
        <is>
          <t>financials</t>
        </is>
      </c>
      <c r="D109" s="31" t="inlineStr">
        <is>
          <t>finance - housing</t>
        </is>
      </c>
      <c r="E109" s="31" t="inlineStr">
        <is>
          <t>midcap</t>
        </is>
      </c>
      <c r="F109" s="31" t="n">
        <v>19512.8</v>
      </c>
      <c r="G109" s="31" t="n">
        <v>174.42</v>
      </c>
      <c r="H109" s="31" t="n">
        <v>3.84</v>
      </c>
      <c r="I109" s="31" t="n">
        <v>13048147</v>
      </c>
      <c r="J109" s="31" t="inlineStr">
        <is>
          <t>535789</t>
        </is>
      </c>
    </row>
    <row r="110">
      <c r="A110" s="31" t="inlineStr">
        <is>
          <t>RELIGARE</t>
        </is>
      </c>
      <c r="B110" s="31" t="inlineStr">
        <is>
          <t>Religare Enterprises Limited</t>
        </is>
      </c>
      <c r="C110" s="31" t="inlineStr">
        <is>
          <t>financials</t>
        </is>
      </c>
      <c r="D110" s="31" t="inlineStr">
        <is>
          <t>finance &amp; investments</t>
        </is>
      </c>
      <c r="E110" s="31" t="inlineStr">
        <is>
          <t>midcap</t>
        </is>
      </c>
      <c r="F110" s="31" t="n">
        <v>7692.77</v>
      </c>
      <c r="G110" s="31" t="n">
        <v>239.82</v>
      </c>
      <c r="H110" s="31" t="n">
        <v>3.78</v>
      </c>
      <c r="I110" s="31" t="n">
        <v>683668</v>
      </c>
      <c r="J110" s="31" t="inlineStr">
        <is>
          <t>532915</t>
        </is>
      </c>
    </row>
    <row r="111">
      <c r="A111" s="31" t="inlineStr">
        <is>
          <t>TMPV</t>
        </is>
      </c>
      <c r="B111" s="31" t="inlineStr">
        <is>
          <t>Tata Motors Passenger Vehicles Ltd</t>
        </is>
      </c>
      <c r="C111" s="31" t="inlineStr">
        <is>
          <t>auto</t>
        </is>
      </c>
      <c r="D111" s="31" t="inlineStr">
        <is>
          <t>automobiles - passenger cars</t>
        </is>
      </c>
      <c r="E111" s="31" t="inlineStr">
        <is>
          <t>largecap</t>
        </is>
      </c>
      <c r="F111" s="31" t="n">
        <v>138420.57</v>
      </c>
      <c r="G111" s="31" t="n">
        <v>390</v>
      </c>
      <c r="H111" s="31" t="n">
        <v>3.75</v>
      </c>
      <c r="I111" s="31" t="n">
        <v>7787586</v>
      </c>
      <c r="J111" s="31" t="inlineStr">
        <is>
          <t>500570</t>
        </is>
      </c>
    </row>
    <row r="112">
      <c r="A112" s="31" t="inlineStr">
        <is>
          <t>LOKESHMACH</t>
        </is>
      </c>
      <c r="B112" s="31" t="inlineStr">
        <is>
          <t>Lokesh Machines Limited</t>
        </is>
      </c>
      <c r="C112" s="31" t="inlineStr">
        <is>
          <t>industrials</t>
        </is>
      </c>
      <c r="D112" s="31" t="inlineStr">
        <is>
          <t>engineering</t>
        </is>
      </c>
      <c r="E112" s="31" t="inlineStr">
        <is>
          <t>smallcap</t>
        </is>
      </c>
      <c r="F112" s="31" t="n">
        <v>545.2</v>
      </c>
      <c r="G112" s="31" t="n">
        <v>265.6</v>
      </c>
      <c r="H112" s="31" t="n">
        <v>3.75</v>
      </c>
      <c r="I112" s="31" t="n">
        <v>27225</v>
      </c>
      <c r="J112" s="31" t="inlineStr">
        <is>
          <t>532740</t>
        </is>
      </c>
    </row>
    <row r="113">
      <c r="A113" s="31" t="inlineStr">
        <is>
          <t>RISHABH</t>
        </is>
      </c>
      <c r="B113" s="31" t="inlineStr">
        <is>
          <t>Rishabh Instruments Ltd</t>
        </is>
      </c>
      <c r="C113" s="31" t="inlineStr">
        <is>
          <t>industrials</t>
        </is>
      </c>
      <c r="D113" s="31" t="inlineStr">
        <is>
          <t>electric equipment</t>
        </is>
      </c>
      <c r="E113" s="31" t="inlineStr">
        <is>
          <t>smallcap</t>
        </is>
      </c>
      <c r="F113" s="31" t="n">
        <v>2067.61</v>
      </c>
      <c r="G113" s="31" t="n">
        <v>556.45</v>
      </c>
      <c r="H113" s="31" t="n">
        <v>3.74</v>
      </c>
      <c r="I113" s="31" t="n">
        <v>185867</v>
      </c>
      <c r="J113" s="31" t="inlineStr">
        <is>
          <t>543977</t>
        </is>
      </c>
    </row>
    <row r="114">
      <c r="A114" s="31" t="inlineStr">
        <is>
          <t>UNIVCABLES</t>
        </is>
      </c>
      <c r="B114" s="31" t="inlineStr">
        <is>
          <t>Universal Cables Limited</t>
        </is>
      </c>
      <c r="C114" s="31" t="inlineStr">
        <is>
          <t>industrials</t>
        </is>
      </c>
      <c r="D114" s="31" t="inlineStr">
        <is>
          <t>cables - power</t>
        </is>
      </c>
      <c r="E114" s="31" t="inlineStr">
        <is>
          <t>smallcap</t>
        </is>
      </c>
      <c r="F114" s="31" t="n">
        <v>3935.5</v>
      </c>
      <c r="G114" s="31" t="n">
        <v>1176.6</v>
      </c>
      <c r="H114" s="31" t="n">
        <v>3.73</v>
      </c>
      <c r="I114" s="31" t="n">
        <v>145680</v>
      </c>
      <c r="J114" s="31" t="inlineStr">
        <is>
          <t>504212</t>
        </is>
      </c>
    </row>
    <row r="115">
      <c r="A115" s="31" t="inlineStr">
        <is>
          <t>MSPL</t>
        </is>
      </c>
      <c r="B115" s="31" t="inlineStr">
        <is>
          <t>Msp Steel &amp; Power Limited</t>
        </is>
      </c>
      <c r="C115" s="31" t="inlineStr">
        <is>
          <t>metals &amp; mining</t>
        </is>
      </c>
      <c r="D115" s="31" t="inlineStr">
        <is>
          <t>steel - medium / small</t>
        </is>
      </c>
      <c r="E115" s="31" t="inlineStr">
        <is>
          <t>smallcap</t>
        </is>
      </c>
      <c r="F115" s="31" t="n">
        <v>2266.05</v>
      </c>
      <c r="G115" s="31" t="n">
        <v>41.47</v>
      </c>
      <c r="H115" s="31" t="n">
        <v>3.73</v>
      </c>
      <c r="I115" s="31" t="n">
        <v>6197266</v>
      </c>
      <c r="J115" s="31" t="inlineStr">
        <is>
          <t>532650</t>
        </is>
      </c>
    </row>
    <row r="116">
      <c r="A116" s="31" t="inlineStr">
        <is>
          <t>JSFB</t>
        </is>
      </c>
      <c r="B116" s="31" t="inlineStr">
        <is>
          <t>Jana Small Finance Bank Ltd</t>
        </is>
      </c>
      <c r="C116" s="31" t="inlineStr">
        <is>
          <t>bank</t>
        </is>
      </c>
      <c r="D116" s="31" t="inlineStr">
        <is>
          <t>banks - private sector</t>
        </is>
      </c>
      <c r="E116" s="31" t="inlineStr">
        <is>
          <t>smallcap</t>
        </is>
      </c>
      <c r="F116" s="31" t="n">
        <v>4874.42</v>
      </c>
      <c r="G116" s="31" t="n">
        <v>479.75</v>
      </c>
      <c r="H116" s="31" t="n">
        <v>3.66</v>
      </c>
      <c r="I116" s="31" t="n">
        <v>766788</v>
      </c>
      <c r="J116" s="31" t="n"/>
    </row>
    <row r="117">
      <c r="A117" s="31" t="inlineStr">
        <is>
          <t>KEI</t>
        </is>
      </c>
      <c r="B117" s="31" t="inlineStr">
        <is>
          <t>Kei Industries Limited</t>
        </is>
      </c>
      <c r="C117" s="31" t="inlineStr">
        <is>
          <t>industrials</t>
        </is>
      </c>
      <c r="D117" s="31" t="inlineStr">
        <is>
          <t>cables - power</t>
        </is>
      </c>
      <c r="E117" s="31" t="inlineStr">
        <is>
          <t>largecap</t>
        </is>
      </c>
      <c r="F117" s="31" t="n">
        <v>49535.45</v>
      </c>
      <c r="G117" s="31" t="n">
        <v>5369.5</v>
      </c>
      <c r="H117" s="31" t="n">
        <v>3.63</v>
      </c>
      <c r="I117" s="31" t="n">
        <v>225909</v>
      </c>
      <c r="J117" s="31" t="inlineStr">
        <is>
          <t>517569</t>
        </is>
      </c>
    </row>
    <row r="118">
      <c r="A118" s="31" t="inlineStr">
        <is>
          <t>YESBANK</t>
        </is>
      </c>
      <c r="B118" s="31" t="inlineStr">
        <is>
          <t>Yes Bank Limited</t>
        </is>
      </c>
      <c r="C118" s="31" t="inlineStr">
        <is>
          <t>bank</t>
        </is>
      </c>
      <c r="D118" s="31" t="inlineStr">
        <is>
          <t>banks - private sector</t>
        </is>
      </c>
      <c r="E118" s="31" t="inlineStr">
        <is>
          <t>largecap</t>
        </is>
      </c>
      <c r="F118" s="31" t="n">
        <v>69722.89999999999</v>
      </c>
      <c r="G118" s="31" t="n">
        <v>23.02</v>
      </c>
      <c r="H118" s="31" t="n">
        <v>3.6</v>
      </c>
      <c r="I118" s="31" t="n">
        <v>87273100</v>
      </c>
      <c r="J118" s="31" t="inlineStr">
        <is>
          <t>532648</t>
        </is>
      </c>
    </row>
    <row r="119">
      <c r="A119" s="31" t="inlineStr">
        <is>
          <t>EPL</t>
        </is>
      </c>
      <c r="B119" s="31" t="inlineStr">
        <is>
          <t>EPL Ltd</t>
        </is>
      </c>
      <c r="C119" s="31" t="inlineStr">
        <is>
          <t>industrials</t>
        </is>
      </c>
      <c r="D119" s="31" t="inlineStr">
        <is>
          <t>packaging</t>
        </is>
      </c>
      <c r="E119" s="31" t="inlineStr">
        <is>
          <t>midcap</t>
        </is>
      </c>
      <c r="F119" s="31" t="n">
        <v>6949.7</v>
      </c>
      <c r="G119" s="31" t="n">
        <v>224.8</v>
      </c>
      <c r="H119" s="31" t="n">
        <v>3.59</v>
      </c>
      <c r="I119" s="31" t="n">
        <v>803690</v>
      </c>
      <c r="J119" s="31" t="inlineStr">
        <is>
          <t>500135</t>
        </is>
      </c>
    </row>
    <row r="120">
      <c r="A120" s="31" t="inlineStr">
        <is>
          <t>TIRUPATIFL</t>
        </is>
      </c>
      <c r="B120" s="31" t="inlineStr">
        <is>
          <t>Tirupati Forge Ltd</t>
        </is>
      </c>
      <c r="C120" s="31" t="inlineStr">
        <is>
          <t>industrials</t>
        </is>
      </c>
      <c r="D120" s="31" t="inlineStr">
        <is>
          <t>castings &amp; forgings</t>
        </is>
      </c>
      <c r="E120" s="31" t="inlineStr">
        <is>
          <t>smallcap</t>
        </is>
      </c>
      <c r="F120" s="31" t="n">
        <v>562.88</v>
      </c>
      <c r="G120" s="31" t="n">
        <v>45.12</v>
      </c>
      <c r="H120" s="31" t="n">
        <v>3.56</v>
      </c>
      <c r="I120" s="31" t="n">
        <v>222016</v>
      </c>
      <c r="J120" s="31" t="inlineStr">
        <is>
          <t>535021</t>
        </is>
      </c>
    </row>
    <row r="121">
      <c r="A121" s="31" t="inlineStr">
        <is>
          <t>BELRISE</t>
        </is>
      </c>
      <c r="B121" s="31" t="inlineStr">
        <is>
          <t>Belrise Industries Ltd</t>
        </is>
      </c>
      <c r="C121" s="31" t="inlineStr">
        <is>
          <t>auto</t>
        </is>
      </c>
      <c r="D121" s="31" t="inlineStr">
        <is>
          <t>auto ancillaries</t>
        </is>
      </c>
      <c r="E121" s="31" t="inlineStr">
        <is>
          <t>midcap</t>
        </is>
      </c>
      <c r="F121" s="31" t="n">
        <v>19612.05</v>
      </c>
      <c r="G121" s="31" t="n">
        <v>228.23</v>
      </c>
      <c r="H121" s="31" t="n">
        <v>3.56</v>
      </c>
      <c r="I121" s="31" t="n">
        <v>2973217</v>
      </c>
      <c r="J121" s="31" t="n"/>
    </row>
    <row r="122">
      <c r="A122" s="31" t="inlineStr">
        <is>
          <t>GMRAIRPORT</t>
        </is>
      </c>
      <c r="B122" s="31" t="inlineStr">
        <is>
          <t>GMR Airports Ltd</t>
        </is>
      </c>
      <c r="C122" s="31" t="inlineStr">
        <is>
          <t>miscellaneous</t>
        </is>
      </c>
      <c r="D122" s="31" t="inlineStr">
        <is>
          <t>miscellaneous</t>
        </is>
      </c>
      <c r="E122" s="31" t="inlineStr">
        <is>
          <t>largecap</t>
        </is>
      </c>
      <c r="F122" s="31" t="n">
        <v>105695.35</v>
      </c>
      <c r="G122" s="31" t="n">
        <v>103.65</v>
      </c>
      <c r="H122" s="31" t="n">
        <v>3.55</v>
      </c>
      <c r="I122" s="31" t="n">
        <v>19549334</v>
      </c>
      <c r="J122" s="31" t="inlineStr">
        <is>
          <t>532754</t>
        </is>
      </c>
    </row>
    <row r="123">
      <c r="A123" s="31" t="inlineStr">
        <is>
          <t>UNIPARTS</t>
        </is>
      </c>
      <c r="B123" s="31" t="inlineStr">
        <is>
          <t>Uniparts India Ltd</t>
        </is>
      </c>
      <c r="C123" s="31" t="inlineStr">
        <is>
          <t>industrials</t>
        </is>
      </c>
      <c r="D123" s="31" t="inlineStr">
        <is>
          <t>engineering</t>
        </is>
      </c>
      <c r="E123" s="31" t="inlineStr">
        <is>
          <t>smallcap</t>
        </is>
      </c>
      <c r="F123" s="31" t="n">
        <v>2876.29</v>
      </c>
      <c r="G123" s="31" t="n">
        <v>659.7</v>
      </c>
      <c r="H123" s="31" t="n">
        <v>3.54</v>
      </c>
      <c r="I123" s="31" t="n">
        <v>198227</v>
      </c>
      <c r="J123" s="31" t="inlineStr">
        <is>
          <t>543689</t>
        </is>
      </c>
    </row>
    <row r="124">
      <c r="A124" s="31" t="inlineStr">
        <is>
          <t>WABAG</t>
        </is>
      </c>
      <c r="B124" s="31" t="inlineStr">
        <is>
          <t>Va Tech Wabag Limited</t>
        </is>
      </c>
      <c r="C124" s="31" t="inlineStr">
        <is>
          <t>realty</t>
        </is>
      </c>
      <c r="D124" s="31" t="inlineStr">
        <is>
          <t>engineering - turnkey services</t>
        </is>
      </c>
      <c r="E124" s="31" t="inlineStr">
        <is>
          <t>midcap</t>
        </is>
      </c>
      <c r="F124" s="31" t="n">
        <v>9495.98</v>
      </c>
      <c r="G124" s="31" t="n">
        <v>1577.8</v>
      </c>
      <c r="H124" s="31" t="n">
        <v>3.53</v>
      </c>
      <c r="I124" s="31" t="n">
        <v>204027</v>
      </c>
      <c r="J124" s="31" t="inlineStr">
        <is>
          <t>533269</t>
        </is>
      </c>
    </row>
    <row r="125">
      <c r="A125" s="31" t="inlineStr">
        <is>
          <t>DEEPAKFERT</t>
        </is>
      </c>
      <c r="B125" s="31" t="inlineStr">
        <is>
          <t>Deepak Fertilizers And Petrochemicals Corporation Limited</t>
        </is>
      </c>
      <c r="C125" s="31" t="inlineStr">
        <is>
          <t>chemicals</t>
        </is>
      </c>
      <c r="D125" s="31" t="inlineStr">
        <is>
          <t>chemicals</t>
        </is>
      </c>
      <c r="E125" s="31" t="inlineStr">
        <is>
          <t>midcap</t>
        </is>
      </c>
      <c r="F125" s="31" t="n">
        <v>18955.87</v>
      </c>
      <c r="G125" s="31" t="n">
        <v>1554.6</v>
      </c>
      <c r="H125" s="31" t="n">
        <v>3.53</v>
      </c>
      <c r="I125" s="31" t="n">
        <v>740484</v>
      </c>
      <c r="J125" s="31" t="inlineStr">
        <is>
          <t>500645</t>
        </is>
      </c>
    </row>
    <row r="126">
      <c r="A126" s="31" t="inlineStr">
        <is>
          <t>SOMANYCERA</t>
        </is>
      </c>
      <c r="B126" s="31" t="inlineStr">
        <is>
          <t>Somany Ceramics Limited</t>
        </is>
      </c>
      <c r="C126" s="31" t="inlineStr">
        <is>
          <t>building materials</t>
        </is>
      </c>
      <c r="D126" s="31" t="inlineStr">
        <is>
          <t>ceramics - tiles / sanitaryware</t>
        </is>
      </c>
      <c r="E126" s="31" t="inlineStr">
        <is>
          <t>smallcap</t>
        </is>
      </c>
      <c r="F126" s="31" t="n">
        <v>2036.9</v>
      </c>
      <c r="G126" s="31" t="n">
        <v>514.15</v>
      </c>
      <c r="H126" s="31" t="n">
        <v>3.52</v>
      </c>
      <c r="I126" s="31" t="n">
        <v>66345</v>
      </c>
      <c r="J126" s="31" t="inlineStr">
        <is>
          <t>531548</t>
        </is>
      </c>
    </row>
    <row r="127">
      <c r="A127" s="31" t="inlineStr">
        <is>
          <t>RML</t>
        </is>
      </c>
      <c r="B127" s="31" t="inlineStr">
        <is>
          <t>Rane (madras) Limited</t>
        </is>
      </c>
      <c r="C127" s="31" t="inlineStr">
        <is>
          <t>auto</t>
        </is>
      </c>
      <c r="D127" s="31" t="inlineStr">
        <is>
          <t>auto ancillaries</t>
        </is>
      </c>
      <c r="E127" s="31" t="inlineStr">
        <is>
          <t>smallcap</t>
        </is>
      </c>
      <c r="F127" s="31" t="n">
        <v>2463.3</v>
      </c>
      <c r="G127" s="31" t="n">
        <v>922.7</v>
      </c>
      <c r="H127" s="31" t="n">
        <v>3.52</v>
      </c>
      <c r="I127" s="31" t="n">
        <v>14666</v>
      </c>
      <c r="J127" s="31" t="inlineStr">
        <is>
          <t>532661</t>
        </is>
      </c>
    </row>
    <row r="128">
      <c r="A128" s="31" t="inlineStr">
        <is>
          <t>ADFFOODS</t>
        </is>
      </c>
      <c r="B128" s="31" t="inlineStr">
        <is>
          <t>Adf Foods Limited</t>
        </is>
      </c>
      <c r="C128" s="31" t="inlineStr">
        <is>
          <t>fmcg</t>
        </is>
      </c>
      <c r="D128" s="31" t="inlineStr">
        <is>
          <t>food - processing - indian</t>
        </is>
      </c>
      <c r="E128" s="31" t="inlineStr">
        <is>
          <t>smallcap</t>
        </is>
      </c>
      <c r="F128" s="31" t="n">
        <v>3005.87</v>
      </c>
      <c r="G128" s="31" t="n">
        <v>283.2</v>
      </c>
      <c r="H128" s="31" t="n">
        <v>3.51</v>
      </c>
      <c r="I128" s="31" t="n">
        <v>96463</v>
      </c>
      <c r="J128" s="31" t="inlineStr">
        <is>
          <t>519183</t>
        </is>
      </c>
    </row>
    <row r="129">
      <c r="A129" s="31" t="inlineStr">
        <is>
          <t>SFL</t>
        </is>
      </c>
      <c r="B129" s="31" t="inlineStr">
        <is>
          <t>Sheela Foam Limited</t>
        </is>
      </c>
      <c r="C129" s="31" t="inlineStr">
        <is>
          <t>consumer discretionary</t>
        </is>
      </c>
      <c r="D129" s="31" t="inlineStr">
        <is>
          <t>miscellaneous</t>
        </is>
      </c>
      <c r="E129" s="31" t="inlineStr">
        <is>
          <t>midcap</t>
        </is>
      </c>
      <c r="F129" s="31" t="n">
        <v>7396.14</v>
      </c>
      <c r="G129" s="31" t="n">
        <v>703.55</v>
      </c>
      <c r="H129" s="31" t="n">
        <v>3.41</v>
      </c>
      <c r="I129" s="31" t="n">
        <v>271377</v>
      </c>
      <c r="J129" s="31" t="inlineStr">
        <is>
          <t>540203</t>
        </is>
      </c>
    </row>
    <row r="130">
      <c r="A130" s="31" t="inlineStr">
        <is>
          <t>INDNIPPON</t>
        </is>
      </c>
      <c r="B130" s="31" t="inlineStr">
        <is>
          <t>India Nippon Electricals Limited</t>
        </is>
      </c>
      <c r="C130" s="31" t="inlineStr">
        <is>
          <t>auto</t>
        </is>
      </c>
      <c r="D130" s="31" t="inlineStr">
        <is>
          <t>auto ancillaries</t>
        </is>
      </c>
      <c r="E130" s="31" t="inlineStr">
        <is>
          <t>smallcap</t>
        </is>
      </c>
      <c r="F130" s="31" t="n">
        <v>1947.7</v>
      </c>
      <c r="G130" s="31" t="n">
        <v>890.25</v>
      </c>
      <c r="H130" s="31" t="n">
        <v>3.4</v>
      </c>
      <c r="I130" s="31" t="n">
        <v>11587</v>
      </c>
      <c r="J130" s="31" t="inlineStr">
        <is>
          <t>532240</t>
        </is>
      </c>
    </row>
    <row r="131">
      <c r="A131" s="31" t="inlineStr">
        <is>
          <t>ASTRAMICRO</t>
        </is>
      </c>
      <c r="B131" s="31" t="inlineStr">
        <is>
          <t>Astra Microwave Products Limited</t>
        </is>
      </c>
      <c r="C131" s="31" t="inlineStr">
        <is>
          <t>aerospace &amp; defence</t>
        </is>
      </c>
      <c r="D131" s="31" t="inlineStr">
        <is>
          <t>telecommunications - equipment</t>
        </is>
      </c>
      <c r="E131" s="31" t="inlineStr">
        <is>
          <t>midcap</t>
        </is>
      </c>
      <c r="F131" s="31" t="n">
        <v>13257.17</v>
      </c>
      <c r="G131" s="31" t="n">
        <v>1443.8</v>
      </c>
      <c r="H131" s="31" t="n">
        <v>3.4</v>
      </c>
      <c r="I131" s="31" t="n">
        <v>573205</v>
      </c>
      <c r="J131" s="31" t="inlineStr">
        <is>
          <t>532493</t>
        </is>
      </c>
    </row>
    <row r="132">
      <c r="A132" s="31" t="inlineStr">
        <is>
          <t>THERMAX</t>
        </is>
      </c>
      <c r="B132" s="31" t="inlineStr">
        <is>
          <t>Thermax Limited</t>
        </is>
      </c>
      <c r="C132" s="31" t="inlineStr">
        <is>
          <t>industrials</t>
        </is>
      </c>
      <c r="D132" s="31" t="inlineStr">
        <is>
          <t>electric equipment</t>
        </is>
      </c>
      <c r="E132" s="31" t="inlineStr">
        <is>
          <t>largecap</t>
        </is>
      </c>
      <c r="F132" s="31" t="n">
        <v>54469.92</v>
      </c>
      <c r="G132" s="31" t="n">
        <v>4726.3</v>
      </c>
      <c r="H132" s="31" t="n">
        <v>3.39</v>
      </c>
      <c r="I132" s="31" t="n">
        <v>238336</v>
      </c>
      <c r="J132" s="31" t="inlineStr">
        <is>
          <t>500411</t>
        </is>
      </c>
    </row>
    <row r="133">
      <c r="A133" s="31" t="inlineStr">
        <is>
          <t>MUFIN</t>
        </is>
      </c>
      <c r="B133" s="31" t="inlineStr">
        <is>
          <t>Mufin Green Finance Ltd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smallcap</t>
        </is>
      </c>
      <c r="F133" s="31" t="n">
        <v>2347.63</v>
      </c>
      <c r="G133" s="31" t="n">
        <v>122.46</v>
      </c>
      <c r="H133" s="31" t="n">
        <v>3.37</v>
      </c>
      <c r="I133" s="31" t="n">
        <v>1022865</v>
      </c>
      <c r="J133" s="31" t="inlineStr">
        <is>
          <t>542774</t>
        </is>
      </c>
    </row>
    <row r="134">
      <c r="A134" s="31" t="inlineStr">
        <is>
          <t>CAPLIPOINT</t>
        </is>
      </c>
      <c r="B134" s="31" t="inlineStr">
        <is>
          <t>Caplin Point Laboratories Limited</t>
        </is>
      </c>
      <c r="C134" s="31" t="inlineStr">
        <is>
          <t>healthcare</t>
        </is>
      </c>
      <c r="D134" s="31" t="inlineStr">
        <is>
          <t>pharmaceuticals - indian - formulations</t>
        </is>
      </c>
      <c r="E134" s="31" t="inlineStr">
        <is>
          <t>midcap</t>
        </is>
      </c>
      <c r="F134" s="31" t="n">
        <v>17718.33</v>
      </c>
      <c r="G134" s="31" t="n">
        <v>2407.8</v>
      </c>
      <c r="H134" s="31" t="n">
        <v>3.29</v>
      </c>
      <c r="I134" s="31" t="n">
        <v>226664</v>
      </c>
      <c r="J134" s="31" t="inlineStr">
        <is>
          <t>524742</t>
        </is>
      </c>
    </row>
    <row r="135">
      <c r="A135" s="31" t="inlineStr">
        <is>
          <t>PRUDENT</t>
        </is>
      </c>
      <c r="B135" s="31" t="inlineStr">
        <is>
          <t>Prudent Corporate Advisory Services Ltd</t>
        </is>
      </c>
      <c r="C135" s="31" t="inlineStr">
        <is>
          <t>financials</t>
        </is>
      </c>
      <c r="D135" s="31" t="inlineStr">
        <is>
          <t>finance &amp; investments</t>
        </is>
      </c>
      <c r="E135" s="31" t="inlineStr">
        <is>
          <t>midcap</t>
        </is>
      </c>
      <c r="F135" s="31" t="n">
        <v>11663.85</v>
      </c>
      <c r="G135" s="31" t="n">
        <v>2909.1</v>
      </c>
      <c r="H135" s="31" t="n">
        <v>3.27</v>
      </c>
      <c r="I135" s="31" t="n">
        <v>31807</v>
      </c>
      <c r="J135" s="31" t="inlineStr">
        <is>
          <t>543527</t>
        </is>
      </c>
    </row>
    <row r="136">
      <c r="A136" s="31" t="inlineStr">
        <is>
          <t>BFINVEST</t>
        </is>
      </c>
      <c r="B136" s="31" t="inlineStr">
        <is>
          <t>Bf Investment Limited</t>
        </is>
      </c>
      <c r="C136" s="31" t="inlineStr">
        <is>
          <t>financials</t>
        </is>
      </c>
      <c r="D136" s="31" t="inlineStr">
        <is>
          <t>finance &amp; investments</t>
        </is>
      </c>
      <c r="E136" s="31" t="inlineStr">
        <is>
          <t>smallcap</t>
        </is>
      </c>
      <c r="F136" s="31" t="n">
        <v>1596.17</v>
      </c>
      <c r="G136" s="31" t="n">
        <v>437.3</v>
      </c>
      <c r="H136" s="31" t="n">
        <v>3.2</v>
      </c>
      <c r="I136" s="31" t="n">
        <v>58459</v>
      </c>
      <c r="J136" s="31" t="inlineStr">
        <is>
          <t>533303</t>
        </is>
      </c>
    </row>
    <row r="137">
      <c r="A137" s="31" t="inlineStr">
        <is>
          <t>SAILIFE</t>
        </is>
      </c>
      <c r="B137" s="31" t="inlineStr">
        <is>
          <t>Sai Life Sciences Ltd</t>
        </is>
      </c>
      <c r="C137" s="31" t="inlineStr">
        <is>
          <t>healthcare</t>
        </is>
      </c>
      <c r="D137" s="31" t="inlineStr">
        <is>
          <t>pharmaceuticals - indian - bulk drugs &amp; formln</t>
        </is>
      </c>
      <c r="E137" s="31" t="inlineStr">
        <is>
          <t>largecap</t>
        </is>
      </c>
      <c r="F137" s="31" t="n">
        <v>25015.36</v>
      </c>
      <c r="G137" s="31" t="n">
        <v>1218.1</v>
      </c>
      <c r="H137" s="31" t="n">
        <v>3.12</v>
      </c>
      <c r="I137" s="31" t="n">
        <v>333448</v>
      </c>
      <c r="J137" s="31" t="inlineStr">
        <is>
          <t>544306</t>
        </is>
      </c>
    </row>
    <row r="138">
      <c r="A138" s="31" t="inlineStr">
        <is>
          <t>MIDHANI</t>
        </is>
      </c>
      <c r="B138" s="31" t="inlineStr">
        <is>
          <t>Mishra Dhatu Nigam Ltd</t>
        </is>
      </c>
      <c r="C138" s="31" t="inlineStr">
        <is>
          <t>aerospace &amp; defence</t>
        </is>
      </c>
      <c r="D138" s="31" t="inlineStr">
        <is>
          <t>steel - medium / small</t>
        </is>
      </c>
      <c r="E138" s="31" t="inlineStr">
        <is>
          <t>midcap</t>
        </is>
      </c>
      <c r="F138" s="31" t="n">
        <v>7906.68</v>
      </c>
      <c r="G138" s="31" t="n">
        <v>435.1</v>
      </c>
      <c r="H138" s="31" t="n">
        <v>3.09</v>
      </c>
      <c r="I138" s="31" t="n">
        <v>1992926</v>
      </c>
      <c r="J138" s="31" t="inlineStr">
        <is>
          <t>541195</t>
        </is>
      </c>
    </row>
    <row r="139">
      <c r="A139" s="31" t="inlineStr">
        <is>
          <t>CUPID</t>
        </is>
      </c>
      <c r="B139" s="31" t="inlineStr">
        <is>
          <t>Cupid Limited</t>
        </is>
      </c>
      <c r="C139" s="31" t="inlineStr">
        <is>
          <t>fmcg</t>
        </is>
      </c>
      <c r="D139" s="31" t="inlineStr">
        <is>
          <t>personal care - indian</t>
        </is>
      </c>
      <c r="E139" s="31" t="inlineStr">
        <is>
          <t>largecap</t>
        </is>
      </c>
      <c r="F139" s="31" t="n">
        <v>20866.44</v>
      </c>
      <c r="G139" s="31" t="n">
        <v>159.97</v>
      </c>
      <c r="H139" s="31" t="n">
        <v>3.09</v>
      </c>
      <c r="I139" s="31" t="n">
        <v>23033543</v>
      </c>
      <c r="J139" s="31" t="inlineStr">
        <is>
          <t>530843</t>
        </is>
      </c>
    </row>
    <row r="140">
      <c r="A140" s="31" t="inlineStr">
        <is>
          <t>VSSL</t>
        </is>
      </c>
      <c r="B140" s="31" t="inlineStr">
        <is>
          <t>Vardhman Special Steels Limited</t>
        </is>
      </c>
      <c r="C140" s="31" t="inlineStr">
        <is>
          <t>metals &amp; mining</t>
        </is>
      </c>
      <c r="D140" s="31" t="inlineStr">
        <is>
          <t>steel - medium / small</t>
        </is>
      </c>
      <c r="E140" s="31" t="inlineStr">
        <is>
          <t>smallcap</t>
        </is>
      </c>
      <c r="F140" s="31" t="n">
        <v>2590.69</v>
      </c>
      <c r="G140" s="31" t="n">
        <v>276.15</v>
      </c>
      <c r="H140" s="31" t="n">
        <v>3.06</v>
      </c>
      <c r="I140" s="31" t="n">
        <v>83203</v>
      </c>
      <c r="J140" s="31" t="inlineStr">
        <is>
          <t>534392</t>
        </is>
      </c>
    </row>
    <row r="141">
      <c r="A141" s="31" t="inlineStr">
        <is>
          <t>BBOX</t>
        </is>
      </c>
      <c r="B141" s="31" t="inlineStr">
        <is>
          <t>Black Box Ltd</t>
        </is>
      </c>
      <c r="C141" s="31" t="inlineStr">
        <is>
          <t>i.t</t>
        </is>
      </c>
      <c r="D141" s="31" t="inlineStr">
        <is>
          <t>computers - software - medium / small</t>
        </is>
      </c>
      <c r="E141" s="31" t="inlineStr">
        <is>
          <t>midcap</t>
        </is>
      </c>
      <c r="F141" s="31" t="n">
        <v>17545.41</v>
      </c>
      <c r="G141" s="31" t="n">
        <v>1018.6</v>
      </c>
      <c r="H141" s="31" t="n">
        <v>3.05</v>
      </c>
      <c r="I141" s="31" t="n">
        <v>567032</v>
      </c>
      <c r="J141" s="31" t="inlineStr">
        <is>
          <t>500463</t>
        </is>
      </c>
    </row>
    <row r="142">
      <c r="A142" s="31" t="inlineStr">
        <is>
          <t>ABSLAMC</t>
        </is>
      </c>
      <c r="B142" s="31" t="inlineStr">
        <is>
          <t>Aditya Birla Sun Life AMC Ltd</t>
        </is>
      </c>
      <c r="C142" s="31" t="inlineStr">
        <is>
          <t>financials</t>
        </is>
      </c>
      <c r="D142" s="31" t="inlineStr">
        <is>
          <t>finance &amp; investments</t>
        </is>
      </c>
      <c r="E142" s="31" t="inlineStr">
        <is>
          <t>largecap</t>
        </is>
      </c>
      <c r="F142" s="31" t="n">
        <v>30861.83</v>
      </c>
      <c r="G142" s="31" t="n">
        <v>1101.2</v>
      </c>
      <c r="H142" s="31" t="n">
        <v>3.05</v>
      </c>
      <c r="I142" s="31" t="n">
        <v>801088</v>
      </c>
      <c r="J142" s="31" t="inlineStr">
        <is>
          <t>543374</t>
        </is>
      </c>
    </row>
    <row r="143">
      <c r="A143" s="31" t="inlineStr">
        <is>
          <t>SATIN</t>
        </is>
      </c>
      <c r="B143" s="31" t="inlineStr">
        <is>
          <t>Satin Creditcare Network Limited</t>
        </is>
      </c>
      <c r="C143" s="31" t="inlineStr">
        <is>
          <t>financials</t>
        </is>
      </c>
      <c r="D143" s="31" t="inlineStr">
        <is>
          <t>finance &amp; investments</t>
        </is>
      </c>
      <c r="E143" s="31" t="inlineStr">
        <is>
          <t>smallcap</t>
        </is>
      </c>
      <c r="F143" s="31" t="n">
        <v>2426.94</v>
      </c>
      <c r="G143" s="31" t="n">
        <v>226.32</v>
      </c>
      <c r="H143" s="31" t="n">
        <v>3.02</v>
      </c>
      <c r="I143" s="31" t="n">
        <v>444134</v>
      </c>
      <c r="J143" s="31" t="inlineStr">
        <is>
          <t>539404</t>
        </is>
      </c>
    </row>
    <row r="144">
      <c r="A144" s="31" t="inlineStr">
        <is>
          <t>MONARCH</t>
        </is>
      </c>
      <c r="B144" s="31" t="inlineStr">
        <is>
          <t>Monarch Networth Capital Ltd</t>
        </is>
      </c>
      <c r="C144" s="31" t="inlineStr">
        <is>
          <t>financials</t>
        </is>
      </c>
      <c r="D144" s="31" t="inlineStr">
        <is>
          <t>finance &amp; investments</t>
        </is>
      </c>
      <c r="E144" s="31" t="inlineStr">
        <is>
          <t>smallcap</t>
        </is>
      </c>
      <c r="F144" s="31" t="n">
        <v>2616.25</v>
      </c>
      <c r="G144" s="31" t="n">
        <v>339.95</v>
      </c>
      <c r="H144" s="31" t="n">
        <v>3</v>
      </c>
      <c r="I144" s="31" t="n">
        <v>237137</v>
      </c>
      <c r="J144" s="31" t="inlineStr">
        <is>
          <t>511551</t>
        </is>
      </c>
    </row>
    <row r="145">
      <c r="A145" s="31" t="inlineStr">
        <is>
          <t>SOUTHBANK</t>
        </is>
      </c>
      <c r="B145" s="31" t="inlineStr">
        <is>
          <t>The South Indian Bank Limited</t>
        </is>
      </c>
      <c r="C145" s="31" t="inlineStr">
        <is>
          <t>bank</t>
        </is>
      </c>
      <c r="D145" s="31" t="inlineStr">
        <is>
          <t>banks - private sector</t>
        </is>
      </c>
      <c r="E145" s="31" t="inlineStr">
        <is>
          <t>midcap</t>
        </is>
      </c>
      <c r="F145" s="31" t="n">
        <v>11862.82</v>
      </c>
      <c r="G145" s="31" t="n">
        <v>46.66</v>
      </c>
      <c r="H145" s="31" t="n">
        <v>2.96</v>
      </c>
      <c r="I145" s="31" t="n">
        <v>35993222</v>
      </c>
      <c r="J145" s="31" t="inlineStr">
        <is>
          <t>532218</t>
        </is>
      </c>
    </row>
    <row r="146">
      <c r="A146" s="31" t="inlineStr">
        <is>
          <t>AXISBANK</t>
        </is>
      </c>
      <c r="B146" s="31" t="inlineStr">
        <is>
          <t>Axis Bank Limited</t>
        </is>
      </c>
      <c r="C146" s="31" t="inlineStr">
        <is>
          <t>bank</t>
        </is>
      </c>
      <c r="D146" s="31" t="inlineStr">
        <is>
          <t>banks - private sector</t>
        </is>
      </c>
      <c r="E146" s="31" t="inlineStr">
        <is>
          <t>largecap</t>
        </is>
      </c>
      <c r="F146" s="31" t="n">
        <v>409439.58</v>
      </c>
      <c r="G146" s="31" t="n">
        <v>1356.3</v>
      </c>
      <c r="H146" s="31" t="n">
        <v>2.96</v>
      </c>
      <c r="I146" s="31" t="n">
        <v>8535670</v>
      </c>
      <c r="J146" s="31" t="inlineStr">
        <is>
          <t>532215</t>
        </is>
      </c>
    </row>
    <row r="147">
      <c r="A147" s="31" t="inlineStr">
        <is>
          <t>SUPRAJIT</t>
        </is>
      </c>
      <c r="B147" s="31" t="inlineStr">
        <is>
          <t>Suprajit Engineering Limited</t>
        </is>
      </c>
      <c r="C147" s="31" t="inlineStr">
        <is>
          <t>auto</t>
        </is>
      </c>
      <c r="D147" s="31" t="inlineStr">
        <is>
          <t>auto ancillaries</t>
        </is>
      </c>
      <c r="E147" s="31" t="inlineStr">
        <is>
          <t>midcap</t>
        </is>
      </c>
      <c r="F147" s="31" t="n">
        <v>6132.92</v>
      </c>
      <c r="G147" s="31" t="n">
        <v>460.3</v>
      </c>
      <c r="H147" s="31" t="n">
        <v>2.95</v>
      </c>
      <c r="I147" s="31" t="n">
        <v>92246</v>
      </c>
      <c r="J147" s="31" t="inlineStr">
        <is>
          <t>532509</t>
        </is>
      </c>
    </row>
    <row r="148">
      <c r="A148" s="31" t="inlineStr">
        <is>
          <t>SURYODAY</t>
        </is>
      </c>
      <c r="B148" s="31" t="inlineStr">
        <is>
          <t>Suryoday Small Finance Bank Ltd</t>
        </is>
      </c>
      <c r="C148" s="31" t="inlineStr">
        <is>
          <t>bank</t>
        </is>
      </c>
      <c r="D148" s="31" t="inlineStr">
        <is>
          <t>banks - private sector</t>
        </is>
      </c>
      <c r="E148" s="31" t="inlineStr">
        <is>
          <t>smallcap</t>
        </is>
      </c>
      <c r="F148" s="31" t="n">
        <v>1752.19</v>
      </c>
      <c r="G148" s="31" t="n">
        <v>169.65</v>
      </c>
      <c r="H148" s="31" t="n">
        <v>2.91</v>
      </c>
      <c r="I148" s="31" t="n">
        <v>209639</v>
      </c>
      <c r="J148" s="31" t="inlineStr">
        <is>
          <t>543279</t>
        </is>
      </c>
    </row>
    <row r="149">
      <c r="A149" s="31" t="inlineStr">
        <is>
          <t>RPEL</t>
        </is>
      </c>
      <c r="B149" s="31" t="inlineStr">
        <is>
          <t>Raghav Productivity Enhancers Ltd</t>
        </is>
      </c>
      <c r="C149" s="31" t="inlineStr">
        <is>
          <t>building materials</t>
        </is>
      </c>
      <c r="D149" s="31" t="inlineStr">
        <is>
          <t>refractories / intermediates</t>
        </is>
      </c>
      <c r="E149" s="31" t="inlineStr">
        <is>
          <t>midcap</t>
        </is>
      </c>
      <c r="F149" s="31" t="n">
        <v>5305.59</v>
      </c>
      <c r="G149" s="31" t="n">
        <v>1189.05</v>
      </c>
      <c r="H149" s="31" t="n">
        <v>2.89</v>
      </c>
      <c r="I149" s="31" t="n">
        <v>159838</v>
      </c>
      <c r="J149" s="31" t="inlineStr">
        <is>
          <t>539837</t>
        </is>
      </c>
    </row>
    <row r="150">
      <c r="A150" s="31" t="inlineStr">
        <is>
          <t>XPROINDIA</t>
        </is>
      </c>
      <c r="B150" s="31" t="inlineStr">
        <is>
          <t>Xpro India Limited</t>
        </is>
      </c>
      <c r="C150" s="31" t="inlineStr">
        <is>
          <t>industrials</t>
        </is>
      </c>
      <c r="D150" s="31" t="inlineStr">
        <is>
          <t>packaging</t>
        </is>
      </c>
      <c r="E150" s="31" t="inlineStr">
        <is>
          <t>smallcap</t>
        </is>
      </c>
      <c r="F150" s="31" t="n">
        <v>2754.49</v>
      </c>
      <c r="G150" s="31" t="n">
        <v>1207.1</v>
      </c>
      <c r="H150" s="31" t="n">
        <v>2.85</v>
      </c>
      <c r="I150" s="31" t="n">
        <v>28135</v>
      </c>
      <c r="J150" s="31" t="inlineStr">
        <is>
          <t>590013</t>
        </is>
      </c>
    </row>
    <row r="151">
      <c r="A151" s="31" t="inlineStr">
        <is>
          <t>J&amp;KBANK</t>
        </is>
      </c>
      <c r="B151" s="31" t="inlineStr">
        <is>
          <t>The Jammu &amp; Kashmir Bank Limited</t>
        </is>
      </c>
      <c r="C151" s="31" t="inlineStr">
        <is>
          <t>bank</t>
        </is>
      </c>
      <c r="D151" s="31" t="inlineStr">
        <is>
          <t>banks - private sector</t>
        </is>
      </c>
      <c r="E151" s="31" t="inlineStr">
        <is>
          <t>midcap</t>
        </is>
      </c>
      <c r="F151" s="31" t="n">
        <v>16855.8</v>
      </c>
      <c r="G151" s="31" t="n">
        <v>157.4</v>
      </c>
      <c r="H151" s="31" t="n">
        <v>2.83</v>
      </c>
      <c r="I151" s="31" t="n">
        <v>3788279</v>
      </c>
      <c r="J151" s="31" t="inlineStr">
        <is>
          <t>532209</t>
        </is>
      </c>
    </row>
    <row r="152">
      <c r="A152" s="31" t="inlineStr">
        <is>
          <t>TVSSRICHAK</t>
        </is>
      </c>
      <c r="B152" s="31" t="inlineStr">
        <is>
          <t>Tvs Srichakra Limited</t>
        </is>
      </c>
      <c r="C152" s="31" t="inlineStr">
        <is>
          <t>auto</t>
        </is>
      </c>
      <c r="D152" s="31" t="inlineStr">
        <is>
          <t>tyres</t>
        </is>
      </c>
      <c r="E152" s="31" t="inlineStr">
        <is>
          <t>smallcap</t>
        </is>
      </c>
      <c r="F152" s="31" t="n">
        <v>2968.79</v>
      </c>
      <c r="G152" s="31" t="n">
        <v>3985.4</v>
      </c>
      <c r="H152" s="31" t="n">
        <v>2.79</v>
      </c>
      <c r="I152" s="31" t="n">
        <v>8055</v>
      </c>
      <c r="J152" s="31" t="inlineStr">
        <is>
          <t>509243</t>
        </is>
      </c>
    </row>
    <row r="153">
      <c r="A153" s="31" t="inlineStr">
        <is>
          <t>INDSWFTLAB</t>
        </is>
      </c>
      <c r="B153" s="31" t="inlineStr">
        <is>
          <t>Ind-swift Laboratories Limited</t>
        </is>
      </c>
      <c r="C153" s="31" t="inlineStr">
        <is>
          <t>healthcare</t>
        </is>
      </c>
      <c r="D153" s="31" t="inlineStr">
        <is>
          <t>pharmaceuticals - indian - bulk drugs &amp; formln</t>
        </is>
      </c>
      <c r="E153" s="31" t="inlineStr">
        <is>
          <t>smallcap</t>
        </is>
      </c>
      <c r="F153" s="31" t="n">
        <v>1377.49</v>
      </c>
      <c r="G153" s="31" t="n">
        <v>163.03</v>
      </c>
      <c r="H153" s="31" t="n">
        <v>2.77</v>
      </c>
      <c r="I153" s="31" t="n">
        <v>372371</v>
      </c>
      <c r="J153" s="31" t="inlineStr">
        <is>
          <t>532305</t>
        </is>
      </c>
    </row>
    <row r="154">
      <c r="A154" s="31" t="inlineStr">
        <is>
          <t>FIEMIND</t>
        </is>
      </c>
      <c r="B154" s="31" t="inlineStr">
        <is>
          <t>Fiem Industries Limited</t>
        </is>
      </c>
      <c r="C154" s="31" t="inlineStr">
        <is>
          <t>auto</t>
        </is>
      </c>
      <c r="D154" s="31" t="inlineStr">
        <is>
          <t>auto ancillaries</t>
        </is>
      </c>
      <c r="E154" s="31" t="inlineStr">
        <is>
          <t>midcap</t>
        </is>
      </c>
      <c r="F154" s="31" t="n">
        <v>5913.76</v>
      </c>
      <c r="G154" s="31" t="n">
        <v>2308.7</v>
      </c>
      <c r="H154" s="31" t="n">
        <v>2.75</v>
      </c>
      <c r="I154" s="31" t="n">
        <v>46566</v>
      </c>
      <c r="J154" s="31" t="inlineStr">
        <is>
          <t>532768</t>
        </is>
      </c>
    </row>
    <row r="155">
      <c r="A155" s="31" t="inlineStr">
        <is>
          <t>STLTECH</t>
        </is>
      </c>
      <c r="B155" s="31" t="inlineStr">
        <is>
          <t>Sterlite Technologies Limited</t>
        </is>
      </c>
      <c r="C155" s="31" t="inlineStr">
        <is>
          <t>industrials</t>
        </is>
      </c>
      <c r="D155" s="31" t="inlineStr">
        <is>
          <t>cables - telephone</t>
        </is>
      </c>
      <c r="E155" s="31" t="inlineStr">
        <is>
          <t>largecap</t>
        </is>
      </c>
      <c r="F155" s="31" t="n">
        <v>27745.45</v>
      </c>
      <c r="G155" s="31" t="n">
        <v>583.65</v>
      </c>
      <c r="H155" s="31" t="n">
        <v>2.68</v>
      </c>
      <c r="I155" s="31" t="n">
        <v>2246159</v>
      </c>
      <c r="J155" s="31" t="inlineStr">
        <is>
          <t>532374</t>
        </is>
      </c>
    </row>
    <row r="156">
      <c r="A156" s="31" t="inlineStr">
        <is>
          <t>CREST</t>
        </is>
      </c>
      <c r="B156" s="31" t="inlineStr">
        <is>
          <t>Crest Ventures Limited</t>
        </is>
      </c>
      <c r="C156" s="31" t="inlineStr">
        <is>
          <t>financials</t>
        </is>
      </c>
      <c r="D156" s="31" t="inlineStr">
        <is>
          <t>finance &amp; investments</t>
        </is>
      </c>
      <c r="E156" s="31" t="inlineStr">
        <is>
          <t>smallcap</t>
        </is>
      </c>
      <c r="F156" s="31" t="n">
        <v>1049.65</v>
      </c>
      <c r="G156" s="31" t="n">
        <v>378.85</v>
      </c>
      <c r="H156" s="31" t="n">
        <v>2.68</v>
      </c>
      <c r="I156" s="31" t="n">
        <v>18255</v>
      </c>
      <c r="J156" s="31" t="inlineStr">
        <is>
          <t>511413</t>
        </is>
      </c>
    </row>
    <row r="157">
      <c r="A157" s="31" t="inlineStr">
        <is>
          <t>BANKBARODA</t>
        </is>
      </c>
      <c r="B157" s="31" t="inlineStr">
        <is>
          <t>Bank Of Baroda Ltd</t>
        </is>
      </c>
      <c r="C157" s="31" t="inlineStr">
        <is>
          <t>bank</t>
        </is>
      </c>
      <c r="D157" s="31" t="inlineStr">
        <is>
          <t>banks - public sector</t>
        </is>
      </c>
      <c r="E157" s="31" t="inlineStr">
        <is>
          <t>largecap</t>
        </is>
      </c>
      <c r="F157" s="31" t="n">
        <v>138385.65</v>
      </c>
      <c r="G157" s="31" t="n">
        <v>274.75</v>
      </c>
      <c r="H157" s="31" t="n">
        <v>2.67</v>
      </c>
      <c r="I157" s="31" t="n">
        <v>27384601</v>
      </c>
      <c r="J157" s="31" t="inlineStr">
        <is>
          <t>532134</t>
        </is>
      </c>
    </row>
    <row r="158">
      <c r="A158" s="31" t="inlineStr">
        <is>
          <t>GAIL</t>
        </is>
      </c>
      <c r="B158" s="31" t="inlineStr">
        <is>
          <t>Gail (india) Limited</t>
        </is>
      </c>
      <c r="C158" s="31" t="inlineStr">
        <is>
          <t>energy</t>
        </is>
      </c>
      <c r="D158" s="31" t="inlineStr">
        <is>
          <t>miscellaneous</t>
        </is>
      </c>
      <c r="E158" s="31" t="inlineStr">
        <is>
          <t>largecap</t>
        </is>
      </c>
      <c r="F158" s="31" t="n">
        <v>109205.83</v>
      </c>
      <c r="G158" s="31" t="n">
        <v>170.5</v>
      </c>
      <c r="H158" s="31" t="n">
        <v>2.66</v>
      </c>
      <c r="I158" s="31" t="n">
        <v>7288989</v>
      </c>
      <c r="J158" s="31" t="inlineStr">
        <is>
          <t>532155</t>
        </is>
      </c>
    </row>
    <row r="159">
      <c r="A159" s="31" t="inlineStr">
        <is>
          <t>RADICO</t>
        </is>
      </c>
      <c r="B159" s="31" t="inlineStr">
        <is>
          <t>Radico Khaitan Limited</t>
        </is>
      </c>
      <c r="C159" s="31" t="inlineStr">
        <is>
          <t>fmcg</t>
        </is>
      </c>
      <c r="D159" s="31" t="inlineStr">
        <is>
          <t>breweries &amp; distilleries</t>
        </is>
      </c>
      <c r="E159" s="31" t="inlineStr">
        <is>
          <t>largecap</t>
        </is>
      </c>
      <c r="F159" s="31" t="n">
        <v>46193.45</v>
      </c>
      <c r="G159" s="31" t="n">
        <v>3541.7</v>
      </c>
      <c r="H159" s="31" t="n">
        <v>2.66</v>
      </c>
      <c r="I159" s="31" t="n">
        <v>302638</v>
      </c>
      <c r="J159" s="31" t="inlineStr">
        <is>
          <t>532497</t>
        </is>
      </c>
    </row>
    <row r="160">
      <c r="A160" s="31" t="inlineStr">
        <is>
          <t>HONAUT</t>
        </is>
      </c>
      <c r="B160" s="31" t="inlineStr">
        <is>
          <t>Honeywell Automation India Limited</t>
        </is>
      </c>
      <c r="C160" s="31" t="inlineStr">
        <is>
          <t>consumer discretionary</t>
        </is>
      </c>
      <c r="D160" s="31" t="inlineStr">
        <is>
          <t>electronics - components</t>
        </is>
      </c>
      <c r="E160" s="31" t="inlineStr">
        <is>
          <t>largecap</t>
        </is>
      </c>
      <c r="F160" s="31" t="n">
        <v>31148.69</v>
      </c>
      <c r="G160" s="31" t="n">
        <v>36160</v>
      </c>
      <c r="H160" s="31" t="n">
        <v>2.64</v>
      </c>
      <c r="I160" s="31" t="n">
        <v>5576</v>
      </c>
      <c r="J160" s="31" t="inlineStr">
        <is>
          <t>517174</t>
        </is>
      </c>
    </row>
    <row r="161">
      <c r="A161" s="31" t="inlineStr">
        <is>
          <t>MGEL</t>
        </is>
      </c>
      <c r="B161" s="31" t="inlineStr">
        <is>
          <t>Mangalam Global Enterprise Ltd</t>
        </is>
      </c>
      <c r="C161" s="31" t="inlineStr">
        <is>
          <t>services</t>
        </is>
      </c>
      <c r="D161" s="31" t="inlineStr">
        <is>
          <t>trading</t>
        </is>
      </c>
      <c r="E161" s="31" t="inlineStr">
        <is>
          <t>smallcap</t>
        </is>
      </c>
      <c r="F161" s="31" t="n">
        <v>527.95</v>
      </c>
      <c r="G161" s="31" t="n">
        <v>16.44</v>
      </c>
      <c r="H161" s="31" t="n">
        <v>2.62</v>
      </c>
      <c r="I161" s="31" t="n">
        <v>260228</v>
      </c>
      <c r="J161" s="31" t="inlineStr">
        <is>
          <t>535349</t>
        </is>
      </c>
    </row>
    <row r="162">
      <c r="A162" s="31" t="inlineStr">
        <is>
          <t>SAKAR</t>
        </is>
      </c>
      <c r="B162" s="31" t="inlineStr">
        <is>
          <t>Sakar Healthcare Ltd</t>
        </is>
      </c>
      <c r="C162" s="31" t="inlineStr">
        <is>
          <t>healthcare</t>
        </is>
      </c>
      <c r="D162" s="31" t="inlineStr">
        <is>
          <t>pharmaceuticals - indian - bulk drugs &amp; formln</t>
        </is>
      </c>
      <c r="E162" s="31" t="inlineStr">
        <is>
          <t>smallcap</t>
        </is>
      </c>
      <c r="F162" s="31" t="n">
        <v>1786.78</v>
      </c>
      <c r="G162" s="31" t="n">
        <v>824.1</v>
      </c>
      <c r="H162" s="31" t="n">
        <v>2.62</v>
      </c>
      <c r="I162" s="31" t="n">
        <v>104622</v>
      </c>
      <c r="J162" s="31" t="inlineStr">
        <is>
          <t>538377</t>
        </is>
      </c>
    </row>
    <row r="163">
      <c r="A163" s="31" t="inlineStr">
        <is>
          <t>PANACEABIO</t>
        </is>
      </c>
      <c r="B163" s="31" t="inlineStr">
        <is>
          <t>Panacea Biotec Limited</t>
        </is>
      </c>
      <c r="C163" s="31" t="inlineStr">
        <is>
          <t>healthcare</t>
        </is>
      </c>
      <c r="D163" s="31" t="inlineStr">
        <is>
          <t>pharmaceuticals - indian - bulk drugs &amp; formln</t>
        </is>
      </c>
      <c r="E163" s="31" t="inlineStr">
        <is>
          <t>smallcap</t>
        </is>
      </c>
      <c r="F163" s="31" t="n">
        <v>3199.13</v>
      </c>
      <c r="G163" s="31" t="n">
        <v>536</v>
      </c>
      <c r="H163" s="31" t="n">
        <v>2.62</v>
      </c>
      <c r="I163" s="31" t="n">
        <v>368281</v>
      </c>
      <c r="J163" s="31" t="inlineStr">
        <is>
          <t>531349</t>
        </is>
      </c>
    </row>
    <row r="164">
      <c r="A164" s="31" t="inlineStr">
        <is>
          <t>GANDHAR</t>
        </is>
      </c>
      <c r="B164" s="31" t="inlineStr">
        <is>
          <t>Gandhar Oil Refinery (India) Ltd</t>
        </is>
      </c>
      <c r="C164" s="31" t="inlineStr">
        <is>
          <t>energy</t>
        </is>
      </c>
      <c r="D164" s="31" t="inlineStr">
        <is>
          <t>refineries</t>
        </is>
      </c>
      <c r="E164" s="31" t="inlineStr">
        <is>
          <t>smallcap</t>
        </is>
      </c>
      <c r="F164" s="31" t="n">
        <v>1521.34</v>
      </c>
      <c r="G164" s="31" t="n">
        <v>159.48</v>
      </c>
      <c r="H164" s="31" t="n">
        <v>2.61</v>
      </c>
      <c r="I164" s="31" t="n">
        <v>230691</v>
      </c>
      <c r="J164" s="31" t="inlineStr">
        <is>
          <t>544029</t>
        </is>
      </c>
    </row>
    <row r="165">
      <c r="A165" s="31" t="inlineStr">
        <is>
          <t>SSWL</t>
        </is>
      </c>
      <c r="B165" s="31" t="inlineStr">
        <is>
          <t>Steel Strips Wheels Limited</t>
        </is>
      </c>
      <c r="C165" s="31" t="inlineStr">
        <is>
          <t>auto</t>
        </is>
      </c>
      <c r="D165" s="31" t="inlineStr">
        <is>
          <t>auto ancillaries</t>
        </is>
      </c>
      <c r="E165" s="31" t="inlineStr">
        <is>
          <t>smallcap</t>
        </is>
      </c>
      <c r="F165" s="31" t="n">
        <v>3549.61</v>
      </c>
      <c r="G165" s="31" t="n">
        <v>231.63</v>
      </c>
      <c r="H165" s="31" t="n">
        <v>2.57</v>
      </c>
      <c r="I165" s="31" t="n">
        <v>687243</v>
      </c>
      <c r="J165" s="31" t="inlineStr">
        <is>
          <t>513262</t>
        </is>
      </c>
    </row>
    <row r="166">
      <c r="A166" s="31" t="inlineStr">
        <is>
          <t>KIMS</t>
        </is>
      </c>
      <c r="B166" s="31" t="inlineStr">
        <is>
          <t>Krishna Institute of Medical Sciences Ltd</t>
        </is>
      </c>
      <c r="C166" s="31" t="inlineStr">
        <is>
          <t>healthcare</t>
        </is>
      </c>
      <c r="D166" s="31" t="inlineStr">
        <is>
          <t>healthcare</t>
        </is>
      </c>
      <c r="E166" s="31" t="inlineStr">
        <is>
          <t>largecap</t>
        </is>
      </c>
      <c r="F166" s="31" t="n">
        <v>30626.63</v>
      </c>
      <c r="G166" s="31" t="n">
        <v>785.1</v>
      </c>
      <c r="H166" s="31" t="n">
        <v>2.57</v>
      </c>
      <c r="I166" s="31" t="n">
        <v>483256</v>
      </c>
      <c r="J166" s="31" t="inlineStr">
        <is>
          <t>543307</t>
        </is>
      </c>
    </row>
    <row r="167">
      <c r="A167" s="31" t="inlineStr">
        <is>
          <t>MUNJALAU</t>
        </is>
      </c>
      <c r="B167" s="31" t="inlineStr">
        <is>
          <t>Munjal Auto Industries Limited</t>
        </is>
      </c>
      <c r="C167" s="31" t="inlineStr">
        <is>
          <t>auto</t>
        </is>
      </c>
      <c r="D167" s="31" t="inlineStr">
        <is>
          <t>auto ancillaries</t>
        </is>
      </c>
      <c r="E167" s="31" t="inlineStr">
        <is>
          <t>smallcap</t>
        </is>
      </c>
      <c r="F167" s="31" t="n">
        <v>955.1</v>
      </c>
      <c r="G167" s="31" t="n">
        <v>97.94</v>
      </c>
      <c r="H167" s="31" t="n">
        <v>2.54</v>
      </c>
      <c r="I167" s="31" t="n">
        <v>973879</v>
      </c>
      <c r="J167" s="31" t="inlineStr">
        <is>
          <t>520059</t>
        </is>
      </c>
    </row>
    <row r="168">
      <c r="A168" s="31" t="inlineStr">
        <is>
          <t>KOTAKBANK</t>
        </is>
      </c>
      <c r="B168" s="31" t="inlineStr">
        <is>
          <t>Kotak Mahindra Bank Limited</t>
        </is>
      </c>
      <c r="C168" s="31" t="inlineStr">
        <is>
          <t>bank</t>
        </is>
      </c>
      <c r="D168" s="31" t="inlineStr">
        <is>
          <t>banks - private sector</t>
        </is>
      </c>
      <c r="E168" s="31" t="inlineStr">
        <is>
          <t>largecap</t>
        </is>
      </c>
      <c r="F168" s="31" t="n">
        <v>78241.19</v>
      </c>
      <c r="G168" s="31" t="n">
        <v>403.3</v>
      </c>
      <c r="H168" s="31" t="n">
        <v>2.53</v>
      </c>
      <c r="I168" s="31" t="n">
        <v>17227481</v>
      </c>
      <c r="J168" s="31" t="inlineStr">
        <is>
          <t>500247</t>
        </is>
      </c>
    </row>
    <row r="169">
      <c r="A169" s="31" t="inlineStr">
        <is>
          <t>GPTHEALTH</t>
        </is>
      </c>
      <c r="B169" s="31" t="inlineStr">
        <is>
          <t>GPT Healthcare Ltd</t>
        </is>
      </c>
      <c r="C169" s="31" t="inlineStr">
        <is>
          <t>healthcare</t>
        </is>
      </c>
      <c r="D169" s="31" t="inlineStr">
        <is>
          <t>healthcare</t>
        </is>
      </c>
      <c r="E169" s="31" t="inlineStr">
        <is>
          <t>smallcap</t>
        </is>
      </c>
      <c r="F169" s="31" t="n">
        <v>1185.77</v>
      </c>
      <c r="G169" s="31" t="n">
        <v>148.17</v>
      </c>
      <c r="H169" s="31" t="n">
        <v>2.53</v>
      </c>
      <c r="I169" s="31" t="n">
        <v>55181</v>
      </c>
      <c r="J169" s="31" t="inlineStr">
        <is>
          <t>544131</t>
        </is>
      </c>
    </row>
    <row r="170">
      <c r="A170" s="31" t="inlineStr">
        <is>
          <t>SYRMA</t>
        </is>
      </c>
      <c r="B170" s="31" t="inlineStr">
        <is>
          <t>Syrma SGS Technology Ltd</t>
        </is>
      </c>
      <c r="C170" s="31" t="inlineStr">
        <is>
          <t>consumer discretionary</t>
        </is>
      </c>
      <c r="D170" s="31" t="inlineStr">
        <is>
          <t>electronics - components</t>
        </is>
      </c>
      <c r="E170" s="31" t="inlineStr">
        <is>
          <t>largecap</t>
        </is>
      </c>
      <c r="F170" s="31" t="n">
        <v>23826.13</v>
      </c>
      <c r="G170" s="31" t="n">
        <v>1266.7</v>
      </c>
      <c r="H170" s="31" t="n">
        <v>2.52</v>
      </c>
      <c r="I170" s="31" t="n">
        <v>844050</v>
      </c>
      <c r="J170" s="31" t="inlineStr">
        <is>
          <t>543573</t>
        </is>
      </c>
    </row>
    <row r="171">
      <c r="A171" s="31" t="inlineStr">
        <is>
          <t>DBOL</t>
        </is>
      </c>
      <c r="B171" s="31" t="inlineStr">
        <is>
          <t>Dhampur Bio Organics Ltd</t>
        </is>
      </c>
      <c r="C171" s="31" t="inlineStr">
        <is>
          <t>fmcg</t>
        </is>
      </c>
      <c r="D171" s="31" t="inlineStr">
        <is>
          <t>sugar</t>
        </is>
      </c>
      <c r="E171" s="31" t="inlineStr">
        <is>
          <t>smallcap</t>
        </is>
      </c>
      <c r="F171" s="31" t="n">
        <v>746.33</v>
      </c>
      <c r="G171" s="31" t="n">
        <v>115.2</v>
      </c>
      <c r="H171" s="31" t="n">
        <v>2.47</v>
      </c>
      <c r="I171" s="31" t="n">
        <v>40626</v>
      </c>
      <c r="J171" s="31" t="inlineStr">
        <is>
          <t>543593</t>
        </is>
      </c>
    </row>
    <row r="172">
      <c r="A172" s="31" t="inlineStr">
        <is>
          <t>CENTENKA</t>
        </is>
      </c>
      <c r="B172" s="31" t="inlineStr">
        <is>
          <t>Century Enka Limited</t>
        </is>
      </c>
      <c r="C172" s="31" t="inlineStr">
        <is>
          <t>textiles</t>
        </is>
      </c>
      <c r="D172" s="31" t="inlineStr">
        <is>
          <t>textiles - manmade</t>
        </is>
      </c>
      <c r="E172" s="31" t="inlineStr">
        <is>
          <t>smallcap</t>
        </is>
      </c>
      <c r="F172" s="31" t="n">
        <v>1070.35</v>
      </c>
      <c r="G172" s="31" t="n">
        <v>501.9</v>
      </c>
      <c r="H172" s="31" t="n">
        <v>2.46</v>
      </c>
      <c r="I172" s="31" t="n">
        <v>17016</v>
      </c>
      <c r="J172" s="31" t="inlineStr">
        <is>
          <t>500280</t>
        </is>
      </c>
    </row>
    <row r="173">
      <c r="A173" s="31" t="inlineStr">
        <is>
          <t>PIDILITIND</t>
        </is>
      </c>
      <c r="B173" s="31" t="inlineStr">
        <is>
          <t>Pidilite Industries Limited</t>
        </is>
      </c>
      <c r="C173" s="31" t="inlineStr">
        <is>
          <t>chemicals</t>
        </is>
      </c>
      <c r="D173" s="31" t="inlineStr">
        <is>
          <t>chemicals</t>
        </is>
      </c>
      <c r="E173" s="31" t="inlineStr">
        <is>
          <t>largecap</t>
        </is>
      </c>
      <c r="F173" s="31" t="n">
        <v>152542.81</v>
      </c>
      <c r="G173" s="31" t="n">
        <v>1535.5</v>
      </c>
      <c r="H173" s="31" t="n">
        <v>2.45</v>
      </c>
      <c r="I173" s="31" t="n">
        <v>1254231</v>
      </c>
      <c r="J173" s="31" t="inlineStr">
        <is>
          <t>500331</t>
        </is>
      </c>
    </row>
    <row r="174">
      <c r="A174" s="31" t="inlineStr">
        <is>
          <t>SANGAMIND</t>
        </is>
      </c>
      <c r="B174" s="31" t="inlineStr">
        <is>
          <t>Sangam (india) Limited</t>
        </is>
      </c>
      <c r="C174" s="31" t="inlineStr">
        <is>
          <t>textiles</t>
        </is>
      </c>
      <c r="D174" s="31" t="inlineStr">
        <is>
          <t>textiles - spinning - synthetic / blended</t>
        </is>
      </c>
      <c r="E174" s="31" t="inlineStr">
        <is>
          <t>smallcap</t>
        </is>
      </c>
      <c r="F174" s="31" t="n">
        <v>2659.8</v>
      </c>
      <c r="G174" s="31" t="n">
        <v>542.25</v>
      </c>
      <c r="H174" s="31" t="n">
        <v>2.44</v>
      </c>
      <c r="I174" s="31" t="n">
        <v>49603</v>
      </c>
      <c r="J174" s="31" t="inlineStr">
        <is>
          <t>514234</t>
        </is>
      </c>
    </row>
    <row r="175">
      <c r="A175" s="31" t="inlineStr">
        <is>
          <t>PTCIL</t>
        </is>
      </c>
      <c r="B175" s="31" t="inlineStr">
        <is>
          <t>PTC Industries Ltd</t>
        </is>
      </c>
      <c r="C175" s="31" t="inlineStr">
        <is>
          <t>industrials</t>
        </is>
      </c>
      <c r="D175" s="31" t="inlineStr">
        <is>
          <t>castings &amp; forgings</t>
        </is>
      </c>
      <c r="E175" s="31" t="inlineStr">
        <is>
          <t>largecap</t>
        </is>
      </c>
      <c r="F175" s="31" t="n">
        <v>27256.45</v>
      </c>
      <c r="G175" s="31" t="n">
        <v>18602</v>
      </c>
      <c r="H175" s="31" t="n">
        <v>2.32</v>
      </c>
      <c r="I175" s="31" t="n">
        <v>10057</v>
      </c>
      <c r="J175" s="31" t="inlineStr">
        <is>
          <t>539006</t>
        </is>
      </c>
    </row>
    <row r="176">
      <c r="A176" s="31" t="inlineStr">
        <is>
          <t>SASKEN</t>
        </is>
      </c>
      <c r="B176" s="31" t="inlineStr">
        <is>
          <t>Sasken Communication Technologies Limited</t>
        </is>
      </c>
      <c r="C176" s="31" t="inlineStr">
        <is>
          <t>i.t</t>
        </is>
      </c>
      <c r="D176" s="31" t="inlineStr">
        <is>
          <t>computers - software - medium / small</t>
        </is>
      </c>
      <c r="E176" s="31" t="inlineStr">
        <is>
          <t>smallcap</t>
        </is>
      </c>
      <c r="F176" s="31" t="n">
        <v>3148</v>
      </c>
      <c r="G176" s="31" t="n">
        <v>2120.6</v>
      </c>
      <c r="H176" s="31" t="n">
        <v>2.3</v>
      </c>
      <c r="I176" s="31" t="n">
        <v>52430</v>
      </c>
      <c r="J176" s="31" t="inlineStr">
        <is>
          <t>532663</t>
        </is>
      </c>
    </row>
    <row r="177">
      <c r="A177" s="31" t="inlineStr">
        <is>
          <t>AKUMS</t>
        </is>
      </c>
      <c r="B177" s="31" t="inlineStr">
        <is>
          <t>Akums Drugs &amp; Pharmaceuticals Ltd</t>
        </is>
      </c>
      <c r="C177" s="31" t="inlineStr">
        <is>
          <t>healthcare</t>
        </is>
      </c>
      <c r="D177" s="31" t="inlineStr">
        <is>
          <t>pharmaceuticals - indian - bulk drugs &amp; formln</t>
        </is>
      </c>
      <c r="E177" s="31" t="inlineStr">
        <is>
          <t>midcap</t>
        </is>
      </c>
      <c r="F177" s="31" t="n">
        <v>9586.870000000001</v>
      </c>
      <c r="G177" s="31" t="n">
        <v>622.9</v>
      </c>
      <c r="H177" s="31" t="n">
        <v>2.27</v>
      </c>
      <c r="I177" s="31" t="n">
        <v>835541</v>
      </c>
      <c r="J177" s="31" t="inlineStr">
        <is>
          <t>544222</t>
        </is>
      </c>
    </row>
    <row r="178">
      <c r="A178" s="31" t="inlineStr">
        <is>
          <t>RAMCOSYS</t>
        </is>
      </c>
      <c r="B178" s="31" t="inlineStr">
        <is>
          <t>Ramco Systems Limited</t>
        </is>
      </c>
      <c r="C178" s="31" t="inlineStr">
        <is>
          <t>i.t</t>
        </is>
      </c>
      <c r="D178" s="31" t="inlineStr">
        <is>
          <t>computers - software - medium / small</t>
        </is>
      </c>
      <c r="E178" s="31" t="inlineStr">
        <is>
          <t>smallcap</t>
        </is>
      </c>
      <c r="F178" s="31" t="n">
        <v>2056.91</v>
      </c>
      <c r="G178" s="31" t="n">
        <v>562.15</v>
      </c>
      <c r="H178" s="31" t="n">
        <v>2.25</v>
      </c>
      <c r="I178" s="31" t="n">
        <v>463028</v>
      </c>
      <c r="J178" s="31" t="inlineStr">
        <is>
          <t>532370</t>
        </is>
      </c>
    </row>
    <row r="179">
      <c r="A179" s="31" t="inlineStr">
        <is>
          <t>DLINKINDIA</t>
        </is>
      </c>
      <c r="B179" s="31" t="inlineStr">
        <is>
          <t>D-link (india) Limited</t>
        </is>
      </c>
      <c r="C179" s="31" t="inlineStr">
        <is>
          <t>services</t>
        </is>
      </c>
      <c r="D179" s="31" t="inlineStr">
        <is>
          <t>trading</t>
        </is>
      </c>
      <c r="E179" s="31" t="inlineStr">
        <is>
          <t>smallcap</t>
        </is>
      </c>
      <c r="F179" s="31" t="n">
        <v>1742.93</v>
      </c>
      <c r="G179" s="31" t="n">
        <v>501.65</v>
      </c>
      <c r="H179" s="31" t="n">
        <v>2.19</v>
      </c>
      <c r="I179" s="31" t="n">
        <v>113422</v>
      </c>
      <c r="J179" s="31" t="inlineStr">
        <is>
          <t>533146</t>
        </is>
      </c>
    </row>
    <row r="180">
      <c r="A180" s="31" t="inlineStr">
        <is>
          <t>VTL</t>
        </is>
      </c>
      <c r="B180" s="31" t="inlineStr">
        <is>
          <t>Vardhman Textiles Limited</t>
        </is>
      </c>
      <c r="C180" s="31" t="inlineStr">
        <is>
          <t>textiles</t>
        </is>
      </c>
      <c r="D180" s="31" t="inlineStr">
        <is>
          <t>textiles - cotton/blended</t>
        </is>
      </c>
      <c r="E180" s="31" t="inlineStr">
        <is>
          <t>midcap</t>
        </is>
      </c>
      <c r="F180" s="31" t="n">
        <v>17774.92</v>
      </c>
      <c r="G180" s="31" t="n">
        <v>627.85</v>
      </c>
      <c r="H180" s="31" t="n">
        <v>2.18</v>
      </c>
      <c r="I180" s="31" t="n">
        <v>220540</v>
      </c>
      <c r="J180" s="31" t="inlineStr">
        <is>
          <t>502986</t>
        </is>
      </c>
    </row>
    <row r="181">
      <c r="A181" s="31" t="inlineStr">
        <is>
          <t>DIVGIITTS</t>
        </is>
      </c>
      <c r="B181" s="31" t="inlineStr">
        <is>
          <t>Divgi Torqtransfer Systems Ltd</t>
        </is>
      </c>
      <c r="C181" s="31" t="inlineStr">
        <is>
          <t>auto</t>
        </is>
      </c>
      <c r="D181" s="31" t="inlineStr">
        <is>
          <t>auto ancillaries</t>
        </is>
      </c>
      <c r="E181" s="31" t="inlineStr">
        <is>
          <t>smallcap</t>
        </is>
      </c>
      <c r="F181" s="31" t="n">
        <v>2451.83</v>
      </c>
      <c r="G181" s="31" t="n">
        <v>819</v>
      </c>
      <c r="H181" s="31" t="n">
        <v>2.16</v>
      </c>
      <c r="I181" s="31" t="n">
        <v>39510</v>
      </c>
      <c r="J181" s="31" t="inlineStr">
        <is>
          <t>543812</t>
        </is>
      </c>
    </row>
    <row r="182">
      <c r="A182" s="31" t="inlineStr">
        <is>
          <t>ADANIGREEN</t>
        </is>
      </c>
      <c r="B182" s="31" t="inlineStr">
        <is>
          <t>Adani Green Energy Ltd</t>
        </is>
      </c>
      <c r="C182" s="31" t="inlineStr">
        <is>
          <t>power &amp; utilities</t>
        </is>
      </c>
      <c r="D182" s="31" t="inlineStr">
        <is>
          <t>power generation and supply</t>
        </is>
      </c>
      <c r="E182" s="31" t="inlineStr">
        <is>
          <t>largecap</t>
        </is>
      </c>
      <c r="F182" s="31" t="n">
        <v>239581.77</v>
      </c>
      <c r="G182" s="31" t="n">
        <v>1485.7</v>
      </c>
      <c r="H182" s="31" t="n">
        <v>2.15</v>
      </c>
      <c r="I182" s="31" t="n">
        <v>1975815</v>
      </c>
      <c r="J182" s="31" t="inlineStr">
        <is>
          <t>541450</t>
        </is>
      </c>
    </row>
    <row r="183">
      <c r="A183" s="31" t="inlineStr">
        <is>
          <t>ZIMLAB</t>
        </is>
      </c>
      <c r="B183" s="31" t="inlineStr">
        <is>
          <t>Zim Laboratories Ltd</t>
        </is>
      </c>
      <c r="C183" s="31" t="inlineStr">
        <is>
          <t>healthcare</t>
        </is>
      </c>
      <c r="D183" s="31" t="inlineStr">
        <is>
          <t>pharmaceuticals - indian - bulk drugs &amp; formln</t>
        </is>
      </c>
      <c r="E183" s="31" t="inlineStr">
        <is>
          <t>smallcap</t>
        </is>
      </c>
      <c r="F183" s="31" t="n">
        <v>599.2</v>
      </c>
      <c r="G183" s="31" t="n">
        <v>114.39</v>
      </c>
      <c r="H183" s="31" t="n">
        <v>2.13</v>
      </c>
      <c r="I183" s="31" t="n">
        <v>74289</v>
      </c>
      <c r="J183" s="31" t="inlineStr">
        <is>
          <t>541400</t>
        </is>
      </c>
    </row>
    <row r="184">
      <c r="A184" s="31" t="inlineStr">
        <is>
          <t>CANFINHOME</t>
        </is>
      </c>
      <c r="B184" s="31" t="inlineStr">
        <is>
          <t>Can Fin Homes Limited</t>
        </is>
      </c>
      <c r="C184" s="31" t="inlineStr">
        <is>
          <t>financials</t>
        </is>
      </c>
      <c r="D184" s="31" t="inlineStr">
        <is>
          <t>finance - housing</t>
        </is>
      </c>
      <c r="E184" s="31" t="inlineStr">
        <is>
          <t>midcap</t>
        </is>
      </c>
      <c r="F184" s="31" t="n">
        <v>11244.87</v>
      </c>
      <c r="G184" s="31" t="n">
        <v>862.3</v>
      </c>
      <c r="H184" s="31" t="n">
        <v>2.11</v>
      </c>
      <c r="I184" s="31" t="n">
        <v>313967</v>
      </c>
      <c r="J184" s="31" t="inlineStr">
        <is>
          <t>511196</t>
        </is>
      </c>
    </row>
    <row r="185">
      <c r="A185" s="31" t="inlineStr">
        <is>
          <t>ASIANPAINT</t>
        </is>
      </c>
      <c r="B185" s="31" t="inlineStr">
        <is>
          <t>Asian Paints Limited</t>
        </is>
      </c>
      <c r="C185" s="31" t="inlineStr">
        <is>
          <t>building materials</t>
        </is>
      </c>
      <c r="D185" s="31" t="inlineStr">
        <is>
          <t>paints / varnishes</t>
        </is>
      </c>
      <c r="E185" s="31" t="inlineStr">
        <is>
          <t>largecap</t>
        </is>
      </c>
      <c r="F185" s="31" t="n">
        <v>258110.53</v>
      </c>
      <c r="G185" s="31" t="n">
        <v>2747.4</v>
      </c>
      <c r="H185" s="31" t="n">
        <v>2.1</v>
      </c>
      <c r="I185" s="31" t="n">
        <v>1078025</v>
      </c>
      <c r="J185" s="31" t="inlineStr">
        <is>
          <t>500820</t>
        </is>
      </c>
    </row>
    <row r="186">
      <c r="A186" s="31" t="inlineStr">
        <is>
          <t>KDDL</t>
        </is>
      </c>
      <c r="B186" s="31" t="inlineStr">
        <is>
          <t>Kddl Limited</t>
        </is>
      </c>
      <c r="C186" s="31" t="inlineStr">
        <is>
          <t>consumer discretionary</t>
        </is>
      </c>
      <c r="D186" s="31" t="inlineStr">
        <is>
          <t>miscellaneous</t>
        </is>
      </c>
      <c r="E186" s="31" t="inlineStr">
        <is>
          <t>smallcap</t>
        </is>
      </c>
      <c r="F186" s="31" t="n">
        <v>3458.43</v>
      </c>
      <c r="G186" s="31" t="n">
        <v>2869.3</v>
      </c>
      <c r="H186" s="31" t="n">
        <v>2.04</v>
      </c>
      <c r="I186" s="31" t="n">
        <v>12887</v>
      </c>
      <c r="J186" s="31" t="inlineStr">
        <is>
          <t>532054</t>
        </is>
      </c>
    </row>
    <row r="187">
      <c r="A187" s="31" t="inlineStr">
        <is>
          <t>NAVINFLUOR</t>
        </is>
      </c>
      <c r="B187" s="31" t="inlineStr">
        <is>
          <t>Navin Fluorine International Limited</t>
        </is>
      </c>
      <c r="C187" s="31" t="inlineStr">
        <is>
          <t>chemicals</t>
        </is>
      </c>
      <c r="D187" s="31" t="inlineStr">
        <is>
          <t>chemicals</t>
        </is>
      </c>
      <c r="E187" s="31" t="inlineStr">
        <is>
          <t>largecap</t>
        </is>
      </c>
      <c r="F187" s="31" t="n">
        <v>36678.6</v>
      </c>
      <c r="G187" s="31" t="n">
        <v>7303</v>
      </c>
      <c r="H187" s="31" t="n">
        <v>2.04</v>
      </c>
      <c r="I187" s="31" t="n">
        <v>136617</v>
      </c>
      <c r="J187" s="31" t="inlineStr">
        <is>
          <t>532504</t>
        </is>
      </c>
    </row>
    <row r="188">
      <c r="A188" s="31" t="inlineStr">
        <is>
          <t>RSWM</t>
        </is>
      </c>
      <c r="B188" s="31" t="inlineStr">
        <is>
          <t>Rswm Limited</t>
        </is>
      </c>
      <c r="C188" s="31" t="inlineStr">
        <is>
          <t>textiles</t>
        </is>
      </c>
      <c r="D188" s="31" t="inlineStr">
        <is>
          <t>textiles - cotton/blended</t>
        </is>
      </c>
      <c r="E188" s="31" t="inlineStr">
        <is>
          <t>smallcap</t>
        </is>
      </c>
      <c r="F188" s="31" t="n">
        <v>965.73</v>
      </c>
      <c r="G188" s="31" t="n">
        <v>209.15</v>
      </c>
      <c r="H188" s="31" t="n">
        <v>2.01</v>
      </c>
      <c r="I188" s="31" t="n">
        <v>204700</v>
      </c>
      <c r="J188" s="31" t="inlineStr">
        <is>
          <t>500350</t>
        </is>
      </c>
    </row>
    <row r="189">
      <c r="A189" s="31" t="inlineStr">
        <is>
          <t>AEGISLOG</t>
        </is>
      </c>
      <c r="B189" s="31" t="inlineStr">
        <is>
          <t>Aegis Logistics Ltd</t>
        </is>
      </c>
      <c r="C189" s="31" t="inlineStr">
        <is>
          <t>services</t>
        </is>
      </c>
      <c r="D189" s="31" t="inlineStr">
        <is>
          <t>trading</t>
        </is>
      </c>
      <c r="E189" s="31" t="inlineStr">
        <is>
          <t>largecap</t>
        </is>
      </c>
      <c r="F189" s="31" t="n">
        <v>32499.09</v>
      </c>
      <c r="G189" s="31" t="n">
        <v>944.4</v>
      </c>
      <c r="H189" s="31" t="n">
        <v>2</v>
      </c>
      <c r="I189" s="31" t="n">
        <v>24360713</v>
      </c>
      <c r="J189" s="31" t="inlineStr">
        <is>
          <t>500003</t>
        </is>
      </c>
    </row>
    <row r="190">
      <c r="A190" s="31" t="inlineStr">
        <is>
          <t>MANORAMA</t>
        </is>
      </c>
      <c r="B190" s="31" t="inlineStr">
        <is>
          <t>Manorama Industries Ltd</t>
        </is>
      </c>
      <c r="C190" s="31" t="inlineStr">
        <is>
          <t>fmcg</t>
        </is>
      </c>
      <c r="D190" s="31" t="inlineStr">
        <is>
          <t>food - processing - indian</t>
        </is>
      </c>
      <c r="E190" s="31" t="inlineStr">
        <is>
          <t>midcap</t>
        </is>
      </c>
      <c r="F190" s="31" t="n">
        <v>9160.48</v>
      </c>
      <c r="G190" s="31" t="n">
        <v>1564.4</v>
      </c>
      <c r="H190" s="31" t="n">
        <v>1.97</v>
      </c>
      <c r="I190" s="31" t="n">
        <v>135943</v>
      </c>
      <c r="J190" s="31" t="inlineStr">
        <is>
          <t>541974</t>
        </is>
      </c>
    </row>
    <row r="191">
      <c r="A191" s="31" t="inlineStr">
        <is>
          <t>KIRLPNU</t>
        </is>
      </c>
      <c r="B191" s="31" t="inlineStr">
        <is>
          <t>Kirloskar Pneumatic Company Ltd</t>
        </is>
      </c>
      <c r="C191" s="31" t="inlineStr">
        <is>
          <t>industrials</t>
        </is>
      </c>
      <c r="D191" s="31" t="inlineStr">
        <is>
          <t>compressors / drilling equipment</t>
        </is>
      </c>
      <c r="E191" s="31" t="inlineStr">
        <is>
          <t>midcap</t>
        </is>
      </c>
      <c r="F191" s="31" t="n">
        <v>10230.27</v>
      </c>
      <c r="G191" s="31" t="n">
        <v>1606</v>
      </c>
      <c r="H191" s="31" t="n">
        <v>1.97</v>
      </c>
      <c r="I191" s="31" t="n">
        <v>150646</v>
      </c>
      <c r="J191" s="31" t="inlineStr">
        <is>
          <t>505283</t>
        </is>
      </c>
    </row>
    <row r="192">
      <c r="A192" s="31" t="inlineStr">
        <is>
          <t>SUVEN</t>
        </is>
      </c>
      <c r="B192" s="31" t="inlineStr">
        <is>
          <t>Suven Life Sciences Limited</t>
        </is>
      </c>
      <c r="C192" s="31" t="inlineStr">
        <is>
          <t>healthcare</t>
        </is>
      </c>
      <c r="D192" s="31" t="inlineStr">
        <is>
          <t>miscellaneous</t>
        </is>
      </c>
      <c r="E192" s="31" t="inlineStr">
        <is>
          <t>midcap</t>
        </is>
      </c>
      <c r="F192" s="31" t="n">
        <v>6939.81</v>
      </c>
      <c r="G192" s="31" t="n">
        <v>268.25</v>
      </c>
      <c r="H192" s="31" t="n">
        <v>1.94</v>
      </c>
      <c r="I192" s="31" t="n">
        <v>1031465</v>
      </c>
      <c r="J192" s="31" t="inlineStr">
        <is>
          <t>530239</t>
        </is>
      </c>
    </row>
    <row r="193">
      <c r="A193" s="31" t="inlineStr">
        <is>
          <t>POLYCAB</t>
        </is>
      </c>
      <c r="B193" s="31" t="inlineStr">
        <is>
          <t>Polycab India Ltd</t>
        </is>
      </c>
      <c r="C193" s="31" t="inlineStr">
        <is>
          <t>industrials</t>
        </is>
      </c>
      <c r="D193" s="31" t="inlineStr">
        <is>
          <t>cables - power</t>
        </is>
      </c>
      <c r="E193" s="31" t="inlineStr">
        <is>
          <t>largecap</t>
        </is>
      </c>
      <c r="F193" s="31" t="n">
        <v>141095.94</v>
      </c>
      <c r="G193" s="31" t="n">
        <v>9554</v>
      </c>
      <c r="H193" s="31" t="n">
        <v>1.94</v>
      </c>
      <c r="I193" s="31" t="n">
        <v>162406</v>
      </c>
      <c r="J193" s="31" t="inlineStr">
        <is>
          <t>542652</t>
        </is>
      </c>
    </row>
    <row r="194">
      <c r="A194" s="31" t="inlineStr">
        <is>
          <t>IRISDOREME</t>
        </is>
      </c>
      <c r="B194" s="31" t="inlineStr">
        <is>
          <t>Iris Clothings Ltd</t>
        </is>
      </c>
      <c r="C194" s="31" t="inlineStr">
        <is>
          <t>consumer discretionary</t>
        </is>
      </c>
      <c r="D194" s="31" t="inlineStr">
        <is>
          <t>textiles - products</t>
        </is>
      </c>
      <c r="E194" s="31" t="inlineStr">
        <is>
          <t>smallcap</t>
        </is>
      </c>
      <c r="F194" s="31" t="n">
        <v>683.1</v>
      </c>
      <c r="G194" s="31" t="n">
        <v>36.58</v>
      </c>
      <c r="H194" s="31" t="n">
        <v>1.92</v>
      </c>
      <c r="I194" s="31" t="n">
        <v>351947</v>
      </c>
      <c r="J194" s="31" t="inlineStr">
        <is>
          <t>535123</t>
        </is>
      </c>
    </row>
    <row r="195">
      <c r="A195" s="31" t="inlineStr">
        <is>
          <t>FEDERALBNK</t>
        </is>
      </c>
      <c r="B195" s="31" t="inlineStr">
        <is>
          <t>The Federal Bank  Limited</t>
        </is>
      </c>
      <c r="C195" s="31" t="inlineStr">
        <is>
          <t>bank</t>
        </is>
      </c>
      <c r="D195" s="31" t="inlineStr">
        <is>
          <t>banks - private sector</t>
        </is>
      </c>
      <c r="E195" s="31" t="inlineStr">
        <is>
          <t>largecap</t>
        </is>
      </c>
      <c r="F195" s="31" t="n">
        <v>76331.14999999999</v>
      </c>
      <c r="G195" s="31" t="n">
        <v>315.7</v>
      </c>
      <c r="H195" s="31" t="n">
        <v>1.92</v>
      </c>
      <c r="I195" s="31" t="n">
        <v>9052110</v>
      </c>
      <c r="J195" s="31" t="inlineStr">
        <is>
          <t>500469</t>
        </is>
      </c>
    </row>
    <row r="196">
      <c r="A196" s="31" t="inlineStr">
        <is>
          <t>BHAGYANGR</t>
        </is>
      </c>
      <c r="B196" s="31" t="inlineStr">
        <is>
          <t>Bhagyanagar India</t>
        </is>
      </c>
      <c r="C196" s="31" t="inlineStr">
        <is>
          <t>power &amp; utilities</t>
        </is>
      </c>
      <c r="D196" s="31" t="inlineStr">
        <is>
          <t>power generation and supply</t>
        </is>
      </c>
      <c r="E196" s="31" t="inlineStr">
        <is>
          <t>smallcap</t>
        </is>
      </c>
      <c r="F196" s="31" t="n">
        <v>975.21</v>
      </c>
      <c r="G196" s="31" t="n">
        <v>310.6</v>
      </c>
      <c r="H196" s="31" t="n">
        <v>1.9</v>
      </c>
      <c r="I196" s="31" t="n">
        <v>59502</v>
      </c>
      <c r="J196" s="31" t="inlineStr">
        <is>
          <t>512296</t>
        </is>
      </c>
    </row>
    <row r="197">
      <c r="A197" s="31" t="inlineStr">
        <is>
          <t>BHAGERIA</t>
        </is>
      </c>
      <c r="B197" s="31" t="inlineStr">
        <is>
          <t>Bhageria Industries Limited</t>
        </is>
      </c>
      <c r="C197" s="31" t="inlineStr">
        <is>
          <t>chemicals</t>
        </is>
      </c>
      <c r="D197" s="31" t="inlineStr">
        <is>
          <t>dyes and pigments</t>
        </is>
      </c>
      <c r="E197" s="31" t="inlineStr">
        <is>
          <t>smallcap</t>
        </is>
      </c>
      <c r="F197" s="31" t="n">
        <v>896.3200000000001</v>
      </c>
      <c r="G197" s="31" t="n">
        <v>209.25</v>
      </c>
      <c r="H197" s="31" t="n">
        <v>1.89</v>
      </c>
      <c r="I197" s="31" t="n">
        <v>59871</v>
      </c>
      <c r="J197" s="31" t="inlineStr">
        <is>
          <t>530803</t>
        </is>
      </c>
    </row>
    <row r="198">
      <c r="A198" s="31" t="inlineStr">
        <is>
          <t>MOTHERSON</t>
        </is>
      </c>
      <c r="B198" s="31" t="inlineStr">
        <is>
          <t>Samvardhana Motherson International Ltd</t>
        </is>
      </c>
      <c r="C198" s="31" t="inlineStr">
        <is>
          <t>auto</t>
        </is>
      </c>
      <c r="D198" s="31" t="inlineStr">
        <is>
          <t>auto ancillaries</t>
        </is>
      </c>
      <c r="E198" s="31" t="inlineStr">
        <is>
          <t>largecap</t>
        </is>
      </c>
      <c r="F198" s="31" t="n">
        <v>148543.23</v>
      </c>
      <c r="G198" s="31" t="n">
        <v>143.4</v>
      </c>
      <c r="H198" s="31" t="n">
        <v>1.89</v>
      </c>
      <c r="I198" s="31" t="n">
        <v>12743045</v>
      </c>
      <c r="J198" s="31" t="inlineStr">
        <is>
          <t>517334</t>
        </is>
      </c>
    </row>
    <row r="199">
      <c r="A199" s="31" t="inlineStr">
        <is>
          <t>STEL</t>
        </is>
      </c>
      <c r="B199" s="31" t="inlineStr">
        <is>
          <t>Stel Holdings Limited</t>
        </is>
      </c>
      <c r="C199" s="31" t="inlineStr">
        <is>
          <t>financials</t>
        </is>
      </c>
      <c r="D199" s="31" t="inlineStr">
        <is>
          <t>finance &amp; investments</t>
        </is>
      </c>
      <c r="E199" s="31" t="inlineStr">
        <is>
          <t>smallcap</t>
        </is>
      </c>
      <c r="F199" s="31" t="n">
        <v>1003.6</v>
      </c>
      <c r="G199" s="31" t="n">
        <v>554.1</v>
      </c>
      <c r="H199" s="31" t="n">
        <v>1.89</v>
      </c>
      <c r="I199" s="31" t="n">
        <v>6695</v>
      </c>
      <c r="J199" s="31" t="n"/>
    </row>
    <row r="200">
      <c r="A200" s="31" t="inlineStr">
        <is>
          <t>RRKABEL</t>
        </is>
      </c>
      <c r="B200" s="31" t="inlineStr">
        <is>
          <t>R R Kabel Ltd</t>
        </is>
      </c>
      <c r="C200" s="31" t="inlineStr">
        <is>
          <t>industrials</t>
        </is>
      </c>
      <c r="D200" s="31" t="inlineStr">
        <is>
          <t>cables - power</t>
        </is>
      </c>
      <c r="E200" s="31" t="inlineStr">
        <is>
          <t>largecap</t>
        </is>
      </c>
      <c r="F200" s="31" t="n">
        <v>24069.98</v>
      </c>
      <c r="G200" s="31" t="n">
        <v>2168.2</v>
      </c>
      <c r="H200" s="31" t="n">
        <v>1.88</v>
      </c>
      <c r="I200" s="31" t="n">
        <v>467495</v>
      </c>
      <c r="J200" s="31" t="inlineStr">
        <is>
          <t>543981</t>
        </is>
      </c>
    </row>
    <row r="201">
      <c r="A201" s="31" t="inlineStr">
        <is>
          <t>RBLBANK</t>
        </is>
      </c>
      <c r="B201" s="31" t="inlineStr">
        <is>
          <t>Rbl Bank Limited</t>
        </is>
      </c>
      <c r="C201" s="31" t="inlineStr">
        <is>
          <t>bank</t>
        </is>
      </c>
      <c r="D201" s="31" t="inlineStr">
        <is>
          <t>banks - private sector</t>
        </is>
      </c>
      <c r="E201" s="31" t="inlineStr">
        <is>
          <t>largecap</t>
        </is>
      </c>
      <c r="F201" s="31" t="n">
        <v>22196.38</v>
      </c>
      <c r="G201" s="31" t="n">
        <v>365.85</v>
      </c>
      <c r="H201" s="31" t="n">
        <v>1.88</v>
      </c>
      <c r="I201" s="31" t="n">
        <v>8410483</v>
      </c>
      <c r="J201" s="31" t="inlineStr">
        <is>
          <t>540065</t>
        </is>
      </c>
    </row>
    <row r="202">
      <c r="A202" s="31" t="inlineStr">
        <is>
          <t>RAINBOW</t>
        </is>
      </c>
      <c r="B202" s="31" t="inlineStr">
        <is>
          <t>Rainbow Childrens Medicare Ltd</t>
        </is>
      </c>
      <c r="C202" s="31" t="inlineStr">
        <is>
          <t>healthcare</t>
        </is>
      </c>
      <c r="D202" s="31" t="inlineStr">
        <is>
          <t>healthcare</t>
        </is>
      </c>
      <c r="E202" s="31" t="inlineStr">
        <is>
          <t>midcap</t>
        </is>
      </c>
      <c r="F202" s="31" t="n">
        <v>13607.91</v>
      </c>
      <c r="G202" s="31" t="n">
        <v>1365</v>
      </c>
      <c r="H202" s="31" t="n">
        <v>1.87</v>
      </c>
      <c r="I202" s="31" t="n">
        <v>72355</v>
      </c>
      <c r="J202" s="31" t="inlineStr">
        <is>
          <t>543524</t>
        </is>
      </c>
    </row>
    <row r="203">
      <c r="A203" s="31" t="inlineStr">
        <is>
          <t>EICHERMOT</t>
        </is>
      </c>
      <c r="B203" s="31" t="inlineStr">
        <is>
          <t>Eicher Motors Limited</t>
        </is>
      </c>
      <c r="C203" s="31" t="inlineStr">
        <is>
          <t>auto</t>
        </is>
      </c>
      <c r="D203" s="31" t="inlineStr">
        <is>
          <t>automobiles - motorcycles / mopeds</t>
        </is>
      </c>
      <c r="E203" s="31" t="inlineStr">
        <is>
          <t>largecap</t>
        </is>
      </c>
      <c r="F203" s="31" t="n">
        <v>196943.88</v>
      </c>
      <c r="G203" s="31" t="n">
        <v>7312</v>
      </c>
      <c r="H203" s="31" t="n">
        <v>1.85</v>
      </c>
      <c r="I203" s="31" t="n">
        <v>300260</v>
      </c>
      <c r="J203" s="31" t="inlineStr">
        <is>
          <t>505200</t>
        </is>
      </c>
    </row>
    <row r="204">
      <c r="A204" s="31" t="inlineStr">
        <is>
          <t>SANSERA</t>
        </is>
      </c>
      <c r="B204" s="31" t="inlineStr">
        <is>
          <t>Sansera Engineering Ltd</t>
        </is>
      </c>
      <c r="C204" s="31" t="inlineStr">
        <is>
          <t>auto</t>
        </is>
      </c>
      <c r="D204" s="31" t="inlineStr">
        <is>
          <t>auto ancillaries</t>
        </is>
      </c>
      <c r="E204" s="31" t="inlineStr">
        <is>
          <t>midcap</t>
        </is>
      </c>
      <c r="F204" s="31" t="n">
        <v>17836.32</v>
      </c>
      <c r="G204" s="31" t="n">
        <v>2914.2</v>
      </c>
      <c r="H204" s="31" t="n">
        <v>1.84</v>
      </c>
      <c r="I204" s="31" t="n">
        <v>233548</v>
      </c>
      <c r="J204" s="31" t="inlineStr">
        <is>
          <t>543358</t>
        </is>
      </c>
    </row>
    <row r="205">
      <c r="A205" s="31" t="inlineStr">
        <is>
          <t>THYROCARE</t>
        </is>
      </c>
      <c r="B205" s="31" t="inlineStr">
        <is>
          <t>Thyrocare Technologies Limited</t>
        </is>
      </c>
      <c r="C205" s="31" t="inlineStr">
        <is>
          <t>healthcare</t>
        </is>
      </c>
      <c r="D205" s="31" t="inlineStr">
        <is>
          <t>healthcare</t>
        </is>
      </c>
      <c r="E205" s="31" t="inlineStr">
        <is>
          <t>midcap</t>
        </is>
      </c>
      <c r="F205" s="31" t="n">
        <v>8267.049999999999</v>
      </c>
      <c r="G205" s="31" t="n">
        <v>528.9</v>
      </c>
      <c r="H205" s="31" t="n">
        <v>1.83</v>
      </c>
      <c r="I205" s="31" t="n">
        <v>331843</v>
      </c>
      <c r="J205" s="31" t="inlineStr">
        <is>
          <t>539871</t>
        </is>
      </c>
    </row>
    <row r="206">
      <c r="A206" s="31" t="inlineStr">
        <is>
          <t>PTL</t>
        </is>
      </c>
      <c r="B206" s="31" t="inlineStr">
        <is>
          <t>Ptl Enterprises Limited</t>
        </is>
      </c>
      <c r="C206" s="31" t="inlineStr">
        <is>
          <t>miscellaneous</t>
        </is>
      </c>
      <c r="D206" s="31" t="inlineStr">
        <is>
          <t>miscellaneous</t>
        </is>
      </c>
      <c r="E206" s="31" t="inlineStr">
        <is>
          <t>smallcap</t>
        </is>
      </c>
      <c r="F206" s="31" t="n">
        <v>529.77</v>
      </c>
      <c r="G206" s="31" t="n">
        <v>40.75</v>
      </c>
      <c r="H206" s="31" t="n">
        <v>1.82</v>
      </c>
      <c r="I206" s="31" t="n">
        <v>94774</v>
      </c>
      <c r="J206" s="31" t="inlineStr">
        <is>
          <t>509220</t>
        </is>
      </c>
    </row>
    <row r="207">
      <c r="A207" s="31" t="inlineStr">
        <is>
          <t>ICICIBANK</t>
        </is>
      </c>
      <c r="B207" s="31" t="inlineStr">
        <is>
          <t>Icici Bank Limited</t>
        </is>
      </c>
      <c r="C207" s="31" t="inlineStr">
        <is>
          <t>bank</t>
        </is>
      </c>
      <c r="D207" s="31" t="inlineStr">
        <is>
          <t>banks - private sector</t>
        </is>
      </c>
      <c r="E207" s="31" t="inlineStr">
        <is>
          <t>largecap</t>
        </is>
      </c>
      <c r="F207" s="31" t="n">
        <v>942986.83</v>
      </c>
      <c r="G207" s="31" t="n">
        <v>1340.8</v>
      </c>
      <c r="H207" s="31" t="n">
        <v>1.81</v>
      </c>
      <c r="I207" s="31" t="n">
        <v>18339846</v>
      </c>
      <c r="J207" s="31" t="inlineStr">
        <is>
          <t>532174</t>
        </is>
      </c>
    </row>
    <row r="208">
      <c r="A208" s="31" t="inlineStr">
        <is>
          <t>GLOSTERLTD</t>
        </is>
      </c>
      <c r="B208" s="31" t="inlineStr">
        <is>
          <t>Gloster Ltd</t>
        </is>
      </c>
      <c r="C208" s="31" t="inlineStr">
        <is>
          <t>textiles</t>
        </is>
      </c>
      <c r="D208" s="31" t="inlineStr">
        <is>
          <t>textiles - jute - yarn / products</t>
        </is>
      </c>
      <c r="E208" s="31" t="inlineStr">
        <is>
          <t>smallcap</t>
        </is>
      </c>
      <c r="F208" s="31" t="n">
        <v>718.86</v>
      </c>
      <c r="G208" s="31" t="n">
        <v>668.8</v>
      </c>
      <c r="H208" s="31" t="n">
        <v>1.81</v>
      </c>
      <c r="I208" s="31" t="n">
        <v>1045</v>
      </c>
      <c r="J208" s="31" t="inlineStr">
        <is>
          <t>542351</t>
        </is>
      </c>
    </row>
    <row r="209">
      <c r="A209" s="31" t="inlineStr">
        <is>
          <t>IKS</t>
        </is>
      </c>
      <c r="B209" s="31" t="inlineStr">
        <is>
          <t>Inventurus Knowledge Solutions Ltd</t>
        </is>
      </c>
      <c r="C209" s="31" t="inlineStr">
        <is>
          <t>i.t</t>
        </is>
      </c>
      <c r="D209" s="31" t="inlineStr">
        <is>
          <t>computers - software - medium / small</t>
        </is>
      </c>
      <c r="E209" s="31" t="inlineStr">
        <is>
          <t>largecap</t>
        </is>
      </c>
      <c r="F209" s="31" t="n">
        <v>28292.41</v>
      </c>
      <c r="G209" s="31" t="n">
        <v>1678.3</v>
      </c>
      <c r="H209" s="31" t="n">
        <v>1.78</v>
      </c>
      <c r="I209" s="31" t="n">
        <v>80525</v>
      </c>
      <c r="J209" s="31" t="inlineStr">
        <is>
          <t>544309</t>
        </is>
      </c>
    </row>
    <row r="210">
      <c r="A210" s="31" t="inlineStr">
        <is>
          <t>ELGIEQUIP</t>
        </is>
      </c>
      <c r="B210" s="31" t="inlineStr">
        <is>
          <t>Elgi Equipments Limited</t>
        </is>
      </c>
      <c r="C210" s="31" t="inlineStr">
        <is>
          <t>industrials</t>
        </is>
      </c>
      <c r="D210" s="31" t="inlineStr">
        <is>
          <t>compressors / drilling equipment</t>
        </is>
      </c>
      <c r="E210" s="31" t="inlineStr">
        <is>
          <t>midcap</t>
        </is>
      </c>
      <c r="F210" s="31" t="n">
        <v>18806.97</v>
      </c>
      <c r="G210" s="31" t="n">
        <v>603.85</v>
      </c>
      <c r="H210" s="31" t="n">
        <v>1.75</v>
      </c>
      <c r="I210" s="31" t="n">
        <v>358767</v>
      </c>
      <c r="J210" s="31" t="inlineStr">
        <is>
          <t>522074</t>
        </is>
      </c>
    </row>
    <row r="211">
      <c r="A211" s="31" t="inlineStr">
        <is>
          <t>ATGL</t>
        </is>
      </c>
      <c r="B211" s="31" t="inlineStr">
        <is>
          <t>Adani Total Gas Ltd</t>
        </is>
      </c>
      <c r="C211" s="31" t="inlineStr">
        <is>
          <t>energy</t>
        </is>
      </c>
      <c r="D211" s="31" t="inlineStr">
        <is>
          <t>miscellaneous</t>
        </is>
      </c>
      <c r="E211" s="31" t="inlineStr">
        <is>
          <t>largecap</t>
        </is>
      </c>
      <c r="F211" s="31" t="n">
        <v>78762.89999999999</v>
      </c>
      <c r="G211" s="31" t="n">
        <v>728.5</v>
      </c>
      <c r="H211" s="31" t="n">
        <v>1.72</v>
      </c>
      <c r="I211" s="31" t="n">
        <v>3246129</v>
      </c>
      <c r="J211" s="31" t="inlineStr">
        <is>
          <t>542066</t>
        </is>
      </c>
    </row>
    <row r="212">
      <c r="A212" s="31" t="inlineStr">
        <is>
          <t>HIRECT</t>
        </is>
      </c>
      <c r="B212" s="31" t="inlineStr">
        <is>
          <t>Hind Rectifiers Limited</t>
        </is>
      </c>
      <c r="C212" s="31" t="inlineStr">
        <is>
          <t>consumer discretionary</t>
        </is>
      </c>
      <c r="D212" s="31" t="inlineStr">
        <is>
          <t>electronics - components</t>
        </is>
      </c>
      <c r="E212" s="31" t="inlineStr">
        <is>
          <t>smallcap</t>
        </is>
      </c>
      <c r="F212" s="31" t="n">
        <v>3820.99</v>
      </c>
      <c r="G212" s="31" t="n">
        <v>1130.5</v>
      </c>
      <c r="H212" s="31" t="n">
        <v>1.68</v>
      </c>
      <c r="I212" s="31" t="n">
        <v>96480</v>
      </c>
      <c r="J212" s="31" t="inlineStr">
        <is>
          <t>504036</t>
        </is>
      </c>
    </row>
    <row r="213">
      <c r="A213" s="31" t="inlineStr">
        <is>
          <t>YATHARTH</t>
        </is>
      </c>
      <c r="B213" s="31" t="inlineStr">
        <is>
          <t>Yatharth Hospital &amp; Trauma Care Services Ltd</t>
        </is>
      </c>
      <c r="C213" s="31" t="inlineStr">
        <is>
          <t>healthcare</t>
        </is>
      </c>
      <c r="D213" s="31" t="inlineStr">
        <is>
          <t>healthcare</t>
        </is>
      </c>
      <c r="E213" s="31" t="inlineStr">
        <is>
          <t>midcap</t>
        </is>
      </c>
      <c r="F213" s="31" t="n">
        <v>7957.42</v>
      </c>
      <c r="G213" s="31" t="n">
        <v>839.75</v>
      </c>
      <c r="H213" s="31" t="n">
        <v>1.68</v>
      </c>
      <c r="I213" s="31" t="n">
        <v>236157</v>
      </c>
      <c r="J213" s="31" t="inlineStr">
        <is>
          <t>543950</t>
        </is>
      </c>
    </row>
    <row r="214">
      <c r="A214" s="31" t="inlineStr">
        <is>
          <t>SBIN</t>
        </is>
      </c>
      <c r="B214" s="31" t="inlineStr">
        <is>
          <t>State Bank Of India Ltd</t>
        </is>
      </c>
      <c r="C214" s="31" t="inlineStr">
        <is>
          <t>bank</t>
        </is>
      </c>
      <c r="D214" s="31" t="inlineStr">
        <is>
          <t>banks - public sector</t>
        </is>
      </c>
      <c r="E214" s="31" t="inlineStr">
        <is>
          <t>largecap</t>
        </is>
      </c>
      <c r="F214" s="31" t="n">
        <v>923707.9</v>
      </c>
      <c r="G214" s="31" t="n">
        <v>1017.15</v>
      </c>
      <c r="H214" s="31" t="n">
        <v>1.64</v>
      </c>
      <c r="I214" s="31" t="n">
        <v>11081119</v>
      </c>
      <c r="J214" s="31" t="inlineStr">
        <is>
          <t>500112</t>
        </is>
      </c>
    </row>
    <row r="215">
      <c r="A215" s="31" t="inlineStr">
        <is>
          <t>EXIDEIND</t>
        </is>
      </c>
      <c r="B215" s="31" t="inlineStr">
        <is>
          <t>Exide Industries Limited</t>
        </is>
      </c>
      <c r="C215" s="31" t="inlineStr">
        <is>
          <t>auto</t>
        </is>
      </c>
      <c r="D215" s="31" t="inlineStr">
        <is>
          <t>auto ancillaries</t>
        </is>
      </c>
      <c r="E215" s="31" t="inlineStr">
        <is>
          <t>largecap</t>
        </is>
      </c>
      <c r="F215" s="31" t="n">
        <v>32780.25</v>
      </c>
      <c r="G215" s="31" t="n">
        <v>391.95</v>
      </c>
      <c r="H215" s="31" t="n">
        <v>1.63</v>
      </c>
      <c r="I215" s="31" t="n">
        <v>1527789</v>
      </c>
      <c r="J215" s="31" t="inlineStr">
        <is>
          <t>500086</t>
        </is>
      </c>
    </row>
    <row r="216">
      <c r="A216" s="31" t="inlineStr">
        <is>
          <t>ADANIENSOL</t>
        </is>
      </c>
      <c r="B216" s="31" t="inlineStr">
        <is>
          <t>Adani Energy Solutions Ltd</t>
        </is>
      </c>
      <c r="C216" s="31" t="inlineStr">
        <is>
          <t>power &amp; utilities</t>
        </is>
      </c>
      <c r="D216" s="31" t="inlineStr">
        <is>
          <t>power generation and supply</t>
        </is>
      </c>
      <c r="E216" s="31" t="inlineStr">
        <is>
          <t>largecap</t>
        </is>
      </c>
      <c r="F216" s="31" t="n">
        <v>176192.13</v>
      </c>
      <c r="G216" s="31" t="n">
        <v>1489.6</v>
      </c>
      <c r="H216" s="31" t="n">
        <v>1.56</v>
      </c>
      <c r="I216" s="31" t="n">
        <v>1607528</v>
      </c>
      <c r="J216" s="31" t="inlineStr">
        <is>
          <t>539254</t>
        </is>
      </c>
    </row>
    <row r="217">
      <c r="A217" s="31" t="inlineStr">
        <is>
          <t>FACT</t>
        </is>
      </c>
      <c r="B217" s="31" t="inlineStr">
        <is>
          <t>Fertilizers And Chemicals Travancore Limited</t>
        </is>
      </c>
      <c r="C217" s="31" t="inlineStr">
        <is>
          <t>chemicals</t>
        </is>
      </c>
      <c r="D217" s="31" t="inlineStr">
        <is>
          <t>fertilizers</t>
        </is>
      </c>
      <c r="E217" s="31" t="inlineStr">
        <is>
          <t>largecap</t>
        </is>
      </c>
      <c r="F217" s="31" t="n">
        <v>57537.64</v>
      </c>
      <c r="G217" s="31" t="n">
        <v>902.35</v>
      </c>
      <c r="H217" s="31" t="n">
        <v>1.48</v>
      </c>
      <c r="I217" s="31" t="n">
        <v>248746</v>
      </c>
      <c r="J217" s="31" t="inlineStr">
        <is>
          <t>590024</t>
        </is>
      </c>
    </row>
    <row r="218">
      <c r="A218" s="31" t="inlineStr">
        <is>
          <t>SHYAMMETL</t>
        </is>
      </c>
      <c r="B218" s="31" t="inlineStr">
        <is>
          <t>Shyam Metalics &amp; Energy Ltd</t>
        </is>
      </c>
      <c r="C218" s="31" t="inlineStr">
        <is>
          <t>metals &amp; mining</t>
        </is>
      </c>
      <c r="D218" s="31" t="inlineStr">
        <is>
          <t>steel - large</t>
        </is>
      </c>
      <c r="E218" s="31" t="inlineStr">
        <is>
          <t>largecap</t>
        </is>
      </c>
      <c r="F218" s="31" t="n">
        <v>27060.44</v>
      </c>
      <c r="G218" s="31" t="n">
        <v>983.75</v>
      </c>
      <c r="H218" s="31" t="n">
        <v>1.48</v>
      </c>
      <c r="I218" s="31" t="n">
        <v>864603</v>
      </c>
      <c r="J218" s="31" t="inlineStr">
        <is>
          <t>543299</t>
        </is>
      </c>
    </row>
    <row r="219">
      <c r="A219" s="31" t="inlineStr">
        <is>
          <t>SHILPAMED</t>
        </is>
      </c>
      <c r="B219" s="31" t="inlineStr">
        <is>
          <t>Shilpa Medicare Limited</t>
        </is>
      </c>
      <c r="C219" s="31" t="inlineStr">
        <is>
          <t>healthcare</t>
        </is>
      </c>
      <c r="D219" s="31" t="inlineStr">
        <is>
          <t>pharmaceuticals - indian - formulations</t>
        </is>
      </c>
      <c r="E219" s="31" t="inlineStr">
        <is>
          <t>midcap</t>
        </is>
      </c>
      <c r="F219" s="31" t="n">
        <v>10538.93</v>
      </c>
      <c r="G219" s="31" t="n">
        <v>546.75</v>
      </c>
      <c r="H219" s="31" t="n">
        <v>1.47</v>
      </c>
      <c r="I219" s="31" t="n">
        <v>655163</v>
      </c>
      <c r="J219" s="31" t="inlineStr">
        <is>
          <t>530549</t>
        </is>
      </c>
    </row>
    <row r="220">
      <c r="A220" s="31" t="inlineStr">
        <is>
          <t>APCOTEXIND</t>
        </is>
      </c>
      <c r="B220" s="31" t="inlineStr">
        <is>
          <t>Apcotex Industries Limited</t>
        </is>
      </c>
      <c r="C220" s="31" t="inlineStr">
        <is>
          <t>chemicals</t>
        </is>
      </c>
      <c r="D220" s="31" t="inlineStr">
        <is>
          <t>miscellaneous</t>
        </is>
      </c>
      <c r="E220" s="31" t="inlineStr">
        <is>
          <t>smallcap</t>
        </is>
      </c>
      <c r="F220" s="31" t="n">
        <v>2705.01</v>
      </c>
      <c r="G220" s="31" t="n">
        <v>529.3</v>
      </c>
      <c r="H220" s="31" t="n">
        <v>1.45</v>
      </c>
      <c r="I220" s="31" t="n">
        <v>115068</v>
      </c>
      <c r="J220" s="31" t="inlineStr">
        <is>
          <t>523694</t>
        </is>
      </c>
    </row>
    <row r="221">
      <c r="A221" s="31" t="inlineStr">
        <is>
          <t>CGPOWER</t>
        </is>
      </c>
      <c r="B221" s="31" t="inlineStr">
        <is>
          <t>CG Power and Industrial Solutions Ltd</t>
        </is>
      </c>
      <c r="C221" s="31" t="inlineStr">
        <is>
          <t>industrials</t>
        </is>
      </c>
      <c r="D221" s="31" t="inlineStr">
        <is>
          <t>electric equipment</t>
        </is>
      </c>
      <c r="E221" s="31" t="inlineStr">
        <is>
          <t>largecap</t>
        </is>
      </c>
      <c r="F221" s="31" t="n">
        <v>141955.53</v>
      </c>
      <c r="G221" s="31" t="n">
        <v>914.45</v>
      </c>
      <c r="H221" s="31" t="n">
        <v>1.45</v>
      </c>
      <c r="I221" s="31" t="n">
        <v>2901434</v>
      </c>
      <c r="J221" s="31" t="inlineStr">
        <is>
          <t>500093</t>
        </is>
      </c>
    </row>
    <row r="222">
      <c r="A222" s="31" t="inlineStr">
        <is>
          <t>ADANIPORTS</t>
        </is>
      </c>
      <c r="B222" s="31" t="inlineStr">
        <is>
          <t>Adani Ports And Special Economic Zone Limited</t>
        </is>
      </c>
      <c r="C222" s="31" t="inlineStr">
        <is>
          <t>transportation</t>
        </is>
      </c>
      <c r="D222" s="31" t="inlineStr">
        <is>
          <t>miscellaneous</t>
        </is>
      </c>
      <c r="E222" s="31" t="inlineStr">
        <is>
          <t>largecap</t>
        </is>
      </c>
      <c r="F222" s="31" t="n">
        <v>411740.53</v>
      </c>
      <c r="G222" s="31" t="n">
        <v>1812.9</v>
      </c>
      <c r="H222" s="31" t="n">
        <v>1.44</v>
      </c>
      <c r="I222" s="31" t="n">
        <v>2325897</v>
      </c>
      <c r="J222" s="31" t="inlineStr">
        <is>
          <t>532921</t>
        </is>
      </c>
    </row>
    <row r="223">
      <c r="A223" s="31" t="inlineStr">
        <is>
          <t>BLSE</t>
        </is>
      </c>
      <c r="B223" s="31" t="inlineStr">
        <is>
          <t>BLS E-Services Ltd</t>
        </is>
      </c>
      <c r="C223" s="31" t="inlineStr">
        <is>
          <t>i.t</t>
        </is>
      </c>
      <c r="D223" s="31" t="inlineStr">
        <is>
          <t>computers - software - medium / small</t>
        </is>
      </c>
      <c r="E223" s="31" t="inlineStr">
        <is>
          <t>smallcap</t>
        </is>
      </c>
      <c r="F223" s="31" t="n">
        <v>2046</v>
      </c>
      <c r="G223" s="31" t="n">
        <v>228.4</v>
      </c>
      <c r="H223" s="31" t="n">
        <v>1.43</v>
      </c>
      <c r="I223" s="31" t="n">
        <v>185414</v>
      </c>
      <c r="J223" s="31" t="inlineStr">
        <is>
          <t>544107</t>
        </is>
      </c>
    </row>
    <row r="224">
      <c r="A224" s="31" t="inlineStr">
        <is>
          <t>CRAFTSMAN</t>
        </is>
      </c>
      <c r="B224" s="31" t="inlineStr">
        <is>
          <t>Craftsman Automation Ltd</t>
        </is>
      </c>
      <c r="C224" s="31" t="inlineStr">
        <is>
          <t>auto</t>
        </is>
      </c>
      <c r="D224" s="31" t="inlineStr">
        <is>
          <t>auto ancillaries</t>
        </is>
      </c>
      <c r="E224" s="31" t="inlineStr">
        <is>
          <t>largecap</t>
        </is>
      </c>
      <c r="F224" s="31" t="n">
        <v>20975.02</v>
      </c>
      <c r="G224" s="31" t="n">
        <v>8917.5</v>
      </c>
      <c r="H224" s="31" t="n">
        <v>1.42</v>
      </c>
      <c r="I224" s="31" t="n">
        <v>62301</v>
      </c>
      <c r="J224" s="31" t="inlineStr">
        <is>
          <t>543276</t>
        </is>
      </c>
    </row>
    <row r="225">
      <c r="A225" s="31" t="inlineStr">
        <is>
          <t>MSTCLTD</t>
        </is>
      </c>
      <c r="B225" s="31" t="inlineStr">
        <is>
          <t>MSTC Ltd</t>
        </is>
      </c>
      <c r="C225" s="31" t="inlineStr">
        <is>
          <t>i.t</t>
        </is>
      </c>
      <c r="D225" s="31" t="inlineStr">
        <is>
          <t>trading</t>
        </is>
      </c>
      <c r="E225" s="31" t="inlineStr">
        <is>
          <t>smallcap</t>
        </is>
      </c>
      <c r="F225" s="31" t="n">
        <v>3947.68</v>
      </c>
      <c r="G225" s="31" t="n">
        <v>568.55</v>
      </c>
      <c r="H225" s="31" t="n">
        <v>1.39</v>
      </c>
      <c r="I225" s="31" t="n">
        <v>919737</v>
      </c>
      <c r="J225" s="31" t="inlineStr">
        <is>
          <t>542597</t>
        </is>
      </c>
    </row>
    <row r="226">
      <c r="A226" s="31" t="inlineStr">
        <is>
          <t>CEIGALL</t>
        </is>
      </c>
      <c r="B226" s="31" t="inlineStr">
        <is>
          <t>Ceigall India Ltd</t>
        </is>
      </c>
      <c r="C226" s="31" t="inlineStr">
        <is>
          <t>realty</t>
        </is>
      </c>
      <c r="D226" s="31" t="inlineStr">
        <is>
          <t>construction</t>
        </is>
      </c>
      <c r="E226" s="31" t="inlineStr">
        <is>
          <t>midcap</t>
        </is>
      </c>
      <c r="F226" s="31" t="n">
        <v>6444.71</v>
      </c>
      <c r="G226" s="31" t="n">
        <v>375.05</v>
      </c>
      <c r="H226" s="31" t="n">
        <v>1.38</v>
      </c>
      <c r="I226" s="31" t="n">
        <v>905653</v>
      </c>
      <c r="J226" s="31" t="inlineStr">
        <is>
          <t>544223</t>
        </is>
      </c>
    </row>
    <row r="227">
      <c r="A227" s="31" t="inlineStr">
        <is>
          <t>GRINDWELL</t>
        </is>
      </c>
      <c r="B227" s="31" t="inlineStr">
        <is>
          <t>Grindwell Norton Limited</t>
        </is>
      </c>
      <c r="C227" s="31" t="inlineStr">
        <is>
          <t>industrials</t>
        </is>
      </c>
      <c r="D227" s="31" t="inlineStr">
        <is>
          <t>abrasives and grinding wheels</t>
        </is>
      </c>
      <c r="E227" s="31" t="inlineStr">
        <is>
          <t>largecap</t>
        </is>
      </c>
      <c r="F227" s="31" t="n">
        <v>20983.65</v>
      </c>
      <c r="G227" s="31" t="n">
        <v>1921</v>
      </c>
      <c r="H227" s="31" t="n">
        <v>1.36</v>
      </c>
      <c r="I227" s="31" t="n">
        <v>26485</v>
      </c>
      <c r="J227" s="31" t="inlineStr">
        <is>
          <t>506076</t>
        </is>
      </c>
    </row>
    <row r="228">
      <c r="A228" s="31" t="inlineStr">
        <is>
          <t>PAISALO</t>
        </is>
      </c>
      <c r="B228" s="31" t="inlineStr">
        <is>
          <t>Paisalo Digital Ltd</t>
        </is>
      </c>
      <c r="C228" s="31" t="inlineStr">
        <is>
          <t>financials</t>
        </is>
      </c>
      <c r="D228" s="31" t="inlineStr">
        <is>
          <t>finance &amp; investments</t>
        </is>
      </c>
      <c r="E228" s="31" t="inlineStr">
        <is>
          <t>midcap</t>
        </is>
      </c>
      <c r="F228" s="31" t="n">
        <v>5321.61</v>
      </c>
      <c r="G228" s="31" t="n">
        <v>59.3</v>
      </c>
      <c r="H228" s="31" t="n">
        <v>1.35</v>
      </c>
      <c r="I228" s="31" t="n">
        <v>8509192</v>
      </c>
      <c r="J228" s="31" t="inlineStr">
        <is>
          <t>532900</t>
        </is>
      </c>
    </row>
    <row r="229">
      <c r="A229" s="31" t="inlineStr">
        <is>
          <t>VSTIND</t>
        </is>
      </c>
      <c r="B229" s="31" t="inlineStr">
        <is>
          <t>Vst Industries Limited</t>
        </is>
      </c>
      <c r="C229" s="31" t="inlineStr">
        <is>
          <t>fmcg</t>
        </is>
      </c>
      <c r="D229" s="31" t="inlineStr">
        <is>
          <t>cigarettes</t>
        </is>
      </c>
      <c r="E229" s="31" t="inlineStr">
        <is>
          <t>smallcap</t>
        </is>
      </c>
      <c r="F229" s="31" t="n">
        <v>4353.54</v>
      </c>
      <c r="G229" s="31" t="n">
        <v>259.75</v>
      </c>
      <c r="H229" s="31" t="n">
        <v>1.35</v>
      </c>
      <c r="I229" s="31" t="n">
        <v>163623</v>
      </c>
      <c r="J229" s="31" t="inlineStr">
        <is>
          <t>509966</t>
        </is>
      </c>
    </row>
    <row r="230">
      <c r="A230" s="31" t="inlineStr">
        <is>
          <t>CAPITALSFB</t>
        </is>
      </c>
      <c r="B230" s="31" t="inlineStr">
        <is>
          <t>Capital Small Finance Bank Ltd</t>
        </is>
      </c>
      <c r="C230" s="31" t="inlineStr">
        <is>
          <t>bank</t>
        </is>
      </c>
      <c r="D230" s="31" t="inlineStr">
        <is>
          <t>banks - private sector</t>
        </is>
      </c>
      <c r="E230" s="31" t="inlineStr">
        <is>
          <t>smallcap</t>
        </is>
      </c>
      <c r="F230" s="31" t="n">
        <v>1262.41</v>
      </c>
      <c r="G230" s="31" t="n">
        <v>281.7</v>
      </c>
      <c r="H230" s="31" t="n">
        <v>1.35</v>
      </c>
      <c r="I230" s="31" t="n">
        <v>15024</v>
      </c>
      <c r="J230" s="31" t="n"/>
    </row>
    <row r="231">
      <c r="A231" s="31" t="inlineStr">
        <is>
          <t>RATEGAIN</t>
        </is>
      </c>
      <c r="B231" s="31" t="inlineStr">
        <is>
          <t>Rategain Travel Technologies Ltd</t>
        </is>
      </c>
      <c r="C231" s="31" t="inlineStr">
        <is>
          <t>i.t</t>
        </is>
      </c>
      <c r="D231" s="31" t="inlineStr">
        <is>
          <t>computers - software - medium / small</t>
        </is>
      </c>
      <c r="E231" s="31" t="inlineStr">
        <is>
          <t>midcap</t>
        </is>
      </c>
      <c r="F231" s="31" t="n">
        <v>9131.23</v>
      </c>
      <c r="G231" s="31" t="n">
        <v>783.05</v>
      </c>
      <c r="H231" s="31" t="n">
        <v>1.33</v>
      </c>
      <c r="I231" s="31" t="n">
        <v>327158</v>
      </c>
      <c r="J231" s="31" t="inlineStr">
        <is>
          <t>543417</t>
        </is>
      </c>
    </row>
    <row r="232">
      <c r="A232" s="31" t="inlineStr">
        <is>
          <t>NEULANDLAB</t>
        </is>
      </c>
      <c r="B232" s="31" t="inlineStr">
        <is>
          <t>Neuland Laboratories Limited</t>
        </is>
      </c>
      <c r="C232" s="31" t="inlineStr">
        <is>
          <t>healthcare</t>
        </is>
      </c>
      <c r="D232" s="31" t="inlineStr">
        <is>
          <t>pharmaceuticals - indian - bulk drugs</t>
        </is>
      </c>
      <c r="E232" s="31" t="inlineStr">
        <is>
          <t>largecap</t>
        </is>
      </c>
      <c r="F232" s="31" t="n">
        <v>21776.17</v>
      </c>
      <c r="G232" s="31" t="n">
        <v>17198</v>
      </c>
      <c r="H232" s="31" t="n">
        <v>1.33</v>
      </c>
      <c r="I232" s="31" t="n">
        <v>35209</v>
      </c>
      <c r="J232" s="31" t="inlineStr">
        <is>
          <t>524558</t>
        </is>
      </c>
    </row>
    <row r="233">
      <c r="A233" s="31" t="inlineStr">
        <is>
          <t>CARYSIL</t>
        </is>
      </c>
      <c r="B233" s="31" t="inlineStr">
        <is>
          <t>Carysil Ltd</t>
        </is>
      </c>
      <c r="C233" s="31" t="inlineStr">
        <is>
          <t>consumer discretionary</t>
        </is>
      </c>
      <c r="D233" s="31" t="inlineStr">
        <is>
          <t>domestic appliances</t>
        </is>
      </c>
      <c r="E233" s="31" t="inlineStr">
        <is>
          <t>smallcap</t>
        </is>
      </c>
      <c r="F233" s="31" t="n">
        <v>3310.15</v>
      </c>
      <c r="G233" s="31" t="n">
        <v>1178.9</v>
      </c>
      <c r="H233" s="31" t="n">
        <v>1.3</v>
      </c>
      <c r="I233" s="31" t="n">
        <v>121248</v>
      </c>
      <c r="J233" s="31" t="inlineStr">
        <is>
          <t>524091</t>
        </is>
      </c>
    </row>
    <row r="234">
      <c r="A234" s="31" t="inlineStr">
        <is>
          <t>PGHL</t>
        </is>
      </c>
      <c r="B234" s="31" t="inlineStr">
        <is>
          <t>Procter &amp; Gamble Health Ltd</t>
        </is>
      </c>
      <c r="C234" s="31" t="inlineStr">
        <is>
          <t>healthcare</t>
        </is>
      </c>
      <c r="D234" s="31" t="inlineStr">
        <is>
          <t>pharmaceuticals - multinational</t>
        </is>
      </c>
      <c r="E234" s="31" t="inlineStr">
        <is>
          <t>midcap</t>
        </is>
      </c>
      <c r="F234" s="31" t="n">
        <v>10303.24</v>
      </c>
      <c r="G234" s="31" t="n">
        <v>6287</v>
      </c>
      <c r="H234" s="31" t="n">
        <v>1.29</v>
      </c>
      <c r="I234" s="31" t="n">
        <v>11828</v>
      </c>
      <c r="J234" s="31" t="inlineStr">
        <is>
          <t>500126</t>
        </is>
      </c>
    </row>
    <row r="235">
      <c r="A235" s="31" t="inlineStr">
        <is>
          <t>NIVABUPA</t>
        </is>
      </c>
      <c r="B235" s="31" t="inlineStr">
        <is>
          <t>Niva Bupa Health Insurance Company Ltd</t>
        </is>
      </c>
      <c r="C235" s="31" t="inlineStr">
        <is>
          <t>financials</t>
        </is>
      </c>
      <c r="D235" s="31" t="inlineStr">
        <is>
          <t>finance &amp; investments</t>
        </is>
      </c>
      <c r="E235" s="31" t="inlineStr">
        <is>
          <t>midcap</t>
        </is>
      </c>
      <c r="F235" s="31" t="n">
        <v>15328.35</v>
      </c>
      <c r="G235" s="31" t="n">
        <v>83.95999999999999</v>
      </c>
      <c r="H235" s="31" t="n">
        <v>1.19</v>
      </c>
      <c r="I235" s="31" t="n">
        <v>788362</v>
      </c>
      <c r="J235" s="31" t="n"/>
    </row>
    <row r="236">
      <c r="A236" s="31" t="inlineStr">
        <is>
          <t>JSWSTEEL</t>
        </is>
      </c>
      <c r="B236" s="31" t="inlineStr">
        <is>
          <t>Jsw Steel Limited</t>
        </is>
      </c>
      <c r="C236" s="31" t="inlineStr">
        <is>
          <t>metals &amp; mining</t>
        </is>
      </c>
      <c r="D236" s="31" t="inlineStr">
        <is>
          <t>steel - large</t>
        </is>
      </c>
      <c r="E236" s="31" t="inlineStr">
        <is>
          <t>largecap</t>
        </is>
      </c>
      <c r="F236" s="31" t="n">
        <v>313580.56</v>
      </c>
      <c r="G236" s="31" t="n">
        <v>1297.6</v>
      </c>
      <c r="H236" s="31" t="n">
        <v>1.19</v>
      </c>
      <c r="I236" s="31" t="n">
        <v>1091577</v>
      </c>
      <c r="J236" s="31" t="inlineStr">
        <is>
          <t>500228</t>
        </is>
      </c>
    </row>
    <row r="237">
      <c r="A237" s="31" t="inlineStr">
        <is>
          <t>THANGAMAYL</t>
        </is>
      </c>
      <c r="B237" s="31" t="inlineStr">
        <is>
          <t>Thangamayil Jewellery Limited</t>
        </is>
      </c>
      <c r="C237" s="31" t="inlineStr">
        <is>
          <t>consumer discretionary</t>
        </is>
      </c>
      <c r="D237" s="31" t="inlineStr">
        <is>
          <t>diamond cutting / jewellery</t>
        </is>
      </c>
      <c r="E237" s="31" t="inlineStr">
        <is>
          <t>midcap</t>
        </is>
      </c>
      <c r="F237" s="31" t="n">
        <v>16832.16</v>
      </c>
      <c r="G237" s="31" t="n">
        <v>5478.7</v>
      </c>
      <c r="H237" s="31" t="n">
        <v>1.17</v>
      </c>
      <c r="I237" s="31" t="n">
        <v>126015</v>
      </c>
      <c r="J237" s="31" t="inlineStr">
        <is>
          <t>533158</t>
        </is>
      </c>
    </row>
    <row r="238">
      <c r="A238" s="31" t="inlineStr">
        <is>
          <t>CUMMINSIND</t>
        </is>
      </c>
      <c r="B238" s="31" t="inlineStr">
        <is>
          <t>Cummins India Limited</t>
        </is>
      </c>
      <c r="C238" s="31" t="inlineStr">
        <is>
          <t>industrials</t>
        </is>
      </c>
      <c r="D238" s="31" t="inlineStr">
        <is>
          <t>engines</t>
        </is>
      </c>
      <c r="E238" s="31" t="inlineStr">
        <is>
          <t>largecap</t>
        </is>
      </c>
      <c r="F238" s="31" t="n">
        <v>154040.04</v>
      </c>
      <c r="G238" s="31" t="n">
        <v>5621.5</v>
      </c>
      <c r="H238" s="31" t="n">
        <v>1.16</v>
      </c>
      <c r="I238" s="31" t="n">
        <v>249004</v>
      </c>
      <c r="J238" s="31" t="inlineStr">
        <is>
          <t>500480</t>
        </is>
      </c>
    </row>
    <row r="239">
      <c r="A239" s="31" t="inlineStr">
        <is>
          <t>ASIANENE</t>
        </is>
      </c>
      <c r="B239" s="31" t="inlineStr">
        <is>
          <t>Asian Energy Services Ltd</t>
        </is>
      </c>
      <c r="C239" s="31" t="inlineStr">
        <is>
          <t>energy</t>
        </is>
      </c>
      <c r="D239" s="31" t="inlineStr">
        <is>
          <t>oil drilling / allied services</t>
        </is>
      </c>
      <c r="E239" s="31" t="inlineStr">
        <is>
          <t>smallcap</t>
        </is>
      </c>
      <c r="F239" s="31" t="n">
        <v>1759.72</v>
      </c>
      <c r="G239" s="31" t="n">
        <v>366.2</v>
      </c>
      <c r="H239" s="31" t="n">
        <v>1.16</v>
      </c>
      <c r="I239" s="31" t="n">
        <v>187540</v>
      </c>
      <c r="J239" s="31" t="inlineStr">
        <is>
          <t>530355</t>
        </is>
      </c>
    </row>
    <row r="240">
      <c r="A240" s="31" t="inlineStr">
        <is>
          <t>VADILALIND</t>
        </is>
      </c>
      <c r="B240" s="31" t="inlineStr">
        <is>
          <t>Vadilal Industries Limited</t>
        </is>
      </c>
      <c r="C240" s="31" t="inlineStr">
        <is>
          <t>fmcg</t>
        </is>
      </c>
      <c r="D240" s="31" t="inlineStr">
        <is>
          <t>food - processing - indian</t>
        </is>
      </c>
      <c r="E240" s="31" t="inlineStr">
        <is>
          <t>smallcap</t>
        </is>
      </c>
      <c r="F240" s="31" t="n">
        <v>4270.22</v>
      </c>
      <c r="G240" s="31" t="n">
        <v>6009.3</v>
      </c>
      <c r="H240" s="31" t="n">
        <v>1.15</v>
      </c>
      <c r="I240" s="31" t="n">
        <v>31219</v>
      </c>
      <c r="J240" s="31" t="inlineStr">
        <is>
          <t>519156</t>
        </is>
      </c>
    </row>
    <row r="241">
      <c r="A241" s="31" t="inlineStr">
        <is>
          <t>LMW</t>
        </is>
      </c>
      <c r="B241" s="31" t="inlineStr">
        <is>
          <t>LMW Ltd</t>
        </is>
      </c>
      <c r="C241" s="31" t="inlineStr">
        <is>
          <t>industrials</t>
        </is>
      </c>
      <c r="D241" s="31" t="inlineStr">
        <is>
          <t>textile machinery</t>
        </is>
      </c>
      <c r="E241" s="31" t="inlineStr">
        <is>
          <t>midcap</t>
        </is>
      </c>
      <c r="F241" s="31" t="n">
        <v>16646.25</v>
      </c>
      <c r="G241" s="31" t="n">
        <v>15759</v>
      </c>
      <c r="H241" s="31" t="n">
        <v>1.14</v>
      </c>
      <c r="I241" s="31" t="n">
        <v>1227</v>
      </c>
      <c r="J241" s="31" t="inlineStr">
        <is>
          <t>500252</t>
        </is>
      </c>
    </row>
    <row r="242">
      <c r="A242" s="31" t="inlineStr">
        <is>
          <t>RAIN</t>
        </is>
      </c>
      <c r="B242" s="31" t="inlineStr">
        <is>
          <t>Rain Industries Limited</t>
        </is>
      </c>
      <c r="C242" s="31" t="inlineStr">
        <is>
          <t>miscellaneous</t>
        </is>
      </c>
      <c r="D242" s="31" t="inlineStr">
        <is>
          <t>miscellaneous</t>
        </is>
      </c>
      <c r="E242" s="31" t="inlineStr">
        <is>
          <t>midcap</t>
        </is>
      </c>
      <c r="F242" s="31" t="n">
        <v>6548.31</v>
      </c>
      <c r="G242" s="31" t="n">
        <v>196.87</v>
      </c>
      <c r="H242" s="31" t="n">
        <v>1.12</v>
      </c>
      <c r="I242" s="31" t="n">
        <v>3813919</v>
      </c>
      <c r="J242" s="31" t="inlineStr">
        <is>
          <t>500339</t>
        </is>
      </c>
    </row>
    <row r="243">
      <c r="A243" s="31" t="inlineStr">
        <is>
          <t>SHAILY</t>
        </is>
      </c>
      <c r="B243" s="31" t="inlineStr">
        <is>
          <t>Shaily Engineering Plastics Ltd</t>
        </is>
      </c>
      <c r="C243" s="31" t="inlineStr">
        <is>
          <t>plastic products</t>
        </is>
      </c>
      <c r="D243" s="31" t="inlineStr">
        <is>
          <t>plastics products</t>
        </is>
      </c>
      <c r="E243" s="31" t="inlineStr">
        <is>
          <t>midcap</t>
        </is>
      </c>
      <c r="F243" s="31" t="n">
        <v>13507.58</v>
      </c>
      <c r="G243" s="31" t="n">
        <v>2972</v>
      </c>
      <c r="H243" s="31" t="n">
        <v>1.11</v>
      </c>
      <c r="I243" s="31" t="n">
        <v>268134</v>
      </c>
      <c r="J243" s="31" t="inlineStr">
        <is>
          <t>501423</t>
        </is>
      </c>
    </row>
    <row r="244">
      <c r="A244" s="31" t="inlineStr">
        <is>
          <t>CHAMBLFERT</t>
        </is>
      </c>
      <c r="B244" s="31" t="inlineStr">
        <is>
          <t>Chambal Fertilizers &amp; Chemicals Limited</t>
        </is>
      </c>
      <c r="C244" s="31" t="inlineStr">
        <is>
          <t>chemicals</t>
        </is>
      </c>
      <c r="D244" s="31" t="inlineStr">
        <is>
          <t>fertilizers</t>
        </is>
      </c>
      <c r="E244" s="31" t="inlineStr">
        <is>
          <t>midcap</t>
        </is>
      </c>
      <c r="F244" s="31" t="n">
        <v>18642.35</v>
      </c>
      <c r="G244" s="31" t="n">
        <v>470.2</v>
      </c>
      <c r="H244" s="31" t="n">
        <v>1.05</v>
      </c>
      <c r="I244" s="31" t="n">
        <v>549391</v>
      </c>
      <c r="J244" s="31" t="inlineStr">
        <is>
          <t>500085</t>
        </is>
      </c>
    </row>
    <row r="245">
      <c r="A245" s="31" t="inlineStr">
        <is>
          <t>KPRMILL</t>
        </is>
      </c>
      <c r="B245" s="31" t="inlineStr">
        <is>
          <t>K.p.r. Mill Limited</t>
        </is>
      </c>
      <c r="C245" s="31" t="inlineStr">
        <is>
          <t>consumer discretionary</t>
        </is>
      </c>
      <c r="D245" s="31" t="inlineStr">
        <is>
          <t>textiles - products</t>
        </is>
      </c>
      <c r="E245" s="31" t="inlineStr">
        <is>
          <t>largecap</t>
        </is>
      </c>
      <c r="F245" s="31" t="n">
        <v>36051.12</v>
      </c>
      <c r="G245" s="31" t="n">
        <v>1065.8</v>
      </c>
      <c r="H245" s="31" t="n">
        <v>1.05</v>
      </c>
      <c r="I245" s="31" t="n">
        <v>412636</v>
      </c>
      <c r="J245" s="31" t="inlineStr">
        <is>
          <t>532889</t>
        </is>
      </c>
    </row>
    <row r="246">
      <c r="A246" s="31" t="inlineStr">
        <is>
          <t>MARKSANS</t>
        </is>
      </c>
      <c r="B246" s="31" t="inlineStr">
        <is>
          <t>Marksans Pharma Limited</t>
        </is>
      </c>
      <c r="C246" s="31" t="inlineStr">
        <is>
          <t>healthcare</t>
        </is>
      </c>
      <c r="D246" s="31" t="inlineStr">
        <is>
          <t>pharmaceuticals - indian - formulations</t>
        </is>
      </c>
      <c r="E246" s="31" t="inlineStr">
        <is>
          <t>midcap</t>
        </is>
      </c>
      <c r="F246" s="31" t="n">
        <v>11321.39</v>
      </c>
      <c r="G246" s="31" t="n">
        <v>252.37</v>
      </c>
      <c r="H246" s="31" t="n">
        <v>1.02</v>
      </c>
      <c r="I246" s="31" t="n">
        <v>2543587</v>
      </c>
      <c r="J246" s="31" t="inlineStr">
        <is>
          <t>524404</t>
        </is>
      </c>
    </row>
    <row r="247">
      <c r="A247" s="31" t="inlineStr">
        <is>
          <t>SJS</t>
        </is>
      </c>
      <c r="B247" s="31" t="inlineStr">
        <is>
          <t>S J S Enterprises Ltd</t>
        </is>
      </c>
      <c r="C247" s="31" t="inlineStr">
        <is>
          <t>auto</t>
        </is>
      </c>
      <c r="D247" s="31" t="inlineStr">
        <is>
          <t>plastics products</t>
        </is>
      </c>
      <c r="E247" s="31" t="inlineStr">
        <is>
          <t>midcap</t>
        </is>
      </c>
      <c r="F247" s="31" t="n">
        <v>6700.45</v>
      </c>
      <c r="G247" s="31" t="n">
        <v>2115.2</v>
      </c>
      <c r="H247" s="31" t="n">
        <v>1.01</v>
      </c>
      <c r="I247" s="31" t="n">
        <v>76671</v>
      </c>
      <c r="J247" s="31" t="inlineStr">
        <is>
          <t>543387</t>
        </is>
      </c>
    </row>
    <row r="248">
      <c r="A248" s="31" t="inlineStr">
        <is>
          <t>WELCORP</t>
        </is>
      </c>
      <c r="B248" s="31" t="inlineStr">
        <is>
          <t>Welspun Corp Limited</t>
        </is>
      </c>
      <c r="C248" s="31" t="inlineStr">
        <is>
          <t>industrials</t>
        </is>
      </c>
      <c r="D248" s="31" t="inlineStr">
        <is>
          <t>steel - large</t>
        </is>
      </c>
      <c r="E248" s="31" t="inlineStr">
        <is>
          <t>largecap</t>
        </is>
      </c>
      <c r="F248" s="31" t="n">
        <v>36651.07</v>
      </c>
      <c r="G248" s="31" t="n">
        <v>1402.3</v>
      </c>
      <c r="H248" s="31" t="n">
        <v>0.93</v>
      </c>
      <c r="I248" s="31" t="n">
        <v>306278</v>
      </c>
      <c r="J248" s="31" t="inlineStr">
        <is>
          <t>532144</t>
        </is>
      </c>
    </row>
    <row r="249">
      <c r="A249" s="31" t="inlineStr">
        <is>
          <t>GALAPREC</t>
        </is>
      </c>
      <c r="B249" s="31" t="inlineStr">
        <is>
          <t>Gala Precision Engineering Ltd</t>
        </is>
      </c>
      <c r="C249" s="31" t="inlineStr">
        <is>
          <t>industrials</t>
        </is>
      </c>
      <c r="D249" s="31" t="inlineStr">
        <is>
          <t>fasteners</t>
        </is>
      </c>
      <c r="E249" s="31" t="inlineStr">
        <is>
          <t>smallcap</t>
        </is>
      </c>
      <c r="F249" s="31" t="n">
        <v>1174.05</v>
      </c>
      <c r="G249" s="31" t="n">
        <v>928.9</v>
      </c>
      <c r="H249" s="31" t="n">
        <v>0.88</v>
      </c>
      <c r="I249" s="31" t="n">
        <v>24858</v>
      </c>
      <c r="J249" s="31" t="inlineStr">
        <is>
          <t>544244</t>
        </is>
      </c>
    </row>
    <row r="250">
      <c r="A250" s="31" t="inlineStr">
        <is>
          <t>TALBROAUTO</t>
        </is>
      </c>
      <c r="B250" s="31" t="inlineStr">
        <is>
          <t>Talbros Automotive Components Limited</t>
        </is>
      </c>
      <c r="C250" s="31" t="inlineStr">
        <is>
          <t>auto</t>
        </is>
      </c>
      <c r="D250" s="31" t="inlineStr">
        <is>
          <t>auto ancillaries</t>
        </is>
      </c>
      <c r="E250" s="31" t="inlineStr">
        <is>
          <t>smallcap</t>
        </is>
      </c>
      <c r="F250" s="31" t="n">
        <v>2202.77</v>
      </c>
      <c r="G250" s="31" t="n">
        <v>359.75</v>
      </c>
      <c r="H250" s="31" t="n">
        <v>0.8100000000000001</v>
      </c>
      <c r="I250" s="31" t="n">
        <v>124310</v>
      </c>
      <c r="J250" s="31" t="inlineStr">
        <is>
          <t>505160</t>
        </is>
      </c>
    </row>
    <row r="251">
      <c r="A251" s="31" t="inlineStr">
        <is>
          <t>WHEELS</t>
        </is>
      </c>
      <c r="B251" s="31" t="inlineStr">
        <is>
          <t>Wheels India Limited</t>
        </is>
      </c>
      <c r="C251" s="31" t="inlineStr">
        <is>
          <t>auto</t>
        </is>
      </c>
      <c r="D251" s="31" t="inlineStr">
        <is>
          <t>auto ancillaries</t>
        </is>
      </c>
      <c r="E251" s="31" t="inlineStr">
        <is>
          <t>smallcap</t>
        </is>
      </c>
      <c r="F251" s="31" t="n">
        <v>3963.52</v>
      </c>
      <c r="G251" s="31" t="n">
        <v>1634.7</v>
      </c>
      <c r="H251" s="31" t="n">
        <v>0.77</v>
      </c>
      <c r="I251" s="31" t="n">
        <v>84183</v>
      </c>
      <c r="J251" s="31" t="inlineStr">
        <is>
          <t>590073</t>
        </is>
      </c>
    </row>
    <row r="252">
      <c r="A252" s="31" t="inlineStr">
        <is>
          <t>WOCKPHARMA</t>
        </is>
      </c>
      <c r="B252" s="31" t="inlineStr">
        <is>
          <t>Wockhardt Limited</t>
        </is>
      </c>
      <c r="C252" s="31" t="inlineStr">
        <is>
          <t>healthcare</t>
        </is>
      </c>
      <c r="D252" s="31" t="inlineStr">
        <is>
          <t>pharmaceuticals - indian - bulk drugs &amp; formln</t>
        </is>
      </c>
      <c r="E252" s="31" t="inlineStr">
        <is>
          <t>largecap</t>
        </is>
      </c>
      <c r="F252" s="31" t="n">
        <v>31260.24</v>
      </c>
      <c r="G252" s="31" t="n">
        <v>1938</v>
      </c>
      <c r="H252" s="31" t="n">
        <v>0.74</v>
      </c>
      <c r="I252" s="31" t="n">
        <v>1273816</v>
      </c>
      <c r="J252" s="31" t="inlineStr">
        <is>
          <t>532300</t>
        </is>
      </c>
    </row>
    <row r="253">
      <c r="A253" s="31" t="inlineStr">
        <is>
          <t>BIOCON</t>
        </is>
      </c>
      <c r="B253" s="31" t="inlineStr">
        <is>
          <t>Biocon Limited</t>
        </is>
      </c>
      <c r="C253" s="31" t="inlineStr">
        <is>
          <t>healthcare</t>
        </is>
      </c>
      <c r="D253" s="31" t="inlineStr">
        <is>
          <t>pharmaceuticals - indian - bulk drugs &amp; formln</t>
        </is>
      </c>
      <c r="E253" s="31" t="inlineStr">
        <is>
          <t>largecap</t>
        </is>
      </c>
      <c r="F253" s="31" t="n">
        <v>67421.66</v>
      </c>
      <c r="G253" s="31" t="n">
        <v>419</v>
      </c>
      <c r="H253" s="31" t="n">
        <v>0.73</v>
      </c>
      <c r="I253" s="31" t="n">
        <v>1674659</v>
      </c>
      <c r="J253" s="31" t="inlineStr">
        <is>
          <t>532523</t>
        </is>
      </c>
    </row>
    <row r="254">
      <c r="A254" s="31" t="inlineStr">
        <is>
          <t>BOROSCI</t>
        </is>
      </c>
      <c r="B254" s="31" t="inlineStr">
        <is>
          <t>Borosil Scientific Ltd</t>
        </is>
      </c>
      <c r="C254" s="31" t="inlineStr">
        <is>
          <t>building materials</t>
        </is>
      </c>
      <c r="D254" s="31" t="inlineStr">
        <is>
          <t>glass &amp; glass products</t>
        </is>
      </c>
      <c r="E254" s="31" t="inlineStr">
        <is>
          <t>smallcap</t>
        </is>
      </c>
      <c r="F254" s="31" t="n">
        <v>1350.93</v>
      </c>
      <c r="G254" s="31" t="n">
        <v>152.98</v>
      </c>
      <c r="H254" s="31" t="n">
        <v>0.72</v>
      </c>
      <c r="I254" s="31" t="n">
        <v>112955</v>
      </c>
      <c r="J254" s="31" t="inlineStr">
        <is>
          <t>544184</t>
        </is>
      </c>
    </row>
    <row r="255">
      <c r="A255" s="31" t="inlineStr">
        <is>
          <t>DIAMONDYD</t>
        </is>
      </c>
      <c r="B255" s="31" t="inlineStr">
        <is>
          <t>Prataap Snacks Ltd</t>
        </is>
      </c>
      <c r="C255" s="31" t="inlineStr">
        <is>
          <t>fmcg</t>
        </is>
      </c>
      <c r="D255" s="31" t="inlineStr">
        <is>
          <t>food - processing - indian</t>
        </is>
      </c>
      <c r="E255" s="31" t="inlineStr">
        <is>
          <t>smallcap</t>
        </is>
      </c>
      <c r="F255" s="31" t="n">
        <v>2680.3</v>
      </c>
      <c r="G255" s="31" t="n">
        <v>1129.4</v>
      </c>
      <c r="H255" s="31" t="n">
        <v>0.72</v>
      </c>
      <c r="I255" s="31" t="n">
        <v>14618</v>
      </c>
      <c r="J255" s="31" t="inlineStr">
        <is>
          <t>540724</t>
        </is>
      </c>
    </row>
    <row r="256">
      <c r="A256" s="31" t="inlineStr">
        <is>
          <t>MINDACORP</t>
        </is>
      </c>
      <c r="B256" s="31" t="inlineStr">
        <is>
          <t>Minda Corporation Limited</t>
        </is>
      </c>
      <c r="C256" s="31" t="inlineStr">
        <is>
          <t>auto</t>
        </is>
      </c>
      <c r="D256" s="31" t="inlineStr">
        <is>
          <t>auto ancillaries</t>
        </is>
      </c>
      <c r="E256" s="31" t="inlineStr">
        <is>
          <t>midcap</t>
        </is>
      </c>
      <c r="F256" s="31" t="n">
        <v>15131.34</v>
      </c>
      <c r="G256" s="31" t="n">
        <v>637.2</v>
      </c>
      <c r="H256" s="31" t="n">
        <v>0.68</v>
      </c>
      <c r="I256" s="31" t="n">
        <v>271280</v>
      </c>
      <c r="J256" s="31" t="inlineStr">
        <is>
          <t>538962</t>
        </is>
      </c>
    </row>
    <row r="257">
      <c r="A257" s="31" t="inlineStr">
        <is>
          <t>MBAPL</t>
        </is>
      </c>
      <c r="B257" s="31" t="inlineStr">
        <is>
          <t>Madhya Bharat Agro Products Ltd</t>
        </is>
      </c>
      <c r="C257" s="31" t="inlineStr">
        <is>
          <t>chemicals</t>
        </is>
      </c>
      <c r="D257" s="31" t="inlineStr">
        <is>
          <t>fertilizers</t>
        </is>
      </c>
      <c r="E257" s="31" t="inlineStr">
        <is>
          <t>smallcap</t>
        </is>
      </c>
      <c r="F257" s="31" t="n">
        <v>4902.73</v>
      </c>
      <c r="G257" s="31" t="n">
        <v>563.3</v>
      </c>
      <c r="H257" s="31" t="n">
        <v>0.68</v>
      </c>
      <c r="I257" s="31" t="n">
        <v>224398</v>
      </c>
      <c r="J257" s="31" t="inlineStr">
        <is>
          <t>538370</t>
        </is>
      </c>
    </row>
    <row r="258">
      <c r="A258" s="31" t="inlineStr">
        <is>
          <t>STOVEKRAFT</t>
        </is>
      </c>
      <c r="B258" s="31" t="inlineStr">
        <is>
          <t>Stove Kraft Ltd</t>
        </is>
      </c>
      <c r="C258" s="31" t="inlineStr">
        <is>
          <t>consumer discretionary</t>
        </is>
      </c>
      <c r="D258" s="31" t="inlineStr">
        <is>
          <t>domestic appliances</t>
        </is>
      </c>
      <c r="E258" s="31" t="inlineStr">
        <is>
          <t>smallcap</t>
        </is>
      </c>
      <c r="F258" s="31" t="n">
        <v>2157.27</v>
      </c>
      <c r="G258" s="31" t="n">
        <v>655.95</v>
      </c>
      <c r="H258" s="31" t="n">
        <v>0.67</v>
      </c>
      <c r="I258" s="31" t="n">
        <v>132317</v>
      </c>
      <c r="J258" s="31" t="inlineStr">
        <is>
          <t>543260</t>
        </is>
      </c>
    </row>
    <row r="259">
      <c r="A259" s="31" t="inlineStr">
        <is>
          <t>SHRIPISTON</t>
        </is>
      </c>
      <c r="B259" s="31" t="inlineStr">
        <is>
          <t>Shriram Pistons &amp; Rings Limited</t>
        </is>
      </c>
      <c r="C259" s="31" t="inlineStr">
        <is>
          <t>auto</t>
        </is>
      </c>
      <c r="D259" s="31" t="inlineStr">
        <is>
          <t>auto ancillaries</t>
        </is>
      </c>
      <c r="E259" s="31" t="inlineStr">
        <is>
          <t>midcap</t>
        </is>
      </c>
      <c r="F259" s="31" t="n">
        <v>15422.72</v>
      </c>
      <c r="G259" s="31" t="n">
        <v>3524.4</v>
      </c>
      <c r="H259" s="31" t="n">
        <v>0.66</v>
      </c>
      <c r="I259" s="31" t="n">
        <v>83307</v>
      </c>
      <c r="J259" s="31" t="n"/>
    </row>
    <row r="260">
      <c r="A260" s="31" t="inlineStr">
        <is>
          <t>SPECTRUM</t>
        </is>
      </c>
      <c r="B260" s="31" t="inlineStr">
        <is>
          <t>Spectrum Electrical Industries Ltd</t>
        </is>
      </c>
      <c r="C260" s="31" t="inlineStr">
        <is>
          <t>industrials</t>
        </is>
      </c>
      <c r="D260" s="31" t="inlineStr">
        <is>
          <t>electric equipment</t>
        </is>
      </c>
      <c r="E260" s="31" t="inlineStr">
        <is>
          <t>smallcap</t>
        </is>
      </c>
      <c r="F260" s="31" t="n">
        <v>2495.99</v>
      </c>
      <c r="G260" s="31" t="n">
        <v>1598.5</v>
      </c>
      <c r="H260" s="31" t="n">
        <v>0.64</v>
      </c>
      <c r="I260" s="31" t="n">
        <v>10364</v>
      </c>
      <c r="J260" s="31" t="inlineStr">
        <is>
          <t>535112</t>
        </is>
      </c>
    </row>
    <row r="261">
      <c r="A261" s="31" t="inlineStr">
        <is>
          <t>ELECTHERM</t>
        </is>
      </c>
      <c r="B261" s="31" t="inlineStr">
        <is>
          <t>Electrotherm (india) Limited</t>
        </is>
      </c>
      <c r="C261" s="31" t="inlineStr">
        <is>
          <t>metals &amp; mining</t>
        </is>
      </c>
      <c r="D261" s="31" t="inlineStr">
        <is>
          <t>steel - medium / small</t>
        </is>
      </c>
      <c r="E261" s="31" t="inlineStr">
        <is>
          <t>smallcap</t>
        </is>
      </c>
      <c r="F261" s="31" t="n">
        <v>1507.03</v>
      </c>
      <c r="G261" s="31" t="n">
        <v>1190.1</v>
      </c>
      <c r="H261" s="31" t="n">
        <v>0.63</v>
      </c>
      <c r="I261" s="31" t="n">
        <v>119156</v>
      </c>
      <c r="J261" s="31" t="inlineStr">
        <is>
          <t>526608</t>
        </is>
      </c>
    </row>
    <row r="262">
      <c r="A262" s="31" t="inlineStr">
        <is>
          <t>PIXTRANS</t>
        </is>
      </c>
      <c r="B262" s="31" t="inlineStr">
        <is>
          <t>Pix Transmission Ltd</t>
        </is>
      </c>
      <c r="C262" s="31" t="inlineStr">
        <is>
          <t>fmcg</t>
        </is>
      </c>
      <c r="D262" s="31" t="inlineStr">
        <is>
          <t>miscellaneous</t>
        </is>
      </c>
      <c r="E262" s="31" t="inlineStr">
        <is>
          <t>smallcap</t>
        </is>
      </c>
      <c r="F262" s="31" t="n">
        <v>2172.67</v>
      </c>
      <c r="G262" s="31" t="n">
        <v>1604.2</v>
      </c>
      <c r="H262" s="31" t="n">
        <v>0.6</v>
      </c>
      <c r="I262" s="31" t="n">
        <v>14619</v>
      </c>
      <c r="J262" s="31" t="inlineStr">
        <is>
          <t>500333</t>
        </is>
      </c>
    </row>
    <row r="263">
      <c r="A263" s="31" t="inlineStr">
        <is>
          <t>AUROPHARMA</t>
        </is>
      </c>
      <c r="B263" s="31" t="inlineStr">
        <is>
          <t>Aurobindo Pharma Limited</t>
        </is>
      </c>
      <c r="C263" s="31" t="inlineStr">
        <is>
          <t>healthcare</t>
        </is>
      </c>
      <c r="D263" s="31" t="inlineStr">
        <is>
          <t>pharmaceuticals - indian - bulk drugs &amp; formln</t>
        </is>
      </c>
      <c r="E263" s="31" t="inlineStr">
        <is>
          <t>largecap</t>
        </is>
      </c>
      <c r="F263" s="31" t="n">
        <v>85035.17</v>
      </c>
      <c r="G263" s="31" t="n">
        <v>1472.8</v>
      </c>
      <c r="H263" s="31" t="n">
        <v>0.59</v>
      </c>
      <c r="I263" s="31" t="n">
        <v>669347</v>
      </c>
      <c r="J263" s="31" t="inlineStr">
        <is>
          <t>524804</t>
        </is>
      </c>
    </row>
    <row r="264">
      <c r="A264" s="31" t="inlineStr">
        <is>
          <t>SBC</t>
        </is>
      </c>
      <c r="B264" s="31" t="inlineStr">
        <is>
          <t>SBC Exports Ltd</t>
        </is>
      </c>
      <c r="C264" s="31" t="inlineStr">
        <is>
          <t>textiles</t>
        </is>
      </c>
      <c r="D264" s="31" t="inlineStr">
        <is>
          <t>textiles - products</t>
        </is>
      </c>
      <c r="E264" s="31" t="inlineStr">
        <is>
          <t>smallcap</t>
        </is>
      </c>
      <c r="F264" s="31" t="n">
        <v>1760.47</v>
      </c>
      <c r="G264" s="31" t="n">
        <v>37.18</v>
      </c>
      <c r="H264" s="31" t="n">
        <v>0.57</v>
      </c>
      <c r="I264" s="31" t="n">
        <v>18461673</v>
      </c>
      <c r="J264" s="31" t="inlineStr">
        <is>
          <t>542725</t>
        </is>
      </c>
    </row>
    <row r="265">
      <c r="A265" s="31" t="inlineStr">
        <is>
          <t>ACUTAAS</t>
        </is>
      </c>
      <c r="B265" s="31" t="inlineStr">
        <is>
          <t>Acutaas Chemicals Ltd</t>
        </is>
      </c>
      <c r="C265" s="31" t="inlineStr">
        <is>
          <t>healthcare</t>
        </is>
      </c>
      <c r="D265" s="31" t="inlineStr">
        <is>
          <t>pharmaceuticals - indian - bulk drugs</t>
        </is>
      </c>
      <c r="E265" s="31" t="inlineStr">
        <is>
          <t>largecap</t>
        </is>
      </c>
      <c r="F265" s="31" t="n">
        <v>25610.11</v>
      </c>
      <c r="G265" s="31" t="n">
        <v>3145.3</v>
      </c>
      <c r="H265" s="31" t="n">
        <v>0.55</v>
      </c>
      <c r="I265" s="31" t="n">
        <v>380507</v>
      </c>
      <c r="J265" s="31" t="inlineStr">
        <is>
          <t>543349</t>
        </is>
      </c>
    </row>
    <row r="266">
      <c r="A266" s="31" t="inlineStr">
        <is>
          <t>MENONBE</t>
        </is>
      </c>
      <c r="B266" s="31" t="inlineStr">
        <is>
          <t>Menon Bearings Limited</t>
        </is>
      </c>
      <c r="C266" s="31" t="inlineStr">
        <is>
          <t>auto</t>
        </is>
      </c>
      <c r="D266" s="31" t="inlineStr">
        <is>
          <t>auto ancillaries</t>
        </is>
      </c>
      <c r="E266" s="31" t="inlineStr">
        <is>
          <t>smallcap</t>
        </is>
      </c>
      <c r="F266" s="31" t="n">
        <v>931.72</v>
      </c>
      <c r="G266" s="31" t="n">
        <v>167.15</v>
      </c>
      <c r="H266" s="31" t="n">
        <v>0.54</v>
      </c>
      <c r="I266" s="31" t="n">
        <v>296192</v>
      </c>
      <c r="J266" s="31" t="inlineStr">
        <is>
          <t>523828</t>
        </is>
      </c>
    </row>
    <row r="267">
      <c r="A267" s="31" t="inlineStr">
        <is>
          <t>GRASIM</t>
        </is>
      </c>
      <c r="B267" s="31" t="inlineStr">
        <is>
          <t>Grasim Industries Limited</t>
        </is>
      </c>
      <c r="C267" s="31" t="inlineStr">
        <is>
          <t>textiles</t>
        </is>
      </c>
      <c r="D267" s="31" t="inlineStr">
        <is>
          <t>textiles - manmade</t>
        </is>
      </c>
      <c r="E267" s="31" t="inlineStr">
        <is>
          <t>largecap</t>
        </is>
      </c>
      <c r="F267" s="31" t="n">
        <v>210265.37</v>
      </c>
      <c r="G267" s="31" t="n">
        <v>3105.5</v>
      </c>
      <c r="H267" s="31" t="n">
        <v>0.52</v>
      </c>
      <c r="I267" s="31" t="n">
        <v>536817</v>
      </c>
      <c r="J267" s="31" t="inlineStr">
        <is>
          <t>500300</t>
        </is>
      </c>
    </row>
    <row r="268">
      <c r="A268" s="31" t="inlineStr">
        <is>
          <t>LALPATHLAB</t>
        </is>
      </c>
      <c r="B268" s="31" t="inlineStr">
        <is>
          <t>Dr. Lal Path Labs Ltd.</t>
        </is>
      </c>
      <c r="C268" s="31" t="inlineStr">
        <is>
          <t>healthcare</t>
        </is>
      </c>
      <c r="D268" s="31" t="inlineStr">
        <is>
          <t>healthcare</t>
        </is>
      </c>
      <c r="E268" s="31" t="inlineStr">
        <is>
          <t>largecap</t>
        </is>
      </c>
      <c r="F268" s="31" t="n">
        <v>26699.89</v>
      </c>
      <c r="G268" s="31" t="n">
        <v>1601.5</v>
      </c>
      <c r="H268" s="31" t="n">
        <v>0.5</v>
      </c>
      <c r="I268" s="31" t="n">
        <v>192359</v>
      </c>
      <c r="J268" s="31" t="inlineStr">
        <is>
          <t>539524</t>
        </is>
      </c>
    </row>
    <row r="269">
      <c r="A269" s="31" t="inlineStr">
        <is>
          <t>MEDANTA</t>
        </is>
      </c>
      <c r="B269" s="31" t="inlineStr">
        <is>
          <t>Global Health Ltd</t>
        </is>
      </c>
      <c r="C269" s="31" t="inlineStr">
        <is>
          <t>healthcare</t>
        </is>
      </c>
      <c r="D269" s="31" t="inlineStr">
        <is>
          <t>healthcare</t>
        </is>
      </c>
      <c r="E269" s="31" t="inlineStr">
        <is>
          <t>largecap</t>
        </is>
      </c>
      <c r="F269" s="31" t="n">
        <v>33037.03</v>
      </c>
      <c r="G269" s="31" t="n">
        <v>1235.1</v>
      </c>
      <c r="H269" s="31" t="n">
        <v>0.49</v>
      </c>
      <c r="I269" s="31" t="n">
        <v>247598</v>
      </c>
      <c r="J269" s="31" t="inlineStr">
        <is>
          <t>543654</t>
        </is>
      </c>
    </row>
    <row r="270">
      <c r="A270" s="31" t="inlineStr">
        <is>
          <t>ADANIENT</t>
        </is>
      </c>
      <c r="B270" s="31" t="inlineStr">
        <is>
          <t>Adani Enterprises Limited</t>
        </is>
      </c>
      <c r="C270" s="31" t="inlineStr">
        <is>
          <t>services</t>
        </is>
      </c>
      <c r="D270" s="31" t="inlineStr">
        <is>
          <t>trading</t>
        </is>
      </c>
      <c r="E270" s="31" t="inlineStr">
        <is>
          <t>largecap</t>
        </is>
      </c>
      <c r="F270" s="31" t="n">
        <v>376015.46</v>
      </c>
      <c r="G270" s="31" t="n">
        <v>2921.6</v>
      </c>
      <c r="H270" s="31" t="n">
        <v>0.44</v>
      </c>
      <c r="I270" s="31" t="n">
        <v>2321009</v>
      </c>
      <c r="J270" s="31" t="inlineStr">
        <is>
          <t>512599</t>
        </is>
      </c>
    </row>
    <row r="271">
      <c r="A271" s="31" t="inlineStr">
        <is>
          <t>GRANULES</t>
        </is>
      </c>
      <c r="B271" s="31" t="inlineStr">
        <is>
          <t>Granules India Limited</t>
        </is>
      </c>
      <c r="C271" s="31" t="inlineStr">
        <is>
          <t>healthcare</t>
        </is>
      </c>
      <c r="D271" s="31" t="inlineStr">
        <is>
          <t>pharmaceuticals - indian - bulk drugs &amp; formln</t>
        </is>
      </c>
      <c r="E271" s="31" t="inlineStr">
        <is>
          <t>midcap</t>
        </is>
      </c>
      <c r="F271" s="31" t="n">
        <v>18910.62</v>
      </c>
      <c r="G271" s="31" t="n">
        <v>766.45</v>
      </c>
      <c r="H271" s="31" t="n">
        <v>0.43</v>
      </c>
      <c r="I271" s="31" t="n">
        <v>350109</v>
      </c>
      <c r="J271" s="31" t="inlineStr">
        <is>
          <t>532482</t>
        </is>
      </c>
    </row>
    <row r="272">
      <c r="A272" s="31" t="inlineStr">
        <is>
          <t>ACMESOLAR</t>
        </is>
      </c>
      <c r="B272" s="31" t="inlineStr">
        <is>
          <t>ACME Solar Holdings Ltd</t>
        </is>
      </c>
      <c r="C272" s="31" t="inlineStr">
        <is>
          <t>realty</t>
        </is>
      </c>
      <c r="D272" s="31" t="inlineStr">
        <is>
          <t>engineering - turnkey services</t>
        </is>
      </c>
      <c r="E272" s="31" t="inlineStr">
        <is>
          <t>largecap</t>
        </is>
      </c>
      <c r="F272" s="31" t="n">
        <v>20266.73</v>
      </c>
      <c r="G272" s="31" t="n">
        <v>335.75</v>
      </c>
      <c r="H272" s="31" t="n">
        <v>0.39</v>
      </c>
      <c r="I272" s="31" t="n">
        <v>1365603</v>
      </c>
      <c r="J272" s="31" t="inlineStr">
        <is>
          <t>544283</t>
        </is>
      </c>
    </row>
    <row r="273">
      <c r="A273" s="31" t="inlineStr">
        <is>
          <t>VINCOFE</t>
        </is>
      </c>
      <c r="B273" s="31" t="inlineStr">
        <is>
          <t>Vintage Coffee &amp; Beverages Ltd</t>
        </is>
      </c>
      <c r="C273" s="31" t="inlineStr">
        <is>
          <t>consumer discretionary</t>
        </is>
      </c>
      <c r="D273" s="31" t="inlineStr">
        <is>
          <t>trading</t>
        </is>
      </c>
      <c r="E273" s="31" t="inlineStr">
        <is>
          <t>smallcap</t>
        </is>
      </c>
      <c r="F273" s="31" t="n">
        <v>2314.26</v>
      </c>
      <c r="G273" s="31" t="n">
        <v>159.45</v>
      </c>
      <c r="H273" s="31" t="n">
        <v>0.38</v>
      </c>
      <c r="I273" s="31" t="n">
        <v>12512630</v>
      </c>
      <c r="J273" s="31" t="inlineStr">
        <is>
          <t>538920</t>
        </is>
      </c>
    </row>
    <row r="274">
      <c r="A274" s="31" t="inlineStr">
        <is>
          <t>PANAMAPET</t>
        </is>
      </c>
      <c r="B274" s="31" t="inlineStr">
        <is>
          <t>Panama Petrochem Limited</t>
        </is>
      </c>
      <c r="C274" s="31" t="inlineStr">
        <is>
          <t>energy</t>
        </is>
      </c>
      <c r="D274" s="31" t="inlineStr">
        <is>
          <t>petrochemicals</t>
        </is>
      </c>
      <c r="E274" s="31" t="inlineStr">
        <is>
          <t>smallcap</t>
        </is>
      </c>
      <c r="F274" s="31" t="n">
        <v>2273.65</v>
      </c>
      <c r="G274" s="31" t="n">
        <v>377.25</v>
      </c>
      <c r="H274" s="31" t="n">
        <v>0.37</v>
      </c>
      <c r="I274" s="31" t="n">
        <v>288528</v>
      </c>
      <c r="J274" s="31" t="inlineStr">
        <is>
          <t>524820</t>
        </is>
      </c>
    </row>
    <row r="275">
      <c r="A275" s="31" t="inlineStr">
        <is>
          <t>AIAENG</t>
        </is>
      </c>
      <c r="B275" s="31" t="inlineStr">
        <is>
          <t>Aia Engineering Limited</t>
        </is>
      </c>
      <c r="C275" s="31" t="inlineStr">
        <is>
          <t>industrials</t>
        </is>
      </c>
      <c r="D275" s="31" t="inlineStr">
        <is>
          <t>castings &amp; forgings</t>
        </is>
      </c>
      <c r="E275" s="31" t="inlineStr">
        <is>
          <t>largecap</t>
        </is>
      </c>
      <c r="F275" s="31" t="n">
        <v>40300.4</v>
      </c>
      <c r="G275" s="31" t="n">
        <v>4333.7</v>
      </c>
      <c r="H275" s="31" t="n">
        <v>0.35</v>
      </c>
      <c r="I275" s="31" t="n">
        <v>49722</v>
      </c>
      <c r="J275" s="31" t="inlineStr">
        <is>
          <t>532683</t>
        </is>
      </c>
    </row>
    <row r="276">
      <c r="A276" s="31" t="inlineStr">
        <is>
          <t>WELENT</t>
        </is>
      </c>
      <c r="B276" s="31" t="inlineStr">
        <is>
          <t>Welspun Enterprises Limited</t>
        </is>
      </c>
      <c r="C276" s="31" t="inlineStr">
        <is>
          <t>realty</t>
        </is>
      </c>
      <c r="D276" s="31" t="inlineStr">
        <is>
          <t>construction</t>
        </is>
      </c>
      <c r="E276" s="31" t="inlineStr">
        <is>
          <t>midcap</t>
        </is>
      </c>
      <c r="F276" s="31" t="n">
        <v>7618.3</v>
      </c>
      <c r="G276" s="31" t="n">
        <v>552.25</v>
      </c>
      <c r="H276" s="31" t="n">
        <v>0.34</v>
      </c>
      <c r="I276" s="31" t="n">
        <v>231546</v>
      </c>
      <c r="J276" s="31" t="inlineStr">
        <is>
          <t>532553</t>
        </is>
      </c>
    </row>
    <row r="277">
      <c r="A277" s="31" t="inlineStr">
        <is>
          <t>COMSYN</t>
        </is>
      </c>
      <c r="B277" s="31" t="inlineStr">
        <is>
          <t>Commercial Syn Bags Ltd</t>
        </is>
      </c>
      <c r="C277" s="31" t="inlineStr">
        <is>
          <t>industrials</t>
        </is>
      </c>
      <c r="D277" s="31" t="inlineStr">
        <is>
          <t>packaging</t>
        </is>
      </c>
      <c r="E277" s="31" t="inlineStr">
        <is>
          <t>smallcap</t>
        </is>
      </c>
      <c r="F277" s="31" t="n">
        <v>683.27</v>
      </c>
      <c r="G277" s="31" t="n">
        <v>169.9</v>
      </c>
      <c r="H277" s="31" t="n">
        <v>0.31</v>
      </c>
      <c r="I277" s="31" t="n">
        <v>21625</v>
      </c>
      <c r="J277" s="31" t="inlineStr">
        <is>
          <t>539986</t>
        </is>
      </c>
    </row>
    <row r="278">
      <c r="A278" s="31" t="inlineStr">
        <is>
          <t>VIYASH</t>
        </is>
      </c>
      <c r="B278" s="31" t="inlineStr">
        <is>
          <t>Viyash Scientific Ltd</t>
        </is>
      </c>
      <c r="C278" s="31" t="inlineStr">
        <is>
          <t>healthcare</t>
        </is>
      </c>
      <c r="D278" s="31" t="inlineStr">
        <is>
          <t>pharmaceuticals - indian - bulk drugs &amp; formln</t>
        </is>
      </c>
      <c r="E278" s="31" t="inlineStr">
        <is>
          <t>midcap</t>
        </is>
      </c>
      <c r="F278" s="31" t="n">
        <v>10886.32</v>
      </c>
      <c r="G278" s="31" t="n">
        <v>249.95</v>
      </c>
      <c r="H278" s="31" t="n">
        <v>0.3</v>
      </c>
      <c r="I278" s="31" t="n">
        <v>2376512</v>
      </c>
      <c r="J278" s="31" t="inlineStr">
        <is>
          <t>512529</t>
        </is>
      </c>
    </row>
    <row r="279">
      <c r="A279" s="31" t="inlineStr">
        <is>
          <t>BLISSGVS</t>
        </is>
      </c>
      <c r="B279" s="31" t="inlineStr">
        <is>
          <t>Bliss Gvs Pharma Limited</t>
        </is>
      </c>
      <c r="C279" s="31" t="inlineStr">
        <is>
          <t>healthcare</t>
        </is>
      </c>
      <c r="D279" s="31" t="inlineStr">
        <is>
          <t>pharmaceuticals - indian - formulations</t>
        </is>
      </c>
      <c r="E279" s="31" t="inlineStr">
        <is>
          <t>smallcap</t>
        </is>
      </c>
      <c r="F279" s="31" t="n">
        <v>4618.22</v>
      </c>
      <c r="G279" s="31" t="n">
        <v>437.85</v>
      </c>
      <c r="H279" s="31" t="n">
        <v>0.3</v>
      </c>
      <c r="I279" s="31" t="n">
        <v>521869</v>
      </c>
      <c r="J279" s="31" t="inlineStr">
        <is>
          <t>506197</t>
        </is>
      </c>
    </row>
    <row r="280">
      <c r="A280" s="31" t="inlineStr">
        <is>
          <t>KOVAI</t>
        </is>
      </c>
      <c r="B280" s="31" t="inlineStr">
        <is>
          <t>Kovai Medical Center &amp; Hospital Ltd</t>
        </is>
      </c>
      <c r="C280" s="31" t="inlineStr">
        <is>
          <t>healthcare</t>
        </is>
      </c>
      <c r="D280" s="31" t="inlineStr">
        <is>
          <t>healthcare</t>
        </is>
      </c>
      <c r="E280" s="31" t="inlineStr">
        <is>
          <t>midcap</t>
        </is>
      </c>
      <c r="F280" s="31" t="n">
        <v>6340.49</v>
      </c>
      <c r="G280" s="31" t="n">
        <v>5811</v>
      </c>
      <c r="H280" s="31" t="n">
        <v>0.28</v>
      </c>
      <c r="I280" s="31" t="n">
        <v>2484</v>
      </c>
      <c r="J280" s="31" t="inlineStr">
        <is>
          <t>523323</t>
        </is>
      </c>
    </row>
    <row r="281">
      <c r="A281" s="31" t="inlineStr">
        <is>
          <t>NEOGEN</t>
        </is>
      </c>
      <c r="B281" s="31" t="inlineStr">
        <is>
          <t>Neogen Chemicals Ltd</t>
        </is>
      </c>
      <c r="C281" s="31" t="inlineStr">
        <is>
          <t>chemicals</t>
        </is>
      </c>
      <c r="D281" s="31" t="inlineStr">
        <is>
          <t>chemicals</t>
        </is>
      </c>
      <c r="E281" s="31" t="inlineStr">
        <is>
          <t>midcap</t>
        </is>
      </c>
      <c r="F281" s="31" t="n">
        <v>5554.92</v>
      </c>
      <c r="G281" s="31" t="n">
        <v>2033.7</v>
      </c>
      <c r="H281" s="31" t="n">
        <v>0.25</v>
      </c>
      <c r="I281" s="31" t="n">
        <v>196643</v>
      </c>
      <c r="J281" s="31" t="inlineStr">
        <is>
          <t>542665</t>
        </is>
      </c>
    </row>
    <row r="282">
      <c r="A282" s="31" t="inlineStr">
        <is>
          <t>LAURUSLABS</t>
        </is>
      </c>
      <c r="B282" s="31" t="inlineStr">
        <is>
          <t>Laurus Labs Limited</t>
        </is>
      </c>
      <c r="C282" s="31" t="inlineStr">
        <is>
          <t>healthcare</t>
        </is>
      </c>
      <c r="D282" s="31" t="inlineStr">
        <is>
          <t>pharmaceuticals - indian - bulk drugs &amp; formln</t>
        </is>
      </c>
      <c r="E282" s="31" t="inlineStr">
        <is>
          <t>largecap</t>
        </is>
      </c>
      <c r="F282" s="31" t="n">
        <v>75083.25</v>
      </c>
      <c r="G282" s="31" t="n">
        <v>1394.3</v>
      </c>
      <c r="H282" s="31" t="n">
        <v>0.25</v>
      </c>
      <c r="I282" s="31" t="n">
        <v>1207798</v>
      </c>
      <c r="J282" s="31" t="inlineStr">
        <is>
          <t>540222</t>
        </is>
      </c>
    </row>
    <row r="283">
      <c r="A283" s="31" t="inlineStr">
        <is>
          <t>ARVIND</t>
        </is>
      </c>
      <c r="B283" s="31" t="inlineStr">
        <is>
          <t>Arvind Limited</t>
        </is>
      </c>
      <c r="C283" s="31" t="inlineStr">
        <is>
          <t>textiles</t>
        </is>
      </c>
      <c r="D283" s="31" t="inlineStr">
        <is>
          <t>textiles - cotton/blended</t>
        </is>
      </c>
      <c r="E283" s="31" t="inlineStr">
        <is>
          <t>midcap</t>
        </is>
      </c>
      <c r="F283" s="31" t="n">
        <v>12928.8</v>
      </c>
      <c r="G283" s="31" t="n">
        <v>494.5</v>
      </c>
      <c r="H283" s="31" t="n">
        <v>0.25</v>
      </c>
      <c r="I283" s="31" t="n">
        <v>473209</v>
      </c>
      <c r="J283" s="31" t="inlineStr">
        <is>
          <t>500101</t>
        </is>
      </c>
    </row>
    <row r="284">
      <c r="A284" s="31" t="inlineStr">
        <is>
          <t>BERGEPAINT</t>
        </is>
      </c>
      <c r="B284" s="31" t="inlineStr">
        <is>
          <t>Berger Paints (i) Limited</t>
        </is>
      </c>
      <c r="C284" s="31" t="inlineStr">
        <is>
          <t>building materials</t>
        </is>
      </c>
      <c r="D284" s="31" t="inlineStr">
        <is>
          <t>paints / varnishes</t>
        </is>
      </c>
      <c r="E284" s="31" t="inlineStr">
        <is>
          <t>largecap</t>
        </is>
      </c>
      <c r="F284" s="31" t="n">
        <v>59926.71</v>
      </c>
      <c r="G284" s="31" t="n">
        <v>515.15</v>
      </c>
      <c r="H284" s="31" t="n">
        <v>0.23</v>
      </c>
      <c r="I284" s="31" t="n">
        <v>382979</v>
      </c>
      <c r="J284" s="31" t="inlineStr">
        <is>
          <t>509480</t>
        </is>
      </c>
    </row>
    <row r="285">
      <c r="A285" s="31" t="inlineStr">
        <is>
          <t>JBCHEPHARM</t>
        </is>
      </c>
      <c r="B285" s="31" t="inlineStr">
        <is>
          <t>Jb Chemicals &amp; Pharmaceuticals Limited</t>
        </is>
      </c>
      <c r="C285" s="31" t="inlineStr">
        <is>
          <t>healthcare</t>
        </is>
      </c>
      <c r="D285" s="31" t="inlineStr">
        <is>
          <t>pharmaceuticals - indian - bulk drugs &amp; formln</t>
        </is>
      </c>
      <c r="E285" s="31" t="inlineStr">
        <is>
          <t>largecap</t>
        </is>
      </c>
      <c r="F285" s="31" t="n">
        <v>36169.06</v>
      </c>
      <c r="G285" s="31" t="n">
        <v>2257.7</v>
      </c>
      <c r="H285" s="31" t="n">
        <v>0.22</v>
      </c>
      <c r="I285" s="31" t="n">
        <v>235603</v>
      </c>
      <c r="J285" s="31" t="inlineStr">
        <is>
          <t>506943</t>
        </is>
      </c>
    </row>
    <row r="286">
      <c r="A286" s="31" t="inlineStr">
        <is>
          <t>ASTERDM</t>
        </is>
      </c>
      <c r="B286" s="31" t="inlineStr">
        <is>
          <t>Aster DM Healthcare Ltd</t>
        </is>
      </c>
      <c r="C286" s="31" t="inlineStr">
        <is>
          <t>healthcare</t>
        </is>
      </c>
      <c r="D286" s="31" t="inlineStr">
        <is>
          <t>healthcare</t>
        </is>
      </c>
      <c r="E286" s="31" t="inlineStr">
        <is>
          <t>largecap</t>
        </is>
      </c>
      <c r="F286" s="31" t="n">
        <v>42162.1</v>
      </c>
      <c r="G286" s="31" t="n">
        <v>814.95</v>
      </c>
      <c r="H286" s="31" t="n">
        <v>0.15</v>
      </c>
      <c r="I286" s="31" t="n">
        <v>1181355</v>
      </c>
      <c r="J286" s="31" t="inlineStr">
        <is>
          <t>540975</t>
        </is>
      </c>
    </row>
    <row r="287">
      <c r="A287" s="31" t="inlineStr">
        <is>
          <t>FORTIS</t>
        </is>
      </c>
      <c r="B287" s="31" t="inlineStr">
        <is>
          <t>Fortis Healthcare Limited</t>
        </is>
      </c>
      <c r="C287" s="31" t="inlineStr">
        <is>
          <t>healthcare</t>
        </is>
      </c>
      <c r="D287" s="31" t="inlineStr">
        <is>
          <t>healthcare</t>
        </is>
      </c>
      <c r="E287" s="31" t="inlineStr">
        <is>
          <t>largecap</t>
        </is>
      </c>
      <c r="F287" s="31" t="n">
        <v>74665.36</v>
      </c>
      <c r="G287" s="31" t="n">
        <v>990.35</v>
      </c>
      <c r="H287" s="31" t="n">
        <v>0.14</v>
      </c>
      <c r="I287" s="31" t="n">
        <v>934183</v>
      </c>
      <c r="J287" s="31" t="inlineStr">
        <is>
          <t>532843</t>
        </is>
      </c>
    </row>
    <row r="288">
      <c r="A288" s="31" t="inlineStr">
        <is>
          <t>IBULLSLTD</t>
        </is>
      </c>
      <c r="B288" s="31" t="inlineStr">
        <is>
          <t>Indiabulls Limited</t>
        </is>
      </c>
      <c r="C288" s="31" t="inlineStr">
        <is>
          <t>miscellaneous</t>
        </is>
      </c>
      <c r="D288" s="31" t="inlineStr">
        <is>
          <t>diversified - medium / small</t>
        </is>
      </c>
      <c r="E288" s="31" t="inlineStr">
        <is>
          <t>midcap</t>
        </is>
      </c>
      <c r="F288" s="31" t="n">
        <v>5457.65</v>
      </c>
      <c r="G288" s="31" t="n">
        <v>23.51</v>
      </c>
      <c r="H288" s="31" t="n">
        <v>0.13</v>
      </c>
      <c r="I288" s="31" t="n">
        <v>3944736</v>
      </c>
      <c r="J288" s="31" t="inlineStr">
        <is>
          <t>533520</t>
        </is>
      </c>
    </row>
    <row r="289">
      <c r="A289" s="31" t="inlineStr">
        <is>
          <t>ATHERENERG</t>
        </is>
      </c>
      <c r="B289" s="31" t="inlineStr">
        <is>
          <t>Ather Energy Ltd</t>
        </is>
      </c>
      <c r="C289" s="31" t="inlineStr">
        <is>
          <t>auto</t>
        </is>
      </c>
      <c r="D289" s="31" t="inlineStr">
        <is>
          <t>automobiles - scooters and 3 - wheelers</t>
        </is>
      </c>
      <c r="E289" s="31" t="inlineStr">
        <is>
          <t>largecap</t>
        </is>
      </c>
      <c r="F289" s="31" t="n">
        <v>39315.84</v>
      </c>
      <c r="G289" s="31" t="n">
        <v>1028.7</v>
      </c>
      <c r="H289" s="31" t="n">
        <v>0.13</v>
      </c>
      <c r="I289" s="31" t="n">
        <v>2858859</v>
      </c>
      <c r="J289" s="31" t="inlineStr">
        <is>
          <t>544397</t>
        </is>
      </c>
    </row>
    <row r="290">
      <c r="A290" s="31" t="inlineStr">
        <is>
          <t>BHARATFORG</t>
        </is>
      </c>
      <c r="B290" s="31" t="inlineStr">
        <is>
          <t>Bharat Forge Limited</t>
        </is>
      </c>
      <c r="C290" s="31" t="inlineStr">
        <is>
          <t>industrials</t>
        </is>
      </c>
      <c r="D290" s="31" t="inlineStr">
        <is>
          <t>castings &amp; forgings</t>
        </is>
      </c>
      <c r="E290" s="31" t="inlineStr">
        <is>
          <t>largecap</t>
        </is>
      </c>
      <c r="F290" s="31" t="n">
        <v>92887.84</v>
      </c>
      <c r="G290" s="31" t="n">
        <v>1945.1</v>
      </c>
      <c r="H290" s="31" t="n">
        <v>0.11</v>
      </c>
      <c r="I290" s="31" t="n">
        <v>893592</v>
      </c>
      <c r="J290" s="31" t="inlineStr">
        <is>
          <t>500493</t>
        </is>
      </c>
    </row>
    <row r="291">
      <c r="A291" s="31" t="inlineStr">
        <is>
          <t>HSCL</t>
        </is>
      </c>
      <c r="B291" s="31" t="inlineStr">
        <is>
          <t>Himadri Speciality Chemical Limited</t>
        </is>
      </c>
      <c r="C291" s="31" t="inlineStr">
        <is>
          <t>chemicals</t>
        </is>
      </c>
      <c r="D291" s="31" t="inlineStr">
        <is>
          <t>chemicals</t>
        </is>
      </c>
      <c r="E291" s="31" t="inlineStr">
        <is>
          <t>largecap</t>
        </is>
      </c>
      <c r="F291" s="31" t="n">
        <v>34311.35</v>
      </c>
      <c r="G291" s="31" t="n">
        <v>680.5</v>
      </c>
      <c r="H291" s="31" t="n">
        <v>0.07000000000000001</v>
      </c>
      <c r="I291" s="31" t="n">
        <v>16776394</v>
      </c>
      <c r="J291" s="31" t="inlineStr">
        <is>
          <t>500184</t>
        </is>
      </c>
    </row>
    <row r="292">
      <c r="A292" s="31" t="inlineStr">
        <is>
          <t>APOLLOHOSP</t>
        </is>
      </c>
      <c r="B292" s="31" t="inlineStr">
        <is>
          <t>Apollo Hospitals Enterprise Limited</t>
        </is>
      </c>
      <c r="C292" s="31" t="inlineStr">
        <is>
          <t>healthcare</t>
        </is>
      </c>
      <c r="D292" s="31" t="inlineStr">
        <is>
          <t>healthcare</t>
        </is>
      </c>
      <c r="E292" s="31" t="inlineStr">
        <is>
          <t>largecap</t>
        </is>
      </c>
      <c r="F292" s="31" t="n">
        <v>122116.31</v>
      </c>
      <c r="G292" s="31" t="n">
        <v>8498</v>
      </c>
      <c r="H292" s="31" t="n">
        <v>0.06</v>
      </c>
      <c r="I292" s="31" t="n">
        <v>276444</v>
      </c>
      <c r="J292" s="31" t="inlineStr">
        <is>
          <t>508869</t>
        </is>
      </c>
    </row>
    <row r="293">
      <c r="A293" s="31" t="inlineStr">
        <is>
          <t>GANESHBE</t>
        </is>
      </c>
      <c r="B293" s="31" t="inlineStr">
        <is>
          <t>Ganesh Benzoplast Ltd</t>
        </is>
      </c>
      <c r="C293" s="31" t="inlineStr">
        <is>
          <t>miscellaneous</t>
        </is>
      </c>
      <c r="D293" s="31" t="inlineStr">
        <is>
          <t>miscellaneous</t>
        </is>
      </c>
      <c r="E293" s="31" t="inlineStr">
        <is>
          <t>smallcap</t>
        </is>
      </c>
      <c r="F293" s="31" t="n">
        <v>779.14</v>
      </c>
      <c r="G293" s="31" t="n">
        <v>108.28</v>
      </c>
      <c r="H293" s="31" t="n">
        <v>0.05</v>
      </c>
      <c r="I293" s="31" t="n">
        <v>284707</v>
      </c>
      <c r="J293" s="31" t="inlineStr">
        <is>
          <t>500153</t>
        </is>
      </c>
    </row>
    <row r="294">
      <c r="A294" s="31" t="inlineStr">
        <is>
          <t>TATACOMM</t>
        </is>
      </c>
      <c r="B294" s="31" t="inlineStr">
        <is>
          <t>Tata Communications Limited</t>
        </is>
      </c>
      <c r="C294" s="31" t="inlineStr">
        <is>
          <t>telecom-service</t>
        </is>
      </c>
      <c r="D294" s="31" t="inlineStr">
        <is>
          <t>telecommunications - service provider</t>
        </is>
      </c>
      <c r="E294" s="31" t="inlineStr">
        <is>
          <t>largecap</t>
        </is>
      </c>
      <c r="F294" s="31" t="n">
        <v>56031</v>
      </c>
      <c r="G294" s="31" t="n">
        <v>1966.6</v>
      </c>
      <c r="H294" s="31" t="n">
        <v>0.03</v>
      </c>
      <c r="I294" s="31" t="n">
        <v>281125</v>
      </c>
      <c r="J294" s="31" t="inlineStr">
        <is>
          <t>500483</t>
        </is>
      </c>
    </row>
    <row r="295">
      <c r="A295" s="31" t="inlineStr">
        <is>
          <t>MAYURUNIQ</t>
        </is>
      </c>
      <c r="B295" s="31" t="inlineStr">
        <is>
          <t>Mayur Uniquoters Ltd</t>
        </is>
      </c>
      <c r="C295" s="31" t="inlineStr">
        <is>
          <t>consumer discretionary</t>
        </is>
      </c>
      <c r="D295" s="31" t="inlineStr">
        <is>
          <t>leather / leather products</t>
        </is>
      </c>
      <c r="E295" s="31" t="inlineStr">
        <is>
          <t>smallcap</t>
        </is>
      </c>
      <c r="F295" s="31" t="n">
        <v>3446.23</v>
      </c>
      <c r="G295" s="31" t="n">
        <v>793.2</v>
      </c>
      <c r="H295" s="31" t="n">
        <v>0.01</v>
      </c>
      <c r="I295" s="31" t="n">
        <v>150911</v>
      </c>
      <c r="J295" s="31" t="inlineStr">
        <is>
          <t>522249</t>
        </is>
      </c>
    </row>
    <row r="296">
      <c r="A296" s="31" t="inlineStr">
        <is>
          <t>TORNTPHARM</t>
        </is>
      </c>
      <c r="B296" s="31" t="inlineStr">
        <is>
          <t>Torrent Pharmaceuticals Limited</t>
        </is>
      </c>
      <c r="C296" s="31" t="inlineStr">
        <is>
          <t>healthcare</t>
        </is>
      </c>
      <c r="D296" s="31" t="inlineStr">
        <is>
          <t>pharmaceuticals - indian - formulations</t>
        </is>
      </c>
      <c r="E296" s="31" t="inlineStr">
        <is>
          <t>largecap</t>
        </is>
      </c>
      <c r="F296" s="31" t="n">
        <v>154744.02</v>
      </c>
      <c r="G296" s="31" t="n">
        <v>4571.2</v>
      </c>
      <c r="H296" s="31" t="n">
        <v>-0.02</v>
      </c>
      <c r="I296" s="31" t="n">
        <v>426095</v>
      </c>
      <c r="J296" s="31" t="inlineStr">
        <is>
          <t>500420</t>
        </is>
      </c>
    </row>
    <row r="297">
      <c r="A297" s="31" t="inlineStr">
        <is>
          <t>TMB</t>
        </is>
      </c>
      <c r="B297" s="31" t="inlineStr">
        <is>
          <t>Tamilnad Mercantile Bank Ltd</t>
        </is>
      </c>
      <c r="C297" s="31" t="inlineStr">
        <is>
          <t>bank</t>
        </is>
      </c>
      <c r="D297" s="31" t="inlineStr">
        <is>
          <t>banks - private sector</t>
        </is>
      </c>
      <c r="E297" s="31" t="inlineStr">
        <is>
          <t>midcap</t>
        </is>
      </c>
      <c r="F297" s="31" t="n">
        <v>12151.89</v>
      </c>
      <c r="G297" s="31" t="n">
        <v>767.05</v>
      </c>
      <c r="H297" s="31" t="n">
        <v>-0.05</v>
      </c>
      <c r="I297" s="31" t="n">
        <v>210472</v>
      </c>
      <c r="J297" s="31" t="inlineStr">
        <is>
          <t>543596</t>
        </is>
      </c>
    </row>
    <row r="298">
      <c r="A298" s="31" t="inlineStr">
        <is>
          <t>NINSYS</t>
        </is>
      </c>
      <c r="B298" s="31" t="inlineStr">
        <is>
          <t>NINtec Systems Ltd</t>
        </is>
      </c>
      <c r="C298" s="31" t="inlineStr">
        <is>
          <t>i.t</t>
        </is>
      </c>
      <c r="D298" s="31" t="inlineStr">
        <is>
          <t>computers - software - medium / small</t>
        </is>
      </c>
      <c r="E298" s="31" t="inlineStr">
        <is>
          <t>smallcap</t>
        </is>
      </c>
      <c r="F298" s="31" t="n">
        <v>1281.56</v>
      </c>
      <c r="G298" s="31" t="n">
        <v>689.55</v>
      </c>
      <c r="H298" s="31" t="n">
        <v>-0.05</v>
      </c>
      <c r="I298" s="31" t="n">
        <v>3551</v>
      </c>
      <c r="J298" s="31" t="inlineStr">
        <is>
          <t>539843</t>
        </is>
      </c>
    </row>
    <row r="299">
      <c r="A299" s="31" t="inlineStr">
        <is>
          <t>IIFLCAPS</t>
        </is>
      </c>
      <c r="B299" s="31" t="inlineStr">
        <is>
          <t>IIFL Capital Services Ltd</t>
        </is>
      </c>
      <c r="C299" s="31" t="inlineStr">
        <is>
          <t>financials</t>
        </is>
      </c>
      <c r="D299" s="31" t="inlineStr">
        <is>
          <t>finance &amp; investments</t>
        </is>
      </c>
      <c r="E299" s="31" t="inlineStr">
        <is>
          <t>midcap</t>
        </is>
      </c>
      <c r="F299" s="31" t="n">
        <v>10660.41</v>
      </c>
      <c r="G299" s="31" t="n">
        <v>342</v>
      </c>
      <c r="H299" s="31" t="n">
        <v>-0.09</v>
      </c>
      <c r="I299" s="31" t="n">
        <v>1007552</v>
      </c>
      <c r="J299" s="31" t="inlineStr">
        <is>
          <t>542773</t>
        </is>
      </c>
    </row>
    <row r="300">
      <c r="A300" s="31" t="inlineStr">
        <is>
          <t>ZYDUSLIFE</t>
        </is>
      </c>
      <c r="B300" s="31" t="inlineStr">
        <is>
          <t>Zydus Lifesciences Ltd</t>
        </is>
      </c>
      <c r="C300" s="31" t="inlineStr">
        <is>
          <t>healthcare</t>
        </is>
      </c>
      <c r="D300" s="31" t="inlineStr">
        <is>
          <t>pharmaceuticals - indian - bulk drugs &amp; formln</t>
        </is>
      </c>
      <c r="E300" s="31" t="inlineStr">
        <is>
          <t>largecap</t>
        </is>
      </c>
      <c r="F300" s="31" t="n">
        <v>111279.42</v>
      </c>
      <c r="G300" s="31" t="n">
        <v>1104.7</v>
      </c>
      <c r="H300" s="31" t="n">
        <v>-0.11</v>
      </c>
      <c r="I300" s="31" t="n">
        <v>872151</v>
      </c>
      <c r="J300" s="31" t="inlineStr">
        <is>
          <t>532321</t>
        </is>
      </c>
    </row>
    <row r="301">
      <c r="A301" s="31" t="inlineStr">
        <is>
          <t>DIFFNKG</t>
        </is>
      </c>
      <c r="B301" s="31" t="inlineStr">
        <is>
          <t>Diffusion Engineers Ltd</t>
        </is>
      </c>
      <c r="C301" s="31" t="inlineStr">
        <is>
          <t>industrials</t>
        </is>
      </c>
      <c r="D301" s="31" t="inlineStr">
        <is>
          <t>electrodes - welding equipment</t>
        </is>
      </c>
      <c r="E301" s="31" t="inlineStr">
        <is>
          <t>smallcap</t>
        </is>
      </c>
      <c r="F301" s="31" t="n">
        <v>1356.33</v>
      </c>
      <c r="G301" s="31" t="n">
        <v>361.75</v>
      </c>
      <c r="H301" s="31" t="n">
        <v>-0.18</v>
      </c>
      <c r="I301" s="31" t="n">
        <v>332310</v>
      </c>
      <c r="J301" s="31" t="inlineStr">
        <is>
          <t>544264</t>
        </is>
      </c>
    </row>
    <row r="302">
      <c r="A302" s="31" t="inlineStr">
        <is>
          <t>CHENNPETRO</t>
        </is>
      </c>
      <c r="B302" s="31" t="inlineStr">
        <is>
          <t>Chennai Petroleum Corporation Limited</t>
        </is>
      </c>
      <c r="C302" s="31" t="inlineStr">
        <is>
          <t>energy</t>
        </is>
      </c>
      <c r="D302" s="31" t="inlineStr">
        <is>
          <t>refineries</t>
        </is>
      </c>
      <c r="E302" s="31" t="inlineStr">
        <is>
          <t>midcap</t>
        </is>
      </c>
      <c r="F302" s="31" t="n">
        <v>16977.39</v>
      </c>
      <c r="G302" s="31" t="n">
        <v>1137.7</v>
      </c>
      <c r="H302" s="31" t="n">
        <v>-0.21</v>
      </c>
      <c r="I302" s="31" t="n">
        <v>990933</v>
      </c>
      <c r="J302" s="31" t="inlineStr">
        <is>
          <t>500110</t>
        </is>
      </c>
    </row>
    <row r="303">
      <c r="A303" s="31" t="inlineStr">
        <is>
          <t>IDEAFORGE</t>
        </is>
      </c>
      <c r="B303" s="31" t="inlineStr">
        <is>
          <t>Ideaforge Technology Ltd</t>
        </is>
      </c>
      <c r="C303" s="31" t="inlineStr">
        <is>
          <t>aerospace &amp; defence</t>
        </is>
      </c>
      <c r="D303" s="31" t="inlineStr">
        <is>
          <t>engineering</t>
        </is>
      </c>
      <c r="E303" s="31" t="inlineStr">
        <is>
          <t>smallcap</t>
        </is>
      </c>
      <c r="F303" s="31" t="n">
        <v>3768.9</v>
      </c>
      <c r="G303" s="31" t="n">
        <v>869.1</v>
      </c>
      <c r="H303" s="31" t="n">
        <v>-0.21</v>
      </c>
      <c r="I303" s="31" t="n">
        <v>335109</v>
      </c>
      <c r="J303" s="31" t="inlineStr">
        <is>
          <t>543932</t>
        </is>
      </c>
    </row>
    <row r="304">
      <c r="A304" s="31" t="inlineStr">
        <is>
          <t>HITECHCORP</t>
        </is>
      </c>
      <c r="B304" s="31" t="inlineStr">
        <is>
          <t>Hitech Corporation</t>
        </is>
      </c>
      <c r="C304" s="31" t="inlineStr">
        <is>
          <t>industrials</t>
        </is>
      </c>
      <c r="D304" s="31" t="inlineStr">
        <is>
          <t>packaging</t>
        </is>
      </c>
      <c r="E304" s="31" t="inlineStr">
        <is>
          <t>smallcap</t>
        </is>
      </c>
      <c r="F304" s="31" t="n">
        <v>533.72</v>
      </c>
      <c r="G304" s="31" t="n">
        <v>310.02</v>
      </c>
      <c r="H304" s="31" t="n">
        <v>-0.23</v>
      </c>
      <c r="I304" s="31" t="n">
        <v>17885</v>
      </c>
      <c r="J304" s="31" t="inlineStr">
        <is>
          <t>526217</t>
        </is>
      </c>
    </row>
    <row r="305">
      <c r="A305" s="31" t="inlineStr">
        <is>
          <t>HESTERBIO</t>
        </is>
      </c>
      <c r="B305" s="31" t="inlineStr">
        <is>
          <t>Hester Biosciences Limited</t>
        </is>
      </c>
      <c r="C305" s="31" t="inlineStr">
        <is>
          <t>healthcare</t>
        </is>
      </c>
      <c r="D305" s="31" t="inlineStr">
        <is>
          <t>pharmaceuticals - indian - formulations</t>
        </is>
      </c>
      <c r="E305" s="31" t="inlineStr">
        <is>
          <t>smallcap</t>
        </is>
      </c>
      <c r="F305" s="31" t="n">
        <v>1667.26</v>
      </c>
      <c r="G305" s="31" t="n">
        <v>1952.9</v>
      </c>
      <c r="H305" s="31" t="n">
        <v>-0.36</v>
      </c>
      <c r="I305" s="31" t="n">
        <v>3037</v>
      </c>
      <c r="J305" s="31" t="inlineStr">
        <is>
          <t>524669</t>
        </is>
      </c>
    </row>
    <row r="306">
      <c r="A306" s="31" t="inlineStr">
        <is>
          <t>AJANTPHARM</t>
        </is>
      </c>
      <c r="B306" s="31" t="inlineStr">
        <is>
          <t>Ajanta Pharma Limited</t>
        </is>
      </c>
      <c r="C306" s="31" t="inlineStr">
        <is>
          <t>healthcare</t>
        </is>
      </c>
      <c r="D306" s="31" t="inlineStr">
        <is>
          <t>pharmaceuticals - indian - formulations</t>
        </is>
      </c>
      <c r="E306" s="31" t="inlineStr">
        <is>
          <t>largecap</t>
        </is>
      </c>
      <c r="F306" s="31" t="n">
        <v>39272.26</v>
      </c>
      <c r="G306" s="31" t="n">
        <v>3131</v>
      </c>
      <c r="H306" s="31" t="n">
        <v>-0.39</v>
      </c>
      <c r="I306" s="31" t="n">
        <v>80576</v>
      </c>
      <c r="J306" s="31" t="inlineStr">
        <is>
          <t>532331</t>
        </is>
      </c>
    </row>
    <row r="307">
      <c r="A307" s="31" t="inlineStr">
        <is>
          <t>GREENPLY</t>
        </is>
      </c>
      <c r="B307" s="31" t="inlineStr">
        <is>
          <t>Greenply Industries Limited</t>
        </is>
      </c>
      <c r="C307" s="31" t="inlineStr">
        <is>
          <t>building materials</t>
        </is>
      </c>
      <c r="D307" s="31" t="inlineStr">
        <is>
          <t>miscellaneous</t>
        </is>
      </c>
      <c r="E307" s="31" t="inlineStr">
        <is>
          <t>smallcap</t>
        </is>
      </c>
      <c r="F307" s="31" t="n">
        <v>3653.38</v>
      </c>
      <c r="G307" s="31" t="n">
        <v>290.98</v>
      </c>
      <c r="H307" s="31" t="n">
        <v>-0.52</v>
      </c>
      <c r="I307" s="31" t="n">
        <v>334921</v>
      </c>
      <c r="J307" s="31" t="inlineStr">
        <is>
          <t>526797</t>
        </is>
      </c>
    </row>
    <row r="308">
      <c r="A308" s="31" t="inlineStr">
        <is>
          <t>SIGMAADV</t>
        </is>
      </c>
      <c r="B308" s="31" t="inlineStr">
        <is>
          <t>Sigma Advanced System Ltd</t>
        </is>
      </c>
      <c r="C308" s="31" t="inlineStr">
        <is>
          <t>aerospace &amp; defence</t>
        </is>
      </c>
      <c r="D308" s="31" t="inlineStr">
        <is>
          <t>electronics - components</t>
        </is>
      </c>
      <c r="E308" s="31" t="inlineStr">
        <is>
          <t>midcap</t>
        </is>
      </c>
      <c r="F308" s="31" t="n">
        <v>8499.16</v>
      </c>
      <c r="G308" s="31" t="n">
        <v>479.5</v>
      </c>
      <c r="H308" s="31" t="n">
        <v>-0.57</v>
      </c>
      <c r="I308" s="31" t="n">
        <v>583531</v>
      </c>
      <c r="J308" s="31" t="inlineStr">
        <is>
          <t>532408</t>
        </is>
      </c>
    </row>
    <row r="309">
      <c r="A309" s="31" t="inlineStr">
        <is>
          <t>JSWDULUX</t>
        </is>
      </c>
      <c r="B309" s="31" t="inlineStr">
        <is>
          <t>JSW Dulux Ltd</t>
        </is>
      </c>
      <c r="C309" s="31" t="inlineStr">
        <is>
          <t>building materials</t>
        </is>
      </c>
      <c r="D309" s="31" t="inlineStr">
        <is>
          <t>paints / varnishes</t>
        </is>
      </c>
      <c r="E309" s="31" t="inlineStr">
        <is>
          <t>midcap</t>
        </is>
      </c>
      <c r="F309" s="31" t="n">
        <v>14517.34</v>
      </c>
      <c r="G309" s="31" t="n">
        <v>3168.4</v>
      </c>
      <c r="H309" s="31" t="n">
        <v>-0.61</v>
      </c>
      <c r="I309" s="31" t="n">
        <v>46312</v>
      </c>
      <c r="J309" s="31" t="inlineStr">
        <is>
          <t>500710</t>
        </is>
      </c>
    </row>
    <row r="310">
      <c r="A310" s="31" t="inlineStr">
        <is>
          <t>NRL</t>
        </is>
      </c>
      <c r="B310" s="31" t="inlineStr">
        <is>
          <t>Nupur Recyclers Ltd</t>
        </is>
      </c>
      <c r="C310" s="31" t="inlineStr">
        <is>
          <t>services</t>
        </is>
      </c>
      <c r="D310" s="31" t="inlineStr">
        <is>
          <t>trading</t>
        </is>
      </c>
      <c r="E310" s="31" t="inlineStr">
        <is>
          <t>smallcap</t>
        </is>
      </c>
      <c r="F310" s="31" t="n">
        <v>518.85</v>
      </c>
      <c r="G310" s="31" t="n">
        <v>74.56999999999999</v>
      </c>
      <c r="H310" s="31" t="n">
        <v>-0.73</v>
      </c>
      <c r="I310" s="31" t="n">
        <v>133426</v>
      </c>
      <c r="J310" s="31" t="inlineStr">
        <is>
          <t>535413</t>
        </is>
      </c>
    </row>
    <row r="311">
      <c r="A311" s="31" t="inlineStr">
        <is>
          <t>INNOVACAP</t>
        </is>
      </c>
      <c r="B311" s="31" t="inlineStr">
        <is>
          <t>Innova Captab Ltd</t>
        </is>
      </c>
      <c r="C311" s="31" t="inlineStr">
        <is>
          <t>healthcare</t>
        </is>
      </c>
      <c r="D311" s="31" t="inlineStr">
        <is>
          <t>pharmaceuticals - indian - bulk drugs &amp; formln</t>
        </is>
      </c>
      <c r="E311" s="31" t="inlineStr">
        <is>
          <t>midcap</t>
        </is>
      </c>
      <c r="F311" s="31" t="n">
        <v>5440.66</v>
      </c>
      <c r="G311" s="31" t="n">
        <v>942.45</v>
      </c>
      <c r="H311" s="31" t="n">
        <v>-0.87</v>
      </c>
      <c r="I311" s="31" t="n">
        <v>127569</v>
      </c>
      <c r="J311" s="31" t="inlineStr">
        <is>
          <t>544067</t>
        </is>
      </c>
    </row>
    <row r="312">
      <c r="A312" s="31" t="inlineStr">
        <is>
          <t>HONASA</t>
        </is>
      </c>
      <c r="B312" s="31" t="inlineStr">
        <is>
          <t>Honasa Consumer Ltd</t>
        </is>
      </c>
      <c r="C312" s="31" t="inlineStr">
        <is>
          <t>services</t>
        </is>
      </c>
      <c r="D312" s="31" t="inlineStr">
        <is>
          <t>trading</t>
        </is>
      </c>
      <c r="E312" s="31" t="inlineStr">
        <is>
          <t>midcap</t>
        </is>
      </c>
      <c r="F312" s="31" t="n">
        <v>13589.07</v>
      </c>
      <c r="G312" s="31" t="n">
        <v>413.65</v>
      </c>
      <c r="H312" s="31" t="n">
        <v>-0.96</v>
      </c>
      <c r="I312" s="31" t="n">
        <v>1765440</v>
      </c>
      <c r="J312" s="31" t="inlineStr">
        <is>
          <t>544014</t>
        </is>
      </c>
    </row>
    <row r="313">
      <c r="A313" s="31" t="inlineStr">
        <is>
          <t>GRWRHITECH</t>
        </is>
      </c>
      <c r="B313" s="31" t="inlineStr">
        <is>
          <t>Garware Hi Tech Films Ltd</t>
        </is>
      </c>
      <c r="C313" s="31" t="inlineStr">
        <is>
          <t>industrials</t>
        </is>
      </c>
      <c r="D313" s="31" t="inlineStr">
        <is>
          <t>packaging</t>
        </is>
      </c>
      <c r="E313" s="31" t="inlineStr">
        <is>
          <t>midcap</t>
        </is>
      </c>
      <c r="F313" s="31" t="n">
        <v>14499.34</v>
      </c>
      <c r="G313" s="31" t="n">
        <v>6131.5</v>
      </c>
      <c r="H313" s="31" t="n">
        <v>-1.75</v>
      </c>
      <c r="I313" s="31" t="n">
        <v>54031</v>
      </c>
      <c r="J313" s="31" t="inlineStr">
        <is>
          <t>500655</t>
        </is>
      </c>
    </row>
    <row r="314">
      <c r="A314" s="31" t="inlineStr">
        <is>
          <t>SIS</t>
        </is>
      </c>
      <c r="B314" s="31" t="inlineStr">
        <is>
          <t>Security &amp; Intelligence Services India</t>
        </is>
      </c>
      <c r="C314" s="31" t="inlineStr">
        <is>
          <t>miscellaneous</t>
        </is>
      </c>
      <c r="D314" s="31" t="inlineStr">
        <is>
          <t>miscellaneous</t>
        </is>
      </c>
      <c r="E314" s="31" t="inlineStr">
        <is>
          <t>midcap</t>
        </is>
      </c>
      <c r="F314" s="31" t="n">
        <v>6055.63</v>
      </c>
      <c r="G314" s="31" t="n">
        <v>421.15</v>
      </c>
      <c r="H314" s="31" t="n">
        <v>-1.75</v>
      </c>
      <c r="I314" s="31" t="n">
        <v>154289</v>
      </c>
      <c r="J314" s="31" t="inlineStr">
        <is>
          <t>540673</t>
        </is>
      </c>
    </row>
    <row r="315">
      <c r="A315" s="31" t="inlineStr">
        <is>
          <t>PASUPTAC</t>
        </is>
      </c>
      <c r="B315" s="31" t="inlineStr">
        <is>
          <t>Pasupati Acrylon Ltd</t>
        </is>
      </c>
      <c r="C315" s="31" t="inlineStr">
        <is>
          <t>textiles</t>
        </is>
      </c>
      <c r="D315" s="31" t="inlineStr">
        <is>
          <t>textiles - manmade</t>
        </is>
      </c>
      <c r="E315" s="31" t="inlineStr">
        <is>
          <t>smallcap</t>
        </is>
      </c>
      <c r="F315" s="31" t="n">
        <v>601.47</v>
      </c>
      <c r="G315" s="31" t="n">
        <v>66.23999999999999</v>
      </c>
      <c r="H315" s="31" t="n">
        <v>-1.84</v>
      </c>
      <c r="I315" s="31" t="n">
        <v>187431</v>
      </c>
      <c r="J315" s="31" t="inlineStr">
        <is>
          <t>500456</t>
        </is>
      </c>
    </row>
    <row r="316">
      <c r="A316" s="31" t="inlineStr">
        <is>
          <t>GLAND</t>
        </is>
      </c>
      <c r="B316" s="31" t="inlineStr">
        <is>
          <t>Gland Pharma Ltd</t>
        </is>
      </c>
      <c r="C316" s="31" t="inlineStr">
        <is>
          <t>healthcare</t>
        </is>
      </c>
      <c r="D316" s="31" t="inlineStr">
        <is>
          <t>pharmaceuticals - indian - formulations</t>
        </is>
      </c>
      <c r="E316" s="31" t="inlineStr">
        <is>
          <t>largecap</t>
        </is>
      </c>
      <c r="F316" s="31" t="n">
        <v>38001.07</v>
      </c>
      <c r="G316" s="31" t="n">
        <v>2262.2</v>
      </c>
      <c r="H316" s="31" t="n">
        <v>-1.92</v>
      </c>
      <c r="I316" s="31" t="n">
        <v>695609</v>
      </c>
      <c r="J316" s="31" t="inlineStr">
        <is>
          <t>543245</t>
        </is>
      </c>
    </row>
    <row r="317">
      <c r="A317" s="31" t="inlineStr">
        <is>
          <t>INOXINDIA</t>
        </is>
      </c>
      <c r="B317" s="31" t="inlineStr">
        <is>
          <t>Inox India Ltd</t>
        </is>
      </c>
      <c r="C317" s="31" t="inlineStr">
        <is>
          <t>industrials</t>
        </is>
      </c>
      <c r="D317" s="31" t="inlineStr">
        <is>
          <t>packaging</t>
        </is>
      </c>
      <c r="E317" s="31" t="inlineStr">
        <is>
          <t>midcap</t>
        </is>
      </c>
      <c r="F317" s="31" t="n">
        <v>16780.36</v>
      </c>
      <c r="G317" s="31" t="n">
        <v>1808.2</v>
      </c>
      <c r="H317" s="31" t="n">
        <v>-2.2</v>
      </c>
      <c r="I317" s="31" t="n">
        <v>715519</v>
      </c>
      <c r="J317" s="31" t="inlineStr">
        <is>
          <t>544046</t>
        </is>
      </c>
    </row>
    <row r="318">
      <c r="A318" s="31" t="inlineStr">
        <is>
          <t>NRBBEARING</t>
        </is>
      </c>
      <c r="B318" s="31" t="inlineStr">
        <is>
          <t>Nrb Bearing Limited</t>
        </is>
      </c>
      <c r="C318" s="31" t="inlineStr">
        <is>
          <t>industrials</t>
        </is>
      </c>
      <c r="D318" s="31" t="inlineStr">
        <is>
          <t>bearings</t>
        </is>
      </c>
      <c r="E318" s="31" t="inlineStr">
        <is>
          <t>smallcap</t>
        </is>
      </c>
      <c r="F318" s="31" t="n">
        <v>4222.92</v>
      </c>
      <c r="G318" s="31" t="n">
        <v>425.85</v>
      </c>
      <c r="H318" s="31" t="n">
        <v>-2.26</v>
      </c>
      <c r="I318" s="31" t="n">
        <v>605683</v>
      </c>
      <c r="J318" s="31" t="inlineStr">
        <is>
          <t>530367</t>
        </is>
      </c>
    </row>
    <row r="319">
      <c r="A319" s="31" t="inlineStr">
        <is>
          <t>ANTELOPUS</t>
        </is>
      </c>
      <c r="B319" s="31" t="inlineStr">
        <is>
          <t>Antelopus Selan Energy Ltd</t>
        </is>
      </c>
      <c r="C319" s="31" t="inlineStr">
        <is>
          <t>energy</t>
        </is>
      </c>
      <c r="D319" s="31" t="inlineStr">
        <is>
          <t>oil drilling / allied services</t>
        </is>
      </c>
      <c r="E319" s="31" t="inlineStr">
        <is>
          <t>smallcap</t>
        </is>
      </c>
      <c r="F319" s="31" t="n">
        <v>3022.73</v>
      </c>
      <c r="G319" s="31" t="n">
        <v>836.55</v>
      </c>
      <c r="H319" s="31" t="n">
        <v>-2.69</v>
      </c>
      <c r="I319" s="31" t="n">
        <v>162842</v>
      </c>
      <c r="J319" s="31" t="inlineStr">
        <is>
          <t>530075</t>
        </is>
      </c>
    </row>
    <row r="320">
      <c r="A320" s="31" t="inlineStr">
        <is>
          <t>CONFIPET</t>
        </is>
      </c>
      <c r="B320" s="31" t="inlineStr">
        <is>
          <t>Confidence Petroleum India Ltd</t>
        </is>
      </c>
      <c r="C320" s="31" t="inlineStr">
        <is>
          <t>miscellaneous</t>
        </is>
      </c>
      <c r="D320" s="31" t="inlineStr">
        <is>
          <t>miscellaneous</t>
        </is>
      </c>
      <c r="E320" s="31" t="inlineStr">
        <is>
          <t>smallcap</t>
        </is>
      </c>
      <c r="F320" s="31" t="n">
        <v>2410.74</v>
      </c>
      <c r="G320" s="31" t="n">
        <v>70.42</v>
      </c>
      <c r="H320" s="31" t="n">
        <v>-2.95</v>
      </c>
      <c r="I320" s="31" t="n">
        <v>1773569</v>
      </c>
      <c r="J320" s="31" t="inlineStr">
        <is>
          <t>526829</t>
        </is>
      </c>
    </row>
    <row r="321">
      <c r="A321" s="31" t="inlineStr">
        <is>
          <t>SANDHAR</t>
        </is>
      </c>
      <c r="B321" s="31" t="inlineStr">
        <is>
          <t>Sandhar Technologies Limited</t>
        </is>
      </c>
      <c r="C321" s="31" t="inlineStr">
        <is>
          <t>auto</t>
        </is>
      </c>
      <c r="D321" s="31" t="inlineStr">
        <is>
          <t>auto ancillaries</t>
        </is>
      </c>
      <c r="E321" s="31" t="inlineStr">
        <is>
          <t>smallcap</t>
        </is>
      </c>
      <c r="F321" s="31" t="n">
        <v>4421.91</v>
      </c>
      <c r="G321" s="31" t="n">
        <v>712</v>
      </c>
      <c r="H321" s="31" t="n">
        <v>-3.08</v>
      </c>
      <c r="I321" s="31" t="n">
        <v>843988</v>
      </c>
      <c r="J321" s="31" t="inlineStr">
        <is>
          <t>541163</t>
        </is>
      </c>
    </row>
    <row r="322">
      <c r="A322" s="31" t="inlineStr">
        <is>
          <t>RUBYMILLS</t>
        </is>
      </c>
      <c r="B322" s="31" t="inlineStr">
        <is>
          <t>The Ruby Mills Limited</t>
        </is>
      </c>
      <c r="C322" s="31" t="inlineStr">
        <is>
          <t>textiles</t>
        </is>
      </c>
      <c r="D322" s="31" t="inlineStr">
        <is>
          <t>textiles - composite</t>
        </is>
      </c>
      <c r="E322" s="31" t="inlineStr">
        <is>
          <t>smallcap</t>
        </is>
      </c>
      <c r="F322" s="31" t="n">
        <v>1146.66</v>
      </c>
      <c r="G322" s="31" t="n">
        <v>332.2</v>
      </c>
      <c r="H322" s="31" t="n">
        <v>-3.12</v>
      </c>
      <c r="I322" s="31" t="n">
        <v>19682</v>
      </c>
      <c r="J322" s="31" t="inlineStr">
        <is>
          <t>503169</t>
        </is>
      </c>
    </row>
    <row r="323">
      <c r="A323" s="31" t="inlineStr">
        <is>
          <t>CEMPRO</t>
        </is>
      </c>
      <c r="B323" s="31" t="inlineStr">
        <is>
          <t>Cemindia Projects Ltd</t>
        </is>
      </c>
      <c r="C323" s="31" t="inlineStr">
        <is>
          <t>realty</t>
        </is>
      </c>
      <c r="D323" s="31" t="inlineStr">
        <is>
          <t>construction</t>
        </is>
      </c>
      <c r="E323" s="31" t="inlineStr">
        <is>
          <t>largecap</t>
        </is>
      </c>
      <c r="F323" s="31" t="n">
        <v>20190.19</v>
      </c>
      <c r="G323" s="31" t="n">
        <v>1122.4</v>
      </c>
      <c r="H323" s="31" t="n">
        <v>-4.5</v>
      </c>
      <c r="I323" s="31" t="n">
        <v>750195</v>
      </c>
      <c r="J323" s="31" t="inlineStr">
        <is>
          <t>509496</t>
        </is>
      </c>
    </row>
    <row r="324">
      <c r="A324" s="31" t="inlineStr">
        <is>
          <t>MODISONLTD</t>
        </is>
      </c>
      <c r="B324" s="31" t="inlineStr">
        <is>
          <t>Modison Ltd</t>
        </is>
      </c>
      <c r="C324" s="31" t="inlineStr">
        <is>
          <t>industrials</t>
        </is>
      </c>
      <c r="D324" s="31" t="inlineStr">
        <is>
          <t>electric equipment</t>
        </is>
      </c>
      <c r="E324" s="31" t="inlineStr">
        <is>
          <t>smallcap</t>
        </is>
      </c>
      <c r="F324" s="31" t="n">
        <v>1041.48</v>
      </c>
      <c r="G324" s="31" t="n">
        <v>304.95</v>
      </c>
      <c r="H324" s="31" t="n">
        <v>-4.99</v>
      </c>
      <c r="I324" s="31" t="n">
        <v>197575</v>
      </c>
      <c r="J324" s="31" t="inlineStr">
        <is>
          <t>506261</t>
        </is>
      </c>
    </row>
  </sheetData>
  <autoFilter ref="A1:J3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MAHABANK</t>
        </is>
      </c>
      <c r="E2" s="31" t="inlineStr">
        <is>
          <t>Bank Of Maharashtra Ltd</t>
        </is>
      </c>
      <c r="F2" s="31" t="inlineStr">
        <is>
          <t>Banks - PSU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19</v>
      </c>
      <c r="K2" s="31" t="n">
        <v>13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VENUSREM</t>
        </is>
      </c>
      <c r="E3" s="31" t="inlineStr">
        <is>
          <t>Venus Remedies Limited</t>
        </is>
      </c>
      <c r="F3" s="31" t="inlineStr">
        <is>
          <t>Pharmaceuticals - I V Fluids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26</v>
      </c>
      <c r="K3" s="31" t="n">
        <v>24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BAJAJCON</t>
        </is>
      </c>
      <c r="E4" s="31" t="inlineStr">
        <is>
          <t>Bajaj Consumer Care Ltd</t>
        </is>
      </c>
      <c r="F4" s="31" t="inlineStr">
        <is>
          <t>FMCG - Personal Care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25</v>
      </c>
      <c r="K4" s="31" t="n">
        <v>30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SJS</t>
        </is>
      </c>
      <c r="E5" s="31" t="inlineStr">
        <is>
          <t>S J S Enterprises Ltd</t>
        </is>
      </c>
      <c r="F5" s="31" t="inlineStr">
        <is>
          <t>unknown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0</v>
      </c>
      <c r="K5" s="31" t="n">
        <v>28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CUPID</t>
        </is>
      </c>
      <c r="E6" s="31" t="inlineStr">
        <is>
          <t>Cupid Limited</t>
        </is>
      </c>
      <c r="F6" s="31" t="inlineStr">
        <is>
          <t>Contraceptives/Protectives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22</v>
      </c>
      <c r="K6" s="31" t="n">
        <v>29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SYRMA</t>
        </is>
      </c>
      <c r="E7" s="31" t="inlineStr">
        <is>
          <t>Syrma SGS Technology Ltd</t>
        </is>
      </c>
      <c r="F7" s="31" t="inlineStr">
        <is>
          <t>Consumer Electronics - EMS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21</v>
      </c>
      <c r="K7" s="31" t="n">
        <v>27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GVPIL</t>
        </is>
      </c>
      <c r="E8" s="31" t="inlineStr">
        <is>
          <t>GE Power India Ltd</t>
        </is>
      </c>
      <c r="F8" s="31" t="inlineStr">
        <is>
          <t>Infra - General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21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AVALON</t>
        </is>
      </c>
      <c r="E9" s="31" t="inlineStr">
        <is>
          <t>Avalon Technologies Ltd</t>
        </is>
      </c>
      <c r="F9" s="31" t="inlineStr">
        <is>
          <t>Consumer Electronics - EMS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22</v>
      </c>
      <c r="K9" s="31" t="n">
        <v>30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UNIPARTS</t>
        </is>
      </c>
      <c r="E10" s="31" t="inlineStr">
        <is>
          <t>Uniparts India Ltd</t>
        </is>
      </c>
      <c r="F10" s="31" t="inlineStr">
        <is>
          <t>Castings, Forgings &amp; Fastners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23</v>
      </c>
      <c r="K10" s="31" t="n">
        <v>29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SENORES</t>
        </is>
      </c>
      <c r="E11" s="31" t="inlineStr">
        <is>
          <t>Senores Pharmaceuticals Ltd</t>
        </is>
      </c>
      <c r="F11" s="31" t="inlineStr">
        <is>
          <t>Pharma - API</t>
        </is>
      </c>
      <c r="G11" s="31" t="n">
        <v>3</v>
      </c>
      <c r="H11" s="31" t="inlineStr">
        <is>
          <t>52W Breakout</t>
        </is>
      </c>
      <c r="I11" s="31" t="inlineStr">
        <is>
          <t>Yes</t>
        </is>
      </c>
      <c r="J11" s="31" t="n">
        <v>27</v>
      </c>
      <c r="K11" s="31" t="n">
        <v>23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KERNEX</t>
        </is>
      </c>
      <c r="E12" s="31" t="inlineStr">
        <is>
          <t>Kernex Microsystems (india) Limited</t>
        </is>
      </c>
      <c r="F12" s="31" t="inlineStr">
        <is>
          <t>Railways - Kavach/Springs</t>
        </is>
      </c>
      <c r="G12" s="31" t="n">
        <v>3</v>
      </c>
      <c r="H12" s="31" t="inlineStr">
        <is>
          <t>52W Breakout</t>
        </is>
      </c>
      <c r="I12" s="31" t="inlineStr">
        <is>
          <t>Yes</t>
        </is>
      </c>
      <c r="J12" s="31" t="n">
        <v>24</v>
      </c>
      <c r="K12" s="31" t="n">
        <v>26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RPEL</t>
        </is>
      </c>
      <c r="E13" s="31" t="inlineStr">
        <is>
          <t>Raghav Productivity Enhancers Ltd</t>
        </is>
      </c>
      <c r="F13" s="31" t="inlineStr">
        <is>
          <t>Steel Products</t>
        </is>
      </c>
      <c r="G13" s="31" t="n">
        <v>3</v>
      </c>
      <c r="H13" s="31" t="inlineStr">
        <is>
          <t>52W Breakout</t>
        </is>
      </c>
      <c r="I13" s="31" t="inlineStr">
        <is>
          <t>Yes</t>
        </is>
      </c>
      <c r="J13" s="31" t="n">
        <v>24</v>
      </c>
      <c r="K13" s="31" t="n">
        <v>24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JAYBARMARU</t>
        </is>
      </c>
      <c r="E14" s="31" t="inlineStr">
        <is>
          <t>Jay Bharat Maruti Limited</t>
        </is>
      </c>
      <c r="F14" s="31" t="inlineStr">
        <is>
          <t>Auto Ancillaries - Diversified</t>
        </is>
      </c>
      <c r="G14" s="31" t="n">
        <v>3</v>
      </c>
      <c r="H14" s="31" t="inlineStr">
        <is>
          <t>52W Breakout</t>
        </is>
      </c>
      <c r="I14" s="31" t="inlineStr">
        <is>
          <t>Yes</t>
        </is>
      </c>
      <c r="J14" s="31" t="n">
        <v>25</v>
      </c>
      <c r="K14" s="31" t="n">
        <v>22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YASHO</t>
        </is>
      </c>
      <c r="E15" s="31" t="inlineStr">
        <is>
          <t>Yasho Industries Ltd</t>
        </is>
      </c>
      <c r="F15" s="31" t="inlineStr">
        <is>
          <t>Speciality Chemicals</t>
        </is>
      </c>
      <c r="G15" s="31" t="n">
        <v>3</v>
      </c>
      <c r="H15" s="31" t="inlineStr">
        <is>
          <t>52W Breakout</t>
        </is>
      </c>
      <c r="I15" s="31" t="inlineStr">
        <is>
          <t>Yes</t>
        </is>
      </c>
      <c r="J15" s="31" t="n">
        <v>19</v>
      </c>
      <c r="K15" s="31" t="n">
        <v>23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IBULLSLTD</t>
        </is>
      </c>
      <c r="E16" s="31" t="inlineStr">
        <is>
          <t>Indiabulls Limited</t>
        </is>
      </c>
      <c r="F16" s="31" t="inlineStr">
        <is>
          <t>Diversified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21</v>
      </c>
      <c r="K16" s="31" t="n">
        <v>26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RBLBANK</t>
        </is>
      </c>
      <c r="E17" s="31" t="inlineStr">
        <is>
          <t>Rbl Bank Limited</t>
        </is>
      </c>
      <c r="F17" s="31" t="inlineStr">
        <is>
          <t>Banks - Private</t>
        </is>
      </c>
      <c r="G17" s="31" t="n">
        <v>2</v>
      </c>
      <c r="H17" s="31" t="inlineStr">
        <is>
          <t>52W Breakout</t>
        </is>
      </c>
      <c r="I17" s="31" t="inlineStr">
        <is>
          <t>Yes</t>
        </is>
      </c>
      <c r="J17" s="31" t="n">
        <v>10</v>
      </c>
      <c r="K17" s="31" t="n">
        <v>23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SATIN</t>
        </is>
      </c>
      <c r="E18" s="31" t="inlineStr">
        <is>
          <t>Satin Creditcare Network Limited</t>
        </is>
      </c>
      <c r="F18" s="31" t="inlineStr">
        <is>
          <t>Finance &amp; Investments - Microfinance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19</v>
      </c>
      <c r="K18" s="31" t="n">
        <v>29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BLISSGVS</t>
        </is>
      </c>
      <c r="E19" s="31" t="inlineStr">
        <is>
          <t>Bliss Gvs Pharma Limited</t>
        </is>
      </c>
      <c r="F19" s="31" t="inlineStr">
        <is>
          <t>Pharma - Formulators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22</v>
      </c>
      <c r="K19" s="31" t="n">
        <v>30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IOLCP</t>
        </is>
      </c>
      <c r="E20" s="31" t="inlineStr">
        <is>
          <t>Iol Chemicals And Pharmaceuticals Limited</t>
        </is>
      </c>
      <c r="F20" s="31" t="inlineStr">
        <is>
          <t>Pharma - API &amp; CRAMS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17</v>
      </c>
      <c r="K20" s="31" t="n">
        <v>29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ATHERENERG</t>
        </is>
      </c>
      <c r="E21" s="31" t="inlineStr">
        <is>
          <t>Ather Energy Ltd</t>
        </is>
      </c>
      <c r="F21" s="31" t="inlineStr">
        <is>
          <t>Auto - 2 &amp; 3 Wheelers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17</v>
      </c>
      <c r="K21" s="31" t="n">
        <v>24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NETWEB</t>
        </is>
      </c>
      <c r="E22" s="31" t="inlineStr">
        <is>
          <t>Netweb Technologies India Ltd</t>
        </is>
      </c>
      <c r="F22" s="31" t="inlineStr">
        <is>
          <t>Data Centre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18</v>
      </c>
      <c r="K22" s="31" t="n">
        <v>16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INDOBORAX</t>
        </is>
      </c>
      <c r="E23" s="31" t="inlineStr">
        <is>
          <t>Indo Borax &amp; Chemicals Ltd</t>
        </is>
      </c>
      <c r="F23" s="31" t="inlineStr">
        <is>
          <t>Chemicals - Inorganic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17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J&amp;KBANK</t>
        </is>
      </c>
      <c r="E24" s="31" t="inlineStr">
        <is>
          <t>The Jammu &amp; Kashmir Bank Limited</t>
        </is>
      </c>
      <c r="F24" s="31" t="inlineStr">
        <is>
          <t>Banks - Private</t>
        </is>
      </c>
      <c r="G24" s="31" t="n">
        <v>2</v>
      </c>
      <c r="H24" s="31" t="inlineStr">
        <is>
          <t>52W Breakout</t>
        </is>
      </c>
      <c r="I24" s="31" t="inlineStr">
        <is>
          <t>Yes</t>
        </is>
      </c>
      <c r="J24" s="31" t="n">
        <v>14</v>
      </c>
      <c r="K24" s="31" t="n">
        <v>24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GVT&amp;D</t>
        </is>
      </c>
      <c r="E25" s="31" t="inlineStr">
        <is>
          <t>GE Vernova T&amp;D India Ltd</t>
        </is>
      </c>
      <c r="F25" s="31" t="inlineStr">
        <is>
          <t>Electrical Equipments/HVDC</t>
        </is>
      </c>
      <c r="G25" s="31" t="n">
        <v>2</v>
      </c>
      <c r="H25" s="31" t="inlineStr">
        <is>
          <t>No</t>
        </is>
      </c>
      <c r="I25" s="31" t="inlineStr">
        <is>
          <t>Yes</t>
        </is>
      </c>
      <c r="J25" s="31" t="n">
        <v>20</v>
      </c>
      <c r="K25" s="31" t="n">
        <v>22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AEGISLOG</t>
        </is>
      </c>
      <c r="E26" s="31" t="inlineStr">
        <is>
          <t>Aegis Logistics Ltd</t>
        </is>
      </c>
      <c r="F26" s="31" t="inlineStr">
        <is>
          <t>Logistics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29</v>
      </c>
      <c r="K26" s="31" t="n">
        <v>11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RPTECH</t>
        </is>
      </c>
      <c r="E27" s="31" t="inlineStr">
        <is>
          <t>Rashi Peripherals Ltd</t>
        </is>
      </c>
      <c r="F27" s="31" t="inlineStr">
        <is>
          <t>Trading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21</v>
      </c>
      <c r="K27" s="31" t="n">
        <v>28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GAYAPROJ</t>
        </is>
      </c>
      <c r="E28" s="31" t="inlineStr">
        <is>
          <t>Gayatri Projects Limited</t>
        </is>
      </c>
      <c r="F28" s="31" t="inlineStr">
        <is>
          <t>Construction - Civil/Turnkey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23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WHEELS</t>
        </is>
      </c>
      <c r="E29" s="31" t="inlineStr">
        <is>
          <t>Wheels India Limited</t>
        </is>
      </c>
      <c r="F29" s="31" t="inlineStr">
        <is>
          <t>Auto Ancillaries - Wheels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24</v>
      </c>
      <c r="K29" s="31" t="n">
        <v>29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IFCI</t>
        </is>
      </c>
      <c r="E30" s="31" t="inlineStr">
        <is>
          <t>Ifci Limited</t>
        </is>
      </c>
      <c r="F30" s="31" t="inlineStr">
        <is>
          <t>Finance - PSU Lending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17</v>
      </c>
      <c r="K30" s="31" t="n">
        <v>22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SAKAR</t>
        </is>
      </c>
      <c r="E31" s="31" t="inlineStr">
        <is>
          <t>Sakar Healthcare Ltd</t>
        </is>
      </c>
      <c r="F31" s="31" t="inlineStr">
        <is>
          <t>Hospitals</t>
        </is>
      </c>
      <c r="G31" s="31" t="n">
        <v>2</v>
      </c>
      <c r="H31" s="31" t="inlineStr">
        <is>
          <t>No</t>
        </is>
      </c>
      <c r="I31" s="31" t="inlineStr">
        <is>
          <t>Yes</t>
        </is>
      </c>
      <c r="J31" s="31" t="n">
        <v>18</v>
      </c>
      <c r="K31" s="31" t="n">
        <v>25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FEDERALBNK</t>
        </is>
      </c>
      <c r="E32" s="31" t="inlineStr">
        <is>
          <t>The Federal Bank  Limited</t>
        </is>
      </c>
      <c r="F32" s="31" t="inlineStr">
        <is>
          <t>Banks - Private</t>
        </is>
      </c>
      <c r="G32" s="31" t="n">
        <v>2</v>
      </c>
      <c r="H32" s="31" t="inlineStr">
        <is>
          <t>52W Breakout</t>
        </is>
      </c>
      <c r="I32" s="31" t="inlineStr">
        <is>
          <t>Yes</t>
        </is>
      </c>
      <c r="J32" s="31" t="n">
        <v>11</v>
      </c>
      <c r="K32" s="31" t="n">
        <v>13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RATEGAIN</t>
        </is>
      </c>
      <c r="E33" s="31" t="inlineStr">
        <is>
          <t>Rategain Travel Technologies Ltd</t>
        </is>
      </c>
      <c r="F33" s="31" t="inlineStr">
        <is>
          <t>IT Product Companies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22</v>
      </c>
      <c r="K33" s="31" t="n">
        <v>30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THANGAMAYL</t>
        </is>
      </c>
      <c r="E34" s="31" t="inlineStr">
        <is>
          <t>Thangamayil Jewellery Limited</t>
        </is>
      </c>
      <c r="F34" s="31" t="inlineStr">
        <is>
          <t>Diamond, Gems &amp; Jewellery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33</v>
      </c>
      <c r="K34" s="31" t="n">
        <v>16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NITINSPIN</t>
        </is>
      </c>
      <c r="E35" s="31" t="inlineStr">
        <is>
          <t>Nitin Spinners Limited</t>
        </is>
      </c>
      <c r="F35" s="31" t="inlineStr">
        <is>
          <t>Textiles - Spinning</t>
        </is>
      </c>
      <c r="G35" s="31" t="n">
        <v>2</v>
      </c>
      <c r="H35" s="31" t="inlineStr">
        <is>
          <t>52W Breakout</t>
        </is>
      </c>
      <c r="I35" s="31" t="inlineStr">
        <is>
          <t>Yes</t>
        </is>
      </c>
      <c r="J35" s="31" t="n">
        <v>10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MARKSANS</t>
        </is>
      </c>
      <c r="E36" s="31" t="inlineStr">
        <is>
          <t>Marksans Pharma Limited</t>
        </is>
      </c>
      <c r="F36" s="31" t="inlineStr">
        <is>
          <t>Pharma - Formulators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19</v>
      </c>
      <c r="K36" s="31" t="n">
        <v>22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NGLFINE</t>
        </is>
      </c>
      <c r="E37" s="31" t="inlineStr">
        <is>
          <t>NGL Fine Chem Ltd</t>
        </is>
      </c>
      <c r="F37" s="31" t="inlineStr">
        <is>
          <t>Pharma - Animal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25</v>
      </c>
      <c r="K37" s="31" t="n">
        <v>21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GOLDIAM</t>
        </is>
      </c>
      <c r="E38" s="31" t="inlineStr">
        <is>
          <t>Goldiam International Limited</t>
        </is>
      </c>
      <c r="F38" s="31" t="inlineStr">
        <is>
          <t>Lab Grown Diamonds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23</v>
      </c>
      <c r="K38" s="31" t="n">
        <v>20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SANSERA</t>
        </is>
      </c>
      <c r="E39" s="31" t="inlineStr">
        <is>
          <t>Sansera Engineering Ltd</t>
        </is>
      </c>
      <c r="F39" s="31" t="inlineStr">
        <is>
          <t>Auto Ancillaries - Diversified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17</v>
      </c>
      <c r="K39" s="31" t="n">
        <v>24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MAYURUNIQ</t>
        </is>
      </c>
      <c r="E40" s="31" t="inlineStr">
        <is>
          <t>Mayur Uniquoters Ltd</t>
        </is>
      </c>
      <c r="F40" s="31" t="inlineStr">
        <is>
          <t>Plastics - Plastic &amp; Plastic Products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18</v>
      </c>
      <c r="K40" s="31" t="n">
        <v>30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CEIGALL</t>
        </is>
      </c>
      <c r="E41" s="31" t="inlineStr">
        <is>
          <t>Ceigall India Ltd</t>
        </is>
      </c>
      <c r="F41" s="31" t="inlineStr">
        <is>
          <t>Construction - Civil/Turnkey</t>
        </is>
      </c>
      <c r="G41" s="31" t="n">
        <v>2</v>
      </c>
      <c r="H41" s="31" t="inlineStr">
        <is>
          <t>No</t>
        </is>
      </c>
      <c r="I41" s="31" t="inlineStr">
        <is>
          <t>Yes</t>
        </is>
      </c>
      <c r="J41" s="31" t="n">
        <v>20</v>
      </c>
      <c r="K41" s="31" t="n">
        <v>23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SHILPAMED</t>
        </is>
      </c>
      <c r="E42" s="31" t="inlineStr">
        <is>
          <t>Shilpa Medicare Limited</t>
        </is>
      </c>
      <c r="F42" s="31" t="inlineStr">
        <is>
          <t>Pharma - API &amp; CRAMS</t>
        </is>
      </c>
      <c r="G42" s="31" t="n">
        <v>2</v>
      </c>
      <c r="H42" s="31" t="inlineStr">
        <is>
          <t>No</t>
        </is>
      </c>
      <c r="I42" s="31" t="inlineStr">
        <is>
          <t>Yes</t>
        </is>
      </c>
      <c r="J42" s="31" t="n">
        <v>18</v>
      </c>
      <c r="K42" s="31" t="n">
        <v>30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INNOVACAP</t>
        </is>
      </c>
      <c r="E43" s="31" t="inlineStr">
        <is>
          <t>Innova Captab Ltd</t>
        </is>
      </c>
      <c r="F43" s="31" t="inlineStr">
        <is>
          <t>Pharma - API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19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SUPRIYA</t>
        </is>
      </c>
      <c r="E44" s="31" t="inlineStr">
        <is>
          <t>Supriya Lifescience Ltd</t>
        </is>
      </c>
      <c r="F44" s="31" t="inlineStr">
        <is>
          <t>Pharma - API &amp; CRAMS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23</v>
      </c>
      <c r="K44" s="31" t="n">
        <v>27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PSPPROJECT</t>
        </is>
      </c>
      <c r="E45" s="31" t="inlineStr">
        <is>
          <t>PSP Projects Ltd</t>
        </is>
      </c>
      <c r="F45" s="31" t="inlineStr">
        <is>
          <t>Construction &amp; Contracting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20</v>
      </c>
      <c r="K45" s="31" t="n">
        <v>18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NRBBEARING</t>
        </is>
      </c>
      <c r="E46" s="31" t="inlineStr">
        <is>
          <t>Nrb Bearing Limited</t>
        </is>
      </c>
      <c r="F46" s="31" t="inlineStr">
        <is>
          <t>Bearings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21</v>
      </c>
      <c r="K46" s="31" t="n">
        <v>30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HSCL</t>
        </is>
      </c>
      <c r="E47" s="31" t="inlineStr">
        <is>
          <t>Himadri Speciality Chemical Limited</t>
        </is>
      </c>
      <c r="F47" s="31" t="inlineStr">
        <is>
          <t>Carbon Black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18</v>
      </c>
      <c r="K47" s="31" t="n">
        <v>27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SKIPPER</t>
        </is>
      </c>
      <c r="E48" s="31" t="inlineStr">
        <is>
          <t>Skipper Limited</t>
        </is>
      </c>
      <c r="F48" s="31" t="inlineStr">
        <is>
          <t>Electrical Equipments/HVDC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26</v>
      </c>
      <c r="K48" s="31" t="n">
        <v>18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AEROFLEX</t>
        </is>
      </c>
      <c r="E49" s="31" t="inlineStr">
        <is>
          <t>Aeroflex Industries Ltd</t>
        </is>
      </c>
      <c r="F49" s="31" t="inlineStr">
        <is>
          <t>Stainless Steel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20</v>
      </c>
      <c r="K49" s="31" t="n">
        <v>26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PARAS</t>
        </is>
      </c>
      <c r="E50" s="31" t="inlineStr">
        <is>
          <t>Paras Defence and Space Technologies Ltd</t>
        </is>
      </c>
      <c r="F50" s="31" t="inlineStr">
        <is>
          <t>Aerospace &amp; Defence - Equipments</t>
        </is>
      </c>
      <c r="G50" s="31" t="n">
        <v>2</v>
      </c>
      <c r="H50" s="31" t="inlineStr">
        <is>
          <t>No</t>
        </is>
      </c>
      <c r="I50" s="31" t="inlineStr">
        <is>
          <t>Yes</t>
        </is>
      </c>
      <c r="J50" s="31" t="n">
        <v>23</v>
      </c>
      <c r="K50" s="31" t="n">
        <v>21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SPARC</t>
        </is>
      </c>
      <c r="E51" s="31" t="inlineStr">
        <is>
          <t>Sun Pharma Advanced Research Company Limited</t>
        </is>
      </c>
      <c r="F51" s="31" t="inlineStr">
        <is>
          <t>Pharma - Others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18</v>
      </c>
      <c r="K51" s="31" t="n">
        <v>28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SKMEGGPROD</t>
        </is>
      </c>
      <c r="E52" s="31" t="inlineStr">
        <is>
          <t>Skm Egg Products Export (india) Limited</t>
        </is>
      </c>
      <c r="F52" s="31" t="inlineStr">
        <is>
          <t>FMCG - Animal/Polutry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28</v>
      </c>
      <c r="K52" s="31" t="n">
        <v>20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CGCL</t>
        </is>
      </c>
      <c r="E53" s="31" t="inlineStr">
        <is>
          <t>Capri Global Capital Limited</t>
        </is>
      </c>
      <c r="F53" s="31" t="inlineStr">
        <is>
          <t>Finance &amp; Investments - Gold Loan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19</v>
      </c>
      <c r="K53" s="31" t="n">
        <v>19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ACUTAAS</t>
        </is>
      </c>
      <c r="E54" s="31" t="inlineStr">
        <is>
          <t>Acutaas Chemicals Ltd</t>
        </is>
      </c>
      <c r="F54" s="31" t="inlineStr">
        <is>
          <t>Pharma - API &amp; CRAMS</t>
        </is>
      </c>
      <c r="G54" s="31" t="n">
        <v>2</v>
      </c>
      <c r="H54" s="31" t="inlineStr">
        <is>
          <t>No</t>
        </is>
      </c>
      <c r="I54" s="31" t="inlineStr">
        <is>
          <t>Yes</t>
        </is>
      </c>
      <c r="J54" s="31" t="n">
        <v>25</v>
      </c>
      <c r="K54" s="31" t="n">
        <v>30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SOUTHBANK</t>
        </is>
      </c>
      <c r="E55" s="31" t="inlineStr">
        <is>
          <t>The South Indian Bank Limited</t>
        </is>
      </c>
      <c r="F55" s="31" t="inlineStr">
        <is>
          <t>Banks - Private</t>
        </is>
      </c>
      <c r="G55" s="31" t="n">
        <v>2</v>
      </c>
      <c r="H55" s="31" t="inlineStr">
        <is>
          <t>52W Breakout</t>
        </is>
      </c>
      <c r="I55" s="31" t="inlineStr">
        <is>
          <t>Yes</t>
        </is>
      </c>
      <c r="J55" s="31" t="n">
        <v>14</v>
      </c>
      <c r="K55" s="31" t="n">
        <v>23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FCL</t>
        </is>
      </c>
      <c r="E56" s="31" t="inlineStr">
        <is>
          <t>Fineotex Chemical Limited</t>
        </is>
      </c>
      <c r="F56" s="31" t="inlineStr">
        <is>
          <t>Speciality Chemicals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20</v>
      </c>
      <c r="K56" s="31" t="n">
        <v>24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SIGMAADV</t>
        </is>
      </c>
      <c r="E57" s="31" t="inlineStr">
        <is>
          <t>Sigma Advanced System Ltd</t>
        </is>
      </c>
      <c r="F57" s="31" t="inlineStr">
        <is>
          <t>Aerospace &amp; Defence - Equipments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30</v>
      </c>
      <c r="K57" s="31" t="n">
        <v>30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SIS</t>
        </is>
      </c>
      <c r="E58" s="31" t="inlineStr">
        <is>
          <t>Security &amp; Intelligence Services India</t>
        </is>
      </c>
      <c r="F58" s="31" t="inlineStr">
        <is>
          <t>Facility Management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21</v>
      </c>
      <c r="K58" s="31" t="n">
        <v>30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RRKABEL</t>
        </is>
      </c>
      <c r="E59" s="31" t="inlineStr">
        <is>
          <t>R R Kabel Ltd</t>
        </is>
      </c>
      <c r="F59" s="31" t="inlineStr">
        <is>
          <t>Cables - Power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22</v>
      </c>
      <c r="K59" s="31" t="n">
        <v>30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ASTRAMICRO</t>
        </is>
      </c>
      <c r="E60" s="31" t="inlineStr">
        <is>
          <t>Astra Microwave Products Limited</t>
        </is>
      </c>
      <c r="F60" s="31" t="inlineStr">
        <is>
          <t>unknown</t>
        </is>
      </c>
      <c r="G60" s="31" t="n">
        <v>2</v>
      </c>
      <c r="H60" s="31" t="inlineStr">
        <is>
          <t>No</t>
        </is>
      </c>
      <c r="I60" s="31" t="inlineStr">
        <is>
          <t>Yes</t>
        </is>
      </c>
      <c r="J60" s="31" t="n">
        <v>0</v>
      </c>
      <c r="K60" s="31" t="n">
        <v>27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CAPLIPOINT</t>
        </is>
      </c>
      <c r="E61" s="31" t="inlineStr">
        <is>
          <t>Caplin Point Laboratories Limited</t>
        </is>
      </c>
      <c r="F61" s="31" t="inlineStr">
        <is>
          <t>Pharma - Formulators</t>
        </is>
      </c>
      <c r="G61" s="31" t="n">
        <v>2</v>
      </c>
      <c r="H61" s="31" t="inlineStr">
        <is>
          <t>No</t>
        </is>
      </c>
      <c r="I61" s="31" t="inlineStr">
        <is>
          <t>Yes</t>
        </is>
      </c>
      <c r="J61" s="31" t="n">
        <v>21</v>
      </c>
      <c r="K61" s="31" t="n">
        <v>26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VIYASH</t>
        </is>
      </c>
      <c r="E62" s="31" t="inlineStr">
        <is>
          <t>Viyash Scientific Ltd</t>
        </is>
      </c>
      <c r="F62" s="31" t="inlineStr">
        <is>
          <t>Pharma - Animal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18</v>
      </c>
      <c r="K62" s="31" t="n">
        <v>29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PAISALO</t>
        </is>
      </c>
      <c r="E63" s="31" t="inlineStr">
        <is>
          <t>Paisalo Digital Ltd</t>
        </is>
      </c>
      <c r="F63" s="31" t="inlineStr">
        <is>
          <t>Finance - Capital Markets - Brokers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23</v>
      </c>
      <c r="K63" s="31" t="n">
        <v>28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VADILALIND</t>
        </is>
      </c>
      <c r="E64" s="31" t="inlineStr">
        <is>
          <t>Vadilal Industries Limited</t>
        </is>
      </c>
      <c r="F64" s="31" t="inlineStr">
        <is>
          <t>FMCG - Dairy Products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29</v>
      </c>
      <c r="K64" s="31" t="n">
        <v>12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APOLLO</t>
        </is>
      </c>
      <c r="E65" s="31" t="inlineStr">
        <is>
          <t>Apollo Micro Systems Ltd</t>
        </is>
      </c>
      <c r="F65" s="31" t="inlineStr">
        <is>
          <t>Aerospace &amp; Defence - Equipments</t>
        </is>
      </c>
      <c r="G65" s="31" t="n">
        <v>2</v>
      </c>
      <c r="H65" s="31" t="inlineStr">
        <is>
          <t>No</t>
        </is>
      </c>
      <c r="I65" s="31" t="inlineStr">
        <is>
          <t>Yes</t>
        </is>
      </c>
      <c r="J65" s="31" t="n">
        <v>23</v>
      </c>
      <c r="K65" s="31" t="n">
        <v>29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MINDACORP</t>
        </is>
      </c>
      <c r="E66" s="31" t="inlineStr">
        <is>
          <t>Minda Corporation Limited</t>
        </is>
      </c>
      <c r="F66" s="31" t="inlineStr">
        <is>
          <t>Auto Ancillaries - Diversified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23</v>
      </c>
      <c r="K66" s="31" t="n">
        <v>20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CRAFTSMAN</t>
        </is>
      </c>
      <c r="E67" s="31" t="inlineStr">
        <is>
          <t>Craftsman Automation Ltd</t>
        </is>
      </c>
      <c r="F67" s="31" t="inlineStr">
        <is>
          <t>Auto &amp; Auto Ancl - CV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19</v>
      </c>
      <c r="K67" s="31" t="n">
        <v>29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AKUMS</t>
        </is>
      </c>
      <c r="E68" s="31" t="inlineStr">
        <is>
          <t>Akums Drugs &amp; Pharmaceuticals Ltd</t>
        </is>
      </c>
      <c r="F68" s="31" t="inlineStr">
        <is>
          <t>Pharma - Formulators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17</v>
      </c>
      <c r="K68" s="31" t="n">
        <v>11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VINCOFE</t>
        </is>
      </c>
      <c r="E69" s="31" t="inlineStr">
        <is>
          <t>Vintage Coffee &amp; Beverages Ltd</t>
        </is>
      </c>
      <c r="F69" s="31" t="inlineStr">
        <is>
          <t>FMCG - Coffee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23</v>
      </c>
      <c r="K69" s="31" t="n">
        <v>17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SFL</t>
        </is>
      </c>
      <c r="E70" s="31" t="inlineStr">
        <is>
          <t>Sheela Foam Limited</t>
        </is>
      </c>
      <c r="F70" s="31" t="inlineStr">
        <is>
          <t>Mattress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22</v>
      </c>
      <c r="K70" s="31" t="n">
        <v>14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STLTECH</t>
        </is>
      </c>
      <c r="E71" s="31" t="inlineStr">
        <is>
          <t>Sterlite Technologies Limited</t>
        </is>
      </c>
      <c r="F71" s="31" t="inlineStr">
        <is>
          <t>Cables - Telecom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17</v>
      </c>
      <c r="K71" s="31" t="n">
        <v>30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SANDHAR</t>
        </is>
      </c>
      <c r="E72" s="31" t="inlineStr">
        <is>
          <t>Sandhar Technologies Limited</t>
        </is>
      </c>
      <c r="F72" s="31" t="inlineStr">
        <is>
          <t>Auto Ancillaries - 2&amp;3 Wheelers</t>
        </is>
      </c>
      <c r="G72" s="31" t="n">
        <v>2</v>
      </c>
      <c r="H72" s="31" t="inlineStr">
        <is>
          <t>No</t>
        </is>
      </c>
      <c r="I72" s="31" t="inlineStr">
        <is>
          <t>Yes</t>
        </is>
      </c>
      <c r="J72" s="31" t="n">
        <v>20</v>
      </c>
      <c r="K72" s="31" t="n">
        <v>24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FIEMIND</t>
        </is>
      </c>
      <c r="E73" s="31" t="inlineStr">
        <is>
          <t>Fiem Industries Limited</t>
        </is>
      </c>
      <c r="F73" s="31" t="inlineStr">
        <is>
          <t>Auto Ancillaries - 2&amp;3 Wheelers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18</v>
      </c>
      <c r="K73" s="31" t="n">
        <v>13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DIFFNKG</t>
        </is>
      </c>
      <c r="E74" s="31" t="inlineStr">
        <is>
          <t>Diffusion Engineers Ltd</t>
        </is>
      </c>
      <c r="F74" s="31" t="inlineStr">
        <is>
          <t>Welding Equipments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20</v>
      </c>
      <c r="K74" s="31" t="n">
        <v>5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INDNIPPON</t>
        </is>
      </c>
      <c r="E75" s="31" t="inlineStr">
        <is>
          <t>India Nippon Electricals Limited</t>
        </is>
      </c>
      <c r="F75" s="31" t="inlineStr">
        <is>
          <t>Auto Ancillaries - Engine Parts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18</v>
      </c>
      <c r="K75" s="31" t="n">
        <v>13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JNKINDIA</t>
        </is>
      </c>
      <c r="E76" s="31" t="inlineStr">
        <is>
          <t>JNK India Ltd</t>
        </is>
      </c>
      <c r="F76" s="31" t="inlineStr">
        <is>
          <t>Capital Goods - Engineering Heavy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33</v>
      </c>
      <c r="K76" s="31" t="n">
        <v>24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APARINDS</t>
        </is>
      </c>
      <c r="E77" s="31" t="inlineStr">
        <is>
          <t>Apar Industries Limited</t>
        </is>
      </c>
      <c r="F77" s="31" t="inlineStr">
        <is>
          <t>Cables - Power</t>
        </is>
      </c>
      <c r="G77" s="31" t="n">
        <v>2</v>
      </c>
      <c r="H77" s="31" t="inlineStr">
        <is>
          <t>52W Breakout</t>
        </is>
      </c>
      <c r="I77" s="31" t="inlineStr">
        <is>
          <t>Yes</t>
        </is>
      </c>
      <c r="J77" s="31" t="n">
        <v>10</v>
      </c>
      <c r="K77" s="31" t="n">
        <v>29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SHYAMMETL</t>
        </is>
      </c>
      <c r="E78" s="31" t="inlineStr">
        <is>
          <t>Shyam Metalics &amp; Energy Ltd</t>
        </is>
      </c>
      <c r="F78" s="31" t="inlineStr">
        <is>
          <t>Steel Products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18</v>
      </c>
      <c r="K78" s="31" t="n">
        <v>26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ANTELOPUS</t>
        </is>
      </c>
      <c r="E79" s="31" t="inlineStr">
        <is>
          <t>Antelopus Selan Energy Ltd</t>
        </is>
      </c>
      <c r="F79" s="31" t="inlineStr">
        <is>
          <t>Oil Drilling &amp; Exploration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17</v>
      </c>
      <c r="K79" s="31" t="n">
        <v>28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DIACABS</t>
        </is>
      </c>
      <c r="E80" s="31" t="inlineStr">
        <is>
          <t>Diamond Power Infrastructure Ltd</t>
        </is>
      </c>
      <c r="F80" s="31" t="inlineStr">
        <is>
          <t>Cables - Power</t>
        </is>
      </c>
      <c r="G80" s="31" t="n">
        <v>2</v>
      </c>
      <c r="H80" s="31" t="inlineStr">
        <is>
          <t>No</t>
        </is>
      </c>
      <c r="I80" s="31" t="inlineStr">
        <is>
          <t>Yes</t>
        </is>
      </c>
      <c r="J80" s="31" t="n">
        <v>19</v>
      </c>
      <c r="K80" s="31" t="n">
        <v>28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SOTL</t>
        </is>
      </c>
      <c r="E81" s="31" t="inlineStr">
        <is>
          <t>Savita Oil Technologies Limited</t>
        </is>
      </c>
      <c r="F81" s="31" t="inlineStr">
        <is>
          <t>Petrochem - Others</t>
        </is>
      </c>
      <c r="G81" s="31" t="n">
        <v>2</v>
      </c>
      <c r="H81" s="31" t="inlineStr">
        <is>
          <t>No</t>
        </is>
      </c>
      <c r="I81" s="31" t="inlineStr">
        <is>
          <t>Yes</t>
        </is>
      </c>
      <c r="J81" s="31" t="n">
        <v>25</v>
      </c>
      <c r="K81" s="31" t="n">
        <v>30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PTCIL</t>
        </is>
      </c>
      <c r="E82" s="31" t="inlineStr">
        <is>
          <t>PTC Industries Ltd</t>
        </is>
      </c>
      <c r="F82" s="31" t="inlineStr">
        <is>
          <t>Castings - Steel/Alloy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23</v>
      </c>
      <c r="K82" s="31" t="n">
        <v>16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PANAMAPET</t>
        </is>
      </c>
      <c r="E83" s="31" t="inlineStr">
        <is>
          <t>Panama Petrochem Limited</t>
        </is>
      </c>
      <c r="F83" s="31" t="inlineStr">
        <is>
          <t>Speciality Chemicals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25</v>
      </c>
      <c r="K83" s="31" t="n">
        <v>19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KOTAKBANK</t>
        </is>
      </c>
      <c r="E84" s="31" t="inlineStr">
        <is>
          <t>Kotak Mahindra Bank Limited</t>
        </is>
      </c>
      <c r="F84" s="31" t="inlineStr">
        <is>
          <t>Banks - Private</t>
        </is>
      </c>
      <c r="G84" s="31" t="n">
        <v>2</v>
      </c>
      <c r="H84" s="31" t="inlineStr">
        <is>
          <t>EMA Crossover</t>
        </is>
      </c>
      <c r="I84" s="31" t="inlineStr">
        <is>
          <t>Yes</t>
        </is>
      </c>
      <c r="J84" s="31" t="n">
        <v>5</v>
      </c>
      <c r="K84" s="31" t="n">
        <v>1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MSTCLTD</t>
        </is>
      </c>
      <c r="E85" s="31" t="inlineStr">
        <is>
          <t>MSTC Ltd</t>
        </is>
      </c>
      <c r="F85" s="31" t="inlineStr">
        <is>
          <t>E-Commerce - Platform - Utility</t>
        </is>
      </c>
      <c r="G85" s="31" t="n">
        <v>2</v>
      </c>
      <c r="H85" s="31" t="inlineStr">
        <is>
          <t>No</t>
        </is>
      </c>
      <c r="I85" s="31" t="inlineStr">
        <is>
          <t>Yes</t>
        </is>
      </c>
      <c r="J85" s="31" t="n">
        <v>17</v>
      </c>
      <c r="K85" s="31" t="n">
        <v>9</v>
      </c>
    </row>
    <row r="86">
      <c r="A86" s="31">
        <f>IF(B86=0,"",ROW()-1)</f>
        <v/>
      </c>
      <c r="B86" s="32">
        <f>IFERROR(INDEX('Monit Non Financial'!$B$2:$B$400, MATCH(D86, 'Monit Non Financial'!$C$2:$C$400, 0)), IFERROR(INDEX('Monit Banks NBFC'!$B$2:$B$100, MATCH(D86, 'Monit Banks NBFC'!$C$2:$C$100, 0)), 0))</f>
        <v/>
      </c>
      <c r="C86" s="31">
        <f>IFERROR(INDEX('Monit Non Financial'!$L$2:$L$400, MATCH(D86, 'Monit Non Financial'!$C$2:$C$400, 0)), IFERROR(INDEX('Monit Banks NBFC'!$L$2:$L$100, MATCH(D86, 'Monit Banks NBFC'!$C$2:$C$100, 0)), ""))</f>
        <v/>
      </c>
      <c r="D86" s="31" t="inlineStr">
        <is>
          <t>SILVERTUC</t>
        </is>
      </c>
      <c r="E86" s="31" t="inlineStr">
        <is>
          <t>Silver Touch Technologies Ltd</t>
        </is>
      </c>
      <c r="F86" s="31" t="inlineStr">
        <is>
          <t>IT - Software</t>
        </is>
      </c>
      <c r="G86" s="31" t="n">
        <v>2</v>
      </c>
      <c r="H86" s="31" t="inlineStr">
        <is>
          <t>No</t>
        </is>
      </c>
      <c r="I86" s="31" t="inlineStr">
        <is>
          <t>Yes</t>
        </is>
      </c>
      <c r="J86" s="31" t="n">
        <v>20</v>
      </c>
      <c r="K86" s="31" t="n">
        <v>20</v>
      </c>
    </row>
    <row r="87">
      <c r="A87" s="31">
        <f>IF(B87=0,"",ROW()-1)</f>
        <v/>
      </c>
      <c r="B87" s="32">
        <f>IFERROR(INDEX('Monit Non Financial'!$B$2:$B$400, MATCH(D87, 'Monit Non Financial'!$C$2:$C$400, 0)), IFERROR(INDEX('Monit Banks NBFC'!$B$2:$B$100, MATCH(D87, 'Monit Banks NBFC'!$C$2:$C$100, 0)), 0))</f>
        <v/>
      </c>
      <c r="C87" s="31">
        <f>IFERROR(INDEX('Monit Non Financial'!$L$2:$L$400, MATCH(D87, 'Monit Non Financial'!$C$2:$C$400, 0)), IFERROR(INDEX('Monit Banks NBFC'!$L$2:$L$100, MATCH(D87, 'Monit Banks NBFC'!$C$2:$C$100, 0)), ""))</f>
        <v/>
      </c>
      <c r="D87" s="31" t="inlineStr">
        <is>
          <t>ICICIBANK</t>
        </is>
      </c>
      <c r="E87" s="31" t="inlineStr">
        <is>
          <t>Icici Bank Limited</t>
        </is>
      </c>
      <c r="F87" s="31" t="inlineStr">
        <is>
          <t>Banks - Private</t>
        </is>
      </c>
      <c r="G87" s="31" t="n">
        <v>2</v>
      </c>
      <c r="H87" s="31" t="inlineStr">
        <is>
          <t>EMA Crossover</t>
        </is>
      </c>
      <c r="I87" s="31" t="inlineStr">
        <is>
          <t>Yes</t>
        </is>
      </c>
      <c r="J87" s="31" t="n">
        <v>3</v>
      </c>
      <c r="K87" s="31" t="n">
        <v>1</v>
      </c>
    </row>
  </sheetData>
  <autoFilter ref="A1:K87"/>
  <conditionalFormatting sqref="G2:G8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7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82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IF(B2=0,"",RANK(B2,$B$2:$B$282,0))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MBAPL</t>
        </is>
      </c>
      <c r="D2" s="31" t="inlineStr">
        <is>
          <t>Madhya Bharat Agro Products Ltd</t>
        </is>
      </c>
      <c r="E2" s="31" t="inlineStr">
        <is>
          <t>chemicals</t>
        </is>
      </c>
      <c r="F2" s="31" t="inlineStr">
        <is>
          <t>fertilizers</t>
        </is>
      </c>
      <c r="G2" s="31" t="inlineStr">
        <is>
          <t>smallcap</t>
        </is>
      </c>
      <c r="H2" s="32" t="n">
        <v>4902.73</v>
      </c>
      <c r="I2" s="32" t="n">
        <v>563.3</v>
      </c>
      <c r="J2" s="32" t="n">
        <v>0.68</v>
      </c>
      <c r="K2" s="32" t="n">
        <v>224398</v>
      </c>
      <c r="L2" s="31" t="n">
        <v>54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67.38</v>
      </c>
      <c r="P2" s="32" t="n">
        <v>46.63</v>
      </c>
      <c r="Q2" s="32" t="n">
        <v>457.53</v>
      </c>
      <c r="R2" s="31" t="inlineStr">
        <is>
          <t>Near 52W High Breakout</t>
        </is>
      </c>
      <c r="S2" s="31" t="inlineStr">
        <is>
          <t>Nifty 50</t>
        </is>
      </c>
      <c r="T2" s="32" t="n">
        <v>-4.43</v>
      </c>
      <c r="U2" s="32" t="n">
        <v>61.8</v>
      </c>
      <c r="V2" s="32" t="n">
        <v>69.3</v>
      </c>
      <c r="W2" s="32" t="n">
        <v>15.89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IF(B3=0,"",RANK(B3,$B$2:$B$282,0))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 - medium / small</t>
        </is>
      </c>
      <c r="G3" s="31" t="inlineStr">
        <is>
          <t>midcap</t>
        </is>
      </c>
      <c r="H3" s="32" t="n">
        <v>5457.65</v>
      </c>
      <c r="I3" s="32" t="n">
        <v>23.51</v>
      </c>
      <c r="J3" s="32" t="n">
        <v>0.13</v>
      </c>
      <c r="K3" s="32" t="n">
        <v>3944736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72.06999999999999</v>
      </c>
      <c r="P3" s="32" t="n">
        <v>35.6</v>
      </c>
      <c r="Q3" s="32" t="n">
        <v>16.28</v>
      </c>
      <c r="R3" s="31" t="inlineStr">
        <is>
          <t>Near 52W High Breakout</t>
        </is>
      </c>
      <c r="S3" s="31" t="inlineStr">
        <is>
          <t>Nifty 50</t>
        </is>
      </c>
      <c r="T3" s="32" t="n">
        <v>-4.43</v>
      </c>
      <c r="U3" s="32" t="n">
        <v>27.43</v>
      </c>
      <c r="V3" s="32" t="n">
        <v>33.34</v>
      </c>
      <c r="W3" s="32" t="n">
        <v>47.45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IF(B4=0,"",RANK(B4,$B$2:$B$282,0))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IOLCP</t>
        </is>
      </c>
      <c r="D4" s="31" t="inlineStr">
        <is>
          <t>Iol Chemicals And Pharmaceuticals Limited</t>
        </is>
      </c>
      <c r="E4" s="31" t="inlineStr">
        <is>
          <t>healthcare</t>
        </is>
      </c>
      <c r="F4" s="31" t="inlineStr">
        <is>
          <t>pharmaceuticals - indian - bulk drugs &amp; formln</t>
        </is>
      </c>
      <c r="G4" s="31" t="inlineStr">
        <is>
          <t>smallcap</t>
        </is>
      </c>
      <c r="H4" s="32" t="n">
        <v>3752.46</v>
      </c>
      <c r="I4" s="32" t="n">
        <v>134.24</v>
      </c>
      <c r="J4" s="32" t="n">
        <v>5.01</v>
      </c>
      <c r="K4" s="32" t="n">
        <v>1686744</v>
      </c>
      <c r="L4" s="31" t="n">
        <v>88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80.98999999999999</v>
      </c>
      <c r="P4" s="32" t="n">
        <v>40.13</v>
      </c>
      <c r="Q4" s="32" t="n">
        <v>101.3</v>
      </c>
      <c r="R4" s="31" t="inlineStr">
        <is>
          <t>Near 52W High Breakout</t>
        </is>
      </c>
      <c r="S4" s="31" t="inlineStr">
        <is>
          <t>Nifty Pharma</t>
        </is>
      </c>
      <c r="T4" s="32" t="n">
        <v>10.89</v>
      </c>
      <c r="U4" s="32" t="n">
        <v>53.31</v>
      </c>
      <c r="V4" s="32" t="n">
        <v>38.25</v>
      </c>
      <c r="W4" s="32" t="n">
        <v>35.26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IF(B5=0,"",RANK(B5,$B$2:$B$282,0))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VENUSREM</t>
        </is>
      </c>
      <c r="D5" s="31" t="inlineStr">
        <is>
          <t>Venus Remedies Limited</t>
        </is>
      </c>
      <c r="E5" s="31" t="inlineStr">
        <is>
          <t>healthcare</t>
        </is>
      </c>
      <c r="F5" s="31" t="inlineStr">
        <is>
          <t>pharmaceuticals - indian - formulations</t>
        </is>
      </c>
      <c r="G5" s="31" t="inlineStr">
        <is>
          <t>smallcap</t>
        </is>
      </c>
      <c r="H5" s="32" t="n">
        <v>2292.57</v>
      </c>
      <c r="I5" s="32" t="n">
        <v>1797.5</v>
      </c>
      <c r="J5" s="32" t="n">
        <v>4.8</v>
      </c>
      <c r="K5" s="32" t="n">
        <v>246228</v>
      </c>
      <c r="L5" s="31" t="n">
        <v>97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82.70999999999999</v>
      </c>
      <c r="P5" s="32" t="n">
        <v>50.37</v>
      </c>
      <c r="Q5" s="32" t="n">
        <v>1376.61</v>
      </c>
      <c r="R5" s="31" t="inlineStr">
        <is>
          <t>Volume Spike &amp; Near 52W High Breakout</t>
        </is>
      </c>
      <c r="S5" s="31" t="inlineStr">
        <is>
          <t>Nifty Pharma</t>
        </is>
      </c>
      <c r="T5" s="32" t="n">
        <v>10.89</v>
      </c>
      <c r="U5" s="32" t="n">
        <v>293.07</v>
      </c>
      <c r="V5" s="32" t="n">
        <v>254.46</v>
      </c>
      <c r="W5" s="32" t="n">
        <v>58.33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IF(B6=0,"",RANK(B6,$B$2:$B$282,0))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BAJAJCON</t>
        </is>
      </c>
      <c r="D6" s="31" t="inlineStr">
        <is>
          <t>Bajaj Consumer Care Ltd</t>
        </is>
      </c>
      <c r="E6" s="31" t="inlineStr">
        <is>
          <t>fmcg</t>
        </is>
      </c>
      <c r="F6" s="31" t="inlineStr">
        <is>
          <t>personal care - indian</t>
        </is>
      </c>
      <c r="G6" s="31" t="inlineStr">
        <is>
          <t>midcap</t>
        </is>
      </c>
      <c r="H6" s="32" t="n">
        <v>7396.26</v>
      </c>
      <c r="I6" s="32" t="n">
        <v>591.65</v>
      </c>
      <c r="J6" s="32" t="n">
        <v>4.49</v>
      </c>
      <c r="K6" s="32" t="n">
        <v>544779</v>
      </c>
      <c r="L6" s="31" t="n">
        <v>94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77.33</v>
      </c>
      <c r="P6" s="32" t="n">
        <v>53.14</v>
      </c>
      <c r="Q6" s="32" t="n">
        <v>460.14</v>
      </c>
      <c r="R6" s="31" t="inlineStr">
        <is>
          <t>Near 52W High Breakout</t>
        </is>
      </c>
      <c r="S6" s="31" t="inlineStr">
        <is>
          <t>Nifty FMCG</t>
        </is>
      </c>
      <c r="T6" s="32" t="n">
        <v>-10.45</v>
      </c>
      <c r="U6" s="32" t="n">
        <v>233.59</v>
      </c>
      <c r="V6" s="32" t="n">
        <v>272.53</v>
      </c>
      <c r="W6" s="32" t="n">
        <v>45.08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B2C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IF(B7=0,"",RANK(B7,$B$2:$B$282,0))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RADICO</t>
        </is>
      </c>
      <c r="D7" s="31" t="inlineStr">
        <is>
          <t>Radico Khaitan Limited</t>
        </is>
      </c>
      <c r="E7" s="31" t="inlineStr">
        <is>
          <t>fmcg</t>
        </is>
      </c>
      <c r="F7" s="31" t="inlineStr">
        <is>
          <t>breweries &amp; distilleries</t>
        </is>
      </c>
      <c r="G7" s="31" t="inlineStr">
        <is>
          <t>largecap</t>
        </is>
      </c>
      <c r="H7" s="32" t="n">
        <v>46193.45</v>
      </c>
      <c r="I7" s="32" t="n">
        <v>3541.7</v>
      </c>
      <c r="J7" s="32" t="n">
        <v>2.66</v>
      </c>
      <c r="K7" s="32" t="n">
        <v>302638</v>
      </c>
      <c r="L7" s="31" t="n">
        <v>44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68.5</v>
      </c>
      <c r="P7" s="32" t="n">
        <v>32.35</v>
      </c>
      <c r="Q7" s="32" t="n">
        <v>2900.88</v>
      </c>
      <c r="R7" s="31" t="inlineStr">
        <is>
          <t>Near 52W High Breakout</t>
        </is>
      </c>
      <c r="S7" s="31" t="inlineStr">
        <is>
          <t>Nifty FMCG</t>
        </is>
      </c>
      <c r="T7" s="32" t="n">
        <v>-10.45</v>
      </c>
      <c r="U7" s="32" t="n">
        <v>36</v>
      </c>
      <c r="V7" s="32" t="n">
        <v>51.87</v>
      </c>
      <c r="W7" s="32" t="n">
        <v>12.47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B2C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20 to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IF(B8=0,"",RANK(B8,$B$2:$B$282,0))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BLISSGVS</t>
        </is>
      </c>
      <c r="D8" s="31" t="inlineStr">
        <is>
          <t>Bliss Gvs Pharma Limited</t>
        </is>
      </c>
      <c r="E8" s="31" t="inlineStr">
        <is>
          <t>healthcare</t>
        </is>
      </c>
      <c r="F8" s="31" t="inlineStr">
        <is>
          <t>pharmaceuticals - indian - formulations</t>
        </is>
      </c>
      <c r="G8" s="31" t="inlineStr">
        <is>
          <t>smallcap</t>
        </is>
      </c>
      <c r="H8" s="32" t="n">
        <v>4618.22</v>
      </c>
      <c r="I8" s="32" t="n">
        <v>437.85</v>
      </c>
      <c r="J8" s="32" t="n">
        <v>0.3</v>
      </c>
      <c r="K8" s="32" t="n">
        <v>521869</v>
      </c>
      <c r="L8" s="31" t="n">
        <v>96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88.26000000000001</v>
      </c>
      <c r="P8" s="32" t="n">
        <v>60.22</v>
      </c>
      <c r="Q8" s="32" t="n">
        <v>332.7</v>
      </c>
      <c r="R8" s="31" t="inlineStr">
        <is>
          <t>Near 52W High Breakout</t>
        </is>
      </c>
      <c r="S8" s="31" t="inlineStr">
        <is>
          <t>Nifty Pharma</t>
        </is>
      </c>
      <c r="T8" s="32" t="n">
        <v>10.89</v>
      </c>
      <c r="U8" s="32" t="n">
        <v>194.84</v>
      </c>
      <c r="V8" s="32" t="n">
        <v>165.88</v>
      </c>
      <c r="W8" s="32" t="n">
        <v>53.79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Annuity, Lower One Time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Above 2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IF(B9=0,"",RANK(B9,$B$2:$B$282,0))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NETWEB</t>
        </is>
      </c>
      <c r="D9" s="31" t="inlineStr">
        <is>
          <t>Netweb Technologies India Ltd</t>
        </is>
      </c>
      <c r="E9" s="31" t="inlineStr">
        <is>
          <t>i.t</t>
        </is>
      </c>
      <c r="F9" s="31" t="inlineStr">
        <is>
          <t>computers - hardware</t>
        </is>
      </c>
      <c r="G9" s="31" t="inlineStr">
        <is>
          <t>largecap</t>
        </is>
      </c>
      <c r="H9" s="32" t="n">
        <v>23866.12</v>
      </c>
      <c r="I9" s="32" t="n">
        <v>4587.4</v>
      </c>
      <c r="J9" s="32" t="n">
        <v>9.449999999999999</v>
      </c>
      <c r="K9" s="32" t="n">
        <v>4344896</v>
      </c>
      <c r="L9" s="31" t="n">
        <v>86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64.53</v>
      </c>
      <c r="P9" s="32" t="n">
        <v>43.92</v>
      </c>
      <c r="Q9" s="32" t="n">
        <v>3228.99</v>
      </c>
      <c r="R9" s="31" t="inlineStr">
        <is>
          <t>Near 52W High Breakout</t>
        </is>
      </c>
      <c r="S9" s="31" t="inlineStr">
        <is>
          <t>Nifty IT</t>
        </is>
      </c>
      <c r="T9" s="32" t="n">
        <v>-27.75</v>
      </c>
      <c r="U9" s="32" t="n">
        <v>157.77</v>
      </c>
      <c r="V9" s="32" t="n">
        <v>256.75</v>
      </c>
      <c r="W9" s="32" t="n">
        <v>32.3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Between 1.5 to 2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IF(B10=0,"",RANK(B10,$B$2:$B$282,0))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GVT&amp;D</t>
        </is>
      </c>
      <c r="D10" s="31" t="inlineStr">
        <is>
          <t>GE Vernova T&amp;D India Ltd</t>
        </is>
      </c>
      <c r="E10" s="31" t="inlineStr">
        <is>
          <t>industrials</t>
        </is>
      </c>
      <c r="F10" s="31" t="inlineStr">
        <is>
          <t>electric equipment</t>
        </is>
      </c>
      <c r="G10" s="31" t="inlineStr">
        <is>
          <t>largecap</t>
        </is>
      </c>
      <c r="H10" s="32" t="n">
        <v>121238.03</v>
      </c>
      <c r="I10" s="32" t="n">
        <v>4942.5</v>
      </c>
      <c r="J10" s="32" t="n">
        <v>4.38</v>
      </c>
      <c r="K10" s="32" t="n">
        <v>460629</v>
      </c>
      <c r="L10" s="31" t="n">
        <v>76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69.40000000000001</v>
      </c>
      <c r="P10" s="32" t="n">
        <v>49.62</v>
      </c>
      <c r="Q10" s="32" t="n">
        <v>3910.4</v>
      </c>
      <c r="R10" s="31" t="inlineStr">
        <is>
          <t>Near 52W High Breakout</t>
        </is>
      </c>
      <c r="S10" s="31" t="inlineStr">
        <is>
          <t>Nifty 500</t>
        </is>
      </c>
      <c r="T10" s="32" t="n">
        <v>-1.34</v>
      </c>
      <c r="U10" s="32" t="n">
        <v>113.2</v>
      </c>
      <c r="V10" s="32" t="n">
        <v>116.09</v>
      </c>
      <c r="W10" s="32" t="n">
        <v>24.42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IF(B11=0,"",RANK(B11,$B$2:$B$282,0))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INDOBORAX</t>
        </is>
      </c>
      <c r="D11" s="31" t="inlineStr">
        <is>
          <t>Indo Borax &amp; Chemicals Ltd</t>
        </is>
      </c>
      <c r="E11" s="31" t="inlineStr">
        <is>
          <t>chemicals</t>
        </is>
      </c>
      <c r="F11" s="31" t="inlineStr">
        <is>
          <t>chemicals</t>
        </is>
      </c>
      <c r="G11" s="31" t="inlineStr">
        <is>
          <t>smallcap</t>
        </is>
      </c>
      <c r="H11" s="32" t="n">
        <v>1151.87</v>
      </c>
      <c r="I11" s="32" t="n">
        <v>373.45</v>
      </c>
      <c r="J11" s="32" t="n">
        <v>4.04</v>
      </c>
      <c r="K11" s="32" t="n">
        <v>120839</v>
      </c>
      <c r="L11" s="31" t="n">
        <v>79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82.43000000000001</v>
      </c>
      <c r="P11" s="32" t="n">
        <v>49.18</v>
      </c>
      <c r="Q11" s="32" t="n">
        <v>295.76</v>
      </c>
      <c r="R11" s="31" t="inlineStr">
        <is>
          <t>Near 52W High Breakout</t>
        </is>
      </c>
      <c r="S11" s="31" t="inlineStr">
        <is>
          <t>Nifty 50</t>
        </is>
      </c>
      <c r="T11" s="32" t="n">
        <v>-4.43</v>
      </c>
      <c r="U11" s="32" t="n">
        <v>83.33</v>
      </c>
      <c r="V11" s="32" t="n">
        <v>91.83</v>
      </c>
      <c r="W11" s="32" t="n">
        <v>25.44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IF(B12=0,"",RANK(B12,$B$2:$B$282,0))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STYLAMIND</t>
        </is>
      </c>
      <c r="D12" s="31" t="inlineStr">
        <is>
          <t>Stylam Industries Ltd</t>
        </is>
      </c>
      <c r="E12" s="31" t="inlineStr">
        <is>
          <t>building materials</t>
        </is>
      </c>
      <c r="F12" s="31" t="inlineStr">
        <is>
          <t>miscellaneous</t>
        </is>
      </c>
      <c r="G12" s="31" t="inlineStr">
        <is>
          <t>midcap</t>
        </is>
      </c>
      <c r="H12" s="32" t="n">
        <v>5180.34</v>
      </c>
      <c r="I12" s="32" t="n">
        <v>3179.9</v>
      </c>
      <c r="J12" s="32" t="n">
        <v>4.03</v>
      </c>
      <c r="K12" s="32" t="n">
        <v>37398</v>
      </c>
      <c r="L12" s="31" t="n">
        <v>74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90.26000000000001</v>
      </c>
      <c r="P12" s="32" t="n">
        <v>56.62</v>
      </c>
      <c r="Q12" s="32" t="n">
        <v>2702.2</v>
      </c>
      <c r="R12" s="31" t="inlineStr">
        <is>
          <t>Near 52W High Breakout</t>
        </is>
      </c>
      <c r="S12" s="31" t="inlineStr">
        <is>
          <t>Nifty Infra</t>
        </is>
      </c>
      <c r="T12" s="32" t="n">
        <v>2.95</v>
      </c>
      <c r="U12" s="32" t="n">
        <v>84.75</v>
      </c>
      <c r="V12" s="32" t="n">
        <v>79.45</v>
      </c>
      <c r="W12" s="32" t="n">
        <v>23.25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IF(B13=0,"",RANK(B13,$B$2:$B$282,0))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AEGISLOG</t>
        </is>
      </c>
      <c r="D13" s="31" t="inlineStr">
        <is>
          <t>Aegis Logistics Ltd</t>
        </is>
      </c>
      <c r="E13" s="31" t="inlineStr">
        <is>
          <t>services</t>
        </is>
      </c>
      <c r="F13" s="31" t="inlineStr">
        <is>
          <t>trading</t>
        </is>
      </c>
      <c r="G13" s="31" t="inlineStr">
        <is>
          <t>largecap</t>
        </is>
      </c>
      <c r="H13" s="32" t="n">
        <v>32499.09</v>
      </c>
      <c r="I13" s="32" t="n">
        <v>944.4</v>
      </c>
      <c r="J13" s="32" t="n">
        <v>2</v>
      </c>
      <c r="K13" s="32" t="n">
        <v>24360713</v>
      </c>
      <c r="L13" s="31" t="n">
        <v>63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72.37</v>
      </c>
      <c r="P13" s="32" t="n">
        <v>20.1</v>
      </c>
      <c r="Q13" s="32" t="n">
        <v>724.67</v>
      </c>
      <c r="R13" s="31" t="inlineStr">
        <is>
          <t>Volume Spike &amp; Near 52W High Breakout</t>
        </is>
      </c>
      <c r="S13" s="31" t="inlineStr">
        <is>
          <t>Nifty 50</t>
        </is>
      </c>
      <c r="T13" s="32" t="n">
        <v>-4.43</v>
      </c>
      <c r="U13" s="32" t="n">
        <v>20.77</v>
      </c>
      <c r="V13" s="32" t="n">
        <v>26.37</v>
      </c>
      <c r="W13" s="32" t="n">
        <v>18.14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20 to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IF(B14=0,"",RANK(B14,$B$2:$B$282,0))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MOTHERSON</t>
        </is>
      </c>
      <c r="D14" s="31" t="inlineStr">
        <is>
          <t>Samvardhana Motherson International Ltd</t>
        </is>
      </c>
      <c r="E14" s="31" t="inlineStr">
        <is>
          <t>auto</t>
        </is>
      </c>
      <c r="F14" s="31" t="inlineStr">
        <is>
          <t>auto ancillaries</t>
        </is>
      </c>
      <c r="G14" s="31" t="inlineStr">
        <is>
          <t>largecap</t>
        </is>
      </c>
      <c r="H14" s="32" t="n">
        <v>148543.23</v>
      </c>
      <c r="I14" s="32" t="n">
        <v>143.4</v>
      </c>
      <c r="J14" s="32" t="n">
        <v>1.89</v>
      </c>
      <c r="K14" s="32" t="n">
        <v>12743045</v>
      </c>
      <c r="L14" s="31" t="n">
        <v>45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65.84999999999999</v>
      </c>
      <c r="P14" s="32" t="n">
        <v>20.07</v>
      </c>
      <c r="Q14" s="32" t="n">
        <v>116.05</v>
      </c>
      <c r="R14" s="31" t="inlineStr">
        <is>
          <t>Near 52W High Breakout</t>
        </is>
      </c>
      <c r="S14" s="31" t="inlineStr">
        <is>
          <t>Nifty Auto</t>
        </is>
      </c>
      <c r="T14" s="32" t="n">
        <v>12.72</v>
      </c>
      <c r="U14" s="32" t="n">
        <v>40.43</v>
      </c>
      <c r="V14" s="32" t="n">
        <v>24.58</v>
      </c>
      <c r="W14" s="32" t="n">
        <v>12.93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IF(B15=0,"",RANK(B15,$B$2:$B$282,0))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SJS</t>
        </is>
      </c>
      <c r="D15" s="31" t="inlineStr">
        <is>
          <t>S J S Enterprises Ltd</t>
        </is>
      </c>
      <c r="E15" s="31" t="inlineStr">
        <is>
          <t>auto</t>
        </is>
      </c>
      <c r="F15" s="31" t="inlineStr">
        <is>
          <t>plastics products</t>
        </is>
      </c>
      <c r="G15" s="31" t="inlineStr">
        <is>
          <t>midcap</t>
        </is>
      </c>
      <c r="H15" s="32" t="n">
        <v>6700.45</v>
      </c>
      <c r="I15" s="32" t="n">
        <v>2115.2</v>
      </c>
      <c r="J15" s="32" t="n">
        <v>1.01</v>
      </c>
      <c r="K15" s="32" t="n">
        <v>76671</v>
      </c>
      <c r="L15" s="31" t="n">
        <v>69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63.93</v>
      </c>
      <c r="P15" s="32" t="n">
        <v>21.09</v>
      </c>
      <c r="Q15" s="32" t="n">
        <v>1639.37</v>
      </c>
      <c r="R15" s="31" t="inlineStr">
        <is>
          <t>Near 52W High Breakout</t>
        </is>
      </c>
      <c r="S15" s="31" t="inlineStr">
        <is>
          <t>Nifty Auto</t>
        </is>
      </c>
      <c r="T15" s="32" t="n">
        <v>12.72</v>
      </c>
      <c r="U15" s="32" t="n">
        <v>73.83</v>
      </c>
      <c r="V15" s="32" t="n">
        <v>54.22</v>
      </c>
      <c r="W15" s="32" t="n">
        <v>19.96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20 to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IF(B16=0,"",RANK(B16,$B$2:$B$282,0))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ATHERENERG</t>
        </is>
      </c>
      <c r="D16" s="31" t="inlineStr">
        <is>
          <t>Ather Energy Ltd</t>
        </is>
      </c>
      <c r="E16" s="31" t="inlineStr">
        <is>
          <t>auto</t>
        </is>
      </c>
      <c r="F16" s="31" t="inlineStr">
        <is>
          <t>automobiles - scooters and 3 - wheelers</t>
        </is>
      </c>
      <c r="G16" s="31" t="inlineStr">
        <is>
          <t>largecap</t>
        </is>
      </c>
      <c r="H16" s="32" t="n">
        <v>39315.84</v>
      </c>
      <c r="I16" s="32" t="n">
        <v>1028.7</v>
      </c>
      <c r="J16" s="32" t="n">
        <v>0.13</v>
      </c>
      <c r="K16" s="32" t="n">
        <v>2858859</v>
      </c>
      <c r="L16" s="31" t="n">
        <v>91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73.01000000000001</v>
      </c>
      <c r="P16" s="32" t="n">
        <v>47.45</v>
      </c>
      <c r="Q16" s="32" t="n">
        <v>782.79</v>
      </c>
      <c r="R16" s="31" t="inlineStr">
        <is>
          <t>Near 52W High Breakout</t>
        </is>
      </c>
      <c r="S16" s="31" t="inlineStr">
        <is>
          <t>Nifty Auto</t>
        </is>
      </c>
      <c r="T16" s="32" t="n">
        <v>12.72</v>
      </c>
      <c r="U16" s="32" t="n">
        <v>227.61</v>
      </c>
      <c r="V16" s="32" t="n">
        <v>190.65</v>
      </c>
      <c r="W16" s="32" t="n">
        <v>38.56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Negative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IF(B17=0,"",RANK(B17,$B$2:$B$282,0))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CONFIPET</t>
        </is>
      </c>
      <c r="D17" s="31" t="inlineStr">
        <is>
          <t>Confidence Petroleum India Ltd</t>
        </is>
      </c>
      <c r="E17" s="31" t="inlineStr">
        <is>
          <t>miscellaneous</t>
        </is>
      </c>
      <c r="F17" s="31" t="inlineStr">
        <is>
          <t>miscellaneous</t>
        </is>
      </c>
      <c r="G17" s="31" t="inlineStr">
        <is>
          <t>smallcap</t>
        </is>
      </c>
      <c r="H17" s="32" t="n">
        <v>2410.74</v>
      </c>
      <c r="I17" s="32" t="n">
        <v>70.42</v>
      </c>
      <c r="J17" s="32" t="n">
        <v>-2.95</v>
      </c>
      <c r="K17" s="32" t="n">
        <v>1773569</v>
      </c>
      <c r="L17" s="31" t="n">
        <v>83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68.7</v>
      </c>
      <c r="P17" s="32" t="n">
        <v>47.51</v>
      </c>
      <c r="Q17" s="32" t="n">
        <v>52.35</v>
      </c>
      <c r="R17" s="31" t="inlineStr">
        <is>
          <t>Earnings / Momentum Support</t>
        </is>
      </c>
      <c r="S17" s="31" t="inlineStr">
        <is>
          <t>Nifty Energy</t>
        </is>
      </c>
      <c r="T17" s="32" t="n">
        <v>9.800000000000001</v>
      </c>
      <c r="U17" s="32" t="n">
        <v>18.77</v>
      </c>
      <c r="V17" s="32" t="n">
        <v>8.16</v>
      </c>
      <c r="W17" s="32" t="n">
        <v>28.98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IF(B18=0,"",RANK(B18,$B$2:$B$282,0))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CUPID</t>
        </is>
      </c>
      <c r="D18" s="31" t="inlineStr">
        <is>
          <t>Cupid Limited</t>
        </is>
      </c>
      <c r="E18" s="31" t="inlineStr">
        <is>
          <t>fmcg</t>
        </is>
      </c>
      <c r="F18" s="31" t="inlineStr">
        <is>
          <t>personal care - indian</t>
        </is>
      </c>
      <c r="G18" s="31" t="inlineStr">
        <is>
          <t>largecap</t>
        </is>
      </c>
      <c r="H18" s="32" t="n">
        <v>20866.44</v>
      </c>
      <c r="I18" s="32" t="n">
        <v>159.97</v>
      </c>
      <c r="J18" s="32" t="n">
        <v>3.09</v>
      </c>
      <c r="K18" s="32" t="n">
        <v>23033543</v>
      </c>
      <c r="L18" s="31" t="n">
        <v>98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81.56</v>
      </c>
      <c r="P18" s="32" t="n">
        <v>45.12</v>
      </c>
      <c r="Q18" s="32" t="n">
        <v>123.8</v>
      </c>
      <c r="R18" s="31" t="inlineStr">
        <is>
          <t>Volume Spike &amp; Near 52W High Breakout</t>
        </is>
      </c>
      <c r="S18" s="31" t="inlineStr">
        <is>
          <t>Nifty FMCG</t>
        </is>
      </c>
      <c r="T18" s="32" t="n">
        <v>-10.45</v>
      </c>
      <c r="U18" s="32" t="n">
        <v>726.97</v>
      </c>
      <c r="V18" s="32" t="n">
        <v>823.51</v>
      </c>
      <c r="W18" s="32" t="n">
        <v>84.01000000000001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B2C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Less than 50%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IF(B19=0,"",RANK(B19,$B$2:$B$282,0))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IDEA</t>
        </is>
      </c>
      <c r="D19" s="31" t="inlineStr">
        <is>
          <t>Vodafone Idea Ltd</t>
        </is>
      </c>
      <c r="E19" s="31" t="inlineStr">
        <is>
          <t>telecom-service</t>
        </is>
      </c>
      <c r="F19" s="31" t="inlineStr">
        <is>
          <t>telecommunications - service provider</t>
        </is>
      </c>
      <c r="G19" s="31" t="inlineStr">
        <is>
          <t>largecap</t>
        </is>
      </c>
      <c r="H19" s="32" t="n">
        <v>153522.08</v>
      </c>
      <c r="I19" s="32" t="n">
        <v>14.9</v>
      </c>
      <c r="J19" s="32" t="n">
        <v>5.15</v>
      </c>
      <c r="K19" s="32" t="n">
        <v>930356200</v>
      </c>
      <c r="L19" s="31" t="n">
        <v>86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74.76000000000001</v>
      </c>
      <c r="P19" s="32" t="n">
        <v>26.03</v>
      </c>
      <c r="Q19" s="32" t="n">
        <v>11.67</v>
      </c>
      <c r="R19" s="31" t="inlineStr">
        <is>
          <t>Near 52W High Breakout</t>
        </is>
      </c>
      <c r="S19" s="31" t="inlineStr">
        <is>
          <t>Nifty 50</t>
        </is>
      </c>
      <c r="T19" s="32" t="n">
        <v>-4.43</v>
      </c>
      <c r="U19" s="32" t="n">
        <v>123.39</v>
      </c>
      <c r="V19" s="32" t="n">
        <v>133.75</v>
      </c>
      <c r="W19" s="32" t="n">
        <v>33.58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Oligopoly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Close to 52 week high or retracement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IF(B20=0,"",RANK(B20,$B$2:$B$282,0))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RPTECH</t>
        </is>
      </c>
      <c r="D20" s="31" t="inlineStr">
        <is>
          <t>Rashi Peripherals Ltd</t>
        </is>
      </c>
      <c r="E20" s="31" t="inlineStr">
        <is>
          <t>services</t>
        </is>
      </c>
      <c r="F20" s="31" t="inlineStr">
        <is>
          <t>trading</t>
        </is>
      </c>
      <c r="G20" s="31" t="inlineStr">
        <is>
          <t>smallcap</t>
        </is>
      </c>
      <c r="H20" s="32" t="n">
        <v>3500.26</v>
      </c>
      <c r="I20" s="32" t="n">
        <v>558.4</v>
      </c>
      <c r="J20" s="32" t="n">
        <v>5.13</v>
      </c>
      <c r="K20" s="32" t="n">
        <v>129836</v>
      </c>
      <c r="L20" s="31" t="n">
        <v>80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78.41</v>
      </c>
      <c r="P20" s="32" t="n">
        <v>48.6</v>
      </c>
      <c r="Q20" s="32" t="n">
        <v>429.57</v>
      </c>
      <c r="R20" s="31" t="inlineStr">
        <is>
          <t>Near 52W High Breakout</t>
        </is>
      </c>
      <c r="S20" s="31" t="inlineStr">
        <is>
          <t>Nifty 50</t>
        </is>
      </c>
      <c r="T20" s="32" t="n">
        <v>-4.43</v>
      </c>
      <c r="U20" s="32" t="n">
        <v>80.52</v>
      </c>
      <c r="V20" s="32" t="n">
        <v>88.89</v>
      </c>
      <c r="W20" s="32" t="n">
        <v>27.42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Less than 50%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IF(B21=0,"",RANK(B21,$B$2:$B$282,0))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OCCLLTD</t>
        </is>
      </c>
      <c r="D21" s="31" t="inlineStr">
        <is>
          <t>OCCL Ltd</t>
        </is>
      </c>
      <c r="E21" s="31" t="inlineStr">
        <is>
          <t>chemicals</t>
        </is>
      </c>
      <c r="F21" s="31" t="inlineStr">
        <is>
          <t>chemicals</t>
        </is>
      </c>
      <c r="G21" s="31" t="inlineStr">
        <is>
          <t>smallcap</t>
        </is>
      </c>
      <c r="H21" s="32" t="n">
        <v>613.6900000000001</v>
      </c>
      <c r="I21" s="32" t="n">
        <v>129</v>
      </c>
      <c r="J21" s="32" t="n">
        <v>5</v>
      </c>
      <c r="K21" s="32" t="n">
        <v>131651</v>
      </c>
      <c r="L21" s="31" t="n">
        <v>50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68.81999999999999</v>
      </c>
      <c r="P21" s="32" t="n">
        <v>22.99</v>
      </c>
      <c r="Q21" s="32" t="n">
        <v>91.08</v>
      </c>
      <c r="R21" s="31" t="inlineStr">
        <is>
          <t>Volume Spike / Accumulation</t>
        </is>
      </c>
      <c r="S21" s="31" t="inlineStr">
        <is>
          <t>Nifty 50</t>
        </is>
      </c>
      <c r="T21" s="32" t="n">
        <v>-4.43</v>
      </c>
      <c r="U21" s="32" t="n">
        <v>7.61</v>
      </c>
      <c r="V21" s="32" t="n">
        <v>12.61</v>
      </c>
      <c r="W21" s="32" t="n">
        <v>14.41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IF(B22=0,"",RANK(B22,$B$2:$B$282,0))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GAYAPROJ</t>
        </is>
      </c>
      <c r="D22" s="31" t="inlineStr">
        <is>
          <t>Gayatri Projects Limited</t>
        </is>
      </c>
      <c r="E22" s="31" t="inlineStr">
        <is>
          <t>realty</t>
        </is>
      </c>
      <c r="F22" s="31" t="inlineStr">
        <is>
          <t>construction</t>
        </is>
      </c>
      <c r="G22" s="31" t="inlineStr">
        <is>
          <t>smallcap</t>
        </is>
      </c>
      <c r="H22" s="32" t="n">
        <v>621.42</v>
      </c>
      <c r="I22" s="32" t="n">
        <v>21.86</v>
      </c>
      <c r="J22" s="32" t="n">
        <v>4.19</v>
      </c>
      <c r="K22" s="32" t="n">
        <v>369116</v>
      </c>
      <c r="L22" s="31" t="n">
        <v>88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75.64</v>
      </c>
      <c r="P22" s="32" t="n">
        <v>61.31</v>
      </c>
      <c r="Q22" s="32" t="n">
        <v>17.45</v>
      </c>
      <c r="R22" s="31" t="inlineStr">
        <is>
          <t>Near 52W High Breakout</t>
        </is>
      </c>
      <c r="S22" s="31" t="inlineStr">
        <is>
          <t>Nifty Realty</t>
        </is>
      </c>
      <c r="T22" s="32" t="n">
        <v>-23.58</v>
      </c>
      <c r="U22" s="32" t="n">
        <v>146.45</v>
      </c>
      <c r="V22" s="32" t="n">
        <v>222.49</v>
      </c>
      <c r="W22" s="32" t="n">
        <v>36.49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One Time, Lower Annuity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IF(B23=0,"",RANK(B23,$B$2:$B$282,0))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SYRMA</t>
        </is>
      </c>
      <c r="D23" s="31" t="inlineStr">
        <is>
          <t>Syrma SGS Technology Ltd</t>
        </is>
      </c>
      <c r="E23" s="31" t="inlineStr">
        <is>
          <t>consumer discretionary</t>
        </is>
      </c>
      <c r="F23" s="31" t="inlineStr">
        <is>
          <t>electronics - components</t>
        </is>
      </c>
      <c r="G23" s="31" t="inlineStr">
        <is>
          <t>largecap</t>
        </is>
      </c>
      <c r="H23" s="32" t="n">
        <v>23826.13</v>
      </c>
      <c r="I23" s="32" t="n">
        <v>1266.7</v>
      </c>
      <c r="J23" s="32" t="n">
        <v>2.52</v>
      </c>
      <c r="K23" s="32" t="n">
        <v>844050</v>
      </c>
      <c r="L23" s="31" t="n">
        <v>92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74.45999999999999</v>
      </c>
      <c r="P23" s="32" t="n">
        <v>33.6</v>
      </c>
      <c r="Q23" s="32" t="n">
        <v>979.04</v>
      </c>
      <c r="R23" s="31" t="inlineStr">
        <is>
          <t>Near 52W High Breakout</t>
        </is>
      </c>
      <c r="S23" s="31" t="inlineStr">
        <is>
          <t>Nifty 50</t>
        </is>
      </c>
      <c r="T23" s="32" t="n">
        <v>-4.43</v>
      </c>
      <c r="U23" s="32" t="n">
        <v>142.76</v>
      </c>
      <c r="V23" s="32" t="n">
        <v>154.02</v>
      </c>
      <c r="W23" s="32" t="n">
        <v>39.06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Between 1.5 to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IF(B24=0,"",RANK(B24,$B$2:$B$282,0))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CARYSIL</t>
        </is>
      </c>
      <c r="D24" s="31" t="inlineStr">
        <is>
          <t>Carysil Ltd</t>
        </is>
      </c>
      <c r="E24" s="31" t="inlineStr">
        <is>
          <t>consumer discretionary</t>
        </is>
      </c>
      <c r="F24" s="31" t="inlineStr">
        <is>
          <t>domestic appliances</t>
        </is>
      </c>
      <c r="G24" s="31" t="inlineStr">
        <is>
          <t>smallcap</t>
        </is>
      </c>
      <c r="H24" s="32" t="n">
        <v>3310.15</v>
      </c>
      <c r="I24" s="32" t="n">
        <v>1178.9</v>
      </c>
      <c r="J24" s="32" t="n">
        <v>1.3</v>
      </c>
      <c r="K24" s="32" t="n">
        <v>121248</v>
      </c>
      <c r="L24" s="31" t="n">
        <v>59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71.23</v>
      </c>
      <c r="P24" s="32" t="n">
        <v>20.61</v>
      </c>
      <c r="Q24" s="32" t="n">
        <v>878.33</v>
      </c>
      <c r="R24" s="31" t="inlineStr">
        <is>
          <t>Volume Spike &amp; Near 52W High Breakout</t>
        </is>
      </c>
      <c r="S24" s="31" t="inlineStr">
        <is>
          <t>Nifty 50</t>
        </is>
      </c>
      <c r="T24" s="32" t="n">
        <v>-4.43</v>
      </c>
      <c r="U24" s="32" t="n">
        <v>27.21</v>
      </c>
      <c r="V24" s="32" t="n">
        <v>33.11</v>
      </c>
      <c r="W24" s="32" t="n">
        <v>17.01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20 to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IF(B25=0,"",RANK(B25,$B$2:$B$282,0))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WHEELS</t>
        </is>
      </c>
      <c r="D25" s="31" t="inlineStr">
        <is>
          <t>Wheels India Limited</t>
        </is>
      </c>
      <c r="E25" s="31" t="inlineStr">
        <is>
          <t>auto</t>
        </is>
      </c>
      <c r="F25" s="31" t="inlineStr">
        <is>
          <t>auto ancillaries</t>
        </is>
      </c>
      <c r="G25" s="31" t="inlineStr">
        <is>
          <t>smallcap</t>
        </is>
      </c>
      <c r="H25" s="32" t="n">
        <v>3963.52</v>
      </c>
      <c r="I25" s="32" t="n">
        <v>1634.7</v>
      </c>
      <c r="J25" s="32" t="n">
        <v>0.77</v>
      </c>
      <c r="K25" s="32" t="n">
        <v>84183</v>
      </c>
      <c r="L25" s="31" t="n">
        <v>89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73.42</v>
      </c>
      <c r="P25" s="32" t="n">
        <v>50.52</v>
      </c>
      <c r="Q25" s="32" t="n">
        <v>1280.03</v>
      </c>
      <c r="R25" s="31" t="inlineStr">
        <is>
          <t>Near 52W High Breakout</t>
        </is>
      </c>
      <c r="S25" s="31" t="inlineStr">
        <is>
          <t>Nifty Auto</t>
        </is>
      </c>
      <c r="T25" s="32" t="n">
        <v>12.72</v>
      </c>
      <c r="U25" s="32" t="n">
        <v>121.54</v>
      </c>
      <c r="V25" s="32" t="n">
        <v>96.55</v>
      </c>
      <c r="W25" s="32" t="n">
        <v>36.92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Less than 12%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IF(B26=0,"",RANK(B26,$B$2:$B$282,0))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GVPIL</t>
        </is>
      </c>
      <c r="D26" s="31" t="inlineStr">
        <is>
          <t>GE Power India Ltd</t>
        </is>
      </c>
      <c r="E26" s="31" t="inlineStr">
        <is>
          <t>realty</t>
        </is>
      </c>
      <c r="F26" s="31" t="inlineStr">
        <is>
          <t>engineering - turnkey services</t>
        </is>
      </c>
      <c r="G26" s="31" t="inlineStr">
        <is>
          <t>midcap</t>
        </is>
      </c>
      <c r="H26" s="32" t="n">
        <v>5951.65</v>
      </c>
      <c r="I26" s="32" t="n">
        <v>929.55</v>
      </c>
      <c r="J26" s="32" t="n">
        <v>5</v>
      </c>
      <c r="K26" s="32" t="n">
        <v>431265</v>
      </c>
      <c r="L26" s="31" t="n">
        <v>96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88.2</v>
      </c>
      <c r="P26" s="32" t="n">
        <v>56.06</v>
      </c>
      <c r="Q26" s="32" t="n">
        <v>711.97</v>
      </c>
      <c r="R26" s="31" t="inlineStr">
        <is>
          <t>Near 52W High Breakout</t>
        </is>
      </c>
      <c r="S26" s="31" t="inlineStr">
        <is>
          <t>Nifty Realty</t>
        </is>
      </c>
      <c r="T26" s="32" t="n">
        <v>-23.58</v>
      </c>
      <c r="U26" s="32" t="n">
        <v>194.11</v>
      </c>
      <c r="V26" s="32" t="n">
        <v>284.86</v>
      </c>
      <c r="W26" s="32" t="n">
        <v>52.55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Duopoly That Cooperate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Shallow Cyclical (2 to 3 Years Growth)</t>
        </is>
      </c>
      <c r="AG26" s="31">
        <f>IF(AF26="Structural (10 Years Consistency)",10,IF(AF26="Shallow Cyclical (2 to 3 years growth)",5,0))</f>
        <v/>
      </c>
      <c r="AH26" s="31" t="inlineStr">
        <is>
          <t>Yes due to Product Mix change or Operating Leverage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B2C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Fully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only for next 1 to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Above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Between 0.7 to 1.2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IF(B27=0,"",RANK(B27,$B$2:$B$282,0))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SOLARA</t>
        </is>
      </c>
      <c r="D27" s="31" t="inlineStr">
        <is>
          <t>Solara Active Pharma Sciences Ltd</t>
        </is>
      </c>
      <c r="E27" s="31" t="inlineStr">
        <is>
          <t>healthcare</t>
        </is>
      </c>
      <c r="F27" s="31" t="inlineStr">
        <is>
          <t>pharmaceuticals - indian - bulk drugs &amp; formln</t>
        </is>
      </c>
      <c r="G27" s="31" t="inlineStr">
        <is>
          <t>smallcap</t>
        </is>
      </c>
      <c r="H27" s="32" t="n">
        <v>2797.45</v>
      </c>
      <c r="I27" s="32" t="n">
        <v>608.55</v>
      </c>
      <c r="J27" s="32" t="n">
        <v>4.8</v>
      </c>
      <c r="K27" s="32" t="n">
        <v>664223</v>
      </c>
      <c r="L27" s="31" t="n">
        <v>50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62.61</v>
      </c>
      <c r="P27" s="32" t="n">
        <v>23.77</v>
      </c>
      <c r="Q27" s="32" t="n">
        <v>447.22</v>
      </c>
      <c r="R27" s="31" t="inlineStr">
        <is>
          <t>Volume Spike / Accumulation</t>
        </is>
      </c>
      <c r="S27" s="31" t="inlineStr">
        <is>
          <t>Nifty Pharma</t>
        </is>
      </c>
      <c r="T27" s="32" t="n">
        <v>10.89</v>
      </c>
      <c r="U27" s="32" t="n">
        <v>20.47</v>
      </c>
      <c r="V27" s="32" t="n">
        <v>8.640000000000001</v>
      </c>
      <c r="W27" s="32" t="n">
        <v>14.37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Annuity, Lower One Time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Less than 1.5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IF(B28=0,"",RANK(B28,$B$2:$B$282,0))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ADFFOODS</t>
        </is>
      </c>
      <c r="D28" s="31" t="inlineStr">
        <is>
          <t>Adf Foods Limited</t>
        </is>
      </c>
      <c r="E28" s="31" t="inlineStr">
        <is>
          <t>fmcg</t>
        </is>
      </c>
      <c r="F28" s="31" t="inlineStr">
        <is>
          <t>food - processing - indian</t>
        </is>
      </c>
      <c r="G28" s="31" t="inlineStr">
        <is>
          <t>smallcap</t>
        </is>
      </c>
      <c r="H28" s="32" t="n">
        <v>3005.87</v>
      </c>
      <c r="I28" s="32" t="n">
        <v>283.2</v>
      </c>
      <c r="J28" s="32" t="n">
        <v>3.51</v>
      </c>
      <c r="K28" s="32" t="n">
        <v>96463</v>
      </c>
      <c r="L28" s="31" t="n">
        <v>50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64.23</v>
      </c>
      <c r="P28" s="32" t="n">
        <v>28.98</v>
      </c>
      <c r="Q28" s="32" t="n">
        <v>201.65</v>
      </c>
      <c r="R28" s="31" t="inlineStr">
        <is>
          <t>Near 52W High Breakout</t>
        </is>
      </c>
      <c r="S28" s="31" t="inlineStr">
        <is>
          <t>Nifty FMCG</t>
        </is>
      </c>
      <c r="T28" s="32" t="n">
        <v>-10.45</v>
      </c>
      <c r="U28" s="32" t="n">
        <v>2.48</v>
      </c>
      <c r="V28" s="32" t="n">
        <v>14.44</v>
      </c>
      <c r="W28" s="32" t="n">
        <v>14.66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B2C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IF(B29=0,"",RANK(B29,$B$2:$B$282,0))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SAKAR</t>
        </is>
      </c>
      <c r="D29" s="31" t="inlineStr">
        <is>
          <t>Sakar Healthcare Ltd</t>
        </is>
      </c>
      <c r="E29" s="31" t="inlineStr">
        <is>
          <t>healthcare</t>
        </is>
      </c>
      <c r="F29" s="31" t="inlineStr">
        <is>
          <t>pharmaceuticals - indian - bulk drugs &amp; formln</t>
        </is>
      </c>
      <c r="G29" s="31" t="inlineStr">
        <is>
          <t>smallcap</t>
        </is>
      </c>
      <c r="H29" s="32" t="n">
        <v>1786.78</v>
      </c>
      <c r="I29" s="32" t="n">
        <v>824.1</v>
      </c>
      <c r="J29" s="32" t="n">
        <v>2.62</v>
      </c>
      <c r="K29" s="32" t="n">
        <v>104622</v>
      </c>
      <c r="L29" s="31" t="n">
        <v>87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76.52</v>
      </c>
      <c r="P29" s="32" t="n">
        <v>53.29</v>
      </c>
      <c r="Q29" s="32" t="n">
        <v>581.5700000000001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10.89</v>
      </c>
      <c r="U29" s="32" t="n">
        <v>163.04</v>
      </c>
      <c r="V29" s="32" t="n">
        <v>137.2</v>
      </c>
      <c r="W29" s="32" t="n">
        <v>34.72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Yes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IF(B30=0,"",RANK(B30,$B$2:$B$282,0))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RATEGAIN</t>
        </is>
      </c>
      <c r="D30" s="31" t="inlineStr">
        <is>
          <t>Rategain Travel Technologies Ltd</t>
        </is>
      </c>
      <c r="E30" s="31" t="inlineStr">
        <is>
          <t>i.t</t>
        </is>
      </c>
      <c r="F30" s="31" t="inlineStr">
        <is>
          <t>computers - software - medium / small</t>
        </is>
      </c>
      <c r="G30" s="31" t="inlineStr">
        <is>
          <t>midcap</t>
        </is>
      </c>
      <c r="H30" s="32" t="n">
        <v>9131.23</v>
      </c>
      <c r="I30" s="32" t="n">
        <v>783.05</v>
      </c>
      <c r="J30" s="32" t="n">
        <v>1.33</v>
      </c>
      <c r="K30" s="32" t="n">
        <v>327158</v>
      </c>
      <c r="L30" s="31" t="n">
        <v>82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72.40000000000001</v>
      </c>
      <c r="P30" s="32" t="n">
        <v>25.67</v>
      </c>
      <c r="Q30" s="32" t="n">
        <v>600.11</v>
      </c>
      <c r="R30" s="31" t="inlineStr">
        <is>
          <t>Near 52W High Breakout</t>
        </is>
      </c>
      <c r="S30" s="31" t="inlineStr">
        <is>
          <t>Nifty IT</t>
        </is>
      </c>
      <c r="T30" s="32" t="n">
        <v>-27.75</v>
      </c>
      <c r="U30" s="32" t="n">
        <v>76.95999999999999</v>
      </c>
      <c r="V30" s="32" t="n">
        <v>144.91</v>
      </c>
      <c r="W30" s="32" t="n">
        <v>27.88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Annuity, Lower One Time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Between 1.5 to 2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IF(B31=0,"",RANK(B31,$B$2:$B$282,0))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GRANULES</t>
        </is>
      </c>
      <c r="D31" s="31" t="inlineStr">
        <is>
          <t>Granules India Limited</t>
        </is>
      </c>
      <c r="E31" s="31" t="inlineStr">
        <is>
          <t>healthcare</t>
        </is>
      </c>
      <c r="F31" s="31" t="inlineStr">
        <is>
          <t>pharmaceuticals - indian - bulk drugs &amp; formln</t>
        </is>
      </c>
      <c r="G31" s="31" t="inlineStr">
        <is>
          <t>midcap</t>
        </is>
      </c>
      <c r="H31" s="32" t="n">
        <v>18910.62</v>
      </c>
      <c r="I31" s="32" t="n">
        <v>766.45</v>
      </c>
      <c r="J31" s="32" t="n">
        <v>0.43</v>
      </c>
      <c r="K31" s="32" t="n">
        <v>350109</v>
      </c>
      <c r="L31" s="31" t="n">
        <v>57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71.37</v>
      </c>
      <c r="P31" s="32" t="n">
        <v>34.53</v>
      </c>
      <c r="Q31" s="32" t="n">
        <v>661.26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10.89</v>
      </c>
      <c r="U31" s="32" t="n">
        <v>50.92</v>
      </c>
      <c r="V31" s="32" t="n">
        <v>36.1</v>
      </c>
      <c r="W31" s="32" t="n">
        <v>16.65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Between 50% to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IF(B32=0,"",RANK(B32,$B$2:$B$282,0))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NINSYS</t>
        </is>
      </c>
      <c r="D32" s="31" t="inlineStr">
        <is>
          <t>NINtec Systems Ltd</t>
        </is>
      </c>
      <c r="E32" s="31" t="inlineStr">
        <is>
          <t>i.t</t>
        </is>
      </c>
      <c r="F32" s="31" t="inlineStr">
        <is>
          <t>computers - software - medium / small</t>
        </is>
      </c>
      <c r="G32" s="31" t="inlineStr">
        <is>
          <t>smallcap</t>
        </is>
      </c>
      <c r="H32" s="32" t="n">
        <v>1281.56</v>
      </c>
      <c r="I32" s="32" t="n">
        <v>689.55</v>
      </c>
      <c r="J32" s="32" t="n">
        <v>-0.05</v>
      </c>
      <c r="K32" s="32" t="n">
        <v>3551</v>
      </c>
      <c r="L32" s="31" t="n">
        <v>94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78.2</v>
      </c>
      <c r="P32" s="32" t="n">
        <v>50.04</v>
      </c>
      <c r="Q32" s="32" t="n">
        <v>539.8200000000001</v>
      </c>
      <c r="R32" s="31" t="inlineStr">
        <is>
          <t>Near 52W High Breakout</t>
        </is>
      </c>
      <c r="S32" s="31" t="inlineStr">
        <is>
          <t>Nifty IT</t>
        </is>
      </c>
      <c r="T32" s="32" t="n">
        <v>-27.75</v>
      </c>
      <c r="U32" s="32" t="n">
        <v>48.72</v>
      </c>
      <c r="V32" s="32" t="n">
        <v>105.83</v>
      </c>
      <c r="W32" s="32" t="n">
        <v>46.38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Between 12 to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Between 50% to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IF(B33=0,"",RANK(B33,$B$2:$B$282,0))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GLAND</t>
        </is>
      </c>
      <c r="D33" s="31" t="inlineStr">
        <is>
          <t>Gland Pharma Ltd</t>
        </is>
      </c>
      <c r="E33" s="31" t="inlineStr">
        <is>
          <t>healthcare</t>
        </is>
      </c>
      <c r="F33" s="31" t="inlineStr">
        <is>
          <t>pharmaceuticals - indian - formulations</t>
        </is>
      </c>
      <c r="G33" s="31" t="inlineStr">
        <is>
          <t>largecap</t>
        </is>
      </c>
      <c r="H33" s="32" t="n">
        <v>38001.07</v>
      </c>
      <c r="I33" s="32" t="n">
        <v>2262.2</v>
      </c>
      <c r="J33" s="32" t="n">
        <v>-1.92</v>
      </c>
      <c r="K33" s="32" t="n">
        <v>695609</v>
      </c>
      <c r="L33" s="31" t="n">
        <v>54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68.34999999999999</v>
      </c>
      <c r="P33" s="32" t="n">
        <v>29.74</v>
      </c>
      <c r="Q33" s="32" t="n">
        <v>1873.7</v>
      </c>
      <c r="R33" s="31" t="inlineStr">
        <is>
          <t>Volume Spike &amp; Near 52W High Breakout</t>
        </is>
      </c>
      <c r="S33" s="31" t="inlineStr">
        <is>
          <t>Nifty Pharma</t>
        </is>
      </c>
      <c r="T33" s="32" t="n">
        <v>10.89</v>
      </c>
      <c r="U33" s="32" t="n">
        <v>35.13</v>
      </c>
      <c r="V33" s="32" t="n">
        <v>21.85</v>
      </c>
      <c r="W33" s="32" t="n">
        <v>15.77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IF(B34=0,"",RANK(B34,$B$2:$B$282,0))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POWERMECH</t>
        </is>
      </c>
      <c r="D34" s="31" t="inlineStr">
        <is>
          <t>Power Mech Projects Limited</t>
        </is>
      </c>
      <c r="E34" s="31" t="inlineStr">
        <is>
          <t>realty</t>
        </is>
      </c>
      <c r="F34" s="31" t="inlineStr">
        <is>
          <t>engineering - turnkey services</t>
        </is>
      </c>
      <c r="G34" s="31" t="inlineStr">
        <is>
          <t>midcap</t>
        </is>
      </c>
      <c r="H34" s="32" t="n">
        <v>8215.18</v>
      </c>
      <c r="I34" s="32" t="n">
        <v>2789.5</v>
      </c>
      <c r="J34" s="32" t="n">
        <v>7.35</v>
      </c>
      <c r="K34" s="32" t="n">
        <v>582573</v>
      </c>
      <c r="L34" s="31" t="n">
        <v>26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64.59999999999999</v>
      </c>
      <c r="P34" s="32" t="n">
        <v>20.14</v>
      </c>
      <c r="Q34" s="32" t="n">
        <v>2134.24</v>
      </c>
      <c r="R34" s="31" t="inlineStr">
        <is>
          <t>Volume Spike / Accumulation</t>
        </is>
      </c>
      <c r="S34" s="31" t="inlineStr">
        <is>
          <t>Nifty Realty</t>
        </is>
      </c>
      <c r="T34" s="32" t="n">
        <v>-23.58</v>
      </c>
      <c r="U34" s="32" t="n">
        <v>-9.199999999999999</v>
      </c>
      <c r="V34" s="32" t="n">
        <v>18.82</v>
      </c>
      <c r="W34" s="32" t="n">
        <v>8.57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Between 50% to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IF(B35=0,"",RANK(B35,$B$2:$B$282,0))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ADOR</t>
        </is>
      </c>
      <c r="D35" s="31" t="inlineStr">
        <is>
          <t>Ador Welding Ltd</t>
        </is>
      </c>
      <c r="E35" s="31" t="inlineStr">
        <is>
          <t>industrials</t>
        </is>
      </c>
      <c r="F35" s="31" t="inlineStr">
        <is>
          <t>electrodes - welding equipment</t>
        </is>
      </c>
      <c r="G35" s="31" t="inlineStr">
        <is>
          <t>smallcap</t>
        </is>
      </c>
      <c r="H35" s="32" t="n">
        <v>1929.97</v>
      </c>
      <c r="I35" s="32" t="n">
        <v>1165.7</v>
      </c>
      <c r="J35" s="32" t="n">
        <v>5.11</v>
      </c>
      <c r="K35" s="32" t="n">
        <v>27333</v>
      </c>
      <c r="L35" s="31" t="n">
        <v>23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63.65</v>
      </c>
      <c r="P35" s="32" t="n">
        <v>20.85</v>
      </c>
      <c r="Q35" s="32" t="n">
        <v>896.98</v>
      </c>
      <c r="R35" s="31" t="inlineStr">
        <is>
          <t>Near 52W High Breakout</t>
        </is>
      </c>
      <c r="S35" s="31" t="inlineStr">
        <is>
          <t>Nifty Infra</t>
        </is>
      </c>
      <c r="T35" s="32" t="n">
        <v>2.95</v>
      </c>
      <c r="U35" s="32" t="n">
        <v>16.31</v>
      </c>
      <c r="V35" s="32" t="n">
        <v>12.97</v>
      </c>
      <c r="W35" s="32" t="n">
        <v>7.95</v>
      </c>
      <c r="X35" s="31" t="inlineStr">
        <is>
          <t>Cyclical in an Upturn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Close to 52 week high or retracement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IF(B36=0,"",RANK(B36,$B$2:$B$282,0))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NITINSPIN</t>
        </is>
      </c>
      <c r="D36" s="31" t="inlineStr">
        <is>
          <t>Nitin Spinners Limited</t>
        </is>
      </c>
      <c r="E36" s="31" t="inlineStr">
        <is>
          <t>textiles</t>
        </is>
      </c>
      <c r="F36" s="31" t="inlineStr">
        <is>
          <t>textiles - cotton/blended</t>
        </is>
      </c>
      <c r="G36" s="31" t="inlineStr">
        <is>
          <t>smallcap</t>
        </is>
      </c>
      <c r="H36" s="32" t="n">
        <v>3000.74</v>
      </c>
      <c r="I36" s="32" t="n">
        <v>559.35</v>
      </c>
      <c r="J36" s="32" t="n">
        <v>4.8</v>
      </c>
      <c r="K36" s="32" t="n">
        <v>182362</v>
      </c>
      <c r="L36" s="31" t="n">
        <v>70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81.09999999999999</v>
      </c>
      <c r="P36" s="32" t="n">
        <v>53.87</v>
      </c>
      <c r="Q36" s="32" t="n">
        <v>435.06</v>
      </c>
      <c r="R36" s="31" t="inlineStr">
        <is>
          <t>Near 52W High Breakout</t>
        </is>
      </c>
      <c r="S36" s="31" t="inlineStr">
        <is>
          <t>Nifty 50</t>
        </is>
      </c>
      <c r="T36" s="32" t="n">
        <v>-4.43</v>
      </c>
      <c r="U36" s="32" t="n">
        <v>44.42</v>
      </c>
      <c r="V36" s="32" t="n">
        <v>51.12</v>
      </c>
      <c r="W36" s="32" t="n">
        <v>21.09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Between 0.7 to 1.2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IF(B37=0,"",RANK(B37,$B$2:$B$282,0))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BELRISE</t>
        </is>
      </c>
      <c r="D37" s="31" t="inlineStr">
        <is>
          <t>Belrise Industries Ltd</t>
        </is>
      </c>
      <c r="E37" s="31" t="inlineStr">
        <is>
          <t>auto</t>
        </is>
      </c>
      <c r="F37" s="31" t="inlineStr">
        <is>
          <t>auto ancillaries</t>
        </is>
      </c>
      <c r="G37" s="31" t="inlineStr">
        <is>
          <t>midcap</t>
        </is>
      </c>
      <c r="H37" s="32" t="n">
        <v>19612.05</v>
      </c>
      <c r="I37" s="32" t="n">
        <v>228.23</v>
      </c>
      <c r="J37" s="32" t="n">
        <v>3.56</v>
      </c>
      <c r="K37" s="32" t="n">
        <v>2973217</v>
      </c>
      <c r="L37" s="31" t="n">
        <v>76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69.81999999999999</v>
      </c>
      <c r="P37" s="32" t="n">
        <v>51.29</v>
      </c>
      <c r="Q37" s="32" t="n">
        <v>178.79</v>
      </c>
      <c r="R37" s="31" t="inlineStr">
        <is>
          <t>Volume Spike &amp; Near 52W High Breakout</t>
        </is>
      </c>
      <c r="S37" s="31" t="inlineStr">
        <is>
          <t>Nifty Auto</t>
        </is>
      </c>
      <c r="T37" s="32" t="n">
        <v>12.72</v>
      </c>
      <c r="U37" s="32" t="n">
        <v>124.74</v>
      </c>
      <c r="V37" s="32" t="n">
        <v>99.39</v>
      </c>
      <c r="W37" s="32" t="n">
        <v>24.34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Less than 12%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IF(B38=0,"",RANK(B38,$B$2:$B$282,0))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VTL</t>
        </is>
      </c>
      <c r="D38" s="31" t="inlineStr">
        <is>
          <t>Vardhman Textiles Limited</t>
        </is>
      </c>
      <c r="E38" s="31" t="inlineStr">
        <is>
          <t>textiles</t>
        </is>
      </c>
      <c r="F38" s="31" t="inlineStr">
        <is>
          <t>textiles - cotton/blended</t>
        </is>
      </c>
      <c r="G38" s="31" t="inlineStr">
        <is>
          <t>midcap</t>
        </is>
      </c>
      <c r="H38" s="32" t="n">
        <v>17774.92</v>
      </c>
      <c r="I38" s="32" t="n">
        <v>627.85</v>
      </c>
      <c r="J38" s="32" t="n">
        <v>2.18</v>
      </c>
      <c r="K38" s="32" t="n">
        <v>220540</v>
      </c>
      <c r="L38" s="31" t="n">
        <v>32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67.40000000000001</v>
      </c>
      <c r="P38" s="32" t="n">
        <v>51.7</v>
      </c>
      <c r="Q38" s="32" t="n">
        <v>494.4</v>
      </c>
      <c r="R38" s="31" t="inlineStr">
        <is>
          <t>Near 52W High Breakout</t>
        </is>
      </c>
      <c r="S38" s="31" t="inlineStr">
        <is>
          <t>Nifty 50</t>
        </is>
      </c>
      <c r="T38" s="32" t="n">
        <v>-4.43</v>
      </c>
      <c r="U38" s="32" t="n">
        <v>31.73</v>
      </c>
      <c r="V38" s="32" t="n">
        <v>37.84</v>
      </c>
      <c r="W38" s="32" t="n">
        <v>9.68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Less than 12%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IF(B39=0,"",RANK(B39,$B$2:$B$282,0))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THANGAMAYL</t>
        </is>
      </c>
      <c r="D39" s="31" t="inlineStr">
        <is>
          <t>Thangamayil Jewellery Limited</t>
        </is>
      </c>
      <c r="E39" s="31" t="inlineStr">
        <is>
          <t>consumer discretionary</t>
        </is>
      </c>
      <c r="F39" s="31" t="inlineStr">
        <is>
          <t>diamond cutting / jewellery</t>
        </is>
      </c>
      <c r="G39" s="31" t="inlineStr">
        <is>
          <t>midcap</t>
        </is>
      </c>
      <c r="H39" s="32" t="n">
        <v>16832.16</v>
      </c>
      <c r="I39" s="32" t="n">
        <v>5478.7</v>
      </c>
      <c r="J39" s="32" t="n">
        <v>1.17</v>
      </c>
      <c r="K39" s="32" t="n">
        <v>126015</v>
      </c>
      <c r="L39" s="31" t="n">
        <v>90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71.19</v>
      </c>
      <c r="P39" s="32" t="n">
        <v>39.43</v>
      </c>
      <c r="Q39" s="32" t="n">
        <v>3955.88</v>
      </c>
      <c r="R39" s="31" t="inlineStr">
        <is>
          <t>Near 52W High Breakout</t>
        </is>
      </c>
      <c r="S39" s="31" t="inlineStr">
        <is>
          <t>Nifty 50</t>
        </is>
      </c>
      <c r="T39" s="32" t="n">
        <v>-4.43</v>
      </c>
      <c r="U39" s="32" t="n">
        <v>197.76</v>
      </c>
      <c r="V39" s="32" t="n">
        <v>211.57</v>
      </c>
      <c r="W39" s="32" t="n">
        <v>37.47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IF(B40=0,"",RANK(B40,$B$2:$B$282,0))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SHAILY</t>
        </is>
      </c>
      <c r="D40" s="31" t="inlineStr">
        <is>
          <t>Shaily Engineering Plastics Ltd</t>
        </is>
      </c>
      <c r="E40" s="31" t="inlineStr">
        <is>
          <t>plastic products</t>
        </is>
      </c>
      <c r="F40" s="31" t="inlineStr">
        <is>
          <t>plastics products</t>
        </is>
      </c>
      <c r="G40" s="31" t="inlineStr">
        <is>
          <t>midcap</t>
        </is>
      </c>
      <c r="H40" s="32" t="n">
        <v>13507.58</v>
      </c>
      <c r="I40" s="32" t="n">
        <v>2972</v>
      </c>
      <c r="J40" s="32" t="n">
        <v>1.11</v>
      </c>
      <c r="K40" s="32" t="n">
        <v>268134</v>
      </c>
      <c r="L40" s="31" t="n">
        <v>77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66.05</v>
      </c>
      <c r="P40" s="32" t="n">
        <v>25.58</v>
      </c>
      <c r="Q40" s="32" t="n">
        <v>2166.76</v>
      </c>
      <c r="R40" s="31" t="inlineStr">
        <is>
          <t>Near 52W High Breakout</t>
        </is>
      </c>
      <c r="S40" s="31" t="inlineStr">
        <is>
          <t>Nifty 50</t>
        </is>
      </c>
      <c r="T40" s="32" t="n">
        <v>-4.43</v>
      </c>
      <c r="U40" s="32" t="n">
        <v>71.14</v>
      </c>
      <c r="V40" s="32" t="n">
        <v>79.06999999999999</v>
      </c>
      <c r="W40" s="32" t="n">
        <v>24.82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Between 1.5 to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IF(B41=0,"",RANK(B41,$B$2:$B$282,0))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TALBROAUTO</t>
        </is>
      </c>
      <c r="D41" s="31" t="inlineStr">
        <is>
          <t>Talbros Automotive Components Limited</t>
        </is>
      </c>
      <c r="E41" s="31" t="inlineStr">
        <is>
          <t>auto</t>
        </is>
      </c>
      <c r="F41" s="31" t="inlineStr">
        <is>
          <t>auto ancillaries</t>
        </is>
      </c>
      <c r="G41" s="31" t="inlineStr">
        <is>
          <t>smallcap</t>
        </is>
      </c>
      <c r="H41" s="32" t="n">
        <v>2202.77</v>
      </c>
      <c r="I41" s="32" t="n">
        <v>359.75</v>
      </c>
      <c r="J41" s="32" t="n">
        <v>0.8100000000000001</v>
      </c>
      <c r="K41" s="32" t="n">
        <v>124310</v>
      </c>
      <c r="L41" s="31" t="n">
        <v>49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68.73999999999999</v>
      </c>
      <c r="P41" s="32" t="n">
        <v>27.63</v>
      </c>
      <c r="Q41" s="32" t="n">
        <v>267</v>
      </c>
      <c r="R41" s="31" t="inlineStr">
        <is>
          <t>Near 52W High Breakout</t>
        </is>
      </c>
      <c r="S41" s="31" t="inlineStr">
        <is>
          <t>Nifty Auto</t>
        </is>
      </c>
      <c r="T41" s="32" t="n">
        <v>12.72</v>
      </c>
      <c r="U41" s="32" t="n">
        <v>19.01</v>
      </c>
      <c r="V41" s="32" t="n">
        <v>5.59</v>
      </c>
      <c r="W41" s="32" t="n">
        <v>14.31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Between 12 to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Between 50% to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IF(B42=0,"",RANK(B42,$B$2:$B$282,0))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MENONBE</t>
        </is>
      </c>
      <c r="D42" s="31" t="inlineStr">
        <is>
          <t>Menon Bearings Limited</t>
        </is>
      </c>
      <c r="E42" s="31" t="inlineStr">
        <is>
          <t>auto</t>
        </is>
      </c>
      <c r="F42" s="31" t="inlineStr">
        <is>
          <t>auto ancillaries</t>
        </is>
      </c>
      <c r="G42" s="31" t="inlineStr">
        <is>
          <t>smallcap</t>
        </is>
      </c>
      <c r="H42" s="32" t="n">
        <v>931.72</v>
      </c>
      <c r="I42" s="32" t="n">
        <v>167.15</v>
      </c>
      <c r="J42" s="32" t="n">
        <v>0.54</v>
      </c>
      <c r="K42" s="32" t="n">
        <v>296192</v>
      </c>
      <c r="L42" s="31" t="n">
        <v>52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70.79000000000001</v>
      </c>
      <c r="P42" s="32" t="n">
        <v>30.06</v>
      </c>
      <c r="Q42" s="32" t="n">
        <v>122.12</v>
      </c>
      <c r="R42" s="31" t="inlineStr">
        <is>
          <t>Volume Spike &amp; Near 52W High Breakout</t>
        </is>
      </c>
      <c r="S42" s="31" t="inlineStr">
        <is>
          <t>Nifty Auto</t>
        </is>
      </c>
      <c r="T42" s="32" t="n">
        <v>12.72</v>
      </c>
      <c r="U42" s="32" t="n">
        <v>37.29</v>
      </c>
      <c r="V42" s="32" t="n">
        <v>21.8</v>
      </c>
      <c r="W42" s="32" t="n">
        <v>15.38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No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IF(B43=0,"",RANK(B43,$B$2:$B$282,0))</f>
        <v/>
      </c>
      <c r="B43" s="32">
        <f>SUM(N43,Y43,AA43,AC43,AE43,AG43,AI43,AK43,AM43,AO43,AQ43,AS43,AU43,AW43,AY43,BA43,BC43,BE43,BG43,BI43,BK43,BM43,BO43,BQ43,BS43,BU43,BW43,BY43,CA43,CC43,CE43)</f>
        <v/>
      </c>
      <c r="C43" s="33" t="inlineStr">
        <is>
          <t>GANESHBE</t>
        </is>
      </c>
      <c r="D43" s="33" t="inlineStr">
        <is>
          <t>Ganesh Benzoplast Ltd</t>
        </is>
      </c>
      <c r="E43" s="31" t="inlineStr">
        <is>
          <t>miscellaneous</t>
        </is>
      </c>
      <c r="F43" s="31" t="inlineStr">
        <is>
          <t>miscellaneous</t>
        </is>
      </c>
      <c r="G43" s="31" t="inlineStr">
        <is>
          <t>smallcap</t>
        </is>
      </c>
      <c r="H43" s="32" t="n">
        <v>779.14</v>
      </c>
      <c r="I43" s="32" t="n">
        <v>108.28</v>
      </c>
      <c r="J43" s="32" t="n">
        <v>0.05</v>
      </c>
      <c r="K43" s="32" t="n">
        <v>284707</v>
      </c>
      <c r="L43" s="31" t="n">
        <v>30</v>
      </c>
      <c r="M43" s="31" t="inlineStr">
        <is>
          <t>Underperforming</t>
        </is>
      </c>
      <c r="N43" s="32">
        <f>IF(M43="Underperforming",-5,IF(L43&gt;=95,15,IF(L43&gt;=90,10,IF(L43&gt;=80,5,0))))</f>
        <v/>
      </c>
      <c r="O43" s="32" t="n">
        <v>64.09999999999999</v>
      </c>
      <c r="P43" s="32" t="n">
        <v>22.91</v>
      </c>
      <c r="Q43" s="32" t="n">
        <v>82.31</v>
      </c>
      <c r="R43" s="31" t="inlineStr">
        <is>
          <t>Near 52W High Breakout</t>
        </is>
      </c>
      <c r="S43" s="31" t="inlineStr">
        <is>
          <t>Nifty Energy</t>
        </is>
      </c>
      <c r="T43" s="32" t="n">
        <v>9.800000000000001</v>
      </c>
      <c r="U43" s="32" t="n">
        <v>1.35</v>
      </c>
      <c r="V43" s="32" t="n">
        <v>-7.7</v>
      </c>
      <c r="W43" s="32" t="n">
        <v>9.08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Close to 52 week high or retracement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IF(B44=0,"",RANK(B44,$B$2:$B$282,0))</f>
        <v/>
      </c>
      <c r="B44" s="32">
        <f>SUM(N44,Y44,AA44,AC44,AE44,AG44,AI44,AK44,AM44,AO44,AQ44,AS44,AU44,AW44,AY44,BA44,BC44,BE44,BG44,BI44,BK44,BM44,BO44,BQ44,BS44,BU44,BW44,BY44,CA44,CC44,CE44)</f>
        <v/>
      </c>
      <c r="C44" s="33" t="inlineStr">
        <is>
          <t>NRL</t>
        </is>
      </c>
      <c r="D44" s="33" t="inlineStr">
        <is>
          <t>Nupur Recyclers Ltd</t>
        </is>
      </c>
      <c r="E44" s="31" t="inlineStr">
        <is>
          <t>services</t>
        </is>
      </c>
      <c r="F44" s="31" t="inlineStr">
        <is>
          <t>trading</t>
        </is>
      </c>
      <c r="G44" s="31" t="inlineStr">
        <is>
          <t>smallcap</t>
        </is>
      </c>
      <c r="H44" s="32" t="n">
        <v>518.85</v>
      </c>
      <c r="I44" s="32" t="n">
        <v>74.56999999999999</v>
      </c>
      <c r="J44" s="32" t="n">
        <v>-0.73</v>
      </c>
      <c r="K44" s="32" t="n">
        <v>133426</v>
      </c>
      <c r="L44" s="31" t="n">
        <v>32</v>
      </c>
      <c r="M44" s="31" t="inlineStr">
        <is>
          <t>Underperforming</t>
        </is>
      </c>
      <c r="N44" s="32">
        <f>IF(M44="Underperforming",-5,IF(L44&gt;=95,15,IF(L44&gt;=90,10,IF(L44&gt;=80,5,0))))</f>
        <v/>
      </c>
      <c r="O44" s="32" t="n">
        <v>70.38</v>
      </c>
      <c r="P44" s="32" t="n">
        <v>32.24</v>
      </c>
      <c r="Q44" s="32" t="n">
        <v>55.94</v>
      </c>
      <c r="R44" s="31" t="inlineStr">
        <is>
          <t>Volume Spike / Accumulation</t>
        </is>
      </c>
      <c r="S44" s="31" t="inlineStr">
        <is>
          <t>Nifty 50</t>
        </is>
      </c>
      <c r="T44" s="32" t="n">
        <v>-4.43</v>
      </c>
      <c r="U44" s="32" t="n">
        <v>-12.47</v>
      </c>
      <c r="V44" s="32" t="n">
        <v>-8.41</v>
      </c>
      <c r="W44" s="32" t="n">
        <v>9.6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IF(B45=0,"",RANK(B45,$B$2:$B$282,0))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NGLFINE</t>
        </is>
      </c>
      <c r="D45" s="31" t="inlineStr">
        <is>
          <t>NGL Fine Chem Ltd</t>
        </is>
      </c>
      <c r="E45" s="31" t="inlineStr">
        <is>
          <t>healthcare</t>
        </is>
      </c>
      <c r="F45" s="31" t="inlineStr">
        <is>
          <t>pharmaceuticals - indian - bulk drugs</t>
        </is>
      </c>
      <c r="G45" s="31" t="inlineStr">
        <is>
          <t>smallcap</t>
        </is>
      </c>
      <c r="H45" s="32" t="n">
        <v>1678.26</v>
      </c>
      <c r="I45" s="32" t="n">
        <v>3048.8</v>
      </c>
      <c r="J45" s="32" t="n">
        <v>12.23</v>
      </c>
      <c r="K45" s="32" t="n">
        <v>102235</v>
      </c>
      <c r="L45" s="31" t="n">
        <v>88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79.56999999999999</v>
      </c>
      <c r="P45" s="32" t="n">
        <v>65.64</v>
      </c>
      <c r="Q45" s="32" t="n">
        <v>2028.57</v>
      </c>
      <c r="R45" s="31" t="inlineStr">
        <is>
          <t>Volume Spike &amp; Near 52W High Breakout</t>
        </is>
      </c>
      <c r="S45" s="31" t="inlineStr">
        <is>
          <t>Nifty Pharma</t>
        </is>
      </c>
      <c r="T45" s="32" t="n">
        <v>10.89</v>
      </c>
      <c r="U45" s="32" t="n">
        <v>190.78</v>
      </c>
      <c r="V45" s="32" t="n">
        <v>162.22</v>
      </c>
      <c r="W45" s="32" t="n">
        <v>35.07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Annuity, Lower One Time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IF(B46=0,"",RANK(B46,$B$2:$B$282,0))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SANSTAR</t>
        </is>
      </c>
      <c r="D46" s="31" t="inlineStr">
        <is>
          <t>Sanstar Ltd</t>
        </is>
      </c>
      <c r="E46" s="31" t="inlineStr">
        <is>
          <t>fmcg</t>
        </is>
      </c>
      <c r="F46" s="31" t="inlineStr">
        <is>
          <t>miscellaneous</t>
        </is>
      </c>
      <c r="G46" s="31" t="inlineStr">
        <is>
          <t>smallcap</t>
        </is>
      </c>
      <c r="H46" s="32" t="n">
        <v>2038.22</v>
      </c>
      <c r="I46" s="32" t="n">
        <v>116.48</v>
      </c>
      <c r="J46" s="32" t="n">
        <v>4.15</v>
      </c>
      <c r="K46" s="32" t="n">
        <v>563976</v>
      </c>
      <c r="L46" s="31" t="n">
        <v>48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72.84</v>
      </c>
      <c r="P46" s="32" t="n">
        <v>28.94</v>
      </c>
      <c r="Q46" s="32" t="n">
        <v>92.88</v>
      </c>
      <c r="R46" s="31" t="inlineStr">
        <is>
          <t>Near 52W High Breakout</t>
        </is>
      </c>
      <c r="S46" s="31" t="inlineStr">
        <is>
          <t>Nifty FMCG</t>
        </is>
      </c>
      <c r="T46" s="32" t="n">
        <v>-10.45</v>
      </c>
      <c r="U46" s="32" t="n">
        <v>26.54</v>
      </c>
      <c r="V46" s="32" t="n">
        <v>41.31</v>
      </c>
      <c r="W46" s="32" t="n">
        <v>13.77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B2C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Annuity, Lower One Time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Above 2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IF(B47=0,"",RANK(B47,$B$2:$B$282,0))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MANORAMA</t>
        </is>
      </c>
      <c r="D47" s="31" t="inlineStr">
        <is>
          <t>Manorama Industries Ltd</t>
        </is>
      </c>
      <c r="E47" s="31" t="inlineStr">
        <is>
          <t>fmcg</t>
        </is>
      </c>
      <c r="F47" s="31" t="inlineStr">
        <is>
          <t>food - processing - indian</t>
        </is>
      </c>
      <c r="G47" s="31" t="inlineStr">
        <is>
          <t>midcap</t>
        </is>
      </c>
      <c r="H47" s="32" t="n">
        <v>9160.48</v>
      </c>
      <c r="I47" s="32" t="n">
        <v>1564.4</v>
      </c>
      <c r="J47" s="32" t="n">
        <v>1.97</v>
      </c>
      <c r="K47" s="32" t="n">
        <v>135943</v>
      </c>
      <c r="L47" s="31" t="n">
        <v>19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59.52</v>
      </c>
      <c r="P47" s="32" t="n">
        <v>14.48</v>
      </c>
      <c r="Q47" s="32" t="n">
        <v>1173.77</v>
      </c>
      <c r="R47" s="31" t="inlineStr">
        <is>
          <t>Near 52W High Breakout</t>
        </is>
      </c>
      <c r="S47" s="31" t="inlineStr">
        <is>
          <t>Nifty FMCG</t>
        </is>
      </c>
      <c r="T47" s="32" t="n">
        <v>-10.45</v>
      </c>
      <c r="U47" s="32" t="n">
        <v>10.22</v>
      </c>
      <c r="V47" s="32" t="n">
        <v>23.08</v>
      </c>
      <c r="W47" s="32" t="n">
        <v>6.97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0 to 20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Yes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IF(B48=0,"",RANK(B48,$B$2:$B$282,0))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PGHL</t>
        </is>
      </c>
      <c r="D48" s="31" t="inlineStr">
        <is>
          <t>Procter &amp; Gamble Health Ltd</t>
        </is>
      </c>
      <c r="E48" s="31" t="inlineStr">
        <is>
          <t>healthcare</t>
        </is>
      </c>
      <c r="F48" s="31" t="inlineStr">
        <is>
          <t>pharmaceuticals - multinational</t>
        </is>
      </c>
      <c r="G48" s="31" t="inlineStr">
        <is>
          <t>midcap</t>
        </is>
      </c>
      <c r="H48" s="32" t="n">
        <v>10303.24</v>
      </c>
      <c r="I48" s="32" t="n">
        <v>6287</v>
      </c>
      <c r="J48" s="32" t="n">
        <v>1.29</v>
      </c>
      <c r="K48" s="32" t="n">
        <v>11828</v>
      </c>
      <c r="L48" s="31" t="n">
        <v>30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75.34999999999999</v>
      </c>
      <c r="P48" s="32" t="n">
        <v>34.79</v>
      </c>
      <c r="Q48" s="32" t="n">
        <v>5314.76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10.89</v>
      </c>
      <c r="U48" s="32" t="n">
        <v>11.86</v>
      </c>
      <c r="V48" s="32" t="n">
        <v>0.87</v>
      </c>
      <c r="W48" s="32" t="n">
        <v>9.199999999999999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Less than 1.5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IF(B49=0,"",RANK(B49,$B$2:$B$282,0))</f>
        <v/>
      </c>
      <c r="B49" s="32">
        <f>SUM(N49,Y49,AA49,AC49,AE49,AG49,AI49,AK49,AM49,AO49,AQ49,AS49,AU49,AW49,AY49,BA49,BC49,BE49,BG49,BI49,BK49,BM49,BO49,BQ49,BS49,BU49,BW49,BY49,CA49,CC49,CE49)</f>
        <v/>
      </c>
      <c r="C49" s="33" t="inlineStr">
        <is>
          <t>MARKSANS</t>
        </is>
      </c>
      <c r="D49" s="33" t="inlineStr">
        <is>
          <t>Marksans Pharma Limited</t>
        </is>
      </c>
      <c r="E49" s="31" t="inlineStr">
        <is>
          <t>healthcare</t>
        </is>
      </c>
      <c r="F49" s="31" t="inlineStr">
        <is>
          <t>pharmaceuticals - indian - formulations</t>
        </is>
      </c>
      <c r="G49" s="31" t="inlineStr">
        <is>
          <t>midcap</t>
        </is>
      </c>
      <c r="H49" s="32" t="n">
        <v>11321.39</v>
      </c>
      <c r="I49" s="32" t="n">
        <v>252.37</v>
      </c>
      <c r="J49" s="32" t="n">
        <v>1.02</v>
      </c>
      <c r="K49" s="32" t="n">
        <v>2543587</v>
      </c>
      <c r="L49" s="31" t="n">
        <v>47</v>
      </c>
      <c r="M49" s="31" t="inlineStr">
        <is>
          <t>Underperforming</t>
        </is>
      </c>
      <c r="N49" s="32">
        <f>IF(M49="Underperforming",-5,IF(L49&gt;=95,15,IF(L49&gt;=90,10,IF(L49&gt;=80,5,0))))</f>
        <v/>
      </c>
      <c r="O49" s="32" t="n">
        <v>71.88</v>
      </c>
      <c r="P49" s="32" t="n">
        <v>28.87</v>
      </c>
      <c r="Q49" s="32" t="n">
        <v>193.59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10.89</v>
      </c>
      <c r="U49" s="32" t="n">
        <v>-2.31</v>
      </c>
      <c r="V49" s="32" t="n">
        <v>-11.91</v>
      </c>
      <c r="W49" s="32" t="n">
        <v>13.48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IF(B50=0,"",RANK(B50,$B$2:$B$282,0))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ASTERDM</t>
        </is>
      </c>
      <c r="D50" s="31" t="inlineStr">
        <is>
          <t>Aster DM Healthcare Ltd</t>
        </is>
      </c>
      <c r="E50" s="31" t="inlineStr">
        <is>
          <t>healthcare</t>
        </is>
      </c>
      <c r="F50" s="31" t="inlineStr">
        <is>
          <t>healthcare</t>
        </is>
      </c>
      <c r="G50" s="31" t="inlineStr">
        <is>
          <t>largecap</t>
        </is>
      </c>
      <c r="H50" s="32" t="n">
        <v>42162.1</v>
      </c>
      <c r="I50" s="32" t="n">
        <v>814.95</v>
      </c>
      <c r="J50" s="32" t="n">
        <v>0.15</v>
      </c>
      <c r="K50" s="32" t="n">
        <v>1181355</v>
      </c>
      <c r="L50" s="31" t="n">
        <v>43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71.98999999999999</v>
      </c>
      <c r="P50" s="32" t="n">
        <v>37.06</v>
      </c>
      <c r="Q50" s="32" t="n">
        <v>665.64</v>
      </c>
      <c r="R50" s="31" t="inlineStr">
        <is>
          <t>Volume Spike &amp; Near 52W High Breakout</t>
        </is>
      </c>
      <c r="S50" s="31" t="inlineStr">
        <is>
          <t>Nifty Pharma</t>
        </is>
      </c>
      <c r="T50" s="32" t="n">
        <v>10.89</v>
      </c>
      <c r="U50" s="32" t="n">
        <v>43.92</v>
      </c>
      <c r="V50" s="32" t="n">
        <v>29.78</v>
      </c>
      <c r="W50" s="32" t="n">
        <v>12.45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Between 50 to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Between 1.5 to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IF(B51=0,"",RANK(B51,$B$2:$B$282,0))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GOLDIAM</t>
        </is>
      </c>
      <c r="D51" s="31" t="inlineStr">
        <is>
          <t>Goldiam International Limited</t>
        </is>
      </c>
      <c r="E51" s="31" t="inlineStr">
        <is>
          <t>consumer discretionary</t>
        </is>
      </c>
      <c r="F51" s="31" t="inlineStr">
        <is>
          <t>diamond cutting / jewellery</t>
        </is>
      </c>
      <c r="G51" s="31" t="inlineStr">
        <is>
          <t>smallcap</t>
        </is>
      </c>
      <c r="H51" s="32" t="n">
        <v>4785.46</v>
      </c>
      <c r="I51" s="32" t="n">
        <v>478.8</v>
      </c>
      <c r="J51" s="32" t="n">
        <v>12.98</v>
      </c>
      <c r="K51" s="32" t="n">
        <v>8101241</v>
      </c>
      <c r="L51" s="31" t="n">
        <v>71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64.98</v>
      </c>
      <c r="P51" s="32" t="n">
        <v>25.29</v>
      </c>
      <c r="Q51" s="32" t="n">
        <v>342.17</v>
      </c>
      <c r="R51" s="31" t="inlineStr">
        <is>
          <t>Volume Spike &amp; Near 52W High Breakout</t>
        </is>
      </c>
      <c r="S51" s="31" t="inlineStr">
        <is>
          <t>Nifty 50</t>
        </is>
      </c>
      <c r="T51" s="32" t="n">
        <v>-4.43</v>
      </c>
      <c r="U51" s="32" t="n">
        <v>34.65</v>
      </c>
      <c r="V51" s="32" t="n">
        <v>40.89</v>
      </c>
      <c r="W51" s="32" t="n">
        <v>21.56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IF(B52=0,"",RANK(B52,$B$2:$B$282,0))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AVALON</t>
        </is>
      </c>
      <c r="D52" s="31" t="inlineStr">
        <is>
          <t>Avalon Technologies Ltd</t>
        </is>
      </c>
      <c r="E52" s="31" t="inlineStr">
        <is>
          <t>consumer discretionary</t>
        </is>
      </c>
      <c r="F52" s="31" t="inlineStr">
        <is>
          <t>electronics - components</t>
        </is>
      </c>
      <c r="G52" s="31" t="inlineStr">
        <is>
          <t>midcap</t>
        </is>
      </c>
      <c r="H52" s="32" t="n">
        <v>10470.27</v>
      </c>
      <c r="I52" s="32" t="n">
        <v>1687</v>
      </c>
      <c r="J52" s="32" t="n">
        <v>7.58</v>
      </c>
      <c r="K52" s="32" t="n">
        <v>476593</v>
      </c>
      <c r="L52" s="31" t="n">
        <v>91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76.33</v>
      </c>
      <c r="P52" s="32" t="n">
        <v>32.66</v>
      </c>
      <c r="Q52" s="32" t="n">
        <v>1226.84</v>
      </c>
      <c r="R52" s="31" t="inlineStr">
        <is>
          <t>Near 52W High Breakout</t>
        </is>
      </c>
      <c r="S52" s="31" t="inlineStr">
        <is>
          <t>Nifty 50</t>
        </is>
      </c>
      <c r="T52" s="32" t="n">
        <v>-4.43</v>
      </c>
      <c r="U52" s="32" t="n">
        <v>102.97</v>
      </c>
      <c r="V52" s="32" t="n">
        <v>112.39</v>
      </c>
      <c r="W52" s="32" t="n">
        <v>38.24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IF(B53=0,"",RANK(B53,$B$2:$B$282,0))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GOCLCORP</t>
        </is>
      </c>
      <c r="D53" s="31" t="inlineStr">
        <is>
          <t>Gocl Corporation Limited</t>
        </is>
      </c>
      <c r="E53" s="31" t="inlineStr">
        <is>
          <t>miscellaneous</t>
        </is>
      </c>
      <c r="F53" s="31" t="inlineStr">
        <is>
          <t>diversified - medium / small</t>
        </is>
      </c>
      <c r="G53" s="31" t="inlineStr">
        <is>
          <t>smallcap</t>
        </is>
      </c>
      <c r="H53" s="32" t="n">
        <v>1893.42</v>
      </c>
      <c r="I53" s="32" t="n">
        <v>402.35</v>
      </c>
      <c r="J53" s="32" t="n">
        <v>5.34</v>
      </c>
      <c r="K53" s="32" t="n">
        <v>99937</v>
      </c>
      <c r="L53" s="31" t="n">
        <v>68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69.06999999999999</v>
      </c>
      <c r="P53" s="32" t="n">
        <v>26.76</v>
      </c>
      <c r="Q53" s="32" t="n">
        <v>301.45</v>
      </c>
      <c r="R53" s="31" t="inlineStr">
        <is>
          <t>Near 52W High Breakout</t>
        </is>
      </c>
      <c r="S53" s="31" t="inlineStr">
        <is>
          <t>Nifty IT</t>
        </is>
      </c>
      <c r="T53" s="32" t="n">
        <v>-27.75</v>
      </c>
      <c r="U53" s="32" t="n">
        <v>6.07</v>
      </c>
      <c r="V53" s="32" t="n">
        <v>46.8</v>
      </c>
      <c r="W53" s="32" t="n">
        <v>19.62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IF(B54=0,"",RANK(B54,$B$2:$B$282,0))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SPORTKING</t>
        </is>
      </c>
      <c r="D54" s="31" t="inlineStr">
        <is>
          <t>Sportking India Ltd</t>
        </is>
      </c>
      <c r="E54" s="31" t="inlineStr">
        <is>
          <t>textiles</t>
        </is>
      </c>
      <c r="F54" s="31" t="inlineStr">
        <is>
          <t>textiles - spinning - synthetic / blended</t>
        </is>
      </c>
      <c r="G54" s="31" t="inlineStr">
        <is>
          <t>smallcap</t>
        </is>
      </c>
      <c r="H54" s="32" t="n">
        <v>2206.1</v>
      </c>
      <c r="I54" s="32" t="n">
        <v>182.62</v>
      </c>
      <c r="J54" s="32" t="n">
        <v>5.19</v>
      </c>
      <c r="K54" s="32" t="n">
        <v>476001</v>
      </c>
      <c r="L54" s="31" t="n">
        <v>81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80.94</v>
      </c>
      <c r="P54" s="32" t="n">
        <v>54.59</v>
      </c>
      <c r="Q54" s="32" t="n">
        <v>135.34</v>
      </c>
      <c r="R54" s="31" t="inlineStr">
        <is>
          <t>Near 52W High Breakout</t>
        </is>
      </c>
      <c r="S54" s="31" t="inlineStr">
        <is>
          <t>Nifty 50</t>
        </is>
      </c>
      <c r="T54" s="32" t="n">
        <v>-4.43</v>
      </c>
      <c r="U54" s="32" t="n">
        <v>63.88</v>
      </c>
      <c r="V54" s="32" t="n">
        <v>71.48</v>
      </c>
      <c r="W54" s="32" t="n">
        <v>27.68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Less than 12%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No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IF(B55=0,"",RANK(B55,$B$2:$B$282,0))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RISHABH</t>
        </is>
      </c>
      <c r="D55" s="31" t="inlineStr">
        <is>
          <t>Rishabh Instruments Ltd</t>
        </is>
      </c>
      <c r="E55" s="31" t="inlineStr">
        <is>
          <t>industrials</t>
        </is>
      </c>
      <c r="F55" s="31" t="inlineStr">
        <is>
          <t>electric equipment</t>
        </is>
      </c>
      <c r="G55" s="31" t="inlineStr">
        <is>
          <t>smallcap</t>
        </is>
      </c>
      <c r="H55" s="32" t="n">
        <v>2067.61</v>
      </c>
      <c r="I55" s="32" t="n">
        <v>556.45</v>
      </c>
      <c r="J55" s="32" t="n">
        <v>3.74</v>
      </c>
      <c r="K55" s="32" t="n">
        <v>185867</v>
      </c>
      <c r="L55" s="31" t="n">
        <v>75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65.33</v>
      </c>
      <c r="P55" s="32" t="n">
        <v>29.07</v>
      </c>
      <c r="Q55" s="32" t="n">
        <v>390.2</v>
      </c>
      <c r="R55" s="31" t="inlineStr">
        <is>
          <t>Near 52W High Breakout</t>
        </is>
      </c>
      <c r="S55" s="31" t="inlineStr">
        <is>
          <t>Nifty Infra</t>
        </is>
      </c>
      <c r="T55" s="32" t="n">
        <v>2.95</v>
      </c>
      <c r="U55" s="32" t="n">
        <v>87.09999999999999</v>
      </c>
      <c r="V55" s="32" t="n">
        <v>81.73999999999999</v>
      </c>
      <c r="W55" s="32" t="n">
        <v>23.94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No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IF(B56=0,"",RANK(B56,$B$2:$B$282,0))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UNIPARTS</t>
        </is>
      </c>
      <c r="D56" s="31" t="inlineStr">
        <is>
          <t>Uniparts India Ltd</t>
        </is>
      </c>
      <c r="E56" s="31" t="inlineStr">
        <is>
          <t>industrials</t>
        </is>
      </c>
      <c r="F56" s="31" t="inlineStr">
        <is>
          <t>engineering</t>
        </is>
      </c>
      <c r="G56" s="31" t="inlineStr">
        <is>
          <t>smallcap</t>
        </is>
      </c>
      <c r="H56" s="32" t="n">
        <v>2876.29</v>
      </c>
      <c r="I56" s="32" t="n">
        <v>659.7</v>
      </c>
      <c r="J56" s="32" t="n">
        <v>3.54</v>
      </c>
      <c r="K56" s="32" t="n">
        <v>198227</v>
      </c>
      <c r="L56" s="31" t="n">
        <v>77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73.89</v>
      </c>
      <c r="P56" s="32" t="n">
        <v>34.24</v>
      </c>
      <c r="Q56" s="32" t="n">
        <v>510.93</v>
      </c>
      <c r="R56" s="31" t="inlineStr">
        <is>
          <t>Near 52W High Breakout</t>
        </is>
      </c>
      <c r="S56" s="31" t="inlineStr">
        <is>
          <t>Nifty 50</t>
        </is>
      </c>
      <c r="T56" s="32" t="n">
        <v>-4.43</v>
      </c>
      <c r="U56" s="32" t="n">
        <v>84.56999999999999</v>
      </c>
      <c r="V56" s="32" t="n">
        <v>93.13</v>
      </c>
      <c r="W56" s="32" t="n">
        <v>24.75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IF(B57=0,"",RANK(B57,$B$2:$B$282,0))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CENTENKA</t>
        </is>
      </c>
      <c r="D57" s="31" t="inlineStr">
        <is>
          <t>Century Enka Limited</t>
        </is>
      </c>
      <c r="E57" s="31" t="inlineStr">
        <is>
          <t>textiles</t>
        </is>
      </c>
      <c r="F57" s="31" t="inlineStr">
        <is>
          <t>textiles - manmade</t>
        </is>
      </c>
      <c r="G57" s="31" t="inlineStr">
        <is>
          <t>smallcap</t>
        </is>
      </c>
      <c r="H57" s="32" t="n">
        <v>1070.35</v>
      </c>
      <c r="I57" s="32" t="n">
        <v>501.9</v>
      </c>
      <c r="J57" s="32" t="n">
        <v>2.46</v>
      </c>
      <c r="K57" s="32" t="n">
        <v>17016</v>
      </c>
      <c r="L57" s="31" t="n">
        <v>17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58.48</v>
      </c>
      <c r="P57" s="32" t="n">
        <v>28.09</v>
      </c>
      <c r="Q57" s="32" t="n">
        <v>403.21</v>
      </c>
      <c r="R57" s="31" t="inlineStr">
        <is>
          <t>Near 52W High Breakout</t>
        </is>
      </c>
      <c r="S57" s="31" t="inlineStr">
        <is>
          <t>Nifty 50</t>
        </is>
      </c>
      <c r="T57" s="32" t="n">
        <v>-4.43</v>
      </c>
      <c r="U57" s="32" t="n">
        <v>6.03</v>
      </c>
      <c r="V57" s="32" t="n">
        <v>10.95</v>
      </c>
      <c r="W57" s="32" t="n">
        <v>6.41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IF(B58=0,"",RANK(B58,$B$2:$B$282,0))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PIDILITIND</t>
        </is>
      </c>
      <c r="D58" s="31" t="inlineStr">
        <is>
          <t>Pidilite Industries Limited</t>
        </is>
      </c>
      <c r="E58" s="31" t="inlineStr">
        <is>
          <t>chemicals</t>
        </is>
      </c>
      <c r="F58" s="31" t="inlineStr">
        <is>
          <t>chemicals</t>
        </is>
      </c>
      <c r="G58" s="31" t="inlineStr">
        <is>
          <t>largecap</t>
        </is>
      </c>
      <c r="H58" s="32" t="n">
        <v>152542.81</v>
      </c>
      <c r="I58" s="32" t="n">
        <v>1535.5</v>
      </c>
      <c r="J58" s="32" t="n">
        <v>2.45</v>
      </c>
      <c r="K58" s="32" t="n">
        <v>1254231</v>
      </c>
      <c r="L58" s="31" t="n">
        <v>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61.83</v>
      </c>
      <c r="P58" s="32" t="n">
        <v>20.96</v>
      </c>
      <c r="Q58" s="32" t="n">
        <v>1321.54</v>
      </c>
      <c r="R58" s="31" t="inlineStr">
        <is>
          <t>Near 52W High Breakout</t>
        </is>
      </c>
      <c r="S58" s="31" t="inlineStr">
        <is>
          <t>Nifty 500</t>
        </is>
      </c>
      <c r="T58" s="32" t="n">
        <v>-1.34</v>
      </c>
      <c r="U58" s="32" t="n">
        <v>2.64</v>
      </c>
      <c r="V58" s="32" t="n">
        <v>4.03</v>
      </c>
      <c r="W58" s="32" t="n">
        <v>3.75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IF(B59=0,"",RANK(B59,$B$2:$B$282,0))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SANSERA</t>
        </is>
      </c>
      <c r="D59" s="31" t="inlineStr">
        <is>
          <t>Sansera Engineering Ltd</t>
        </is>
      </c>
      <c r="E59" s="31" t="inlineStr">
        <is>
          <t>auto</t>
        </is>
      </c>
      <c r="F59" s="31" t="inlineStr">
        <is>
          <t>auto ancillaries</t>
        </is>
      </c>
      <c r="G59" s="31" t="inlineStr">
        <is>
          <t>midcap</t>
        </is>
      </c>
      <c r="H59" s="32" t="n">
        <v>17836.32</v>
      </c>
      <c r="I59" s="32" t="n">
        <v>2914.2</v>
      </c>
      <c r="J59" s="32" t="n">
        <v>1.84</v>
      </c>
      <c r="K59" s="32" t="n">
        <v>233548</v>
      </c>
      <c r="L59" s="31" t="n">
        <v>82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73.15000000000001</v>
      </c>
      <c r="P59" s="32" t="n">
        <v>39.85</v>
      </c>
      <c r="Q59" s="32" t="n">
        <v>2288.97</v>
      </c>
      <c r="R59" s="31" t="inlineStr">
        <is>
          <t>Near 52W High Breakout</t>
        </is>
      </c>
      <c r="S59" s="31" t="inlineStr">
        <is>
          <t>Nifty Auto</t>
        </is>
      </c>
      <c r="T59" s="32" t="n">
        <v>12.72</v>
      </c>
      <c r="U59" s="32" t="n">
        <v>122.25</v>
      </c>
      <c r="V59" s="32" t="n">
        <v>97.18000000000001</v>
      </c>
      <c r="W59" s="32" t="n">
        <v>28.27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IF(B60=0,"",RANK(B60,$B$2:$B$282,0))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PTL</t>
        </is>
      </c>
      <c r="D60" s="31" t="inlineStr">
        <is>
          <t>Ptl Enterprises Limited</t>
        </is>
      </c>
      <c r="E60" s="31" t="inlineStr">
        <is>
          <t>miscellaneous</t>
        </is>
      </c>
      <c r="F60" s="31" t="inlineStr">
        <is>
          <t>miscellaneous</t>
        </is>
      </c>
      <c r="G60" s="31" t="inlineStr">
        <is>
          <t>smallcap</t>
        </is>
      </c>
      <c r="H60" s="32" t="n">
        <v>529.77</v>
      </c>
      <c r="I60" s="32" t="n">
        <v>40.75</v>
      </c>
      <c r="J60" s="32" t="n">
        <v>1.82</v>
      </c>
      <c r="K60" s="32" t="n">
        <v>94774</v>
      </c>
      <c r="L60" s="31" t="n">
        <v>5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59.29</v>
      </c>
      <c r="P60" s="32" t="n">
        <v>11.53</v>
      </c>
      <c r="Q60" s="32" t="n">
        <v>34.85</v>
      </c>
      <c r="R60" s="31" t="inlineStr">
        <is>
          <t>Near 52W High Breakout</t>
        </is>
      </c>
      <c r="S60" s="31" t="inlineStr">
        <is>
          <t>Nifty 50</t>
        </is>
      </c>
      <c r="T60" s="32" t="n">
        <v>-4.43</v>
      </c>
      <c r="U60" s="32" t="n">
        <v>4.73</v>
      </c>
      <c r="V60" s="32" t="n">
        <v>9.58</v>
      </c>
      <c r="W60" s="32" t="n">
        <v>2.91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0 to 20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IF(B61=0,"",RANK(B61,$B$2:$B$282,0))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CEIGALL</t>
        </is>
      </c>
      <c r="D61" s="31" t="inlineStr">
        <is>
          <t>Ceigall India Ltd</t>
        </is>
      </c>
      <c r="E61" s="31" t="inlineStr">
        <is>
          <t>realty</t>
        </is>
      </c>
      <c r="F61" s="31" t="inlineStr">
        <is>
          <t>construction</t>
        </is>
      </c>
      <c r="G61" s="31" t="inlineStr">
        <is>
          <t>midcap</t>
        </is>
      </c>
      <c r="H61" s="32" t="n">
        <v>6444.71</v>
      </c>
      <c r="I61" s="32" t="n">
        <v>375.05</v>
      </c>
      <c r="J61" s="32" t="n">
        <v>1.38</v>
      </c>
      <c r="K61" s="32" t="n">
        <v>905653</v>
      </c>
      <c r="L61" s="31" t="n">
        <v>63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72.03</v>
      </c>
      <c r="P61" s="32" t="n">
        <v>44</v>
      </c>
      <c r="Q61" s="32" t="n">
        <v>295.46</v>
      </c>
      <c r="R61" s="31" t="inlineStr">
        <is>
          <t>Near 52W High Breakout</t>
        </is>
      </c>
      <c r="S61" s="31" t="inlineStr">
        <is>
          <t>Nifty Realty</t>
        </is>
      </c>
      <c r="T61" s="32" t="n">
        <v>-23.58</v>
      </c>
      <c r="U61" s="32" t="n">
        <v>50.75</v>
      </c>
      <c r="V61" s="32" t="n">
        <v>97.26000000000001</v>
      </c>
      <c r="W61" s="32" t="n">
        <v>18.13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Close to 52 week high or retracement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Negative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IF(B62=0,"",RANK(B62,$B$2:$B$282,0))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CUMMINSIND</t>
        </is>
      </c>
      <c r="D62" s="31" t="inlineStr">
        <is>
          <t>Cummins India Limited</t>
        </is>
      </c>
      <c r="E62" s="31" t="inlineStr">
        <is>
          <t>industrials</t>
        </is>
      </c>
      <c r="F62" s="31" t="inlineStr">
        <is>
          <t>engines</t>
        </is>
      </c>
      <c r="G62" s="31" t="inlineStr">
        <is>
          <t>largecap</t>
        </is>
      </c>
      <c r="H62" s="32" t="n">
        <v>154040.04</v>
      </c>
      <c r="I62" s="32" t="n">
        <v>5621.5</v>
      </c>
      <c r="J62" s="32" t="n">
        <v>1.16</v>
      </c>
      <c r="K62" s="32" t="n">
        <v>249004</v>
      </c>
      <c r="L62" s="31" t="n">
        <v>55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69.47</v>
      </c>
      <c r="P62" s="32" t="n">
        <v>40.49</v>
      </c>
      <c r="Q62" s="32" t="n">
        <v>4958.5</v>
      </c>
      <c r="R62" s="31" t="inlineStr">
        <is>
          <t>Near 52W High Breakout</t>
        </is>
      </c>
      <c r="S62" s="31" t="inlineStr">
        <is>
          <t>Nifty 500</t>
        </is>
      </c>
      <c r="T62" s="32" t="n">
        <v>-1.34</v>
      </c>
      <c r="U62" s="32" t="n">
        <v>72.22</v>
      </c>
      <c r="V62" s="32" t="n">
        <v>74.55</v>
      </c>
      <c r="W62" s="32" t="n">
        <v>16.08</v>
      </c>
      <c r="X62" s="31" t="inlineStr">
        <is>
          <t>Cyclical in an Upturn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Between 50% to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IF(B63=0,"",RANK(B63,$B$2:$B$282,0))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MAYURUNIQ</t>
        </is>
      </c>
      <c r="D63" s="31" t="inlineStr">
        <is>
          <t>Mayur Uniquoters Ltd</t>
        </is>
      </c>
      <c r="E63" s="31" t="inlineStr">
        <is>
          <t>consumer discretionary</t>
        </is>
      </c>
      <c r="F63" s="31" t="inlineStr">
        <is>
          <t>leather / leather products</t>
        </is>
      </c>
      <c r="G63" s="31" t="inlineStr">
        <is>
          <t>smallcap</t>
        </is>
      </c>
      <c r="H63" s="32" t="n">
        <v>3446.23</v>
      </c>
      <c r="I63" s="32" t="n">
        <v>793.2</v>
      </c>
      <c r="J63" s="32" t="n">
        <v>0.01</v>
      </c>
      <c r="K63" s="32" t="n">
        <v>150911</v>
      </c>
      <c r="L63" s="31" t="n">
        <v>69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77.55</v>
      </c>
      <c r="P63" s="32" t="n">
        <v>35.68</v>
      </c>
      <c r="Q63" s="32" t="n">
        <v>613.42</v>
      </c>
      <c r="R63" s="31" t="inlineStr">
        <is>
          <t>Volume Spike &amp; Near 52W High Breakout</t>
        </is>
      </c>
      <c r="S63" s="31" t="inlineStr">
        <is>
          <t>Nifty 50</t>
        </is>
      </c>
      <c r="T63" s="32" t="n">
        <v>-4.43</v>
      </c>
      <c r="U63" s="32" t="n">
        <v>38.37</v>
      </c>
      <c r="V63" s="32" t="n">
        <v>44.79</v>
      </c>
      <c r="W63" s="32" t="n">
        <v>20.53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Between 50% to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IF(B64=0,"",RANK(B64,$B$2:$B$282,0))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GRWRHITECH</t>
        </is>
      </c>
      <c r="D64" s="31" t="inlineStr">
        <is>
          <t>Garware Hi Tech Films Ltd</t>
        </is>
      </c>
      <c r="E64" s="31" t="inlineStr">
        <is>
          <t>industrials</t>
        </is>
      </c>
      <c r="F64" s="31" t="inlineStr">
        <is>
          <t>packaging</t>
        </is>
      </c>
      <c r="G64" s="31" t="inlineStr">
        <is>
          <t>midcap</t>
        </is>
      </c>
      <c r="H64" s="32" t="n">
        <v>14499.34</v>
      </c>
      <c r="I64" s="32" t="n">
        <v>6131.5</v>
      </c>
      <c r="J64" s="32" t="n">
        <v>-1.75</v>
      </c>
      <c r="K64" s="32" t="n">
        <v>54031</v>
      </c>
      <c r="L64" s="31" t="n">
        <v>73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73.89</v>
      </c>
      <c r="P64" s="32" t="n">
        <v>27.82</v>
      </c>
      <c r="Q64" s="32" t="n">
        <v>4498.87</v>
      </c>
      <c r="R64" s="31" t="inlineStr">
        <is>
          <t>Near 52W High Breakout</t>
        </is>
      </c>
      <c r="S64" s="31" t="inlineStr">
        <is>
          <t>Nifty 50</t>
        </is>
      </c>
      <c r="T64" s="32" t="n">
        <v>-4.43</v>
      </c>
      <c r="U64" s="32" t="n">
        <v>43.86</v>
      </c>
      <c r="V64" s="32" t="n">
        <v>50.53</v>
      </c>
      <c r="W64" s="32" t="n">
        <v>22.68</v>
      </c>
      <c r="X64" s="31" t="inlineStr">
        <is>
          <t>Cyclical in an Upturn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IF(B65=0,"",RANK(B65,$B$2:$B$282,0))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MODISONLTD</t>
        </is>
      </c>
      <c r="D65" s="31" t="inlineStr">
        <is>
          <t>Modison Ltd</t>
        </is>
      </c>
      <c r="E65" s="31" t="inlineStr">
        <is>
          <t>industrials</t>
        </is>
      </c>
      <c r="F65" s="31" t="inlineStr">
        <is>
          <t>electric equipment</t>
        </is>
      </c>
      <c r="G65" s="31" t="inlineStr">
        <is>
          <t>smallcap</t>
        </is>
      </c>
      <c r="H65" s="32" t="n">
        <v>1041.48</v>
      </c>
      <c r="I65" s="32" t="n">
        <v>304.95</v>
      </c>
      <c r="J65" s="32" t="n">
        <v>-4.99</v>
      </c>
      <c r="K65" s="32" t="n">
        <v>197575</v>
      </c>
      <c r="L65" s="31" t="n">
        <v>97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71.20999999999999</v>
      </c>
      <c r="P65" s="32" t="n">
        <v>34.44</v>
      </c>
      <c r="Q65" s="32" t="n">
        <v>270.99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-4.43</v>
      </c>
      <c r="U65" s="32" t="n">
        <v>91.41</v>
      </c>
      <c r="V65" s="32" t="n">
        <v>100.29</v>
      </c>
      <c r="W65" s="32" t="n">
        <v>57.77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20 to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IF(B66=0,"",RANK(B66,$B$2:$B$282,0))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ORCHPHARMA</t>
        </is>
      </c>
      <c r="D66" s="31" t="inlineStr">
        <is>
          <t>Orchid Pharma Ltd</t>
        </is>
      </c>
      <c r="E66" s="31" t="inlineStr">
        <is>
          <t>healthcare</t>
        </is>
      </c>
      <c r="F66" s="31" t="inlineStr">
        <is>
          <t>pharmaceuticals - indian - bulk drugs &amp; formln</t>
        </is>
      </c>
      <c r="G66" s="31" t="inlineStr">
        <is>
          <t>smallcap</t>
        </is>
      </c>
      <c r="H66" s="32" t="n">
        <v>4290.58</v>
      </c>
      <c r="I66" s="32" t="n">
        <v>917.1</v>
      </c>
      <c r="J66" s="32" t="n">
        <v>8.41</v>
      </c>
      <c r="K66" s="32" t="n">
        <v>496587</v>
      </c>
      <c r="L66" s="31" t="n">
        <v>80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71.58</v>
      </c>
      <c r="P66" s="32" t="n">
        <v>35.76</v>
      </c>
      <c r="Q66" s="32" t="n">
        <v>700.1799999999999</v>
      </c>
      <c r="R66" s="31" t="inlineStr">
        <is>
          <t>Volume Spike &amp; Near 52W High Breakout</t>
        </is>
      </c>
      <c r="S66" s="31" t="inlineStr">
        <is>
          <t>Nifty Pharma</t>
        </is>
      </c>
      <c r="T66" s="32" t="n">
        <v>10.89</v>
      </c>
      <c r="U66" s="32" t="n">
        <v>28.43</v>
      </c>
      <c r="V66" s="32" t="n">
        <v>15.81</v>
      </c>
      <c r="W66" s="32" t="n">
        <v>27.51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IF(B67=0,"",RANK(B67,$B$2:$B$282,0))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SUPRIYA</t>
        </is>
      </c>
      <c r="D67" s="31" t="inlineStr">
        <is>
          <t>Supriya Lifescience Ltd</t>
        </is>
      </c>
      <c r="E67" s="31" t="inlineStr">
        <is>
          <t>healthcare</t>
        </is>
      </c>
      <c r="F67" s="31" t="inlineStr">
        <is>
          <t>pharmaceuticals - indian - bulk drugs &amp; formln</t>
        </is>
      </c>
      <c r="G67" s="31" t="inlineStr">
        <is>
          <t>midcap</t>
        </is>
      </c>
      <c r="H67" s="32" t="n">
        <v>7541.24</v>
      </c>
      <c r="I67" s="32" t="n">
        <v>977.15</v>
      </c>
      <c r="J67" s="32" t="n">
        <v>4.29</v>
      </c>
      <c r="K67" s="32" t="n">
        <v>709530</v>
      </c>
      <c r="L67" s="31" t="n">
        <v>78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77.11</v>
      </c>
      <c r="P67" s="32" t="n">
        <v>33.96</v>
      </c>
      <c r="Q67" s="32" t="n">
        <v>741.1</v>
      </c>
      <c r="R67" s="31" t="inlineStr">
        <is>
          <t>Near 52W High Breakout</t>
        </is>
      </c>
      <c r="S67" s="31" t="inlineStr">
        <is>
          <t>Nifty Pharma</t>
        </is>
      </c>
      <c r="T67" s="32" t="n">
        <v>10.89</v>
      </c>
      <c r="U67" s="32" t="n">
        <v>41.92</v>
      </c>
      <c r="V67" s="32" t="n">
        <v>27.98</v>
      </c>
      <c r="W67" s="32" t="n">
        <v>25.05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Above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Less than 1.5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IF(B68=0,"",RANK(B68,$B$2:$B$282,0))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KEI</t>
        </is>
      </c>
      <c r="D68" s="31" t="inlineStr">
        <is>
          <t>Kei Industries Limited</t>
        </is>
      </c>
      <c r="E68" s="31" t="inlineStr">
        <is>
          <t>industrials</t>
        </is>
      </c>
      <c r="F68" s="31" t="inlineStr">
        <is>
          <t>cables - power</t>
        </is>
      </c>
      <c r="G68" s="31" t="inlineStr">
        <is>
          <t>largecap</t>
        </is>
      </c>
      <c r="H68" s="32" t="n">
        <v>49535.45</v>
      </c>
      <c r="I68" s="32" t="n">
        <v>5369.5</v>
      </c>
      <c r="J68" s="32" t="n">
        <v>3.63</v>
      </c>
      <c r="K68" s="32" t="n">
        <v>225909</v>
      </c>
      <c r="L68" s="31" t="n">
        <v>49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67.22</v>
      </c>
      <c r="P68" s="32" t="n">
        <v>21.57</v>
      </c>
      <c r="Q68" s="32" t="n">
        <v>4300.75</v>
      </c>
      <c r="R68" s="31" t="inlineStr">
        <is>
          <t>Near 52W High Breakout</t>
        </is>
      </c>
      <c r="S68" s="31" t="inlineStr">
        <is>
          <t>Nifty Energy</t>
        </is>
      </c>
      <c r="T68" s="32" t="n">
        <v>9.800000000000001</v>
      </c>
      <c r="U68" s="32" t="n">
        <v>46.45</v>
      </c>
      <c r="V68" s="32" t="n">
        <v>33.38</v>
      </c>
      <c r="W68" s="32" t="n">
        <v>14.32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Fully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Yes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Yes, More Than 10%</t>
        </is>
      </c>
      <c r="CE68" s="31">
        <f>IF(CD68="Yes, more than 10%",-10,IF(CD68="No",10,0))</f>
        <v/>
      </c>
    </row>
    <row r="69">
      <c r="A69" s="31">
        <f>IF(B69=0,"",RANK(B69,$B$2:$B$282,0))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THYROCARE</t>
        </is>
      </c>
      <c r="D69" s="31" t="inlineStr">
        <is>
          <t>Thyrocare Technologies Limited</t>
        </is>
      </c>
      <c r="E69" s="31" t="inlineStr">
        <is>
          <t>healthcare</t>
        </is>
      </c>
      <c r="F69" s="31" t="inlineStr">
        <is>
          <t>healthcare</t>
        </is>
      </c>
      <c r="G69" s="31" t="inlineStr">
        <is>
          <t>midcap</t>
        </is>
      </c>
      <c r="H69" s="32" t="n">
        <v>8267.049999999999</v>
      </c>
      <c r="I69" s="32" t="n">
        <v>528.9</v>
      </c>
      <c r="J69" s="32" t="n">
        <v>1.83</v>
      </c>
      <c r="K69" s="32" t="n">
        <v>331843</v>
      </c>
      <c r="L69" s="31" t="n">
        <v>72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68.98999999999999</v>
      </c>
      <c r="P69" s="32" t="n">
        <v>25.67</v>
      </c>
      <c r="Q69" s="32" t="n">
        <v>395.53</v>
      </c>
      <c r="R69" s="31" t="inlineStr">
        <is>
          <t>Near 52W High Breakout</t>
        </is>
      </c>
      <c r="S69" s="31" t="inlineStr">
        <is>
          <t>Nifty Pharma</t>
        </is>
      </c>
      <c r="T69" s="32" t="n">
        <v>10.89</v>
      </c>
      <c r="U69" s="32" t="n">
        <v>58.7</v>
      </c>
      <c r="V69" s="32" t="n">
        <v>43.11</v>
      </c>
      <c r="W69" s="32" t="n">
        <v>21.72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20 to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IF(B70=0,"",RANK(B70,$B$2:$B$282,0))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SHILPAMED</t>
        </is>
      </c>
      <c r="D70" s="31" t="inlineStr">
        <is>
          <t>Shilpa Medicare Limited</t>
        </is>
      </c>
      <c r="E70" s="31" t="inlineStr">
        <is>
          <t>healthcare</t>
        </is>
      </c>
      <c r="F70" s="31" t="inlineStr">
        <is>
          <t>pharmaceuticals - indian - formulations</t>
        </is>
      </c>
      <c r="G70" s="31" t="inlineStr">
        <is>
          <t>midcap</t>
        </is>
      </c>
      <c r="H70" s="32" t="n">
        <v>10538.93</v>
      </c>
      <c r="I70" s="32" t="n">
        <v>546.75</v>
      </c>
      <c r="J70" s="32" t="n">
        <v>1.47</v>
      </c>
      <c r="K70" s="32" t="n">
        <v>655163</v>
      </c>
      <c r="L70" s="31" t="n">
        <v>72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79.55</v>
      </c>
      <c r="P70" s="32" t="n">
        <v>44.75</v>
      </c>
      <c r="Q70" s="32" t="n">
        <v>423.93</v>
      </c>
      <c r="R70" s="31" t="inlineStr">
        <is>
          <t>Near 52W High Breakout</t>
        </is>
      </c>
      <c r="S70" s="31" t="inlineStr">
        <is>
          <t>Nifty Pharma</t>
        </is>
      </c>
      <c r="T70" s="32" t="n">
        <v>10.89</v>
      </c>
      <c r="U70" s="32" t="n">
        <v>11.06</v>
      </c>
      <c r="V70" s="32" t="n">
        <v>0.15</v>
      </c>
      <c r="W70" s="32" t="n">
        <v>21.62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Yes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Annuity, Lower One Time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Above 40</t>
        </is>
      </c>
      <c r="AY70" s="31">
        <f>IF(AX70="Above 40",20,IF(AX70="20 to 40",10,IF(AX70="0 to 20",-5,0)))</f>
        <v/>
      </c>
      <c r="AZ70" s="31" t="inlineStr">
        <is>
          <t>Above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Above 2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IF(B71=0,"",RANK(B71,$B$2:$B$282,0))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NEULANDLAB</t>
        </is>
      </c>
      <c r="D71" s="31" t="inlineStr">
        <is>
          <t>Neuland Laboratories Limited</t>
        </is>
      </c>
      <c r="E71" s="31" t="inlineStr">
        <is>
          <t>healthcare</t>
        </is>
      </c>
      <c r="F71" s="31" t="inlineStr">
        <is>
          <t>pharmaceuticals - indian - bulk drugs</t>
        </is>
      </c>
      <c r="G71" s="31" t="inlineStr">
        <is>
          <t>largecap</t>
        </is>
      </c>
      <c r="H71" s="32" t="n">
        <v>21776.17</v>
      </c>
      <c r="I71" s="32" t="n">
        <v>17198</v>
      </c>
      <c r="J71" s="32" t="n">
        <v>1.33</v>
      </c>
      <c r="K71" s="32" t="n">
        <v>35209</v>
      </c>
      <c r="L71" s="31" t="n">
        <v>56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62.17</v>
      </c>
      <c r="P71" s="32" t="n">
        <v>31.15</v>
      </c>
      <c r="Q71" s="32" t="n">
        <v>13815.39</v>
      </c>
      <c r="R71" s="31" t="inlineStr">
        <is>
          <t>Near 52W High Breakout</t>
        </is>
      </c>
      <c r="S71" s="31" t="inlineStr">
        <is>
          <t>Nifty Pharma</t>
        </is>
      </c>
      <c r="T71" s="32" t="n">
        <v>10.89</v>
      </c>
      <c r="U71" s="32" t="n">
        <v>30.46</v>
      </c>
      <c r="V71" s="32" t="n">
        <v>17.65</v>
      </c>
      <c r="W71" s="32" t="n">
        <v>16.11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Yes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Annuity, Lower One Time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IF(B72=0,"",RANK(B72,$B$2:$B$282,0))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PIXTRANS</t>
        </is>
      </c>
      <c r="D72" s="31" t="inlineStr">
        <is>
          <t>Pix Transmission Ltd</t>
        </is>
      </c>
      <c r="E72" s="31" t="inlineStr">
        <is>
          <t>fmcg</t>
        </is>
      </c>
      <c r="F72" s="31" t="inlineStr">
        <is>
          <t>miscellaneous</t>
        </is>
      </c>
      <c r="G72" s="31" t="inlineStr">
        <is>
          <t>smallcap</t>
        </is>
      </c>
      <c r="H72" s="32" t="n">
        <v>2172.67</v>
      </c>
      <c r="I72" s="32" t="n">
        <v>1604.2</v>
      </c>
      <c r="J72" s="32" t="n">
        <v>0.6</v>
      </c>
      <c r="K72" s="32" t="n">
        <v>14619</v>
      </c>
      <c r="L72" s="31" t="n">
        <v>8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59.76</v>
      </c>
      <c r="P72" s="32" t="n">
        <v>20.2</v>
      </c>
      <c r="Q72" s="32" t="n">
        <v>1311.31</v>
      </c>
      <c r="R72" s="31" t="inlineStr">
        <is>
          <t>Near 52W High Breakout</t>
        </is>
      </c>
      <c r="S72" s="31" t="inlineStr">
        <is>
          <t>Nifty FMCG</t>
        </is>
      </c>
      <c r="T72" s="32" t="n">
        <v>-10.45</v>
      </c>
      <c r="U72" s="32" t="n">
        <v>3.2</v>
      </c>
      <c r="V72" s="32" t="n">
        <v>15.24</v>
      </c>
      <c r="W72" s="32" t="n">
        <v>3.8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B2C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IF(B73=0,"",RANK(B73,$B$2:$B$282,0))</f>
        <v/>
      </c>
      <c r="B73" s="32">
        <f>SUM(N73,Y73,AA73,AC73,AE73,AG73,AI73,AK73,AM73,AO73,AQ73,AS73,AU73,AW73,AY73,BA73,BC73,BE73,BG73,BI73,BK73,BM73,BO73,BQ73,BS73,BU73,BW73,BY73,CA73,CC73,CE73)</f>
        <v/>
      </c>
      <c r="C73" s="33" t="inlineStr">
        <is>
          <t>INNOVACAP</t>
        </is>
      </c>
      <c r="D73" s="33" t="inlineStr">
        <is>
          <t>Innova Captab Ltd</t>
        </is>
      </c>
      <c r="E73" s="31" t="inlineStr">
        <is>
          <t>healthcare</t>
        </is>
      </c>
      <c r="F73" s="31" t="inlineStr">
        <is>
          <t>pharmaceuticals - indian - bulk drugs &amp; formln</t>
        </is>
      </c>
      <c r="G73" s="31" t="inlineStr">
        <is>
          <t>midcap</t>
        </is>
      </c>
      <c r="H73" s="32" t="n">
        <v>5440.66</v>
      </c>
      <c r="I73" s="32" t="n">
        <v>942.45</v>
      </c>
      <c r="J73" s="32" t="n">
        <v>-0.87</v>
      </c>
      <c r="K73" s="32" t="n">
        <v>127569</v>
      </c>
      <c r="L73" s="31" t="n">
        <v>25</v>
      </c>
      <c r="M73" s="31" t="inlineStr">
        <is>
          <t>Underperforming</t>
        </is>
      </c>
      <c r="N73" s="32">
        <f>IF(M73="Underperforming",-5,IF(L73&gt;=95,15,IF(L73&gt;=90,10,IF(L73&gt;=80,5,0))))</f>
        <v/>
      </c>
      <c r="O73" s="32" t="n">
        <v>71.45999999999999</v>
      </c>
      <c r="P73" s="32" t="n">
        <v>27.54</v>
      </c>
      <c r="Q73" s="32" t="n">
        <v>736.88</v>
      </c>
      <c r="R73" s="31" t="inlineStr">
        <is>
          <t>Volume Spike &amp; Near 52W High Breakout</t>
        </is>
      </c>
      <c r="S73" s="31" t="inlineStr">
        <is>
          <t>Nifty Pharma</t>
        </is>
      </c>
      <c r="T73" s="32" t="n">
        <v>10.89</v>
      </c>
      <c r="U73" s="32" t="n">
        <v>4.18</v>
      </c>
      <c r="V73" s="32" t="n">
        <v>-6.05</v>
      </c>
      <c r="W73" s="32" t="n">
        <v>8.41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Yes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Annuity, Lower One Time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IF(B74=0,"",RANK(B74,$B$2:$B$282,0))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PARAS</t>
        </is>
      </c>
      <c r="D74" s="31" t="inlineStr">
        <is>
          <t>Paras Defence and Space Technologies Ltd</t>
        </is>
      </c>
      <c r="E74" s="31" t="inlineStr">
        <is>
          <t>aerospace &amp; defence</t>
        </is>
      </c>
      <c r="F74" s="31" t="inlineStr">
        <is>
          <t>engineering</t>
        </is>
      </c>
      <c r="G74" s="31" t="inlineStr">
        <is>
          <t>midcap</t>
        </is>
      </c>
      <c r="H74" s="32" t="n">
        <v>7970.89</v>
      </c>
      <c r="I74" s="32" t="n">
        <v>1097.15</v>
      </c>
      <c r="J74" s="32" t="n">
        <v>10.92</v>
      </c>
      <c r="K74" s="32" t="n">
        <v>6088215</v>
      </c>
      <c r="L74" s="31" t="n">
        <v>75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73.03</v>
      </c>
      <c r="P74" s="32" t="n">
        <v>38.2</v>
      </c>
      <c r="Q74" s="32" t="n">
        <v>814.83</v>
      </c>
      <c r="R74" s="31" t="inlineStr">
        <is>
          <t>Volume Spike &amp; Near 52W High Breakout</t>
        </is>
      </c>
      <c r="S74" s="31" t="inlineStr">
        <is>
          <t>Nifty 50</t>
        </is>
      </c>
      <c r="T74" s="32" t="n">
        <v>-4.43</v>
      </c>
      <c r="U74" s="32" t="n">
        <v>35.11</v>
      </c>
      <c r="V74" s="32" t="n">
        <v>41.38</v>
      </c>
      <c r="W74" s="32" t="n">
        <v>24.16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IF(B75=0,"",RANK(B75,$B$2:$B$282,0))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AEROFLEX</t>
        </is>
      </c>
      <c r="D75" s="31" t="inlineStr">
        <is>
          <t>Aeroflex Industries Ltd</t>
        </is>
      </c>
      <c r="E75" s="31" t="inlineStr">
        <is>
          <t>metals &amp; mining</t>
        </is>
      </c>
      <c r="F75" s="31" t="inlineStr">
        <is>
          <t>steel - medium / small</t>
        </is>
      </c>
      <c r="G75" s="31" t="inlineStr">
        <is>
          <t>midcap</t>
        </is>
      </c>
      <c r="H75" s="32" t="n">
        <v>5406.37</v>
      </c>
      <c r="I75" s="32" t="n">
        <v>448.1</v>
      </c>
      <c r="J75" s="32" t="n">
        <v>9.68</v>
      </c>
      <c r="K75" s="32" t="n">
        <v>2868692</v>
      </c>
      <c r="L75" s="31" t="n">
        <v>93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73.31</v>
      </c>
      <c r="P75" s="32" t="n">
        <v>56.97</v>
      </c>
      <c r="Q75" s="32" t="n">
        <v>310.91</v>
      </c>
      <c r="R75" s="31" t="inlineStr">
        <is>
          <t>Near 52W High Breakout</t>
        </is>
      </c>
      <c r="S75" s="31" t="inlineStr">
        <is>
          <t>Nifty Metal</t>
        </is>
      </c>
      <c r="T75" s="32" t="n">
        <v>38.84</v>
      </c>
      <c r="U75" s="32" t="n">
        <v>162.4</v>
      </c>
      <c r="V75" s="32" t="n">
        <v>89</v>
      </c>
      <c r="W75" s="32" t="n">
        <v>43.76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Cyclical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Volatile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Between 50% to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IF(B76=0,"",RANK(B76,$B$2:$B$282,0))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MMTC</t>
        </is>
      </c>
      <c r="D76" s="31" t="inlineStr">
        <is>
          <t>Mmtc Limited</t>
        </is>
      </c>
      <c r="E76" s="31" t="inlineStr">
        <is>
          <t>services</t>
        </is>
      </c>
      <c r="F76" s="31" t="inlineStr">
        <is>
          <t>trading</t>
        </is>
      </c>
      <c r="G76" s="31" t="inlineStr">
        <is>
          <t>midcap</t>
        </is>
      </c>
      <c r="H76" s="32" t="n">
        <v>9460.5</v>
      </c>
      <c r="I76" s="32" t="n">
        <v>68.06</v>
      </c>
      <c r="J76" s="32" t="n">
        <v>7.91</v>
      </c>
      <c r="K76" s="32" t="n">
        <v>86049979</v>
      </c>
      <c r="L76" s="31" t="n">
        <v>15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56.11</v>
      </c>
      <c r="P76" s="32" t="n">
        <v>14.73</v>
      </c>
      <c r="Q76" s="32" t="n">
        <v>48.79</v>
      </c>
      <c r="R76" s="31" t="inlineStr">
        <is>
          <t>Volume Spike &amp; Near 52W High Breakout</t>
        </is>
      </c>
      <c r="S76" s="31" t="inlineStr">
        <is>
          <t>Nifty 50</t>
        </is>
      </c>
      <c r="T76" s="32" t="n">
        <v>-4.43</v>
      </c>
      <c r="U76" s="32" t="n">
        <v>-2.21</v>
      </c>
      <c r="V76" s="32" t="n">
        <v>2.32</v>
      </c>
      <c r="W76" s="32" t="n">
        <v>6.05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IF(B77=0,"",RANK(B77,$B$2:$B$282,0))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ICIL</t>
        </is>
      </c>
      <c r="D77" s="31" t="inlineStr">
        <is>
          <t>Indo Count Industries Limited</t>
        </is>
      </c>
      <c r="E77" s="31" t="inlineStr">
        <is>
          <t>textiles</t>
        </is>
      </c>
      <c r="F77" s="31" t="inlineStr">
        <is>
          <t>textiles - cotton/blended</t>
        </is>
      </c>
      <c r="G77" s="31" t="inlineStr">
        <is>
          <t>midcap</t>
        </is>
      </c>
      <c r="H77" s="32" t="n">
        <v>6418.94</v>
      </c>
      <c r="I77" s="32" t="n">
        <v>344.45</v>
      </c>
      <c r="J77" s="32" t="n">
        <v>6.28</v>
      </c>
      <c r="K77" s="32" t="n">
        <v>585037</v>
      </c>
      <c r="L77" s="31" t="n">
        <v>56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64.48</v>
      </c>
      <c r="P77" s="32" t="n">
        <v>24.39</v>
      </c>
      <c r="Q77" s="32" t="n">
        <v>247.73</v>
      </c>
      <c r="R77" s="31" t="inlineStr">
        <is>
          <t>Near 52W High Breakout</t>
        </is>
      </c>
      <c r="S77" s="31" t="inlineStr">
        <is>
          <t>Nifty 50</t>
        </is>
      </c>
      <c r="T77" s="32" t="n">
        <v>-4.43</v>
      </c>
      <c r="U77" s="32" t="n">
        <v>27.08</v>
      </c>
      <c r="V77" s="32" t="n">
        <v>32.97</v>
      </c>
      <c r="W77" s="32" t="n">
        <v>16.25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IF(B78=0,"",RANK(B78,$B$2:$B$282,0))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SKIPPER</t>
        </is>
      </c>
      <c r="D78" s="31" t="inlineStr">
        <is>
          <t>Skipper Limited</t>
        </is>
      </c>
      <c r="E78" s="31" t="inlineStr">
        <is>
          <t>industrials</t>
        </is>
      </c>
      <c r="F78" s="31" t="inlineStr">
        <is>
          <t>engineering</t>
        </is>
      </c>
      <c r="G78" s="31" t="inlineStr">
        <is>
          <t>midcap</t>
        </is>
      </c>
      <c r="H78" s="32" t="n">
        <v>5880.04</v>
      </c>
      <c r="I78" s="32" t="n">
        <v>544.65</v>
      </c>
      <c r="J78" s="32" t="n">
        <v>4.58</v>
      </c>
      <c r="K78" s="32" t="n">
        <v>738660</v>
      </c>
      <c r="L78" s="31" t="n">
        <v>55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67.94</v>
      </c>
      <c r="P78" s="32" t="n">
        <v>33.02</v>
      </c>
      <c r="Q78" s="32" t="n">
        <v>416.12</v>
      </c>
      <c r="R78" s="31" t="inlineStr">
        <is>
          <t>Near 52W High Breakout</t>
        </is>
      </c>
      <c r="S78" s="31" t="inlineStr">
        <is>
          <t>Nifty 50</t>
        </is>
      </c>
      <c r="T78" s="32" t="n">
        <v>-4.43</v>
      </c>
      <c r="U78" s="32" t="n">
        <v>6.68</v>
      </c>
      <c r="V78" s="32" t="n">
        <v>11.63</v>
      </c>
      <c r="W78" s="32" t="n">
        <v>16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Less than 50%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IF(B79=0,"",RANK(B79,$B$2:$B$282,0))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PSPPROJECT</t>
        </is>
      </c>
      <c r="D79" s="31" t="inlineStr">
        <is>
          <t>PSP Projects Ltd</t>
        </is>
      </c>
      <c r="E79" s="31" t="inlineStr">
        <is>
          <t>realty</t>
        </is>
      </c>
      <c r="F79" s="31" t="inlineStr">
        <is>
          <t>construction</t>
        </is>
      </c>
      <c r="G79" s="31" t="inlineStr">
        <is>
          <t>smallcap</t>
        </is>
      </c>
      <c r="H79" s="32" t="n">
        <v>3480.15</v>
      </c>
      <c r="I79" s="32" t="n">
        <v>917.2</v>
      </c>
      <c r="J79" s="32" t="n">
        <v>4.48</v>
      </c>
      <c r="K79" s="32" t="n">
        <v>161387</v>
      </c>
      <c r="L79" s="31" t="n">
        <v>53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63.54</v>
      </c>
      <c r="P79" s="32" t="n">
        <v>23.51</v>
      </c>
      <c r="Q79" s="32" t="n">
        <v>671.26</v>
      </c>
      <c r="R79" s="31" t="inlineStr">
        <is>
          <t>Volume Spike / Accumulation</t>
        </is>
      </c>
      <c r="S79" s="31" t="inlineStr">
        <is>
          <t>Nifty Realty</t>
        </is>
      </c>
      <c r="T79" s="32" t="n">
        <v>-23.58</v>
      </c>
      <c r="U79" s="32" t="n">
        <v>31.28</v>
      </c>
      <c r="V79" s="32" t="n">
        <v>71.79000000000001</v>
      </c>
      <c r="W79" s="32" t="n">
        <v>15.71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IF(B80=0,"",RANK(B80,$B$2:$B$282,0))</f>
        <v/>
      </c>
      <c r="B80" s="32">
        <f>SUM(N80,Y80,AA80,AC80,AE80,AG80,AI80,AK80,AM80,AO80,AQ80,AS80,AU80,AW80,AY80,BA80,BC80,BE80,BG80,BI80,BK80,BM80,BO80,BQ80,BS80,BU80,BW80,BY80,CA80,CC80,CE80)</f>
        <v/>
      </c>
      <c r="C80" s="33" t="inlineStr">
        <is>
          <t>SOMANYCERA</t>
        </is>
      </c>
      <c r="D80" s="33" t="inlineStr">
        <is>
          <t>Somany Ceramics Limited</t>
        </is>
      </c>
      <c r="E80" s="31" t="inlineStr">
        <is>
          <t>building materials</t>
        </is>
      </c>
      <c r="F80" s="31" t="inlineStr">
        <is>
          <t>ceramics - tiles / sanitaryware</t>
        </is>
      </c>
      <c r="G80" s="31" t="inlineStr">
        <is>
          <t>smallcap</t>
        </is>
      </c>
      <c r="H80" s="32" t="n">
        <v>2036.9</v>
      </c>
      <c r="I80" s="32" t="n">
        <v>514.15</v>
      </c>
      <c r="J80" s="32" t="n">
        <v>3.52</v>
      </c>
      <c r="K80" s="32" t="n">
        <v>66345</v>
      </c>
      <c r="L80" s="31" t="n">
        <v>30</v>
      </c>
      <c r="M80" s="31" t="inlineStr">
        <is>
          <t>Underperforming</t>
        </is>
      </c>
      <c r="N80" s="32">
        <f>IF(M80="Underperforming",-5,IF(L80&gt;=95,15,IF(L80&gt;=90,10,IF(L80&gt;=80,5,0))))</f>
        <v/>
      </c>
      <c r="O80" s="32" t="n">
        <v>62.89</v>
      </c>
      <c r="P80" s="32" t="n">
        <v>28.24</v>
      </c>
      <c r="Q80" s="32" t="n">
        <v>401.73</v>
      </c>
      <c r="R80" s="31" t="inlineStr">
        <is>
          <t>Earnings / Momentum Support</t>
        </is>
      </c>
      <c r="S80" s="31" t="inlineStr">
        <is>
          <t>Nifty Infra</t>
        </is>
      </c>
      <c r="T80" s="32" t="n">
        <v>2.95</v>
      </c>
      <c r="U80" s="32" t="n">
        <v>-8.1</v>
      </c>
      <c r="V80" s="32" t="n">
        <v>-10.74</v>
      </c>
      <c r="W80" s="32" t="n">
        <v>9.23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No</t>
        </is>
      </c>
      <c r="BS80" s="31">
        <f>IF(BR80="NO",5,0)</f>
        <v/>
      </c>
      <c r="BT80" s="31" t="inlineStr">
        <is>
          <t>Less than 1.5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IF(B81=0,"",RANK(B81,$B$2:$B$282,0))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SANGAMIND</t>
        </is>
      </c>
      <c r="D81" s="31" t="inlineStr">
        <is>
          <t>Sangam (india) Limited</t>
        </is>
      </c>
      <c r="E81" s="31" t="inlineStr">
        <is>
          <t>textiles</t>
        </is>
      </c>
      <c r="F81" s="31" t="inlineStr">
        <is>
          <t>textiles - spinning - synthetic / blended</t>
        </is>
      </c>
      <c r="G81" s="31" t="inlineStr">
        <is>
          <t>smallcap</t>
        </is>
      </c>
      <c r="H81" s="32" t="n">
        <v>2659.8</v>
      </c>
      <c r="I81" s="32" t="n">
        <v>542.25</v>
      </c>
      <c r="J81" s="32" t="n">
        <v>2.44</v>
      </c>
      <c r="K81" s="32" t="n">
        <v>49603</v>
      </c>
      <c r="L81" s="31" t="n">
        <v>40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66.43000000000001</v>
      </c>
      <c r="P81" s="32" t="n">
        <v>28.64</v>
      </c>
      <c r="Q81" s="32" t="n">
        <v>420.96</v>
      </c>
      <c r="R81" s="31" t="inlineStr">
        <is>
          <t>Near 52W High Breakout</t>
        </is>
      </c>
      <c r="S81" s="31" t="inlineStr">
        <is>
          <t>Nifty 50</t>
        </is>
      </c>
      <c r="T81" s="32" t="n">
        <v>-4.43</v>
      </c>
      <c r="U81" s="32" t="n">
        <v>29.85</v>
      </c>
      <c r="V81" s="32" t="n">
        <v>35.87</v>
      </c>
      <c r="W81" s="32" t="n">
        <v>11.53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IF(B82=0,"",RANK(B82,$B$2:$B$282,0))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DIVGIITTS</t>
        </is>
      </c>
      <c r="D82" s="31" t="inlineStr">
        <is>
          <t>Divgi Torqtransfer Systems Ltd</t>
        </is>
      </c>
      <c r="E82" s="31" t="inlineStr">
        <is>
          <t>auto</t>
        </is>
      </c>
      <c r="F82" s="31" t="inlineStr">
        <is>
          <t>auto ancillaries</t>
        </is>
      </c>
      <c r="G82" s="31" t="inlineStr">
        <is>
          <t>smallcap</t>
        </is>
      </c>
      <c r="H82" s="32" t="n">
        <v>2451.83</v>
      </c>
      <c r="I82" s="32" t="n">
        <v>819</v>
      </c>
      <c r="J82" s="32" t="n">
        <v>2.16</v>
      </c>
      <c r="K82" s="32" t="n">
        <v>39510</v>
      </c>
      <c r="L82" s="31" t="n">
        <v>40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61.14</v>
      </c>
      <c r="P82" s="32" t="n">
        <v>27.21</v>
      </c>
      <c r="Q82" s="32" t="n">
        <v>593.4</v>
      </c>
      <c r="R82" s="31" t="inlineStr">
        <is>
          <t>Near 52W High Breakout</t>
        </is>
      </c>
      <c r="S82" s="31" t="inlineStr">
        <is>
          <t>Nifty Auto</t>
        </is>
      </c>
      <c r="T82" s="32" t="n">
        <v>12.72</v>
      </c>
      <c r="U82" s="32" t="n">
        <v>36.63</v>
      </c>
      <c r="V82" s="32" t="n">
        <v>21.22</v>
      </c>
      <c r="W82" s="32" t="n">
        <v>11.3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Between 50% to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IF(B83=0,"",RANK(B83,$B$2:$B$282,0))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ADANIPORTS</t>
        </is>
      </c>
      <c r="D83" s="31" t="inlineStr">
        <is>
          <t>Adani Ports And Special Economic Zone Limited</t>
        </is>
      </c>
      <c r="E83" s="31" t="inlineStr">
        <is>
          <t>transportation</t>
        </is>
      </c>
      <c r="F83" s="31" t="inlineStr">
        <is>
          <t>miscellaneous</t>
        </is>
      </c>
      <c r="G83" s="31" t="inlineStr">
        <is>
          <t>largecap</t>
        </is>
      </c>
      <c r="H83" s="32" t="n">
        <v>411740.53</v>
      </c>
      <c r="I83" s="32" t="n">
        <v>1812.9</v>
      </c>
      <c r="J83" s="32" t="n">
        <v>1.44</v>
      </c>
      <c r="K83" s="32" t="n">
        <v>2325897</v>
      </c>
      <c r="L83" s="31" t="n">
        <v>46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71.8</v>
      </c>
      <c r="P83" s="32" t="n">
        <v>27.37</v>
      </c>
      <c r="Q83" s="32" t="n">
        <v>1537.45</v>
      </c>
      <c r="R83" s="31" t="inlineStr">
        <is>
          <t>Near 52W High Breakout</t>
        </is>
      </c>
      <c r="S83" s="31" t="inlineStr">
        <is>
          <t>Nifty 50</t>
        </is>
      </c>
      <c r="T83" s="32" t="n">
        <v>-4.43</v>
      </c>
      <c r="U83" s="32" t="n">
        <v>30.21</v>
      </c>
      <c r="V83" s="32" t="n">
        <v>36.25</v>
      </c>
      <c r="W83" s="32" t="n">
        <v>13.11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20 to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IF(B84=0,"",RANK(B84,$B$2:$B$282,0))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GRINDWELL</t>
        </is>
      </c>
      <c r="D84" s="31" t="inlineStr">
        <is>
          <t>Grindwell Norton Limited</t>
        </is>
      </c>
      <c r="E84" s="31" t="inlineStr">
        <is>
          <t>industrials</t>
        </is>
      </c>
      <c r="F84" s="31" t="inlineStr">
        <is>
          <t>abrasives and grinding wheels</t>
        </is>
      </c>
      <c r="G84" s="31" t="inlineStr">
        <is>
          <t>largecap</t>
        </is>
      </c>
      <c r="H84" s="32" t="n">
        <v>20983.65</v>
      </c>
      <c r="I84" s="32" t="n">
        <v>1921</v>
      </c>
      <c r="J84" s="32" t="n">
        <v>1.36</v>
      </c>
      <c r="K84" s="32" t="n">
        <v>26485</v>
      </c>
      <c r="L84" s="31" t="n">
        <v>32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63.97</v>
      </c>
      <c r="P84" s="32" t="n">
        <v>28.25</v>
      </c>
      <c r="Q84" s="32" t="n">
        <v>1589.87</v>
      </c>
      <c r="R84" s="31" t="inlineStr">
        <is>
          <t>Near 52W High Breakout</t>
        </is>
      </c>
      <c r="S84" s="31" t="inlineStr">
        <is>
          <t>Nifty 50</t>
        </is>
      </c>
      <c r="T84" s="32" t="n">
        <v>-4.43</v>
      </c>
      <c r="U84" s="32" t="n">
        <v>8.93</v>
      </c>
      <c r="V84" s="32" t="n">
        <v>13.98</v>
      </c>
      <c r="W84" s="32" t="n">
        <v>9.58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Between 1.5 to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IF(B85=0,"",RANK(B85,$B$2:$B$282,0))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RAIN</t>
        </is>
      </c>
      <c r="D85" s="31" t="inlineStr">
        <is>
          <t>Rain Industries Limited</t>
        </is>
      </c>
      <c r="E85" s="31" t="inlineStr">
        <is>
          <t>miscellaneous</t>
        </is>
      </c>
      <c r="F85" s="31" t="inlineStr">
        <is>
          <t>miscellaneous</t>
        </is>
      </c>
      <c r="G85" s="31" t="inlineStr">
        <is>
          <t>midcap</t>
        </is>
      </c>
      <c r="H85" s="32" t="n">
        <v>6548.31</v>
      </c>
      <c r="I85" s="32" t="n">
        <v>196.87</v>
      </c>
      <c r="J85" s="32" t="n">
        <v>1.12</v>
      </c>
      <c r="K85" s="32" t="n">
        <v>3813919</v>
      </c>
      <c r="L85" s="31" t="n">
        <v>79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72.38</v>
      </c>
      <c r="P85" s="32" t="n">
        <v>22.01</v>
      </c>
      <c r="Q85" s="32" t="n">
        <v>146.64</v>
      </c>
      <c r="R85" s="31" t="inlineStr">
        <is>
          <t>Near 52W High Breakout</t>
        </is>
      </c>
      <c r="S85" s="31" t="inlineStr">
        <is>
          <t>Nifty 50</t>
        </is>
      </c>
      <c r="T85" s="32" t="n">
        <v>-4.43</v>
      </c>
      <c r="U85" s="32" t="n">
        <v>32.95</v>
      </c>
      <c r="V85" s="32" t="n">
        <v>39.11</v>
      </c>
      <c r="W85" s="32" t="n">
        <v>25.34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Blue sky scenario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More than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IF(B86=0,"",RANK(B86,$B$2:$B$282,0))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WELCORP</t>
        </is>
      </c>
      <c r="D86" s="31" t="inlineStr">
        <is>
          <t>Welspun Corp Limited</t>
        </is>
      </c>
      <c r="E86" s="31" t="inlineStr">
        <is>
          <t>industrials</t>
        </is>
      </c>
      <c r="F86" s="31" t="inlineStr">
        <is>
          <t>steel - large</t>
        </is>
      </c>
      <c r="G86" s="31" t="inlineStr">
        <is>
          <t>largecap</t>
        </is>
      </c>
      <c r="H86" s="32" t="n">
        <v>36651.07</v>
      </c>
      <c r="I86" s="32" t="n">
        <v>1402.3</v>
      </c>
      <c r="J86" s="32" t="n">
        <v>0.93</v>
      </c>
      <c r="K86" s="32" t="n">
        <v>306278</v>
      </c>
      <c r="L86" s="31" t="n">
        <v>81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82.13</v>
      </c>
      <c r="P86" s="32" t="n">
        <v>50</v>
      </c>
      <c r="Q86" s="32" t="n">
        <v>1141.57</v>
      </c>
      <c r="R86" s="31" t="inlineStr">
        <is>
          <t>Near 52W High Breakout</t>
        </is>
      </c>
      <c r="S86" s="31" t="inlineStr">
        <is>
          <t>Nifty Metal</t>
        </is>
      </c>
      <c r="T86" s="32" t="n">
        <v>38.84</v>
      </c>
      <c r="U86" s="32" t="n">
        <v>55.7</v>
      </c>
      <c r="V86" s="32" t="n">
        <v>12.15</v>
      </c>
      <c r="W86" s="32" t="n">
        <v>27.84</v>
      </c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Less than 12%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IF(B87=0,"",RANK(B87,$B$2:$B$282,0))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HSCL</t>
        </is>
      </c>
      <c r="D87" s="31" t="inlineStr">
        <is>
          <t>Himadri Speciality Chemical Limited</t>
        </is>
      </c>
      <c r="E87" s="31" t="inlineStr">
        <is>
          <t>chemicals</t>
        </is>
      </c>
      <c r="F87" s="31" t="inlineStr">
        <is>
          <t>chemicals</t>
        </is>
      </c>
      <c r="G87" s="31" t="inlineStr">
        <is>
          <t>largecap</t>
        </is>
      </c>
      <c r="H87" s="32" t="n">
        <v>34311.35</v>
      </c>
      <c r="I87" s="32" t="n">
        <v>680.5</v>
      </c>
      <c r="J87" s="32" t="n">
        <v>0.07000000000000001</v>
      </c>
      <c r="K87" s="32" t="n">
        <v>16776394</v>
      </c>
      <c r="L87" s="31" t="n">
        <v>69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73</v>
      </c>
      <c r="P87" s="32" t="n">
        <v>30.36</v>
      </c>
      <c r="Q87" s="32" t="n">
        <v>521.61</v>
      </c>
      <c r="R87" s="31" t="inlineStr">
        <is>
          <t>Volume Spike &amp; Near 52W High Breakout</t>
        </is>
      </c>
      <c r="S87" s="31" t="inlineStr">
        <is>
          <t>Nifty 50</t>
        </is>
      </c>
      <c r="T87" s="32" t="n">
        <v>-4.43</v>
      </c>
      <c r="U87" s="32" t="n">
        <v>45.15</v>
      </c>
      <c r="V87" s="32" t="n">
        <v>51.89</v>
      </c>
      <c r="W87" s="32" t="n">
        <v>20.8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Between 1.5 to 2</t>
        </is>
      </c>
      <c r="BU87" s="31">
        <f>IF(BT87="Above 2",0,IF(BT87="Between 1.5 to 2",5,IF(BT87="Less than 1.5",10,0)))</f>
        <v/>
      </c>
      <c r="BV87" s="31" t="inlineStr">
        <is>
          <t>Less than 50%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IF(B88=0,"",RANK(B88,$B$2:$B$282,0))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HITECHCORP</t>
        </is>
      </c>
      <c r="D88" s="31" t="inlineStr">
        <is>
          <t>Hitech Corporation</t>
        </is>
      </c>
      <c r="E88" s="31" t="inlineStr">
        <is>
          <t>industrials</t>
        </is>
      </c>
      <c r="F88" s="31" t="inlineStr">
        <is>
          <t>packaging</t>
        </is>
      </c>
      <c r="G88" s="31" t="inlineStr">
        <is>
          <t>smallcap</t>
        </is>
      </c>
      <c r="H88" s="32" t="n">
        <v>533.72</v>
      </c>
      <c r="I88" s="32" t="n">
        <v>310.02</v>
      </c>
      <c r="J88" s="32" t="n">
        <v>-0.23</v>
      </c>
      <c r="K88" s="32" t="n">
        <v>17885</v>
      </c>
      <c r="L88" s="31" t="n">
        <v>94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80.48999999999999</v>
      </c>
      <c r="P88" s="32" t="n">
        <v>34.95</v>
      </c>
      <c r="Q88" s="32" t="n">
        <v>233.67</v>
      </c>
      <c r="R88" s="31" t="inlineStr">
        <is>
          <t>Volume Spike &amp; Near 52W High Breakout</t>
        </is>
      </c>
      <c r="S88" s="31" t="inlineStr">
        <is>
          <t>Nifty 50</t>
        </is>
      </c>
      <c r="T88" s="32" t="n">
        <v>-4.43</v>
      </c>
      <c r="U88" s="32" t="n">
        <v>63.62</v>
      </c>
      <c r="V88" s="32" t="n">
        <v>71.20999999999999</v>
      </c>
      <c r="W88" s="32" t="n">
        <v>47.14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Above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Blue sky scenario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Above 2</t>
        </is>
      </c>
      <c r="BU88" s="31">
        <f>IF(BT88="Above 2",0,IF(BT88="Between 1.5 to 2",5,IF(BT88="Less than 1.5",10,0)))</f>
        <v/>
      </c>
      <c r="BV88" s="31" t="inlineStr">
        <is>
          <t>Between 50% to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IF(B89=0,"",RANK(B89,$B$2:$B$282,0))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NRBBEARING</t>
        </is>
      </c>
      <c r="D89" s="31" t="inlineStr">
        <is>
          <t>Nrb Bearing Limited</t>
        </is>
      </c>
      <c r="E89" s="31" t="inlineStr">
        <is>
          <t>industrials</t>
        </is>
      </c>
      <c r="F89" s="31" t="inlineStr">
        <is>
          <t>bearings</t>
        </is>
      </c>
      <c r="G89" s="31" t="inlineStr">
        <is>
          <t>smallcap</t>
        </is>
      </c>
      <c r="H89" s="32" t="n">
        <v>4222.92</v>
      </c>
      <c r="I89" s="32" t="n">
        <v>425.85</v>
      </c>
      <c r="J89" s="32" t="n">
        <v>-2.26</v>
      </c>
      <c r="K89" s="32" t="n">
        <v>605683</v>
      </c>
      <c r="L89" s="31" t="n">
        <v>83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78.98999999999999</v>
      </c>
      <c r="P89" s="32" t="n">
        <v>29.49</v>
      </c>
      <c r="Q89" s="32" t="n">
        <v>330.88</v>
      </c>
      <c r="R89" s="31" t="inlineStr">
        <is>
          <t>Volume Spike &amp; Near 52W High Breakout</t>
        </is>
      </c>
      <c r="S89" s="31" t="inlineStr">
        <is>
          <t>Nifty 50</t>
        </is>
      </c>
      <c r="T89" s="32" t="n">
        <v>-4.43</v>
      </c>
      <c r="U89" s="32" t="n">
        <v>74.05</v>
      </c>
      <c r="V89" s="32" t="n">
        <v>82.12</v>
      </c>
      <c r="W89" s="32" t="n">
        <v>28.39</v>
      </c>
      <c r="X89" s="31" t="inlineStr">
        <is>
          <t>Cyclical in an Upturn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IF(B90=0,"",RANK(B90,$B$2:$B$282,0))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CEMPRO</t>
        </is>
      </c>
      <c r="D90" s="31" t="inlineStr">
        <is>
          <t>Cemindia Projects Ltd</t>
        </is>
      </c>
      <c r="E90" s="31" t="inlineStr">
        <is>
          <t>realty</t>
        </is>
      </c>
      <c r="F90" s="31" t="inlineStr">
        <is>
          <t>construction</t>
        </is>
      </c>
      <c r="G90" s="31" t="inlineStr">
        <is>
          <t>largecap</t>
        </is>
      </c>
      <c r="H90" s="32" t="n">
        <v>20190.19</v>
      </c>
      <c r="I90" s="32" t="n">
        <v>1122.4</v>
      </c>
      <c r="J90" s="32" t="n">
        <v>-4.5</v>
      </c>
      <c r="K90" s="32" t="n">
        <v>750195</v>
      </c>
      <c r="L90" s="31" t="n">
        <v>90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75.28</v>
      </c>
      <c r="P90" s="32" t="n">
        <v>37.31</v>
      </c>
      <c r="Q90" s="32" t="n">
        <v>831.58</v>
      </c>
      <c r="R90" s="31" t="inlineStr">
        <is>
          <t>Near 52W High Breakout</t>
        </is>
      </c>
      <c r="S90" s="31" t="inlineStr">
        <is>
          <t>Nifty Realty</t>
        </is>
      </c>
      <c r="T90" s="32" t="n">
        <v>-23.58</v>
      </c>
      <c r="U90" s="32" t="n">
        <v>46.54</v>
      </c>
      <c r="V90" s="32" t="n">
        <v>91.75</v>
      </c>
      <c r="W90" s="32" t="n">
        <v>38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20 to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Less than 50%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IF(B91=0,"",RANK(B91,$B$2:$B$282,0))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SENORES</t>
        </is>
      </c>
      <c r="D91" s="31" t="inlineStr">
        <is>
          <t>Senores Pharmaceuticals Ltd</t>
        </is>
      </c>
      <c r="E91" s="31" t="inlineStr">
        <is>
          <t>healthcare</t>
        </is>
      </c>
      <c r="F91" s="31" t="inlineStr">
        <is>
          <t>pharmaceuticals - indian - formulations</t>
        </is>
      </c>
      <c r="G91" s="31" t="inlineStr">
        <is>
          <t>midcap</t>
        </is>
      </c>
      <c r="H91" s="32" t="n">
        <v>5345.44</v>
      </c>
      <c r="I91" s="32" t="n">
        <v>1290</v>
      </c>
      <c r="J91" s="32" t="n">
        <v>11.14</v>
      </c>
      <c r="K91" s="32" t="n">
        <v>1348158</v>
      </c>
      <c r="L91" s="31" t="n">
        <v>89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77.44</v>
      </c>
      <c r="P91" s="32" t="n">
        <v>40.72</v>
      </c>
      <c r="Q91" s="32" t="n">
        <v>992.35</v>
      </c>
      <c r="R91" s="31" t="inlineStr">
        <is>
          <t>Near 52W High Breakout</t>
        </is>
      </c>
      <c r="S91" s="31" t="inlineStr">
        <is>
          <t>Nifty Pharma</t>
        </is>
      </c>
      <c r="T91" s="32" t="n">
        <v>10.89</v>
      </c>
      <c r="U91" s="32" t="n">
        <v>131.62</v>
      </c>
      <c r="V91" s="32" t="n">
        <v>108.87</v>
      </c>
      <c r="W91" s="32" t="n">
        <v>37.03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Yes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Above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IF(B92=0,"",RANK(B92,$B$2:$B$282,0))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SPARC</t>
        </is>
      </c>
      <c r="D92" s="31" t="inlineStr">
        <is>
          <t>Sun Pharma Advanced Research Company Limited</t>
        </is>
      </c>
      <c r="E92" s="31" t="inlineStr">
        <is>
          <t>healthcare</t>
        </is>
      </c>
      <c r="F92" s="31" t="inlineStr">
        <is>
          <t>miscellaneous</t>
        </is>
      </c>
      <c r="G92" s="31" t="inlineStr">
        <is>
          <t>midcap</t>
        </is>
      </c>
      <c r="H92" s="32" t="n">
        <v>6623.81</v>
      </c>
      <c r="I92" s="32" t="n">
        <v>223.76</v>
      </c>
      <c r="J92" s="32" t="n">
        <v>9.630000000000001</v>
      </c>
      <c r="K92" s="32" t="n">
        <v>8056789</v>
      </c>
      <c r="L92" s="31" t="n">
        <v>84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76.31999999999999</v>
      </c>
      <c r="P92" s="32" t="n">
        <v>46.2</v>
      </c>
      <c r="Q92" s="32" t="n">
        <v>156.1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10.89</v>
      </c>
      <c r="U92" s="32" t="n">
        <v>34.88</v>
      </c>
      <c r="V92" s="32" t="n">
        <v>21.63</v>
      </c>
      <c r="W92" s="32" t="n">
        <v>30.06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Above 40</t>
        </is>
      </c>
      <c r="AY92" s="31">
        <f>IF(AX92="Above 40",20,IF(AX92="20 to 40",10,IF(AX92="0 to 20",-5,0)))</f>
        <v/>
      </c>
      <c r="AZ92" s="31" t="inlineStr">
        <is>
          <t>Above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No</t>
        </is>
      </c>
      <c r="BS92" s="31">
        <f>IF(BR92="NO",5,0)</f>
        <v/>
      </c>
      <c r="BT92" s="31" t="inlineStr">
        <is>
          <t>Less than 1.5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IF(B93=0,"",RANK(B93,$B$2:$B$282,0))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SKMEGGPROD</t>
        </is>
      </c>
      <c r="D93" s="31" t="inlineStr">
        <is>
          <t>Skm Egg Products Export (india) Limited</t>
        </is>
      </c>
      <c r="E93" s="31" t="inlineStr">
        <is>
          <t>fmcg</t>
        </is>
      </c>
      <c r="F93" s="31" t="inlineStr">
        <is>
          <t>food - processing - indian</t>
        </is>
      </c>
      <c r="G93" s="31" t="inlineStr">
        <is>
          <t>smallcap</t>
        </is>
      </c>
      <c r="H93" s="32" t="n">
        <v>1203.44</v>
      </c>
      <c r="I93" s="32" t="n">
        <v>240.62</v>
      </c>
      <c r="J93" s="32" t="n">
        <v>5.29</v>
      </c>
      <c r="K93" s="32" t="n">
        <v>383613</v>
      </c>
      <c r="L93" s="31" t="n">
        <v>84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69.06999999999999</v>
      </c>
      <c r="P93" s="32" t="n">
        <v>19.27</v>
      </c>
      <c r="Q93" s="32" t="n">
        <v>169.35</v>
      </c>
      <c r="R93" s="31" t="inlineStr">
        <is>
          <t>Near 52W High Breakout</t>
        </is>
      </c>
      <c r="S93" s="31" t="inlineStr">
        <is>
          <t>Nifty FMCG</t>
        </is>
      </c>
      <c r="T93" s="32" t="n">
        <v>-10.45</v>
      </c>
      <c r="U93" s="32" t="n">
        <v>87.43000000000001</v>
      </c>
      <c r="V93" s="32" t="n">
        <v>109.31</v>
      </c>
      <c r="W93" s="32" t="n">
        <v>29.13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0 to 20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Less than 50%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IF(B94=0,"",RANK(B94,$B$2:$B$282,0))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SAILIFE</t>
        </is>
      </c>
      <c r="D94" s="31" t="inlineStr">
        <is>
          <t>Sai Life Sciences Ltd</t>
        </is>
      </c>
      <c r="E94" s="31" t="inlineStr">
        <is>
          <t>healthcare</t>
        </is>
      </c>
      <c r="F94" s="31" t="inlineStr">
        <is>
          <t>pharmaceuticals - indian - bulk drugs &amp; formln</t>
        </is>
      </c>
      <c r="G94" s="31" t="inlineStr">
        <is>
          <t>largecap</t>
        </is>
      </c>
      <c r="H94" s="32" t="n">
        <v>25015.36</v>
      </c>
      <c r="I94" s="32" t="n">
        <v>1218.1</v>
      </c>
      <c r="J94" s="32" t="n">
        <v>3.12</v>
      </c>
      <c r="K94" s="32" t="n">
        <v>333448</v>
      </c>
      <c r="L94" s="31" t="n">
        <v>53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72.01000000000001</v>
      </c>
      <c r="P94" s="32" t="n">
        <v>29.37</v>
      </c>
      <c r="Q94" s="32" t="n">
        <v>970.03</v>
      </c>
      <c r="R94" s="31" t="inlineStr">
        <is>
          <t>Near 52W High Breakout</t>
        </is>
      </c>
      <c r="S94" s="31" t="inlineStr">
        <is>
          <t>Nifty Pharma</t>
        </is>
      </c>
      <c r="T94" s="32" t="n">
        <v>10.89</v>
      </c>
      <c r="U94" s="32" t="n">
        <v>58.19</v>
      </c>
      <c r="V94" s="32" t="n">
        <v>42.66</v>
      </c>
      <c r="W94" s="32" t="n">
        <v>15.6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Yes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Blue sky scenario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Between 12 to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IF(B95=0,"",RANK(B95,$B$2:$B$282,0))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PANACEABIO</t>
        </is>
      </c>
      <c r="D95" s="31" t="inlineStr">
        <is>
          <t>Panacea Biotec Limited</t>
        </is>
      </c>
      <c r="E95" s="31" t="inlineStr">
        <is>
          <t>healthcare</t>
        </is>
      </c>
      <c r="F95" s="31" t="inlineStr">
        <is>
          <t>pharmaceuticals - indian - bulk drugs &amp; formln</t>
        </is>
      </c>
      <c r="G95" s="31" t="inlineStr">
        <is>
          <t>smallcap</t>
        </is>
      </c>
      <c r="H95" s="32" t="n">
        <v>3199.13</v>
      </c>
      <c r="I95" s="32" t="n">
        <v>536</v>
      </c>
      <c r="J95" s="32" t="n">
        <v>2.62</v>
      </c>
      <c r="K95" s="32" t="n">
        <v>368281</v>
      </c>
      <c r="L95" s="31" t="n">
        <v>68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75.33</v>
      </c>
      <c r="P95" s="32" t="n">
        <v>23.72</v>
      </c>
      <c r="Q95" s="32" t="n">
        <v>369.7</v>
      </c>
      <c r="R95" s="31" t="inlineStr">
        <is>
          <t>Volume Spike &amp; Near 52W High Breakout</t>
        </is>
      </c>
      <c r="S95" s="31" t="inlineStr">
        <is>
          <t>Nifty Pharma</t>
        </is>
      </c>
      <c r="T95" s="32" t="n">
        <v>10.89</v>
      </c>
      <c r="U95" s="32" t="n">
        <v>18.85</v>
      </c>
      <c r="V95" s="32" t="n">
        <v>7.17</v>
      </c>
      <c r="W95" s="32" t="n">
        <v>19.78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Yes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Above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Less than 1.5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IF(B96=0,"",RANK(B96,$B$2:$B$282,0))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SUVEN</t>
        </is>
      </c>
      <c r="D96" s="31" t="inlineStr">
        <is>
          <t>Suven Life Sciences Limited</t>
        </is>
      </c>
      <c r="E96" s="31" t="inlineStr">
        <is>
          <t>healthcare</t>
        </is>
      </c>
      <c r="F96" s="31" t="inlineStr">
        <is>
          <t>miscellaneous</t>
        </is>
      </c>
      <c r="G96" s="31" t="inlineStr">
        <is>
          <t>midcap</t>
        </is>
      </c>
      <c r="H96" s="32" t="n">
        <v>6939.81</v>
      </c>
      <c r="I96" s="32" t="n">
        <v>268.25</v>
      </c>
      <c r="J96" s="32" t="n">
        <v>1.94</v>
      </c>
      <c r="K96" s="32" t="n">
        <v>1031465</v>
      </c>
      <c r="L96" s="31" t="n">
        <v>82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66.25</v>
      </c>
      <c r="P96" s="32" t="n">
        <v>33.85</v>
      </c>
      <c r="Q96" s="32" t="n">
        <v>191.83</v>
      </c>
      <c r="R96" s="31" t="inlineStr">
        <is>
          <t>Earnings / Momentum Support</t>
        </is>
      </c>
      <c r="S96" s="31" t="inlineStr">
        <is>
          <t>Nifty Pharma</t>
        </is>
      </c>
      <c r="T96" s="32" t="n">
        <v>10.89</v>
      </c>
      <c r="U96" s="32" t="n">
        <v>13.65</v>
      </c>
      <c r="V96" s="32" t="n">
        <v>2.49</v>
      </c>
      <c r="W96" s="32" t="n">
        <v>28.33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20 to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No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IF(B97=0,"",RANK(B97,$B$2:$B$282,0))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ACUTAAS</t>
        </is>
      </c>
      <c r="D97" s="31" t="inlineStr">
        <is>
          <t>Acutaas Chemicals Ltd</t>
        </is>
      </c>
      <c r="E97" s="31" t="inlineStr">
        <is>
          <t>healthcare</t>
        </is>
      </c>
      <c r="F97" s="31" t="inlineStr">
        <is>
          <t>pharmaceuticals - indian - bulk drugs</t>
        </is>
      </c>
      <c r="G97" s="31" t="inlineStr">
        <is>
          <t>largecap</t>
        </is>
      </c>
      <c r="H97" s="32" t="n">
        <v>25610.11</v>
      </c>
      <c r="I97" s="32" t="n">
        <v>3145.3</v>
      </c>
      <c r="J97" s="32" t="n">
        <v>0.55</v>
      </c>
      <c r="K97" s="32" t="n">
        <v>380507</v>
      </c>
      <c r="L97" s="31" t="n">
        <v>86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71.73</v>
      </c>
      <c r="P97" s="32" t="n">
        <v>65.37</v>
      </c>
      <c r="Q97" s="32" t="n">
        <v>2575.11</v>
      </c>
      <c r="R97" s="31" t="inlineStr">
        <is>
          <t>Earnings / Momentum Support</t>
        </is>
      </c>
      <c r="S97" s="31" t="inlineStr">
        <is>
          <t>Nifty Pharma</t>
        </is>
      </c>
      <c r="T97" s="32" t="n">
        <v>10.89</v>
      </c>
      <c r="U97" s="32" t="n">
        <v>185.01</v>
      </c>
      <c r="V97" s="32" t="n">
        <v>157.01</v>
      </c>
      <c r="W97" s="32" t="n">
        <v>34.63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Yes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Between 50% to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IF(B98=0,"",RANK(B98,$B$2:$B$282,0))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LAURUSLABS</t>
        </is>
      </c>
      <c r="D98" s="31" t="inlineStr">
        <is>
          <t>Laurus Labs Limited</t>
        </is>
      </c>
      <c r="E98" s="31" t="inlineStr">
        <is>
          <t>healthcare</t>
        </is>
      </c>
      <c r="F98" s="31" t="inlineStr">
        <is>
          <t>pharmaceuticals - indian - bulk drugs &amp; formln</t>
        </is>
      </c>
      <c r="G98" s="31" t="inlineStr">
        <is>
          <t>largecap</t>
        </is>
      </c>
      <c r="H98" s="32" t="n">
        <v>75083.25</v>
      </c>
      <c r="I98" s="32" t="n">
        <v>1394.3</v>
      </c>
      <c r="J98" s="32" t="n">
        <v>0.25</v>
      </c>
      <c r="K98" s="32" t="n">
        <v>1207798</v>
      </c>
      <c r="L98" s="31" t="n">
        <v>78</v>
      </c>
      <c r="M98" s="31" t="inlineStr">
        <is>
          <t>Outperforming</t>
        </is>
      </c>
      <c r="N98" s="32">
        <f>IF(M98="Underperforming",-5,IF(L98&gt;=95,15,IF(L98&gt;=90,10,IF(L98&gt;=80,5,0))))</f>
        <v/>
      </c>
      <c r="O98" s="32" t="n">
        <v>72.97</v>
      </c>
      <c r="P98" s="32" t="n">
        <v>32.85</v>
      </c>
      <c r="Q98" s="32" t="n">
        <v>1222.61</v>
      </c>
      <c r="R98" s="31" t="inlineStr">
        <is>
          <t>Near 52W High Breakout</t>
        </is>
      </c>
      <c r="S98" s="31" t="inlineStr">
        <is>
          <t>Nifty Pharma</t>
        </is>
      </c>
      <c r="T98" s="32" t="n">
        <v>10.89</v>
      </c>
      <c r="U98" s="32" t="n">
        <v>109.55</v>
      </c>
      <c r="V98" s="32" t="n">
        <v>88.95999999999999</v>
      </c>
      <c r="W98" s="32" t="n">
        <v>24.96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Yes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Blue sky scenario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Between 12 to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IF(B99=0,"",RANK(B99,$B$2:$B$282,0))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JBCHEPHARM</t>
        </is>
      </c>
      <c r="D99" s="31" t="inlineStr">
        <is>
          <t>Jb Chemicals &amp; Pharmaceuticals Limited</t>
        </is>
      </c>
      <c r="E99" s="31" t="inlineStr">
        <is>
          <t>healthcare</t>
        </is>
      </c>
      <c r="F99" s="31" t="inlineStr">
        <is>
          <t>pharmaceuticals - indian - bulk drugs &amp; formln</t>
        </is>
      </c>
      <c r="G99" s="31" t="inlineStr">
        <is>
          <t>largecap</t>
        </is>
      </c>
      <c r="H99" s="32" t="n">
        <v>36169.06</v>
      </c>
      <c r="I99" s="32" t="n">
        <v>2257.7</v>
      </c>
      <c r="J99" s="32" t="n">
        <v>0.22</v>
      </c>
      <c r="K99" s="32" t="n">
        <v>235603</v>
      </c>
      <c r="L99" s="31" t="n">
        <v>20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71.98999999999999</v>
      </c>
      <c r="P99" s="32" t="n">
        <v>40.07</v>
      </c>
      <c r="Q99" s="32" t="n">
        <v>1924.48</v>
      </c>
      <c r="R99" s="31" t="inlineStr">
        <is>
          <t>Near 52W High Breakout</t>
        </is>
      </c>
      <c r="S99" s="31" t="inlineStr">
        <is>
          <t>Nifty Pharma</t>
        </is>
      </c>
      <c r="T99" s="32" t="n">
        <v>10.89</v>
      </c>
      <c r="U99" s="32" t="n">
        <v>32.11</v>
      </c>
      <c r="V99" s="32" t="n">
        <v>19.13</v>
      </c>
      <c r="W99" s="32" t="n">
        <v>7.33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Above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Blue sky scenario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Less than 12%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Between 50% to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IF(B100=0,"",RANK(B100,$B$2:$B$282,0))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DATAPATTNS</t>
        </is>
      </c>
      <c r="D100" s="31" t="inlineStr">
        <is>
          <t>Data Patterns (India) Ltd</t>
        </is>
      </c>
      <c r="E100" s="31" t="inlineStr">
        <is>
          <t>aerospace &amp; defence</t>
        </is>
      </c>
      <c r="F100" s="31" t="inlineStr">
        <is>
          <t>electronics - components</t>
        </is>
      </c>
      <c r="G100" s="31" t="inlineStr">
        <is>
          <t>largecap</t>
        </is>
      </c>
      <c r="H100" s="32" t="n">
        <v>23541.26</v>
      </c>
      <c r="I100" s="32" t="n">
        <v>4545.7</v>
      </c>
      <c r="J100" s="32" t="n">
        <v>8.1</v>
      </c>
      <c r="K100" s="32" t="n">
        <v>2698671</v>
      </c>
      <c r="L100" s="31" t="n">
        <v>65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74.08</v>
      </c>
      <c r="P100" s="32" t="n">
        <v>29.47</v>
      </c>
      <c r="Q100" s="32" t="n">
        <v>3304.65</v>
      </c>
      <c r="R100" s="31" t="inlineStr">
        <is>
          <t>Volume Spike &amp; Near 52W High Breakout</t>
        </is>
      </c>
      <c r="S100" s="31" t="inlineStr">
        <is>
          <t>Nifty 50</t>
        </is>
      </c>
      <c r="T100" s="32" t="n">
        <v>-4.43</v>
      </c>
      <c r="U100" s="32" t="n">
        <v>51.85</v>
      </c>
      <c r="V100" s="32" t="n">
        <v>58.89</v>
      </c>
      <c r="W100" s="32" t="n">
        <v>18.59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Less than 50%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IF(B101=0,"",RANK(B101,$B$2:$B$282,0))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FCL</t>
        </is>
      </c>
      <c r="D101" s="31" t="inlineStr">
        <is>
          <t>Fineotex Chemical Limited</t>
        </is>
      </c>
      <c r="E101" s="31" t="inlineStr">
        <is>
          <t>chemicals</t>
        </is>
      </c>
      <c r="F101" s="31" t="inlineStr">
        <is>
          <t>chemicals</t>
        </is>
      </c>
      <c r="G101" s="31" t="inlineStr">
        <is>
          <t>smallcap</t>
        </is>
      </c>
      <c r="H101" s="32" t="n">
        <v>4312.15</v>
      </c>
      <c r="I101" s="32" t="n">
        <v>39.17</v>
      </c>
      <c r="J101" s="32" t="n">
        <v>5.78</v>
      </c>
      <c r="K101" s="32" t="n">
        <v>10040741</v>
      </c>
      <c r="L101" s="31" t="n">
        <v>81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72.41</v>
      </c>
      <c r="P101" s="32" t="n">
        <v>30.44</v>
      </c>
      <c r="Q101" s="32" t="n">
        <v>29.76</v>
      </c>
      <c r="R101" s="31" t="inlineStr">
        <is>
          <t>Near 52W High Breakout</t>
        </is>
      </c>
      <c r="S101" s="31" t="inlineStr">
        <is>
          <t>Nifty 50</t>
        </is>
      </c>
      <c r="T101" s="32" t="n">
        <v>-4.43</v>
      </c>
      <c r="U101" s="32" t="n">
        <v>48.01</v>
      </c>
      <c r="V101" s="32" t="n">
        <v>54.88</v>
      </c>
      <c r="W101" s="32" t="n">
        <v>27.77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Above 2</t>
        </is>
      </c>
      <c r="BU101" s="31">
        <f>IF(BT101="Above 2",0,IF(BT101="Between 1.5 to 2",5,IF(BT101="Less than 1.5",10,0)))</f>
        <v/>
      </c>
      <c r="BV101" s="31" t="inlineStr">
        <is>
          <t>Negative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IF(B102=0,"",RANK(B102,$B$2:$B$282,0))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CENTUM</t>
        </is>
      </c>
      <c r="D102" s="31" t="inlineStr">
        <is>
          <t>Centum Electronics Limited</t>
        </is>
      </c>
      <c r="E102" s="31" t="inlineStr">
        <is>
          <t>consumer discretionary</t>
        </is>
      </c>
      <c r="F102" s="31" t="inlineStr">
        <is>
          <t>electronics - components</t>
        </is>
      </c>
      <c r="G102" s="31" t="inlineStr">
        <is>
          <t>smallcap</t>
        </is>
      </c>
      <c r="H102" s="32" t="n">
        <v>4996.9</v>
      </c>
      <c r="I102" s="32" t="n">
        <v>3582.8</v>
      </c>
      <c r="J102" s="32" t="n">
        <v>5.69</v>
      </c>
      <c r="K102" s="32" t="n">
        <v>104575</v>
      </c>
      <c r="L102" s="31" t="n">
        <v>62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68.41</v>
      </c>
      <c r="P102" s="32" t="n">
        <v>56.96</v>
      </c>
      <c r="Q102" s="32" t="n">
        <v>2575.47</v>
      </c>
      <c r="R102" s="31" t="inlineStr">
        <is>
          <t>Near 52W High Breakout</t>
        </is>
      </c>
      <c r="S102" s="31" t="inlineStr">
        <is>
          <t>Nifty Infra</t>
        </is>
      </c>
      <c r="T102" s="32" t="n">
        <v>2.95</v>
      </c>
      <c r="U102" s="32" t="n">
        <v>60.28</v>
      </c>
      <c r="V102" s="32" t="n">
        <v>55.69</v>
      </c>
      <c r="W102" s="32" t="n">
        <v>18.05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Above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Blue sky scenario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Yes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Less than 50%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IF(B103=0,"",RANK(B103,$B$2:$B$282,0))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PARACABLES</t>
        </is>
      </c>
      <c r="D103" s="31" t="inlineStr">
        <is>
          <t>Paramount Communications Limited</t>
        </is>
      </c>
      <c r="E103" s="31" t="inlineStr">
        <is>
          <t>industrials</t>
        </is>
      </c>
      <c r="F103" s="31" t="inlineStr">
        <is>
          <t>cables - power</t>
        </is>
      </c>
      <c r="G103" s="31" t="inlineStr">
        <is>
          <t>smallcap</t>
        </is>
      </c>
      <c r="H103" s="32" t="n">
        <v>1857.2</v>
      </c>
      <c r="I103" s="32" t="n">
        <v>64.12</v>
      </c>
      <c r="J103" s="32" t="n">
        <v>5.37</v>
      </c>
      <c r="K103" s="32" t="n">
        <v>2201942</v>
      </c>
      <c r="L103" s="31" t="n">
        <v>85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70.04000000000001</v>
      </c>
      <c r="P103" s="32" t="n">
        <v>32.63</v>
      </c>
      <c r="Q103" s="32" t="n">
        <v>46.65</v>
      </c>
      <c r="R103" s="31" t="inlineStr">
        <is>
          <t>Near 52W High Breakout</t>
        </is>
      </c>
      <c r="S103" s="31" t="inlineStr">
        <is>
          <t>Nifty Energy</t>
        </is>
      </c>
      <c r="T103" s="32" t="n">
        <v>9.800000000000001</v>
      </c>
      <c r="U103" s="32" t="n">
        <v>19.92</v>
      </c>
      <c r="V103" s="32" t="n">
        <v>9.210000000000001</v>
      </c>
      <c r="W103" s="32" t="n">
        <v>31.16</v>
      </c>
      <c r="X103" s="31" t="inlineStr">
        <is>
          <t>Cyclical in an Upturn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Close to 52 week high or retracement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No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IF(B104=0,"",RANK(B104,$B$2:$B$282,0))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KERNEX</t>
        </is>
      </c>
      <c r="D104" s="31" t="inlineStr">
        <is>
          <t>Kernex Microsystems (india) Limited</t>
        </is>
      </c>
      <c r="E104" s="31" t="inlineStr">
        <is>
          <t>consumer discretionary</t>
        </is>
      </c>
      <c r="F104" s="31" t="inlineStr">
        <is>
          <t>electronics - components</t>
        </is>
      </c>
      <c r="G104" s="31" t="inlineStr">
        <is>
          <t>smallcap</t>
        </is>
      </c>
      <c r="H104" s="32" t="n">
        <v>3181.87</v>
      </c>
      <c r="I104" s="32" t="n">
        <v>1993.3</v>
      </c>
      <c r="J104" s="32" t="n">
        <v>5.26</v>
      </c>
      <c r="K104" s="32" t="n">
        <v>310640</v>
      </c>
      <c r="L104" s="31" t="n">
        <v>88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73.3</v>
      </c>
      <c r="P104" s="32" t="n">
        <v>30.97</v>
      </c>
      <c r="Q104" s="32" t="n">
        <v>1471.05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-4.43</v>
      </c>
      <c r="U104" s="32" t="n">
        <v>53.18</v>
      </c>
      <c r="V104" s="32" t="n">
        <v>60.28</v>
      </c>
      <c r="W104" s="32" t="n">
        <v>35.86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Negative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IF(B105=0,"",RANK(B105,$B$2:$B$282,0))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QPOWER</t>
        </is>
      </c>
      <c r="D105" s="31" t="inlineStr">
        <is>
          <t>Quality Power Electrical Equipments Ltd</t>
        </is>
      </c>
      <c r="E105" s="31" t="inlineStr">
        <is>
          <t>industrials</t>
        </is>
      </c>
      <c r="F105" s="31" t="inlineStr">
        <is>
          <t>electric equipment</t>
        </is>
      </c>
      <c r="G105" s="31" t="inlineStr">
        <is>
          <t>midcap</t>
        </is>
      </c>
      <c r="H105" s="32" t="n">
        <v>9006.75</v>
      </c>
      <c r="I105" s="32" t="n">
        <v>1221.1</v>
      </c>
      <c r="J105" s="32" t="n">
        <v>5</v>
      </c>
      <c r="K105" s="32" t="n">
        <v>250571</v>
      </c>
      <c r="L105" s="31" t="n">
        <v>90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61.47</v>
      </c>
      <c r="P105" s="32" t="n">
        <v>25.25</v>
      </c>
      <c r="Q105" s="32" t="n">
        <v>976.27</v>
      </c>
      <c r="R105" s="31" t="inlineStr">
        <is>
          <t>Earnings / Momentum Support</t>
        </is>
      </c>
      <c r="S105" s="31" t="inlineStr">
        <is>
          <t>Nifty 50</t>
        </is>
      </c>
      <c r="T105" s="32" t="n">
        <v>-4.43</v>
      </c>
      <c r="U105" s="32" t="n">
        <v>143.47</v>
      </c>
      <c r="V105" s="32" t="n">
        <v>154.76</v>
      </c>
      <c r="W105" s="32" t="n">
        <v>37.49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Yes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Less than 50%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IF(B106=0,"",RANK(B106,$B$2:$B$282,0))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SANGHVIMOV</t>
        </is>
      </c>
      <c r="D106" s="31" t="inlineStr">
        <is>
          <t>Sanghvi Movers Limited</t>
        </is>
      </c>
      <c r="E106" s="31" t="inlineStr">
        <is>
          <t>miscellaneous</t>
        </is>
      </c>
      <c r="F106" s="31" t="inlineStr">
        <is>
          <t>miscellaneous</t>
        </is>
      </c>
      <c r="G106" s="31" t="inlineStr">
        <is>
          <t>smallcap</t>
        </is>
      </c>
      <c r="H106" s="32" t="n">
        <v>3214.57</v>
      </c>
      <c r="I106" s="32" t="n">
        <v>387.95</v>
      </c>
      <c r="J106" s="32" t="n">
        <v>4.48</v>
      </c>
      <c r="K106" s="32" t="n">
        <v>310635</v>
      </c>
      <c r="L106" s="31" t="n">
        <v>74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64.34999999999999</v>
      </c>
      <c r="P106" s="32" t="n">
        <v>19.88</v>
      </c>
      <c r="Q106" s="32" t="n">
        <v>276.27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-4.43</v>
      </c>
      <c r="U106" s="32" t="n">
        <v>34.06</v>
      </c>
      <c r="V106" s="32" t="n">
        <v>40.28</v>
      </c>
      <c r="W106" s="32" t="n">
        <v>23.3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0 to 20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Close to 52 week high or retracement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Between 50% to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IF(B107=0,"",RANK(B107,$B$2:$B$282,0))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BOSCHLTD</t>
        </is>
      </c>
      <c r="D107" s="31" t="inlineStr">
        <is>
          <t>Bosch Limited</t>
        </is>
      </c>
      <c r="E107" s="31" t="inlineStr">
        <is>
          <t>auto</t>
        </is>
      </c>
      <c r="F107" s="31" t="inlineStr">
        <is>
          <t>auto ancillaries</t>
        </is>
      </c>
      <c r="G107" s="31" t="inlineStr">
        <is>
          <t>largecap</t>
        </is>
      </c>
      <c r="H107" s="32" t="n">
        <v>110792.86</v>
      </c>
      <c r="I107" s="32" t="n">
        <v>39060</v>
      </c>
      <c r="J107" s="32" t="n">
        <v>3.98</v>
      </c>
      <c r="K107" s="32" t="n">
        <v>78501</v>
      </c>
      <c r="L107" s="31" t="n">
        <v>42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59.06</v>
      </c>
      <c r="P107" s="32" t="n">
        <v>20.16</v>
      </c>
      <c r="Q107" s="32" t="n">
        <v>31829.41</v>
      </c>
      <c r="R107" s="31" t="inlineStr">
        <is>
          <t>Near 52W High Breakout</t>
        </is>
      </c>
      <c r="S107" s="31" t="inlineStr">
        <is>
          <t>Nifty Auto</t>
        </is>
      </c>
      <c r="T107" s="32" t="n">
        <v>12.72</v>
      </c>
      <c r="U107" s="32" t="n">
        <v>25.34</v>
      </c>
      <c r="V107" s="32" t="n">
        <v>11.2</v>
      </c>
      <c r="W107" s="32" t="n">
        <v>12.21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20 to 40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Blue sky scenario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IF(B108=0,"",RANK(B108,$B$2:$B$282,0))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KPIL</t>
        </is>
      </c>
      <c r="D108" s="31" t="inlineStr">
        <is>
          <t>Kalpataru Projects International Ltd</t>
        </is>
      </c>
      <c r="E108" s="31" t="inlineStr">
        <is>
          <t>realty</t>
        </is>
      </c>
      <c r="F108" s="31" t="inlineStr">
        <is>
          <t>transmisson line towers / equipment</t>
        </is>
      </c>
      <c r="G108" s="31" t="inlineStr">
        <is>
          <t>largecap</t>
        </is>
      </c>
      <c r="H108" s="32" t="n">
        <v>21390.97</v>
      </c>
      <c r="I108" s="32" t="n">
        <v>1301.6</v>
      </c>
      <c r="J108" s="32" t="n">
        <v>3.91</v>
      </c>
      <c r="K108" s="32" t="n">
        <v>138153</v>
      </c>
      <c r="L108" s="31" t="n">
        <v>18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61.1</v>
      </c>
      <c r="P108" s="32" t="n">
        <v>19.62</v>
      </c>
      <c r="Q108" s="32" t="n">
        <v>1054.73</v>
      </c>
      <c r="R108" s="31" t="inlineStr">
        <is>
          <t>Near 52W High Breakout</t>
        </is>
      </c>
      <c r="S108" s="31" t="inlineStr">
        <is>
          <t>Nifty Realty</t>
        </is>
      </c>
      <c r="T108" s="32" t="n">
        <v>-23.58</v>
      </c>
      <c r="U108" s="32" t="n">
        <v>12.98</v>
      </c>
      <c r="V108" s="32" t="n">
        <v>47.83</v>
      </c>
      <c r="W108" s="32" t="n">
        <v>6.63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0 to 20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Close to 52 week high or retracement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Between 50% to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IF(B109=0,"",RANK(B109,$B$2:$B$282,0))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UNIVCABLES</t>
        </is>
      </c>
      <c r="D109" s="31" t="inlineStr">
        <is>
          <t>Universal Cables Limited</t>
        </is>
      </c>
      <c r="E109" s="31" t="inlineStr">
        <is>
          <t>industrials</t>
        </is>
      </c>
      <c r="F109" s="31" t="inlineStr">
        <is>
          <t>cables - power</t>
        </is>
      </c>
      <c r="G109" s="31" t="inlineStr">
        <is>
          <t>smallcap</t>
        </is>
      </c>
      <c r="H109" s="32" t="n">
        <v>3935.5</v>
      </c>
      <c r="I109" s="32" t="n">
        <v>1176.6</v>
      </c>
      <c r="J109" s="32" t="n">
        <v>3.73</v>
      </c>
      <c r="K109" s="32" t="n">
        <v>145680</v>
      </c>
      <c r="L109" s="31" t="n">
        <v>92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66.19</v>
      </c>
      <c r="P109" s="32" t="n">
        <v>35.75</v>
      </c>
      <c r="Q109" s="32" t="n">
        <v>840.25</v>
      </c>
      <c r="R109" s="31" t="inlineStr">
        <is>
          <t>Near 52W High Breakout</t>
        </is>
      </c>
      <c r="S109" s="31" t="inlineStr">
        <is>
          <t>Nifty Energy</t>
        </is>
      </c>
      <c r="T109" s="32" t="n">
        <v>9.800000000000001</v>
      </c>
      <c r="U109" s="32" t="n">
        <v>82.70999999999999</v>
      </c>
      <c r="V109" s="32" t="n">
        <v>66.40000000000001</v>
      </c>
      <c r="W109" s="32" t="n">
        <v>38.75</v>
      </c>
      <c r="X109" s="31" t="inlineStr">
        <is>
          <t>Cyclical in an Upturn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Less than 12%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No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Less than 50%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Less than 0.7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IF(B110=0,"",RANK(B110,$B$2:$B$282,0))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ASTRAMICRO</t>
        </is>
      </c>
      <c r="D110" s="31" t="inlineStr">
        <is>
          <t>Astra Microwave Products Limited</t>
        </is>
      </c>
      <c r="E110" s="31" t="inlineStr">
        <is>
          <t>aerospace &amp; defence</t>
        </is>
      </c>
      <c r="F110" s="31" t="inlineStr">
        <is>
          <t>telecommunications - equipment</t>
        </is>
      </c>
      <c r="G110" s="31" t="inlineStr">
        <is>
          <t>midcap</t>
        </is>
      </c>
      <c r="H110" s="32" t="n">
        <v>13257.17</v>
      </c>
      <c r="I110" s="32" t="n">
        <v>1443.8</v>
      </c>
      <c r="J110" s="32" t="n">
        <v>3.4</v>
      </c>
      <c r="K110" s="32" t="n">
        <v>573205</v>
      </c>
      <c r="L110" s="31" t="n">
        <v>57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76.27</v>
      </c>
      <c r="P110" s="32" t="n">
        <v>29.58</v>
      </c>
      <c r="Q110" s="32" t="n">
        <v>1130.38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-4.43</v>
      </c>
      <c r="U110" s="32" t="n">
        <v>26.63</v>
      </c>
      <c r="V110" s="32" t="n">
        <v>32.5</v>
      </c>
      <c r="W110" s="32" t="n">
        <v>16.34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Oligopoly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Above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Between 1.5 to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IF(B111=0,"",RANK(B111,$B$2:$B$282,0))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3" t="inlineStr">
        <is>
          <t>MIDHANI</t>
        </is>
      </c>
      <c r="D111" s="33" t="inlineStr">
        <is>
          <t>Mishra Dhatu Nigam Ltd</t>
        </is>
      </c>
      <c r="E111" s="31" t="inlineStr">
        <is>
          <t>aerospace &amp; defence</t>
        </is>
      </c>
      <c r="F111" s="31" t="inlineStr">
        <is>
          <t>steel - medium / small</t>
        </is>
      </c>
      <c r="G111" s="31" t="inlineStr">
        <is>
          <t>midcap</t>
        </is>
      </c>
      <c r="H111" s="32" t="n">
        <v>7906.68</v>
      </c>
      <c r="I111" s="32" t="n">
        <v>435.1</v>
      </c>
      <c r="J111" s="32" t="n">
        <v>3.09</v>
      </c>
      <c r="K111" s="32" t="n">
        <v>1992926</v>
      </c>
      <c r="L111" s="31" t="n">
        <v>33</v>
      </c>
      <c r="M111" s="31" t="inlineStr">
        <is>
          <t>Underperforming</t>
        </is>
      </c>
      <c r="N111" s="32">
        <f>IF(M111="Underperforming",-5,IF(L111&gt;=95,15,IF(L111&gt;=90,10,IF(L111&gt;=80,5,0))))</f>
        <v/>
      </c>
      <c r="O111" s="32" t="n">
        <v>66.03</v>
      </c>
      <c r="P111" s="32" t="n">
        <v>25.19</v>
      </c>
      <c r="Q111" s="32" t="n">
        <v>324.31</v>
      </c>
      <c r="R111" s="31" t="inlineStr">
        <is>
          <t>Near 52W High Breakout</t>
        </is>
      </c>
      <c r="S111" s="31" t="inlineStr">
        <is>
          <t>Nifty Metal</t>
        </is>
      </c>
      <c r="T111" s="32" t="n">
        <v>38.84</v>
      </c>
      <c r="U111" s="32" t="n">
        <v>-0.76</v>
      </c>
      <c r="V111" s="32" t="n">
        <v>-28.52</v>
      </c>
      <c r="W111" s="32" t="n">
        <v>9.82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20 to 40</t>
        </is>
      </c>
      <c r="AY111" s="31">
        <f>IF(AX111="Above 40",20,IF(AX111="20 to 40",10,IF(AX111="0 to 20",-5,0)))</f>
        <v/>
      </c>
      <c r="AZ111" s="31" t="inlineStr">
        <is>
          <t>Between 50 to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Between 1.5 to 2</t>
        </is>
      </c>
      <c r="BU111" s="31">
        <f>IF(BT111="Above 2",0,IF(BT111="Between 1.5 to 2",5,IF(BT111="Less than 1.5",10,0)))</f>
        <v/>
      </c>
      <c r="BV111" s="31" t="inlineStr">
        <is>
          <t>Between 50% to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IF(B112=0,"",RANK(B112,$B$2:$B$282,0))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RPEL</t>
        </is>
      </c>
      <c r="D112" s="31" t="inlineStr">
        <is>
          <t>Raghav Productivity Enhancers Ltd</t>
        </is>
      </c>
      <c r="E112" s="31" t="inlineStr">
        <is>
          <t>building materials</t>
        </is>
      </c>
      <c r="F112" s="31" t="inlineStr">
        <is>
          <t>refractories / intermediates</t>
        </is>
      </c>
      <c r="G112" s="31" t="inlineStr">
        <is>
          <t>midcap</t>
        </is>
      </c>
      <c r="H112" s="32" t="n">
        <v>5305.59</v>
      </c>
      <c r="I112" s="32" t="n">
        <v>1189.05</v>
      </c>
      <c r="J112" s="32" t="n">
        <v>2.89</v>
      </c>
      <c r="K112" s="32" t="n">
        <v>159838</v>
      </c>
      <c r="L112" s="31" t="n">
        <v>87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77.06999999999999</v>
      </c>
      <c r="P112" s="32" t="n">
        <v>30.26</v>
      </c>
      <c r="Q112" s="32" t="n">
        <v>910.12</v>
      </c>
      <c r="R112" s="31" t="inlineStr">
        <is>
          <t>Near 52W High Breakout</t>
        </is>
      </c>
      <c r="S112" s="31" t="inlineStr">
        <is>
          <t>Nifty Infra</t>
        </is>
      </c>
      <c r="T112" s="32" t="n">
        <v>2.95</v>
      </c>
      <c r="U112" s="32" t="n">
        <v>68.70999999999999</v>
      </c>
      <c r="V112" s="32" t="n">
        <v>63.88</v>
      </c>
      <c r="W112" s="32" t="n">
        <v>34.87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Between 1.5 to 2</t>
        </is>
      </c>
      <c r="BU112" s="31">
        <f>IF(BT112="Above 2",0,IF(BT112="Between 1.5 to 2",5,IF(BT112="Less than 1.5",10,0)))</f>
        <v/>
      </c>
      <c r="BV112" s="31" t="inlineStr">
        <is>
          <t>Less than 50%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Less than 0.7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IF(B113=0,"",RANK(B113,$B$2:$B$282,0))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MUNJALAU</t>
        </is>
      </c>
      <c r="D113" s="31" t="inlineStr">
        <is>
          <t>Munjal Auto Industries Limited</t>
        </is>
      </c>
      <c r="E113" s="31" t="inlineStr">
        <is>
          <t>auto</t>
        </is>
      </c>
      <c r="F113" s="31" t="inlineStr">
        <is>
          <t>auto ancillaries</t>
        </is>
      </c>
      <c r="G113" s="31" t="inlineStr">
        <is>
          <t>smallcap</t>
        </is>
      </c>
      <c r="H113" s="32" t="n">
        <v>955.1</v>
      </c>
      <c r="I113" s="32" t="n">
        <v>97.94</v>
      </c>
      <c r="J113" s="32" t="n">
        <v>2.54</v>
      </c>
      <c r="K113" s="32" t="n">
        <v>973879</v>
      </c>
      <c r="L113" s="31" t="n">
        <v>43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67.59</v>
      </c>
      <c r="P113" s="32" t="n">
        <v>21.61</v>
      </c>
      <c r="Q113" s="32" t="n">
        <v>73.31999999999999</v>
      </c>
      <c r="R113" s="31" t="inlineStr">
        <is>
          <t>Volume Spike / Accumulation</t>
        </is>
      </c>
      <c r="S113" s="31" t="inlineStr">
        <is>
          <t>Nifty Auto</t>
        </is>
      </c>
      <c r="T113" s="32" t="n">
        <v>12.72</v>
      </c>
      <c r="U113" s="32" t="n">
        <v>29.44</v>
      </c>
      <c r="V113" s="32" t="n">
        <v>14.83</v>
      </c>
      <c r="W113" s="32" t="n">
        <v>12.29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Less than 50%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Between 0.7 to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IF(B114=0,"",RANK(B114,$B$2:$B$282,0))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RSWM</t>
        </is>
      </c>
      <c r="D114" s="31" t="inlineStr">
        <is>
          <t>Rswm Limited</t>
        </is>
      </c>
      <c r="E114" s="31" t="inlineStr">
        <is>
          <t>textiles</t>
        </is>
      </c>
      <c r="F114" s="31" t="inlineStr">
        <is>
          <t>textiles - cotton/blended</t>
        </is>
      </c>
      <c r="G114" s="31" t="inlineStr">
        <is>
          <t>smallcap</t>
        </is>
      </c>
      <c r="H114" s="32" t="n">
        <v>965.73</v>
      </c>
      <c r="I114" s="32" t="n">
        <v>209.15</v>
      </c>
      <c r="J114" s="32" t="n">
        <v>2.01</v>
      </c>
      <c r="K114" s="32" t="n">
        <v>204700</v>
      </c>
      <c r="L114" s="31" t="n">
        <v>57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70.87</v>
      </c>
      <c r="P114" s="32" t="n">
        <v>23.36</v>
      </c>
      <c r="Q114" s="32" t="n">
        <v>157.25</v>
      </c>
      <c r="R114" s="31" t="inlineStr">
        <is>
          <t>Volume Spike &amp; Near 52W High Breakout</t>
        </is>
      </c>
      <c r="S114" s="31" t="inlineStr">
        <is>
          <t>Nifty 50</t>
        </is>
      </c>
      <c r="T114" s="32" t="n">
        <v>-4.43</v>
      </c>
      <c r="U114" s="32" t="n">
        <v>20.11</v>
      </c>
      <c r="V114" s="32" t="n">
        <v>25.68</v>
      </c>
      <c r="W114" s="32" t="n">
        <v>16.4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20 to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More than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No</t>
        </is>
      </c>
      <c r="BS114" s="31">
        <f>IF(BR114="NO",5,0)</f>
        <v/>
      </c>
      <c r="BT114" s="31" t="inlineStr">
        <is>
          <t>Less than 1.5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More than 1.2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IF(B115=0,"",RANK(B115,$B$2:$B$282,0))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RRKABEL</t>
        </is>
      </c>
      <c r="D115" s="31" t="inlineStr">
        <is>
          <t>R R Kabel Ltd</t>
        </is>
      </c>
      <c r="E115" s="31" t="inlineStr">
        <is>
          <t>industrials</t>
        </is>
      </c>
      <c r="F115" s="31" t="inlineStr">
        <is>
          <t>cables - power</t>
        </is>
      </c>
      <c r="G115" s="31" t="inlineStr">
        <is>
          <t>largecap</t>
        </is>
      </c>
      <c r="H115" s="32" t="n">
        <v>24069.98</v>
      </c>
      <c r="I115" s="32" t="n">
        <v>2168.2</v>
      </c>
      <c r="J115" s="32" t="n">
        <v>1.88</v>
      </c>
      <c r="K115" s="32" t="n">
        <v>467495</v>
      </c>
      <c r="L115" s="31" t="n">
        <v>77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74.78</v>
      </c>
      <c r="P115" s="32" t="n">
        <v>35.45</v>
      </c>
      <c r="Q115" s="32" t="n">
        <v>1757.49</v>
      </c>
      <c r="R115" s="31" t="inlineStr">
        <is>
          <t>Near 52W High Breakout</t>
        </is>
      </c>
      <c r="S115" s="31" t="inlineStr">
        <is>
          <t>Nifty Energy</t>
        </is>
      </c>
      <c r="T115" s="32" t="n">
        <v>9.800000000000001</v>
      </c>
      <c r="U115" s="32" t="n">
        <v>60.1</v>
      </c>
      <c r="V115" s="32" t="n">
        <v>45.81</v>
      </c>
      <c r="W115" s="32" t="n">
        <v>24.71</v>
      </c>
      <c r="X115" s="31" t="inlineStr">
        <is>
          <t>Cyclical in an Upturn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More than 20%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Between 1.5 to 2</t>
        </is>
      </c>
      <c r="BU115" s="31">
        <f>IF(BT115="Above 2",0,IF(BT115="Between 1.5 to 2",5,IF(BT115="Less than 1.5",10,0)))</f>
        <v/>
      </c>
      <c r="BV115" s="31" t="inlineStr">
        <is>
          <t>Less than 50%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IF(B116=0,"",RANK(B116,$B$2:$B$282,0))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IDEAFORGE</t>
        </is>
      </c>
      <c r="D116" s="31" t="inlineStr">
        <is>
          <t>Ideaforge Technology Ltd</t>
        </is>
      </c>
      <c r="E116" s="31" t="inlineStr">
        <is>
          <t>aerospace &amp; defence</t>
        </is>
      </c>
      <c r="F116" s="31" t="inlineStr">
        <is>
          <t>engineering</t>
        </is>
      </c>
      <c r="G116" s="31" t="inlineStr">
        <is>
          <t>smallcap</t>
        </is>
      </c>
      <c r="H116" s="32" t="n">
        <v>3768.9</v>
      </c>
      <c r="I116" s="32" t="n">
        <v>869.1</v>
      </c>
      <c r="J116" s="32" t="n">
        <v>-0.21</v>
      </c>
      <c r="K116" s="32" t="n">
        <v>335109</v>
      </c>
      <c r="L116" s="31" t="n">
        <v>92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71.58</v>
      </c>
      <c r="P116" s="32" t="n">
        <v>42.43</v>
      </c>
      <c r="Q116" s="32" t="n">
        <v>671.02</v>
      </c>
      <c r="R116" s="31" t="inlineStr">
        <is>
          <t>Earnings / Momentum Support</t>
        </is>
      </c>
      <c r="S116" s="31" t="inlineStr">
        <is>
          <t>Nifty 50</t>
        </is>
      </c>
      <c r="T116" s="32" t="n">
        <v>-4.43</v>
      </c>
      <c r="U116" s="32" t="n">
        <v>47.29</v>
      </c>
      <c r="V116" s="32" t="n">
        <v>54.12</v>
      </c>
      <c r="W116" s="32" t="n">
        <v>38.89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Above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Negative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IF(B117=0,"",RANK(B117,$B$2:$B$282,0))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3" t="inlineStr">
        <is>
          <t>GREENPLY</t>
        </is>
      </c>
      <c r="D117" s="33" t="inlineStr">
        <is>
          <t>Greenply Industries Limited</t>
        </is>
      </c>
      <c r="E117" s="31" t="inlineStr">
        <is>
          <t>building materials</t>
        </is>
      </c>
      <c r="F117" s="31" t="inlineStr">
        <is>
          <t>miscellaneous</t>
        </is>
      </c>
      <c r="G117" s="31" t="inlineStr">
        <is>
          <t>smallcap</t>
        </is>
      </c>
      <c r="H117" s="32" t="n">
        <v>3653.38</v>
      </c>
      <c r="I117" s="32" t="n">
        <v>290.98</v>
      </c>
      <c r="J117" s="32" t="n">
        <v>-0.52</v>
      </c>
      <c r="K117" s="32" t="n">
        <v>334921</v>
      </c>
      <c r="L117" s="31" t="n">
        <v>37</v>
      </c>
      <c r="M117" s="31" t="inlineStr">
        <is>
          <t>Underperforming</t>
        </is>
      </c>
      <c r="N117" s="32">
        <f>IF(M117="Underperforming",-5,IF(L117&gt;=95,15,IF(L117&gt;=90,10,IF(L117&gt;=80,5,0))))</f>
        <v/>
      </c>
      <c r="O117" s="32" t="n">
        <v>62.28</v>
      </c>
      <c r="P117" s="32" t="n">
        <v>28.76</v>
      </c>
      <c r="Q117" s="32" t="n">
        <v>213.85</v>
      </c>
      <c r="R117" s="31" t="inlineStr">
        <is>
          <t>Earnings / Momentum Support</t>
        </is>
      </c>
      <c r="S117" s="31" t="inlineStr">
        <is>
          <t>Nifty Infra</t>
        </is>
      </c>
      <c r="T117" s="32" t="n">
        <v>2.95</v>
      </c>
      <c r="U117" s="32" t="n">
        <v>-12.59</v>
      </c>
      <c r="V117" s="32" t="n">
        <v>-15.09</v>
      </c>
      <c r="W117" s="32" t="n">
        <v>10.71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No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Less than 1.5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IF(B118=0,"",RANK(B118,$B$2:$B$282,0))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SIGMAADV</t>
        </is>
      </c>
      <c r="D118" s="31" t="inlineStr">
        <is>
          <t>Sigma Advanced System Ltd</t>
        </is>
      </c>
      <c r="E118" s="31" t="inlineStr">
        <is>
          <t>aerospace &amp; defence</t>
        </is>
      </c>
      <c r="F118" s="31" t="inlineStr">
        <is>
          <t>electronics - components</t>
        </is>
      </c>
      <c r="G118" s="31" t="inlineStr">
        <is>
          <t>midcap</t>
        </is>
      </c>
      <c r="H118" s="32" t="n">
        <v>8499.16</v>
      </c>
      <c r="I118" s="32" t="n">
        <v>479.5</v>
      </c>
      <c r="J118" s="32" t="n">
        <v>-0.57</v>
      </c>
      <c r="K118" s="32" t="n">
        <v>583531</v>
      </c>
      <c r="L118" s="31" t="n">
        <v>99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86.11</v>
      </c>
      <c r="P118" s="32" t="n">
        <v>38.96</v>
      </c>
      <c r="Q118" s="32" t="n">
        <v>360.22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-4.43</v>
      </c>
      <c r="U118" s="32" t="n">
        <v>384.44</v>
      </c>
      <c r="V118" s="32" t="n">
        <v>406.91</v>
      </c>
      <c r="W118" s="32" t="n">
        <v>102.99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Above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Negative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IF(B119=0,"",RANK(B119,$B$2:$B$282,0))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SIS</t>
        </is>
      </c>
      <c r="D119" s="31" t="inlineStr">
        <is>
          <t>Security &amp; Intelligence Services India</t>
        </is>
      </c>
      <c r="E119" s="31" t="inlineStr">
        <is>
          <t>miscellaneous</t>
        </is>
      </c>
      <c r="F119" s="31" t="inlineStr">
        <is>
          <t>miscellaneous</t>
        </is>
      </c>
      <c r="G119" s="31" t="inlineStr">
        <is>
          <t>midcap</t>
        </is>
      </c>
      <c r="H119" s="32" t="n">
        <v>6055.63</v>
      </c>
      <c r="I119" s="32" t="n">
        <v>421.15</v>
      </c>
      <c r="J119" s="32" t="n">
        <v>-1.75</v>
      </c>
      <c r="K119" s="32" t="n">
        <v>154289</v>
      </c>
      <c r="L119" s="31" t="n">
        <v>52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76.01000000000001</v>
      </c>
      <c r="P119" s="32" t="n">
        <v>38.55</v>
      </c>
      <c r="Q119" s="32" t="n">
        <v>333.48</v>
      </c>
      <c r="R119" s="31" t="inlineStr">
        <is>
          <t>Near 52W High Breakout</t>
        </is>
      </c>
      <c r="S119" s="31" t="inlineStr">
        <is>
          <t>Nifty 50</t>
        </is>
      </c>
      <c r="T119" s="32" t="n">
        <v>-4.43</v>
      </c>
      <c r="U119" s="32" t="n">
        <v>16.08</v>
      </c>
      <c r="V119" s="32" t="n">
        <v>21.46</v>
      </c>
      <c r="W119" s="32" t="n">
        <v>15.32</v>
      </c>
      <c r="X119" s="31" t="inlineStr">
        <is>
          <t>Growing Industry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Less than 1.5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Between 0.7 to 1.2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IF(B120=0,"",RANK(B120,$B$2:$B$282,0))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PASUPTAC</t>
        </is>
      </c>
      <c r="D120" s="31" t="inlineStr">
        <is>
          <t>Pasupati Acrylon Ltd</t>
        </is>
      </c>
      <c r="E120" s="31" t="inlineStr">
        <is>
          <t>textiles</t>
        </is>
      </c>
      <c r="F120" s="31" t="inlineStr">
        <is>
          <t>textiles - manmade</t>
        </is>
      </c>
      <c r="G120" s="31" t="inlineStr">
        <is>
          <t>smallcap</t>
        </is>
      </c>
      <c r="H120" s="32" t="n">
        <v>601.47</v>
      </c>
      <c r="I120" s="32" t="n">
        <v>66.23999999999999</v>
      </c>
      <c r="J120" s="32" t="n">
        <v>-1.84</v>
      </c>
      <c r="K120" s="32" t="n">
        <v>187431</v>
      </c>
      <c r="L120" s="31" t="n">
        <v>64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63.41</v>
      </c>
      <c r="P120" s="32" t="n">
        <v>31.02</v>
      </c>
      <c r="Q120" s="32" t="n">
        <v>52.41</v>
      </c>
      <c r="R120" s="31" t="inlineStr">
        <is>
          <t>Volume Spike / Accumulation</t>
        </is>
      </c>
      <c r="S120" s="31" t="inlineStr">
        <is>
          <t>Nifty 50</t>
        </is>
      </c>
      <c r="T120" s="32" t="n">
        <v>-4.43</v>
      </c>
      <c r="U120" s="32" t="n">
        <v>39.86</v>
      </c>
      <c r="V120" s="32" t="n">
        <v>46.35</v>
      </c>
      <c r="W120" s="32" t="n">
        <v>18.34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Above 2</t>
        </is>
      </c>
      <c r="BU120" s="31">
        <f>IF(BT120="Above 2",0,IF(BT120="Between 1.5 to 2",5,IF(BT120="Less than 1.5",10,0)))</f>
        <v/>
      </c>
      <c r="BV120" s="31" t="inlineStr">
        <is>
          <t>Less than 50%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Less than 0.7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IF(B121=0,"",RANK(B121,$B$2:$B$282,0))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RUBYMILLS</t>
        </is>
      </c>
      <c r="D121" s="31" t="inlineStr">
        <is>
          <t>The Ruby Mills Limited</t>
        </is>
      </c>
      <c r="E121" s="31" t="inlineStr">
        <is>
          <t>textiles</t>
        </is>
      </c>
      <c r="F121" s="31" t="inlineStr">
        <is>
          <t>textiles - composite</t>
        </is>
      </c>
      <c r="G121" s="31" t="inlineStr">
        <is>
          <t>smallcap</t>
        </is>
      </c>
      <c r="H121" s="32" t="n">
        <v>1146.66</v>
      </c>
      <c r="I121" s="32" t="n">
        <v>332.2</v>
      </c>
      <c r="J121" s="32" t="n">
        <v>-3.12</v>
      </c>
      <c r="K121" s="32" t="n">
        <v>19682</v>
      </c>
      <c r="L121" s="31" t="n">
        <v>79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74.65000000000001</v>
      </c>
      <c r="P121" s="32" t="n">
        <v>38.42</v>
      </c>
      <c r="Q121" s="32" t="n">
        <v>251.6</v>
      </c>
      <c r="R121" s="31" t="inlineStr">
        <is>
          <t>Near 52W High Breakout</t>
        </is>
      </c>
      <c r="S121" s="31" t="inlineStr">
        <is>
          <t>Nifty 50</t>
        </is>
      </c>
      <c r="T121" s="32" t="n">
        <v>-4.43</v>
      </c>
      <c r="U121" s="32" t="n">
        <v>54.16</v>
      </c>
      <c r="V121" s="32" t="n">
        <v>61.31</v>
      </c>
      <c r="W121" s="32" t="n">
        <v>25.64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20 to 40</t>
        </is>
      </c>
      <c r="AY121" s="31">
        <f>IF(AX121="Above 40",20,IF(AX121="20 to 40",10,IF(AX121="0 to 20",-5,0)))</f>
        <v/>
      </c>
      <c r="AZ121" s="31" t="inlineStr">
        <is>
          <t>Between 50 to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Less than 12%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Between 50% to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IF(B122=0,"",RANK(B122,$B$2:$B$282,0))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APOLLO</t>
        </is>
      </c>
      <c r="D122" s="31" t="inlineStr">
        <is>
          <t>Apollo Micro Systems Ltd</t>
        </is>
      </c>
      <c r="E122" s="31" t="inlineStr">
        <is>
          <t>aerospace &amp; defence</t>
        </is>
      </c>
      <c r="F122" s="31" t="inlineStr">
        <is>
          <t>electronics - components</t>
        </is>
      </c>
      <c r="G122" s="31" t="inlineStr">
        <is>
          <t>midcap</t>
        </is>
      </c>
      <c r="H122" s="32" t="n">
        <v>13639.64</v>
      </c>
      <c r="I122" s="32" t="n">
        <v>409.4</v>
      </c>
      <c r="J122" s="32" t="n">
        <v>7.24</v>
      </c>
      <c r="K122" s="32" t="n">
        <v>24583322</v>
      </c>
      <c r="L122" s="31" t="n">
        <v>94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71.8</v>
      </c>
      <c r="P122" s="32" t="n">
        <v>33.81</v>
      </c>
      <c r="Q122" s="32" t="n">
        <v>298.51</v>
      </c>
      <c r="R122" s="31" t="inlineStr">
        <is>
          <t>Near 52W High Breakout</t>
        </is>
      </c>
      <c r="S122" s="31" t="inlineStr">
        <is>
          <t>Nifty 50</t>
        </is>
      </c>
      <c r="T122" s="32" t="n">
        <v>-4.43</v>
      </c>
      <c r="U122" s="32" t="n">
        <v>111.18</v>
      </c>
      <c r="V122" s="32" t="n">
        <v>120.98</v>
      </c>
      <c r="W122" s="32" t="n">
        <v>46.5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Oligopoly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Cyclical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B2C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Fully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Above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Yes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Between 1.5 to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IF(B123=0,"",RANK(B123,$B$2:$B$282,0))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TATATECH</t>
        </is>
      </c>
      <c r="D123" s="31" t="inlineStr">
        <is>
          <t>Tata Technologies Ltd</t>
        </is>
      </c>
      <c r="E123" s="31" t="inlineStr">
        <is>
          <t>i.t</t>
        </is>
      </c>
      <c r="F123" s="31" t="inlineStr">
        <is>
          <t>computers - software - medium / small</t>
        </is>
      </c>
      <c r="G123" s="31" t="inlineStr">
        <is>
          <t>largecap</t>
        </is>
      </c>
      <c r="H123" s="32" t="n">
        <v>29695.36</v>
      </c>
      <c r="I123" s="32" t="n">
        <v>761</v>
      </c>
      <c r="J123" s="32" t="n">
        <v>4.04</v>
      </c>
      <c r="K123" s="32" t="n">
        <v>1516932</v>
      </c>
      <c r="L123" s="31" t="n">
        <v>36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70.31999999999999</v>
      </c>
      <c r="P123" s="32" t="n">
        <v>34.75</v>
      </c>
      <c r="Q123" s="32" t="n">
        <v>633.37</v>
      </c>
      <c r="R123" s="31" t="inlineStr">
        <is>
          <t>Near 52W High Breakout</t>
        </is>
      </c>
      <c r="S123" s="31" t="inlineStr">
        <is>
          <t>Nifty IT</t>
        </is>
      </c>
      <c r="T123" s="32" t="n">
        <v>-27.75</v>
      </c>
      <c r="U123" s="32" t="n">
        <v>2.59</v>
      </c>
      <c r="V123" s="32" t="n">
        <v>41.98</v>
      </c>
      <c r="W123" s="32" t="n">
        <v>10.44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IF(B124=0,"",RANK(B124,$B$2:$B$282,0))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CAPLIPOINT</t>
        </is>
      </c>
      <c r="D124" s="31" t="inlineStr">
        <is>
          <t>Caplin Point Laboratories Limited</t>
        </is>
      </c>
      <c r="E124" s="31" t="inlineStr">
        <is>
          <t>healthcare</t>
        </is>
      </c>
      <c r="F124" s="31" t="inlineStr">
        <is>
          <t>pharmaceuticals - indian - formulations</t>
        </is>
      </c>
      <c r="G124" s="31" t="inlineStr">
        <is>
          <t>midcap</t>
        </is>
      </c>
      <c r="H124" s="32" t="n">
        <v>17718.33</v>
      </c>
      <c r="I124" s="32" t="n">
        <v>2407.8</v>
      </c>
      <c r="J124" s="32" t="n">
        <v>3.29</v>
      </c>
      <c r="K124" s="32" t="n">
        <v>226664</v>
      </c>
      <c r="L124" s="31" t="n">
        <v>47</v>
      </c>
      <c r="M124" s="31" t="inlineStr">
        <is>
          <t>Outperforming</t>
        </is>
      </c>
      <c r="N124" s="32">
        <f>IF(M124="Underperforming",-5,IF(L124&gt;=95,15,IF(L124&gt;=90,10,IF(L124&gt;=80,5,0))))</f>
        <v/>
      </c>
      <c r="O124" s="32" t="n">
        <v>76.51000000000001</v>
      </c>
      <c r="P124" s="32" t="n">
        <v>24.2</v>
      </c>
      <c r="Q124" s="32" t="n">
        <v>1976.39</v>
      </c>
      <c r="R124" s="31" t="inlineStr">
        <is>
          <t>Volume Spike &amp; Near 52W High Breakout</t>
        </is>
      </c>
      <c r="S124" s="31" t="inlineStr">
        <is>
          <t>Nifty Pharma</t>
        </is>
      </c>
      <c r="T124" s="32" t="n">
        <v>10.89</v>
      </c>
      <c r="U124" s="32" t="n">
        <v>12.87</v>
      </c>
      <c r="V124" s="32" t="n">
        <v>1.78</v>
      </c>
      <c r="W124" s="32" t="n">
        <v>13.48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Yes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Above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Between 12 to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No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Between 50% to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IF(B125=0,"",RANK(B125,$B$2:$B$282,0))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DBOL</t>
        </is>
      </c>
      <c r="D125" s="31" t="inlineStr">
        <is>
          <t>Dhampur Bio Organics Ltd</t>
        </is>
      </c>
      <c r="E125" s="31" t="inlineStr">
        <is>
          <t>fmcg</t>
        </is>
      </c>
      <c r="F125" s="31" t="inlineStr">
        <is>
          <t>sugar</t>
        </is>
      </c>
      <c r="G125" s="31" t="inlineStr">
        <is>
          <t>smallcap</t>
        </is>
      </c>
      <c r="H125" s="32" t="n">
        <v>746.33</v>
      </c>
      <c r="I125" s="32" t="n">
        <v>115.2</v>
      </c>
      <c r="J125" s="32" t="n">
        <v>2.47</v>
      </c>
      <c r="K125" s="32" t="n">
        <v>40626</v>
      </c>
      <c r="L125" s="31" t="n">
        <v>39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59.86</v>
      </c>
      <c r="P125" s="32" t="n">
        <v>48.25</v>
      </c>
      <c r="Q125" s="32" t="n">
        <v>93.27</v>
      </c>
      <c r="R125" s="31" t="inlineStr">
        <is>
          <t>Earnings / Momentum Support</t>
        </is>
      </c>
      <c r="S125" s="31" t="inlineStr">
        <is>
          <t>Nifty FMCG</t>
        </is>
      </c>
      <c r="T125" s="32" t="n">
        <v>-10.45</v>
      </c>
      <c r="U125" s="32" t="n">
        <v>42.63</v>
      </c>
      <c r="V125" s="32" t="n">
        <v>59.27</v>
      </c>
      <c r="W125" s="32" t="n">
        <v>11.09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No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B2C</t>
        </is>
      </c>
      <c r="AO125" s="31">
        <f>IF(AN125="B2C",10,IF(AN125="B2B",5,0))</f>
        <v/>
      </c>
      <c r="AP125" s="31" t="inlineStr">
        <is>
          <t>No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No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Between 0.7 to 1.2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IF(B126=0,"",RANK(B126,$B$2:$B$282,0))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3" t="inlineStr">
        <is>
          <t>RAINBOW</t>
        </is>
      </c>
      <c r="D126" s="33" t="inlineStr">
        <is>
          <t>Rainbow Childrens Medicare Ltd</t>
        </is>
      </c>
      <c r="E126" s="31" t="inlineStr">
        <is>
          <t>healthcare</t>
        </is>
      </c>
      <c r="F126" s="31" t="inlineStr">
        <is>
          <t>healthcare</t>
        </is>
      </c>
      <c r="G126" s="31" t="inlineStr">
        <is>
          <t>midcap</t>
        </is>
      </c>
      <c r="H126" s="32" t="n">
        <v>13607.91</v>
      </c>
      <c r="I126" s="32" t="n">
        <v>1365</v>
      </c>
      <c r="J126" s="32" t="n">
        <v>1.87</v>
      </c>
      <c r="K126" s="32" t="n">
        <v>72355</v>
      </c>
      <c r="L126" s="31" t="n">
        <v>9</v>
      </c>
      <c r="M126" s="31" t="inlineStr">
        <is>
          <t>Underperforming</t>
        </is>
      </c>
      <c r="N126" s="32">
        <f>IF(M126="Underperforming",-5,IF(L126&gt;=95,15,IF(L126&gt;=90,10,IF(L126&gt;=80,5,0))))</f>
        <v/>
      </c>
      <c r="O126" s="32" t="n">
        <v>59.89</v>
      </c>
      <c r="P126" s="32" t="n">
        <v>25.57</v>
      </c>
      <c r="Q126" s="32" t="n">
        <v>1150.63</v>
      </c>
      <c r="R126" s="31" t="inlineStr">
        <is>
          <t>Earnings / Momentum Support</t>
        </is>
      </c>
      <c r="S126" s="31" t="inlineStr">
        <is>
          <t>Nifty Pharma</t>
        </is>
      </c>
      <c r="T126" s="32" t="n">
        <v>10.89</v>
      </c>
      <c r="U126" s="32" t="n">
        <v>-3.79</v>
      </c>
      <c r="V126" s="32" t="n">
        <v>-13.24</v>
      </c>
      <c r="W126" s="32" t="n">
        <v>4.12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No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IF(B127=0,"",RANK(B127,$B$2:$B$282,0))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YATHARTH</t>
        </is>
      </c>
      <c r="D127" s="31" t="inlineStr">
        <is>
          <t>Yatharth Hospital &amp; Trauma Care Services Ltd</t>
        </is>
      </c>
      <c r="E127" s="31" t="inlineStr">
        <is>
          <t>healthcare</t>
        </is>
      </c>
      <c r="F127" s="31" t="inlineStr">
        <is>
          <t>healthcare</t>
        </is>
      </c>
      <c r="G127" s="31" t="inlineStr">
        <is>
          <t>midcap</t>
        </is>
      </c>
      <c r="H127" s="32" t="n">
        <v>7957.42</v>
      </c>
      <c r="I127" s="32" t="n">
        <v>839.75</v>
      </c>
      <c r="J127" s="32" t="n">
        <v>1.68</v>
      </c>
      <c r="K127" s="32" t="n">
        <v>236157</v>
      </c>
      <c r="L127" s="31" t="n">
        <v>61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60.12</v>
      </c>
      <c r="P127" s="32" t="n">
        <v>25.5</v>
      </c>
      <c r="Q127" s="32" t="n">
        <v>664.5</v>
      </c>
      <c r="R127" s="31" t="inlineStr">
        <is>
          <t>Near 52W High Breakout</t>
        </is>
      </c>
      <c r="S127" s="31" t="inlineStr">
        <is>
          <t>Nifty Pharma</t>
        </is>
      </c>
      <c r="T127" s="32" t="n">
        <v>10.89</v>
      </c>
      <c r="U127" s="32" t="n">
        <v>61.24</v>
      </c>
      <c r="V127" s="32" t="n">
        <v>45.4</v>
      </c>
      <c r="W127" s="32" t="n">
        <v>17.57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Between 12 to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Yes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Between 50% to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IF(B128=0,"",RANK(B128,$B$2:$B$282,0))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BLSE</t>
        </is>
      </c>
      <c r="D128" s="31" t="inlineStr">
        <is>
          <t>BLS E-Services Ltd</t>
        </is>
      </c>
      <c r="E128" s="31" t="inlineStr">
        <is>
          <t>i.t</t>
        </is>
      </c>
      <c r="F128" s="31" t="inlineStr">
        <is>
          <t>computers - software - medium / small</t>
        </is>
      </c>
      <c r="G128" s="31" t="inlineStr">
        <is>
          <t>smallcap</t>
        </is>
      </c>
      <c r="H128" s="32" t="n">
        <v>2046</v>
      </c>
      <c r="I128" s="32" t="n">
        <v>228.4</v>
      </c>
      <c r="J128" s="32" t="n">
        <v>1.43</v>
      </c>
      <c r="K128" s="32" t="n">
        <v>185414</v>
      </c>
      <c r="L128" s="31" t="n">
        <v>67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68.47</v>
      </c>
      <c r="P128" s="32" t="n">
        <v>21.72</v>
      </c>
      <c r="Q128" s="32" t="n">
        <v>176.67</v>
      </c>
      <c r="R128" s="31" t="inlineStr">
        <is>
          <t>Near 52W High Breakout</t>
        </is>
      </c>
      <c r="S128" s="31" t="inlineStr">
        <is>
          <t>Nifty IT</t>
        </is>
      </c>
      <c r="T128" s="32" t="n">
        <v>-27.75</v>
      </c>
      <c r="U128" s="32" t="n">
        <v>10.84</v>
      </c>
      <c r="V128" s="32" t="n">
        <v>53.4</v>
      </c>
      <c r="W128" s="32" t="n">
        <v>19.38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Between 50% to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IF(B129=0,"",RANK(B129,$B$2:$B$282,0))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VADILALIND</t>
        </is>
      </c>
      <c r="D129" s="31" t="inlineStr">
        <is>
          <t>Vadilal Industries Limited</t>
        </is>
      </c>
      <c r="E129" s="31" t="inlineStr">
        <is>
          <t>fmcg</t>
        </is>
      </c>
      <c r="F129" s="31" t="inlineStr">
        <is>
          <t>food - processing - indian</t>
        </is>
      </c>
      <c r="G129" s="31" t="inlineStr">
        <is>
          <t>smallcap</t>
        </is>
      </c>
      <c r="H129" s="32" t="n">
        <v>4270.22</v>
      </c>
      <c r="I129" s="32" t="n">
        <v>6009.3</v>
      </c>
      <c r="J129" s="32" t="n">
        <v>1.15</v>
      </c>
      <c r="K129" s="32" t="n">
        <v>31219</v>
      </c>
      <c r="L129" s="31" t="n">
        <v>27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66.33</v>
      </c>
      <c r="P129" s="32" t="n">
        <v>12.84</v>
      </c>
      <c r="Q129" s="32" t="n">
        <v>4599.01</v>
      </c>
      <c r="R129" s="31" t="inlineStr">
        <is>
          <t>Near 52W High Breakout</t>
        </is>
      </c>
      <c r="S129" s="31" t="inlineStr">
        <is>
          <t>Nifty FMCG</t>
        </is>
      </c>
      <c r="T129" s="32" t="n">
        <v>-10.45</v>
      </c>
      <c r="U129" s="32" t="n">
        <v>13.05</v>
      </c>
      <c r="V129" s="32" t="n">
        <v>26.25</v>
      </c>
      <c r="W129" s="32" t="n">
        <v>8.98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B2C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Between 50% to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IF(B130=0,"",RANK(B130,$B$2:$B$282,0))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3" t="inlineStr">
        <is>
          <t>WOCKPHARMA</t>
        </is>
      </c>
      <c r="D130" s="33" t="inlineStr">
        <is>
          <t>Wockhardt Limited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largecap</t>
        </is>
      </c>
      <c r="H130" s="32" t="n">
        <v>31260.24</v>
      </c>
      <c r="I130" s="32" t="n">
        <v>1938</v>
      </c>
      <c r="J130" s="32" t="n">
        <v>0.74</v>
      </c>
      <c r="K130" s="32" t="n">
        <v>1273816</v>
      </c>
      <c r="L130" s="31" t="n">
        <v>58</v>
      </c>
      <c r="M130" s="31" t="inlineStr">
        <is>
          <t>Underperforming</t>
        </is>
      </c>
      <c r="N130" s="32">
        <f>IF(M130="Underperforming",-5,IF(L130&gt;=95,15,IF(L130&gt;=90,10,IF(L130&gt;=80,5,0))))</f>
        <v/>
      </c>
      <c r="O130" s="32" t="n">
        <v>70.59999999999999</v>
      </c>
      <c r="P130" s="32" t="n">
        <v>31.36</v>
      </c>
      <c r="Q130" s="32" t="n">
        <v>1467.09</v>
      </c>
      <c r="R130" s="31" t="inlineStr">
        <is>
          <t>Near 52W High Breakout</t>
        </is>
      </c>
      <c r="S130" s="31" t="inlineStr">
        <is>
          <t>Nifty Pharma</t>
        </is>
      </c>
      <c r="T130" s="32" t="n">
        <v>10.89</v>
      </c>
      <c r="U130" s="32" t="n">
        <v>9.109999999999999</v>
      </c>
      <c r="V130" s="32" t="n">
        <v>-1.61</v>
      </c>
      <c r="W130" s="32" t="n">
        <v>16.82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Between 50 to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Blue sky scenario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Between 50% to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IF(B131=0,"",RANK(B131,$B$2:$B$282,0))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VIYASH</t>
        </is>
      </c>
      <c r="D131" s="31" t="inlineStr">
        <is>
          <t>Viyash Scientific Ltd</t>
        </is>
      </c>
      <c r="E131" s="31" t="inlineStr">
        <is>
          <t>healthcare</t>
        </is>
      </c>
      <c r="F131" s="31" t="inlineStr">
        <is>
          <t>pharmaceuticals - indian - bulk drugs &amp; formln</t>
        </is>
      </c>
      <c r="G131" s="31" t="inlineStr">
        <is>
          <t>midcap</t>
        </is>
      </c>
      <c r="H131" s="32" t="n">
        <v>10886.32</v>
      </c>
      <c r="I131" s="32" t="n">
        <v>249.95</v>
      </c>
      <c r="J131" s="32" t="n">
        <v>0.3</v>
      </c>
      <c r="K131" s="32" t="n">
        <v>2376512</v>
      </c>
      <c r="L131" s="31" t="n">
        <v>38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65.18000000000001</v>
      </c>
      <c r="P131" s="32" t="n">
        <v>30.46</v>
      </c>
      <c r="Q131" s="32" t="n">
        <v>197.5</v>
      </c>
      <c r="R131" s="31" t="inlineStr">
        <is>
          <t>Near 52W High Breakout</t>
        </is>
      </c>
      <c r="S131" s="31" t="inlineStr">
        <is>
          <t>Nifty Pharma</t>
        </is>
      </c>
      <c r="T131" s="32" t="n">
        <v>10.89</v>
      </c>
      <c r="U131" s="32" t="n">
        <v>26.71</v>
      </c>
      <c r="V131" s="32" t="n">
        <v>14.26</v>
      </c>
      <c r="W131" s="32" t="n">
        <v>10.98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Yes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Annuity, Lower One Time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Less than 50%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IF(B132=0,"",RANK(B132,$B$2:$B$282,0))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WALCHANNAG</t>
        </is>
      </c>
      <c r="D132" s="31" t="inlineStr">
        <is>
          <t>Walchandnagar Industries Limited</t>
        </is>
      </c>
      <c r="E132" s="31" t="inlineStr">
        <is>
          <t>industrials</t>
        </is>
      </c>
      <c r="F132" s="31" t="inlineStr">
        <is>
          <t>engineering</t>
        </is>
      </c>
      <c r="G132" s="31" t="inlineStr">
        <is>
          <t>smallcap</t>
        </is>
      </c>
      <c r="H132" s="32" t="n">
        <v>1648.56</v>
      </c>
      <c r="I132" s="32" t="n">
        <v>265.45</v>
      </c>
      <c r="J132" s="32" t="n">
        <v>9.24</v>
      </c>
      <c r="K132" s="32" t="n">
        <v>6180535</v>
      </c>
      <c r="L132" s="31" t="n">
        <v>72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66.38</v>
      </c>
      <c r="P132" s="32" t="n">
        <v>26.35</v>
      </c>
      <c r="Q132" s="32" t="n">
        <v>180.98</v>
      </c>
      <c r="R132" s="31" t="inlineStr">
        <is>
          <t>Near 52W High Breakout</t>
        </is>
      </c>
      <c r="S132" s="31" t="inlineStr">
        <is>
          <t>Nifty Infra</t>
        </is>
      </c>
      <c r="T132" s="32" t="n">
        <v>2.95</v>
      </c>
      <c r="U132" s="32" t="n">
        <v>9.789999999999999</v>
      </c>
      <c r="V132" s="32" t="n">
        <v>6.65</v>
      </c>
      <c r="W132" s="32" t="n">
        <v>21.65</v>
      </c>
      <c r="X132" s="31" t="inlineStr">
        <is>
          <t>Cyclical in an Upturn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20 to 40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Negative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IF(B133=0,"",RANK(B133,$B$2:$B$282,0))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UFBL</t>
        </is>
      </c>
      <c r="D133" s="31" t="inlineStr">
        <is>
          <t>United Foodbrands Ltd</t>
        </is>
      </c>
      <c r="E133" s="31" t="inlineStr">
        <is>
          <t>consumer discretionary</t>
        </is>
      </c>
      <c r="F133" s="31" t="inlineStr">
        <is>
          <t>hotels</t>
        </is>
      </c>
      <c r="G133" s="31" t="inlineStr">
        <is>
          <t>smallcap</t>
        </is>
      </c>
      <c r="H133" s="32" t="n">
        <v>2175.35</v>
      </c>
      <c r="I133" s="32" t="n">
        <v>593.6</v>
      </c>
      <c r="J133" s="32" t="n">
        <v>6.66</v>
      </c>
      <c r="K133" s="32" t="n">
        <v>342253</v>
      </c>
      <c r="L133" s="31" t="n">
        <v>98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81.64</v>
      </c>
      <c r="P133" s="32" t="n">
        <v>35.72</v>
      </c>
      <c r="Q133" s="32" t="n">
        <v>429.59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-4.43</v>
      </c>
      <c r="U133" s="32" t="n">
        <v>80.67</v>
      </c>
      <c r="V133" s="32" t="n">
        <v>89.05</v>
      </c>
      <c r="W133" s="32" t="n">
        <v>65.76000000000001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Above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More than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IF(B134=0,"",RANK(B134,$B$2:$B$282,0))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PRIVISCL</t>
        </is>
      </c>
      <c r="D134" s="31" t="inlineStr">
        <is>
          <t>Privi Speciality Chemicals Ltd</t>
        </is>
      </c>
      <c r="E134" s="31" t="inlineStr">
        <is>
          <t>chemicals</t>
        </is>
      </c>
      <c r="F134" s="31" t="inlineStr">
        <is>
          <t>chemicals</t>
        </is>
      </c>
      <c r="G134" s="31" t="inlineStr">
        <is>
          <t>midcap</t>
        </is>
      </c>
      <c r="H134" s="32" t="n">
        <v>12668.82</v>
      </c>
      <c r="I134" s="32" t="n">
        <v>3444.3</v>
      </c>
      <c r="J134" s="32" t="n">
        <v>6.2</v>
      </c>
      <c r="K134" s="32" t="n">
        <v>294649</v>
      </c>
      <c r="L134" s="31" t="n">
        <v>44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61.98</v>
      </c>
      <c r="P134" s="32" t="n">
        <v>18.12</v>
      </c>
      <c r="Q134" s="32" t="n">
        <v>2782.8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-4.43</v>
      </c>
      <c r="U134" s="32" t="n">
        <v>43.54</v>
      </c>
      <c r="V134" s="32" t="n">
        <v>50.2</v>
      </c>
      <c r="W134" s="32" t="n">
        <v>12.72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Between 0.7 to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IF(B135=0,"",RANK(B135,$B$2:$B$282,0))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3" t="inlineStr">
        <is>
          <t>CERA</t>
        </is>
      </c>
      <c r="D135" s="33" t="inlineStr">
        <is>
          <t>Cera Sanitaryware Limited</t>
        </is>
      </c>
      <c r="E135" s="31" t="inlineStr">
        <is>
          <t>building materials</t>
        </is>
      </c>
      <c r="F135" s="31" t="inlineStr">
        <is>
          <t>ceramics - tiles / sanitaryware</t>
        </is>
      </c>
      <c r="G135" s="31" t="inlineStr">
        <is>
          <t>midcap</t>
        </is>
      </c>
      <c r="H135" s="32" t="n">
        <v>7550.87</v>
      </c>
      <c r="I135" s="32" t="n">
        <v>6144</v>
      </c>
      <c r="J135" s="32" t="n">
        <v>4.94</v>
      </c>
      <c r="K135" s="32" t="n">
        <v>37391</v>
      </c>
      <c r="L135" s="31" t="n">
        <v>17</v>
      </c>
      <c r="M135" s="31" t="inlineStr">
        <is>
          <t>Underperforming</t>
        </is>
      </c>
      <c r="N135" s="32">
        <f>IF(M135="Underperforming",-5,IF(L135&gt;=95,15,IF(L135&gt;=90,10,IF(L135&gt;=80,5,0))))</f>
        <v/>
      </c>
      <c r="O135" s="32" t="n">
        <v>64.84999999999999</v>
      </c>
      <c r="P135" s="32" t="n">
        <v>29.56</v>
      </c>
      <c r="Q135" s="32" t="n">
        <v>4992.37</v>
      </c>
      <c r="R135" s="31" t="inlineStr">
        <is>
          <t>Volume Spike / Accumulation</t>
        </is>
      </c>
      <c r="S135" s="31" t="inlineStr">
        <is>
          <t>Nifty Infra</t>
        </is>
      </c>
      <c r="T135" s="32" t="n">
        <v>2.95</v>
      </c>
      <c r="U135" s="32" t="n">
        <v>-11.37</v>
      </c>
      <c r="V135" s="32" t="n">
        <v>-13.91</v>
      </c>
      <c r="W135" s="32" t="n">
        <v>6.4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Less than 12%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No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IF(B136=0,"",RANK(B136,$B$2:$B$282,0))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3" t="inlineStr">
        <is>
          <t>JAYAGROGN</t>
        </is>
      </c>
      <c r="D136" s="33" t="inlineStr">
        <is>
          <t>Jayant Agro Organics Limited</t>
        </is>
      </c>
      <c r="E136" s="31" t="inlineStr">
        <is>
          <t>chemicals</t>
        </is>
      </c>
      <c r="F136" s="31" t="inlineStr">
        <is>
          <t>chemicals</t>
        </is>
      </c>
      <c r="G136" s="31" t="inlineStr">
        <is>
          <t>smallcap</t>
        </is>
      </c>
      <c r="H136" s="32" t="n">
        <v>648.9299999999999</v>
      </c>
      <c r="I136" s="32" t="n">
        <v>225.85</v>
      </c>
      <c r="J136" s="32" t="n">
        <v>4.41</v>
      </c>
      <c r="K136" s="32" t="n">
        <v>10624</v>
      </c>
      <c r="L136" s="31" t="n">
        <v>13</v>
      </c>
      <c r="M136" s="31" t="inlineStr">
        <is>
          <t>Underperforming</t>
        </is>
      </c>
      <c r="N136" s="32">
        <f>IF(M136="Underperforming",-5,IF(L136&gt;=95,15,IF(L136&gt;=90,10,IF(L136&gt;=80,5,0))))</f>
        <v/>
      </c>
      <c r="O136" s="32" t="n">
        <v>61.39</v>
      </c>
      <c r="P136" s="32" t="n">
        <v>28.61</v>
      </c>
      <c r="Q136" s="32" t="n">
        <v>176.16</v>
      </c>
      <c r="R136" s="31" t="inlineStr">
        <is>
          <t>Earnings / Momentum Support</t>
        </is>
      </c>
      <c r="S136" s="31" t="inlineStr">
        <is>
          <t>Nifty 50</t>
        </is>
      </c>
      <c r="T136" s="32" t="n">
        <v>-4.43</v>
      </c>
      <c r="U136" s="32" t="n">
        <v>-10.7</v>
      </c>
      <c r="V136" s="32" t="n">
        <v>-6.56</v>
      </c>
      <c r="W136" s="32" t="n">
        <v>5.45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Less than 50%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IF(B137=0,"",RANK(B137,$B$2:$B$282,0))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GMRAIRPORT</t>
        </is>
      </c>
      <c r="D137" s="31" t="inlineStr">
        <is>
          <t>GMR Airports Ltd</t>
        </is>
      </c>
      <c r="E137" s="31" t="inlineStr">
        <is>
          <t>miscellaneous</t>
        </is>
      </c>
      <c r="F137" s="31" t="inlineStr">
        <is>
          <t>miscellaneous</t>
        </is>
      </c>
      <c r="G137" s="31" t="inlineStr">
        <is>
          <t>largecap</t>
        </is>
      </c>
      <c r="H137" s="32" t="n">
        <v>105695.35</v>
      </c>
      <c r="I137" s="32" t="n">
        <v>103.65</v>
      </c>
      <c r="J137" s="32" t="n">
        <v>3.55</v>
      </c>
      <c r="K137" s="32" t="n">
        <v>19549334</v>
      </c>
      <c r="L137" s="31" t="n">
        <v>28</v>
      </c>
      <c r="M137" s="31" t="inlineStr">
        <is>
          <t>Outperforming</t>
        </is>
      </c>
      <c r="N137" s="32">
        <f>IF(M137="Underperforming",-5,IF(L137&gt;=95,15,IF(L137&gt;=90,10,IF(L137&gt;=80,5,0))))</f>
        <v/>
      </c>
      <c r="O137" s="32" t="n">
        <v>59.05</v>
      </c>
      <c r="P137" s="32" t="n">
        <v>12.37</v>
      </c>
      <c r="Q137" s="32" t="n">
        <v>83.97</v>
      </c>
      <c r="R137" s="31" t="inlineStr">
        <is>
          <t>Near 52W High Breakout</t>
        </is>
      </c>
      <c r="S137" s="31" t="inlineStr">
        <is>
          <t>Nifty 50</t>
        </is>
      </c>
      <c r="T137" s="32" t="n">
        <v>-4.43</v>
      </c>
      <c r="U137" s="32" t="n">
        <v>28.12</v>
      </c>
      <c r="V137" s="32" t="n">
        <v>34.06</v>
      </c>
      <c r="W137" s="32" t="n">
        <v>9.02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0 to 20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Yes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IF(B138=0,"",RANK(B138,$B$2:$B$282,0))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WABAG</t>
        </is>
      </c>
      <c r="D138" s="31" t="inlineStr">
        <is>
          <t>Va Tech Wabag Limited</t>
        </is>
      </c>
      <c r="E138" s="31" t="inlineStr">
        <is>
          <t>realty</t>
        </is>
      </c>
      <c r="F138" s="31" t="inlineStr">
        <is>
          <t>engineering - turnkey services</t>
        </is>
      </c>
      <c r="G138" s="31" t="inlineStr">
        <is>
          <t>midcap</t>
        </is>
      </c>
      <c r="H138" s="32" t="n">
        <v>9495.98</v>
      </c>
      <c r="I138" s="32" t="n">
        <v>1577.8</v>
      </c>
      <c r="J138" s="32" t="n">
        <v>3.53</v>
      </c>
      <c r="K138" s="32" t="n">
        <v>204027</v>
      </c>
      <c r="L138" s="31" t="n">
        <v>20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63.87</v>
      </c>
      <c r="P138" s="32" t="n">
        <v>14.1</v>
      </c>
      <c r="Q138" s="32" t="n">
        <v>1260.6</v>
      </c>
      <c r="R138" s="31" t="inlineStr">
        <is>
          <t>Near 52W High Breakout</t>
        </is>
      </c>
      <c r="S138" s="31" t="inlineStr">
        <is>
          <t>Nifty Realty</t>
        </is>
      </c>
      <c r="T138" s="32" t="n">
        <v>-23.58</v>
      </c>
      <c r="U138" s="32" t="n">
        <v>1.73</v>
      </c>
      <c r="V138" s="32" t="n">
        <v>33.12</v>
      </c>
      <c r="W138" s="32" t="n">
        <v>7.13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0 to 20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No</t>
        </is>
      </c>
      <c r="BS138" s="31">
        <f>IF(BR138="NO",5,0)</f>
        <v/>
      </c>
      <c r="BT138" s="31" t="inlineStr">
        <is>
          <t>Less than 1.5</t>
        </is>
      </c>
      <c r="BU138" s="31">
        <f>IF(BT138="Above 2",0,IF(BT138="Between 1.5 to 2",5,IF(BT138="Less than 1.5",10,0)))</f>
        <v/>
      </c>
      <c r="BV138" s="31" t="inlineStr">
        <is>
          <t>Less than 50%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IF(B139=0,"",RANK(B139,$B$2:$B$282,0))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STLTECH</t>
        </is>
      </c>
      <c r="D139" s="31" t="inlineStr">
        <is>
          <t>Sterlite Technologies Limited</t>
        </is>
      </c>
      <c r="E139" s="31" t="inlineStr">
        <is>
          <t>industrials</t>
        </is>
      </c>
      <c r="F139" s="31" t="inlineStr">
        <is>
          <t>cables - telephone</t>
        </is>
      </c>
      <c r="G139" s="31" t="inlineStr">
        <is>
          <t>largecap</t>
        </is>
      </c>
      <c r="H139" s="32" t="n">
        <v>27745.45</v>
      </c>
      <c r="I139" s="32" t="n">
        <v>583.65</v>
      </c>
      <c r="J139" s="32" t="n">
        <v>2.68</v>
      </c>
      <c r="K139" s="32" t="n">
        <v>2246159</v>
      </c>
      <c r="L139" s="31" t="n">
        <v>99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87.84999999999999</v>
      </c>
      <c r="P139" s="32" t="n">
        <v>79.36</v>
      </c>
      <c r="Q139" s="32" t="n">
        <v>479.73</v>
      </c>
      <c r="R139" s="31" t="inlineStr">
        <is>
          <t>Earnings / Momentum Support</t>
        </is>
      </c>
      <c r="S139" s="31" t="inlineStr">
        <is>
          <t>Nifty Infra</t>
        </is>
      </c>
      <c r="T139" s="32" t="n">
        <v>2.95</v>
      </c>
      <c r="U139" s="32" t="n">
        <v>600.41</v>
      </c>
      <c r="V139" s="32" t="n">
        <v>580.33</v>
      </c>
      <c r="W139" s="32" t="n">
        <v>107.58</v>
      </c>
      <c r="X139" s="31" t="inlineStr">
        <is>
          <t>Cyclical in an Upturn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Above 40</t>
        </is>
      </c>
      <c r="AY139" s="31">
        <f>IF(AX139="Above 40",20,IF(AX139="20 to 40",10,IF(AX139="0 to 20",-5,0)))</f>
        <v/>
      </c>
      <c r="AZ139" s="31" t="inlineStr">
        <is>
          <t>Above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Yes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IF(B140=0,"",RANK(B140,$B$2:$B$282,0))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1" t="inlineStr">
        <is>
          <t>ASIANPAINT</t>
        </is>
      </c>
      <c r="D140" s="31" t="inlineStr">
        <is>
          <t>Asian Paints Limited</t>
        </is>
      </c>
      <c r="E140" s="31" t="inlineStr">
        <is>
          <t>building materials</t>
        </is>
      </c>
      <c r="F140" s="31" t="inlineStr">
        <is>
          <t>paints / varnishes</t>
        </is>
      </c>
      <c r="G140" s="31" t="inlineStr">
        <is>
          <t>largecap</t>
        </is>
      </c>
      <c r="H140" s="32" t="n">
        <v>258110.53</v>
      </c>
      <c r="I140" s="32" t="n">
        <v>2747.4</v>
      </c>
      <c r="J140" s="32" t="n">
        <v>2.1</v>
      </c>
      <c r="K140" s="32" t="n">
        <v>1078025</v>
      </c>
      <c r="L140" s="31" t="n">
        <v>37</v>
      </c>
      <c r="M140" s="31" t="inlineStr">
        <is>
          <t>Outperforming</t>
        </is>
      </c>
      <c r="N140" s="32">
        <f>IF(M140="Underperforming",-5,IF(L140&gt;=95,15,IF(L140&gt;=90,10,IF(L140&gt;=80,5,0))))</f>
        <v/>
      </c>
      <c r="O140" s="32" t="n">
        <v>63.48</v>
      </c>
      <c r="P140" s="32" t="n">
        <v>20.09</v>
      </c>
      <c r="Q140" s="32" t="n">
        <v>2321.66</v>
      </c>
      <c r="R140" s="31" t="inlineStr">
        <is>
          <t>Earnings / Momentum Support</t>
        </is>
      </c>
      <c r="S140" s="31" t="inlineStr">
        <is>
          <t>Nifty Infra</t>
        </is>
      </c>
      <c r="T140" s="32" t="n">
        <v>2.95</v>
      </c>
      <c r="U140" s="32" t="n">
        <v>25.42</v>
      </c>
      <c r="V140" s="32" t="n">
        <v>21.82</v>
      </c>
      <c r="W140" s="32" t="n">
        <v>10.88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Headwind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IF(B141=0,"",RANK(B141,$B$2:$B$282,0))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KIRLPNU</t>
        </is>
      </c>
      <c r="D141" s="31" t="inlineStr">
        <is>
          <t>Kirloskar Pneumatic Company Ltd</t>
        </is>
      </c>
      <c r="E141" s="31" t="inlineStr">
        <is>
          <t>industrials</t>
        </is>
      </c>
      <c r="F141" s="31" t="inlineStr">
        <is>
          <t>compressors / drilling equipment</t>
        </is>
      </c>
      <c r="G141" s="31" t="inlineStr">
        <is>
          <t>midcap</t>
        </is>
      </c>
      <c r="H141" s="32" t="n">
        <v>10230.27</v>
      </c>
      <c r="I141" s="32" t="n">
        <v>1606</v>
      </c>
      <c r="J141" s="32" t="n">
        <v>1.97</v>
      </c>
      <c r="K141" s="32" t="n">
        <v>150646</v>
      </c>
      <c r="L141" s="31" t="n">
        <v>55</v>
      </c>
      <c r="M141" s="31" t="inlineStr">
        <is>
          <t>Outperforming</t>
        </is>
      </c>
      <c r="N141" s="32">
        <f>IF(M141="Underperforming",-5,IF(L141&gt;=95,15,IF(L141&gt;=90,10,IF(L141&gt;=80,5,0))))</f>
        <v/>
      </c>
      <c r="O141" s="32" t="n">
        <v>75.02</v>
      </c>
      <c r="P141" s="32" t="n">
        <v>35.46</v>
      </c>
      <c r="Q141" s="32" t="n">
        <v>1261.45</v>
      </c>
      <c r="R141" s="31" t="inlineStr">
        <is>
          <t>Near 52W High Breakout</t>
        </is>
      </c>
      <c r="S141" s="31" t="inlineStr">
        <is>
          <t>Nifty 50</t>
        </is>
      </c>
      <c r="T141" s="32" t="n">
        <v>-4.43</v>
      </c>
      <c r="U141" s="32" t="n">
        <v>22.47</v>
      </c>
      <c r="V141" s="32" t="n">
        <v>28.15</v>
      </c>
      <c r="W141" s="32" t="n">
        <v>16.05</v>
      </c>
      <c r="X141" s="31" t="inlineStr">
        <is>
          <t>Cyclical in an Upturn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20 to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Between 50% to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IF(B142=0,"",RANK(B142,$B$2:$B$282,0))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POLYCAB</t>
        </is>
      </c>
      <c r="D142" s="31" t="inlineStr">
        <is>
          <t>Polycab India Ltd</t>
        </is>
      </c>
      <c r="E142" s="31" t="inlineStr">
        <is>
          <t>industrials</t>
        </is>
      </c>
      <c r="F142" s="31" t="inlineStr">
        <is>
          <t>cables - power</t>
        </is>
      </c>
      <c r="G142" s="31" t="inlineStr">
        <is>
          <t>largecap</t>
        </is>
      </c>
      <c r="H142" s="32" t="n">
        <v>141095.94</v>
      </c>
      <c r="I142" s="32" t="n">
        <v>9554</v>
      </c>
      <c r="J142" s="32" t="n">
        <v>1.94</v>
      </c>
      <c r="K142" s="32" t="n">
        <v>162406</v>
      </c>
      <c r="L142" s="31" t="n">
        <v>59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67.97</v>
      </c>
      <c r="P142" s="32" t="n">
        <v>23.01</v>
      </c>
      <c r="Q142" s="32" t="n">
        <v>8106.85</v>
      </c>
      <c r="R142" s="31" t="inlineStr">
        <is>
          <t>Near 52W High Breakout</t>
        </is>
      </c>
      <c r="S142" s="31" t="inlineStr">
        <is>
          <t>Nifty Energy</t>
        </is>
      </c>
      <c r="T142" s="32" t="n">
        <v>9.800000000000001</v>
      </c>
      <c r="U142" s="32" t="n">
        <v>59.31</v>
      </c>
      <c r="V142" s="32" t="n">
        <v>45.09</v>
      </c>
      <c r="W142" s="32" t="n">
        <v>17.15</v>
      </c>
      <c r="X142" s="31" t="inlineStr">
        <is>
          <t>Cyclical in an Upturn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IF(B143=0,"",RANK(B143,$B$2:$B$282,0))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CGPOWER</t>
        </is>
      </c>
      <c r="D143" s="31" t="inlineStr">
        <is>
          <t>CG Power and Industrial Solutions Ltd</t>
        </is>
      </c>
      <c r="E143" s="31" t="inlineStr">
        <is>
          <t>industrials</t>
        </is>
      </c>
      <c r="F143" s="31" t="inlineStr">
        <is>
          <t>electric equipment</t>
        </is>
      </c>
      <c r="G143" s="31" t="inlineStr">
        <is>
          <t>largecap</t>
        </is>
      </c>
      <c r="H143" s="32" t="n">
        <v>141955.53</v>
      </c>
      <c r="I143" s="32" t="n">
        <v>914.45</v>
      </c>
      <c r="J143" s="32" t="n">
        <v>1.45</v>
      </c>
      <c r="K143" s="32" t="n">
        <v>2901434</v>
      </c>
      <c r="L143" s="31" t="n">
        <v>46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68.93000000000001</v>
      </c>
      <c r="P143" s="32" t="n">
        <v>24.91</v>
      </c>
      <c r="Q143" s="32" t="n">
        <v>770.65</v>
      </c>
      <c r="R143" s="31" t="inlineStr">
        <is>
          <t>Near 52W High Breakout</t>
        </is>
      </c>
      <c r="S143" s="31" t="inlineStr">
        <is>
          <t>Nifty 500</t>
        </is>
      </c>
      <c r="T143" s="32" t="n">
        <v>-1.34</v>
      </c>
      <c r="U143" s="32" t="n">
        <v>36.34</v>
      </c>
      <c r="V143" s="32" t="n">
        <v>38.19</v>
      </c>
      <c r="W143" s="32" t="n">
        <v>13.22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20 to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Less than 50%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IF(B144=0,"",RANK(B144,$B$2:$B$282,0))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CRAFTSMAN</t>
        </is>
      </c>
      <c r="D144" s="31" t="inlineStr">
        <is>
          <t>Craftsman Automation Ltd</t>
        </is>
      </c>
      <c r="E144" s="31" t="inlineStr">
        <is>
          <t>auto</t>
        </is>
      </c>
      <c r="F144" s="31" t="inlineStr">
        <is>
          <t>auto ancillaries</t>
        </is>
      </c>
      <c r="G144" s="31" t="inlineStr">
        <is>
          <t>largecap</t>
        </is>
      </c>
      <c r="H144" s="32" t="n">
        <v>20975.02</v>
      </c>
      <c r="I144" s="32" t="n">
        <v>8917.5</v>
      </c>
      <c r="J144" s="32" t="n">
        <v>1.42</v>
      </c>
      <c r="K144" s="32" t="n">
        <v>62301</v>
      </c>
      <c r="L144" s="31" t="n">
        <v>65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64.2</v>
      </c>
      <c r="P144" s="32" t="n">
        <v>32.61</v>
      </c>
      <c r="Q144" s="32" t="n">
        <v>7056.85</v>
      </c>
      <c r="R144" s="31" t="inlineStr">
        <is>
          <t>Near 52W High Breakout</t>
        </is>
      </c>
      <c r="S144" s="31" t="inlineStr">
        <is>
          <t>Nifty Auto</t>
        </is>
      </c>
      <c r="T144" s="32" t="n">
        <v>12.72</v>
      </c>
      <c r="U144" s="32" t="n">
        <v>68.34999999999999</v>
      </c>
      <c r="V144" s="32" t="n">
        <v>49.36</v>
      </c>
      <c r="W144" s="32" t="n">
        <v>18.71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Blue sky scenario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More than 20%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Less than 50% and Borrowings are increasing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Between 0.7 to 1.2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IF(B145=0,"",RANK(B145,$B$2:$B$282,0))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BOROSCI</t>
        </is>
      </c>
      <c r="D145" s="31" t="inlineStr">
        <is>
          <t>Borosil Scientific Ltd</t>
        </is>
      </c>
      <c r="E145" s="31" t="inlineStr">
        <is>
          <t>building materials</t>
        </is>
      </c>
      <c r="F145" s="31" t="inlineStr">
        <is>
          <t>glass &amp; glass products</t>
        </is>
      </c>
      <c r="G145" s="31" t="inlineStr">
        <is>
          <t>smallcap</t>
        </is>
      </c>
      <c r="H145" s="32" t="n">
        <v>1350.93</v>
      </c>
      <c r="I145" s="32" t="n">
        <v>152.98</v>
      </c>
      <c r="J145" s="32" t="n">
        <v>0.72</v>
      </c>
      <c r="K145" s="32" t="n">
        <v>112955</v>
      </c>
      <c r="L145" s="31" t="n">
        <v>46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69.73999999999999</v>
      </c>
      <c r="P145" s="32" t="n">
        <v>20.84</v>
      </c>
      <c r="Q145" s="32" t="n">
        <v>115.98</v>
      </c>
      <c r="R145" s="31" t="inlineStr">
        <is>
          <t>Earnings / Momentum Support</t>
        </is>
      </c>
      <c r="S145" s="31" t="inlineStr">
        <is>
          <t>Nifty Infra</t>
        </is>
      </c>
      <c r="T145" s="32" t="n">
        <v>2.95</v>
      </c>
      <c r="U145" s="32" t="n">
        <v>8.5</v>
      </c>
      <c r="V145" s="32" t="n">
        <v>5.39</v>
      </c>
      <c r="W145" s="32" t="n">
        <v>13.14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Between 50% to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IF(B146=0,"",RANK(B146,$B$2:$B$282,0))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MINDACORP</t>
        </is>
      </c>
      <c r="D146" s="31" t="inlineStr">
        <is>
          <t>Minda Corporation Limited</t>
        </is>
      </c>
      <c r="E146" s="31" t="inlineStr">
        <is>
          <t>auto</t>
        </is>
      </c>
      <c r="F146" s="31" t="inlineStr">
        <is>
          <t>auto ancillaries</t>
        </is>
      </c>
      <c r="G146" s="31" t="inlineStr">
        <is>
          <t>midcap</t>
        </is>
      </c>
      <c r="H146" s="32" t="n">
        <v>15131.34</v>
      </c>
      <c r="I146" s="32" t="n">
        <v>637.2</v>
      </c>
      <c r="J146" s="32" t="n">
        <v>0.68</v>
      </c>
      <c r="K146" s="32" t="n">
        <v>271280</v>
      </c>
      <c r="L146" s="31" t="n">
        <v>38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64.19</v>
      </c>
      <c r="P146" s="32" t="n">
        <v>19.81</v>
      </c>
      <c r="Q146" s="32" t="n">
        <v>513.37</v>
      </c>
      <c r="R146" s="31" t="inlineStr">
        <is>
          <t>Near 52W High Breakout</t>
        </is>
      </c>
      <c r="S146" s="31" t="inlineStr">
        <is>
          <t>Nifty Auto</t>
        </is>
      </c>
      <c r="T146" s="32" t="n">
        <v>12.72</v>
      </c>
      <c r="U146" s="32" t="n">
        <v>16.8</v>
      </c>
      <c r="V146" s="32" t="n">
        <v>3.62</v>
      </c>
      <c r="W146" s="32" t="n">
        <v>11.07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0 to 20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IF(B147=0,"",RANK(B147,$B$2:$B$282,0))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STOVEKRAFT</t>
        </is>
      </c>
      <c r="D147" s="31" t="inlineStr">
        <is>
          <t>Stove Kraft Ltd</t>
        </is>
      </c>
      <c r="E147" s="31" t="inlineStr">
        <is>
          <t>consumer discretionary</t>
        </is>
      </c>
      <c r="F147" s="31" t="inlineStr">
        <is>
          <t>domestic appliances</t>
        </is>
      </c>
      <c r="G147" s="31" t="inlineStr">
        <is>
          <t>smallcap</t>
        </is>
      </c>
      <c r="H147" s="32" t="n">
        <v>2157.27</v>
      </c>
      <c r="I147" s="32" t="n">
        <v>655.95</v>
      </c>
      <c r="J147" s="32" t="n">
        <v>0.67</v>
      </c>
      <c r="K147" s="32" t="n">
        <v>132317</v>
      </c>
      <c r="L147" s="31" t="n">
        <v>31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65.31</v>
      </c>
      <c r="P147" s="32" t="n">
        <v>21.7</v>
      </c>
      <c r="Q147" s="32" t="n">
        <v>490.94</v>
      </c>
      <c r="R147" s="31" t="inlineStr">
        <is>
          <t>Earnings / Momentum Support</t>
        </is>
      </c>
      <c r="S147" s="31" t="inlineStr">
        <is>
          <t>Nifty 50</t>
        </is>
      </c>
      <c r="T147" s="32" t="n">
        <v>-4.43</v>
      </c>
      <c r="U147" s="32" t="n">
        <v>10.55</v>
      </c>
      <c r="V147" s="32" t="n">
        <v>15.67</v>
      </c>
      <c r="W147" s="32" t="n">
        <v>9.27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Less than 0.7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IF(B148=0,"",RANK(B148,$B$2:$B$282,0))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WELENT</t>
        </is>
      </c>
      <c r="D148" s="31" t="inlineStr">
        <is>
          <t>Welspun Enterprises Limited</t>
        </is>
      </c>
      <c r="E148" s="31" t="inlineStr">
        <is>
          <t>realty</t>
        </is>
      </c>
      <c r="F148" s="31" t="inlineStr">
        <is>
          <t>construction</t>
        </is>
      </c>
      <c r="G148" s="31" t="inlineStr">
        <is>
          <t>midcap</t>
        </is>
      </c>
      <c r="H148" s="32" t="n">
        <v>7618.3</v>
      </c>
      <c r="I148" s="32" t="n">
        <v>552.25</v>
      </c>
      <c r="J148" s="32" t="n">
        <v>0.34</v>
      </c>
      <c r="K148" s="32" t="n">
        <v>231546</v>
      </c>
      <c r="L148" s="31" t="n">
        <v>12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62.68</v>
      </c>
      <c r="P148" s="32" t="n">
        <v>13.15</v>
      </c>
      <c r="Q148" s="32" t="n">
        <v>430.76</v>
      </c>
      <c r="R148" s="31" t="inlineStr">
        <is>
          <t>Near 52W High Breakout</t>
        </is>
      </c>
      <c r="S148" s="31" t="inlineStr">
        <is>
          <t>Nifty Realty</t>
        </is>
      </c>
      <c r="T148" s="32" t="n">
        <v>-23.58</v>
      </c>
      <c r="U148" s="32" t="n">
        <v>7.88</v>
      </c>
      <c r="V148" s="32" t="n">
        <v>41.17</v>
      </c>
      <c r="W148" s="32" t="n">
        <v>5.34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More than 20%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Less than 50%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IF(B149=0,"",RANK(B149,$B$2:$B$282,0))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ARVIND</t>
        </is>
      </c>
      <c r="D149" s="31" t="inlineStr">
        <is>
          <t>Arvind Limited</t>
        </is>
      </c>
      <c r="E149" s="31" t="inlineStr">
        <is>
          <t>textiles</t>
        </is>
      </c>
      <c r="F149" s="31" t="inlineStr">
        <is>
          <t>textiles - cotton/blended</t>
        </is>
      </c>
      <c r="G149" s="31" t="inlineStr">
        <is>
          <t>midcap</t>
        </is>
      </c>
      <c r="H149" s="32" t="n">
        <v>12928.8</v>
      </c>
      <c r="I149" s="32" t="n">
        <v>494.5</v>
      </c>
      <c r="J149" s="32" t="n">
        <v>0.25</v>
      </c>
      <c r="K149" s="32" t="n">
        <v>473209</v>
      </c>
      <c r="L149" s="31" t="n">
        <v>60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76.41</v>
      </c>
      <c r="P149" s="32" t="n">
        <v>37.91</v>
      </c>
      <c r="Q149" s="32" t="n">
        <v>395.75</v>
      </c>
      <c r="R149" s="31" t="inlineStr">
        <is>
          <t>Near 52W High Breakout</t>
        </is>
      </c>
      <c r="S149" s="31" t="inlineStr">
        <is>
          <t>Nifty 50</t>
        </is>
      </c>
      <c r="T149" s="32" t="n">
        <v>-4.43</v>
      </c>
      <c r="U149" s="32" t="n">
        <v>42.09</v>
      </c>
      <c r="V149" s="32" t="n">
        <v>48.68</v>
      </c>
      <c r="W149" s="32" t="n">
        <v>17.26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Yes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Above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Blue sky scenario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IF(B150=0,"",RANK(B150,$B$2:$B$282,0))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3" t="inlineStr">
        <is>
          <t>AKUMS</t>
        </is>
      </c>
      <c r="D150" s="33" t="inlineStr">
        <is>
          <t>Akums Drugs &amp; Pharmaceuticals Ltd</t>
        </is>
      </c>
      <c r="E150" s="31" t="inlineStr">
        <is>
          <t>healthcare</t>
        </is>
      </c>
      <c r="F150" s="31" t="inlineStr">
        <is>
          <t>pharmaceuticals - indian - bulk drugs &amp; formln</t>
        </is>
      </c>
      <c r="G150" s="31" t="inlineStr">
        <is>
          <t>midcap</t>
        </is>
      </c>
      <c r="H150" s="32" t="n">
        <v>9586.870000000001</v>
      </c>
      <c r="I150" s="32" t="n">
        <v>622.9</v>
      </c>
      <c r="J150" s="32" t="n">
        <v>2.27</v>
      </c>
      <c r="K150" s="32" t="n">
        <v>835541</v>
      </c>
      <c r="L150" s="31" t="n">
        <v>32</v>
      </c>
      <c r="M150" s="31" t="inlineStr">
        <is>
          <t>Underperforming</t>
        </is>
      </c>
      <c r="N150" s="32">
        <f>IF(M150="Underperforming",-5,IF(L150&gt;=95,15,IF(L150&gt;=90,10,IF(L150&gt;=80,5,0))))</f>
        <v/>
      </c>
      <c r="O150" s="32" t="n">
        <v>71.76000000000001</v>
      </c>
      <c r="P150" s="32" t="n">
        <v>37.15</v>
      </c>
      <c r="Q150" s="32" t="n">
        <v>498.26</v>
      </c>
      <c r="R150" s="31" t="inlineStr">
        <is>
          <t>Volume Spike &amp; Near 52W High Breakout</t>
        </is>
      </c>
      <c r="S150" s="31" t="inlineStr">
        <is>
          <t>Nifty Pharma</t>
        </is>
      </c>
      <c r="T150" s="32" t="n">
        <v>10.89</v>
      </c>
      <c r="U150" s="32" t="n">
        <v>8.84</v>
      </c>
      <c r="V150" s="32" t="n">
        <v>-1.85</v>
      </c>
      <c r="W150" s="32" t="n">
        <v>9.67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Less than 12%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IF(B151=0,"",RANK(B151,$B$2:$B$282,0))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3" t="inlineStr">
        <is>
          <t>ZIMLAB</t>
        </is>
      </c>
      <c r="D151" s="33" t="inlineStr">
        <is>
          <t>Zim Laboratories Ltd</t>
        </is>
      </c>
      <c r="E151" s="31" t="inlineStr">
        <is>
          <t>healthcare</t>
        </is>
      </c>
      <c r="F151" s="31" t="inlineStr">
        <is>
          <t>pharmaceuticals - indian - bulk drugs &amp; formln</t>
        </is>
      </c>
      <c r="G151" s="31" t="inlineStr">
        <is>
          <t>smallcap</t>
        </is>
      </c>
      <c r="H151" s="32" t="n">
        <v>599.2</v>
      </c>
      <c r="I151" s="32" t="n">
        <v>114.39</v>
      </c>
      <c r="J151" s="32" t="n">
        <v>2.13</v>
      </c>
      <c r="K151" s="32" t="n">
        <v>74289</v>
      </c>
      <c r="L151" s="31" t="n">
        <v>69</v>
      </c>
      <c r="M151" s="31" t="inlineStr">
        <is>
          <t>Underperforming</t>
        </is>
      </c>
      <c r="N151" s="32">
        <f>IF(M151="Underperforming",-5,IF(L151&gt;=95,15,IF(L151&gt;=90,10,IF(L151&gt;=80,5,0))))</f>
        <v/>
      </c>
      <c r="O151" s="32" t="n">
        <v>76.23</v>
      </c>
      <c r="P151" s="32" t="n">
        <v>42.26</v>
      </c>
      <c r="Q151" s="32" t="n">
        <v>82.34</v>
      </c>
      <c r="R151" s="31" t="inlineStr">
        <is>
          <t>Near 52W High Breakout</t>
        </is>
      </c>
      <c r="S151" s="31" t="inlineStr">
        <is>
          <t>Nifty Pharma</t>
        </is>
      </c>
      <c r="T151" s="32" t="n">
        <v>10.89</v>
      </c>
      <c r="U151" s="32" t="n">
        <v>10.21</v>
      </c>
      <c r="V151" s="32" t="n">
        <v>-0.61</v>
      </c>
      <c r="W151" s="32" t="n">
        <v>20.88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Yes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Above 40</t>
        </is>
      </c>
      <c r="AY151" s="31">
        <f>IF(AX151="Above 40",20,IF(AX151="20 to 40",10,IF(AX151="0 to 20",-5,0)))</f>
        <v/>
      </c>
      <c r="AZ151" s="31" t="inlineStr">
        <is>
          <t>Above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Less than 12%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IF(B152=0,"",RANK(B152,$B$2:$B$282,0))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IKS</t>
        </is>
      </c>
      <c r="D152" s="31" t="inlineStr">
        <is>
          <t>Inventurus Knowledge Solutions Ltd</t>
        </is>
      </c>
      <c r="E152" s="31" t="inlineStr">
        <is>
          <t>i.t</t>
        </is>
      </c>
      <c r="F152" s="31" t="inlineStr">
        <is>
          <t>computers - software - medium / small</t>
        </is>
      </c>
      <c r="G152" s="31" t="inlineStr">
        <is>
          <t>largecap</t>
        </is>
      </c>
      <c r="H152" s="32" t="n">
        <v>28292.41</v>
      </c>
      <c r="I152" s="32" t="n">
        <v>1678.3</v>
      </c>
      <c r="J152" s="32" t="n">
        <v>1.78</v>
      </c>
      <c r="K152" s="32" t="n">
        <v>80525</v>
      </c>
      <c r="L152" s="31" t="n">
        <v>14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57.12</v>
      </c>
      <c r="P152" s="32" t="n">
        <v>13.24</v>
      </c>
      <c r="Q152" s="32" t="n">
        <v>1307.09</v>
      </c>
      <c r="R152" s="31" t="inlineStr">
        <is>
          <t>Near 52W High Breakout</t>
        </is>
      </c>
      <c r="S152" s="31" t="inlineStr">
        <is>
          <t>Nifty IT</t>
        </is>
      </c>
      <c r="T152" s="32" t="n">
        <v>-27.75</v>
      </c>
      <c r="U152" s="32" t="n">
        <v>-3.85</v>
      </c>
      <c r="V152" s="32" t="n">
        <v>33.07</v>
      </c>
      <c r="W152" s="32" t="n">
        <v>5.73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Headwind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No</t>
        </is>
      </c>
      <c r="BS152" s="31">
        <f>IF(BR152="NO",5,0)</f>
        <v/>
      </c>
      <c r="BT152" s="31" t="inlineStr">
        <is>
          <t>Less than 1.5</t>
        </is>
      </c>
      <c r="BU152" s="31">
        <f>IF(BT152="Above 2",0,IF(BT152="Between 1.5 to 2",5,IF(BT152="Less than 1.5",10,0)))</f>
        <v/>
      </c>
      <c r="BV152" s="31" t="inlineStr">
        <is>
          <t>Between 50% to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IF(B153=0,"",RANK(B153,$B$2:$B$282,0))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3" t="inlineStr">
        <is>
          <t>HESTERBIO</t>
        </is>
      </c>
      <c r="D153" s="33" t="inlineStr">
        <is>
          <t>Hester Biosciences Limited</t>
        </is>
      </c>
      <c r="E153" s="31" t="inlineStr">
        <is>
          <t>healthcare</t>
        </is>
      </c>
      <c r="F153" s="31" t="inlineStr">
        <is>
          <t>pharmaceuticals - indian - formulations</t>
        </is>
      </c>
      <c r="G153" s="31" t="inlineStr">
        <is>
          <t>smallcap</t>
        </is>
      </c>
      <c r="H153" s="32" t="n">
        <v>1667.26</v>
      </c>
      <c r="I153" s="32" t="n">
        <v>1952.9</v>
      </c>
      <c r="J153" s="32" t="n">
        <v>-0.36</v>
      </c>
      <c r="K153" s="32" t="n">
        <v>3037</v>
      </c>
      <c r="L153" s="31" t="n">
        <v>39</v>
      </c>
      <c r="M153" s="31" t="inlineStr">
        <is>
          <t>Underperforming</t>
        </is>
      </c>
      <c r="N153" s="32">
        <f>IF(M153="Underperforming",-5,IF(L153&gt;=95,15,IF(L153&gt;=90,10,IF(L153&gt;=80,5,0))))</f>
        <v/>
      </c>
      <c r="O153" s="32" t="n">
        <v>67.09999999999999</v>
      </c>
      <c r="P153" s="32" t="n">
        <v>35.25</v>
      </c>
      <c r="Q153" s="32" t="n">
        <v>1545.86</v>
      </c>
      <c r="R153" s="31" t="inlineStr">
        <is>
          <t>Earnings / Momentum Support</t>
        </is>
      </c>
      <c r="S153" s="31" t="inlineStr">
        <is>
          <t>Nifty Pharma</t>
        </is>
      </c>
      <c r="T153" s="32" t="n">
        <v>10.89</v>
      </c>
      <c r="U153" s="32" t="n">
        <v>5.42</v>
      </c>
      <c r="V153" s="32" t="n">
        <v>-4.94</v>
      </c>
      <c r="W153" s="32" t="n">
        <v>11.12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IF(B154=0,"",RANK(B154,$B$2:$B$282,0))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YASHO</t>
        </is>
      </c>
      <c r="D154" s="31" t="inlineStr">
        <is>
          <t>Yasho Industries Ltd</t>
        </is>
      </c>
      <c r="E154" s="31" t="inlineStr">
        <is>
          <t>chemicals</t>
        </is>
      </c>
      <c r="F154" s="31" t="inlineStr">
        <is>
          <t>chemicals</t>
        </is>
      </c>
      <c r="G154" s="31" t="inlineStr">
        <is>
          <t>smallcap</t>
        </is>
      </c>
      <c r="H154" s="32" t="n">
        <v>3078.42</v>
      </c>
      <c r="I154" s="32" t="n">
        <v>2870.4</v>
      </c>
      <c r="J154" s="32" t="n">
        <v>12.42</v>
      </c>
      <c r="K154" s="32" t="n">
        <v>201292</v>
      </c>
      <c r="L154" s="31" t="n">
        <v>93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83.59</v>
      </c>
      <c r="P154" s="32" t="n">
        <v>22.25</v>
      </c>
      <c r="Q154" s="32" t="n">
        <v>2173.43</v>
      </c>
      <c r="R154" s="31" t="inlineStr">
        <is>
          <t>Volume Spike &amp; Near 52W High Breakout</t>
        </is>
      </c>
      <c r="S154" s="31" t="inlineStr">
        <is>
          <t>Nifty IT</t>
        </is>
      </c>
      <c r="T154" s="32" t="n">
        <v>-27.75</v>
      </c>
      <c r="U154" s="32" t="n">
        <v>45.35</v>
      </c>
      <c r="V154" s="32" t="n">
        <v>101.16</v>
      </c>
      <c r="W154" s="32" t="n">
        <v>40.32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Yes</t>
        </is>
      </c>
      <c r="AQ154" s="31">
        <f>IF(AP154="Yes",10,0)</f>
        <v/>
      </c>
      <c r="AR154" s="31" t="inlineStr">
        <is>
          <t>Higher One Time, Lower Annuity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20 to 40</t>
        </is>
      </c>
      <c r="AY154" s="31">
        <f>IF(AX154="Above 40",20,IF(AX154="20 to 40",10,IF(AX154="0 to 20",-5,0)))</f>
        <v/>
      </c>
      <c r="AZ154" s="31" t="inlineStr">
        <is>
          <t>Above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Blue sky scenario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More than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IF(B155=0,"",RANK(B155,$B$2:$B$282,0))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JAYBARMARU</t>
        </is>
      </c>
      <c r="D155" s="31" t="inlineStr">
        <is>
          <t>Jay Bharat Maruti Limited</t>
        </is>
      </c>
      <c r="E155" s="31" t="inlineStr">
        <is>
          <t>auto</t>
        </is>
      </c>
      <c r="F155" s="31" t="inlineStr">
        <is>
          <t>auto ancillaries</t>
        </is>
      </c>
      <c r="G155" s="31" t="inlineStr">
        <is>
          <t>smallcap</t>
        </is>
      </c>
      <c r="H155" s="32" t="n">
        <v>1423.6</v>
      </c>
      <c r="I155" s="32" t="n">
        <v>144.66</v>
      </c>
      <c r="J155" s="32" t="n">
        <v>10</v>
      </c>
      <c r="K155" s="32" t="n">
        <v>2359452</v>
      </c>
      <c r="L155" s="31" t="n">
        <v>83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70.31999999999999</v>
      </c>
      <c r="P155" s="32" t="n">
        <v>17.18</v>
      </c>
      <c r="Q155" s="32" t="n">
        <v>104.53</v>
      </c>
      <c r="R155" s="31" t="inlineStr">
        <is>
          <t>Volume Spike &amp; Near 52W High Breakout</t>
        </is>
      </c>
      <c r="S155" s="31" t="inlineStr">
        <is>
          <t>Nifty Auto</t>
        </is>
      </c>
      <c r="T155" s="32" t="n">
        <v>12.72</v>
      </c>
      <c r="U155" s="32" t="n">
        <v>86.31999999999999</v>
      </c>
      <c r="V155" s="32" t="n">
        <v>65.3</v>
      </c>
      <c r="W155" s="32" t="n">
        <v>28.52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0 to 20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Between 50% to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IF(B156=0,"",RANK(B156,$B$2:$B$282,0))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3" t="inlineStr">
        <is>
          <t>UNIMECH</t>
        </is>
      </c>
      <c r="D156" s="33" t="inlineStr">
        <is>
          <t>Unimech Aerospace and Manufacturing Ltd</t>
        </is>
      </c>
      <c r="E156" s="31" t="inlineStr">
        <is>
          <t>aerospace &amp; defence</t>
        </is>
      </c>
      <c r="F156" s="31" t="inlineStr">
        <is>
          <t>engineering</t>
        </is>
      </c>
      <c r="G156" s="31" t="inlineStr">
        <is>
          <t>midcap</t>
        </is>
      </c>
      <c r="H156" s="32" t="n">
        <v>5476.27</v>
      </c>
      <c r="I156" s="32" t="n">
        <v>1159.55</v>
      </c>
      <c r="J156" s="32" t="n">
        <v>7.68</v>
      </c>
      <c r="K156" s="32" t="n">
        <v>464128</v>
      </c>
      <c r="L156" s="31" t="n">
        <v>23</v>
      </c>
      <c r="M156" s="31" t="inlineStr">
        <is>
          <t>Underperforming</t>
        </is>
      </c>
      <c r="N156" s="32">
        <f>IF(M156="Underperforming",-5,IF(L156&gt;=95,15,IF(L156&gt;=90,10,IF(L156&gt;=80,5,0))))</f>
        <v/>
      </c>
      <c r="O156" s="32" t="n">
        <v>64.65000000000001</v>
      </c>
      <c r="P156" s="32" t="n">
        <v>25.11</v>
      </c>
      <c r="Q156" s="32" t="n">
        <v>843.03</v>
      </c>
      <c r="R156" s="31" t="inlineStr">
        <is>
          <t>Volume Spike / Accumulation</t>
        </is>
      </c>
      <c r="S156" s="31" t="inlineStr">
        <is>
          <t>Nifty 50</t>
        </is>
      </c>
      <c r="T156" s="32" t="n">
        <v>-4.43</v>
      </c>
      <c r="U156" s="32" t="n">
        <v>-9.119999999999999</v>
      </c>
      <c r="V156" s="32" t="n">
        <v>-4.9</v>
      </c>
      <c r="W156" s="32" t="n">
        <v>8.039999999999999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Between 50 to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Close to 52 week high or retracement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IF(B157=0,"",RANK(B157,$B$2:$B$282,0))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KRN</t>
        </is>
      </c>
      <c r="D157" s="31" t="inlineStr">
        <is>
          <t>KRN Heat Exchanger and Refrigeration Ltd</t>
        </is>
      </c>
      <c r="E157" s="31" t="inlineStr">
        <is>
          <t>industrials</t>
        </is>
      </c>
      <c r="F157" s="31" t="inlineStr">
        <is>
          <t>engineering</t>
        </is>
      </c>
      <c r="G157" s="31" t="inlineStr">
        <is>
          <t>midcap</t>
        </is>
      </c>
      <c r="H157" s="32" t="n">
        <v>7466.25</v>
      </c>
      <c r="I157" s="32" t="n">
        <v>1261.2</v>
      </c>
      <c r="J157" s="32" t="n">
        <v>5</v>
      </c>
      <c r="K157" s="32" t="n">
        <v>150786</v>
      </c>
      <c r="L157" s="31" t="n">
        <v>73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65.31999999999999</v>
      </c>
      <c r="P157" s="32" t="n">
        <v>39.53</v>
      </c>
      <c r="Q157" s="32" t="n">
        <v>875.95</v>
      </c>
      <c r="R157" s="31" t="inlineStr">
        <is>
          <t>Near 52W High Breakout</t>
        </is>
      </c>
      <c r="S157" s="31" t="inlineStr">
        <is>
          <t>Nifty 50</t>
        </is>
      </c>
      <c r="T157" s="32" t="n">
        <v>-4.43</v>
      </c>
      <c r="U157" s="32" t="n">
        <v>75.2</v>
      </c>
      <c r="V157" s="32" t="n">
        <v>83.33</v>
      </c>
      <c r="W157" s="32" t="n">
        <v>22.88</v>
      </c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Blue sky scenario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Yes</t>
        </is>
      </c>
      <c r="BS157" s="31">
        <f>IF(BR157="NO",5,0)</f>
        <v/>
      </c>
      <c r="BT157" s="31" t="inlineStr">
        <is>
          <t>Between 1.5 to 2</t>
        </is>
      </c>
      <c r="BU157" s="31">
        <f>IF(BT157="Above 2",0,IF(BT157="Between 1.5 to 2",5,IF(BT157="Less than 1.5",10,0)))</f>
        <v/>
      </c>
      <c r="BV157" s="31" t="inlineStr">
        <is>
          <t>Negative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IF(B158=0,"",RANK(B158,$B$2:$B$282,0))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TIRUPATIFL</t>
        </is>
      </c>
      <c r="D158" s="31" t="inlineStr">
        <is>
          <t>Tirupati Forge Ltd</t>
        </is>
      </c>
      <c r="E158" s="31" t="inlineStr">
        <is>
          <t>industrials</t>
        </is>
      </c>
      <c r="F158" s="31" t="inlineStr">
        <is>
          <t>castings &amp; forgings</t>
        </is>
      </c>
      <c r="G158" s="31" t="inlineStr">
        <is>
          <t>smallcap</t>
        </is>
      </c>
      <c r="H158" s="32" t="n">
        <v>562.88</v>
      </c>
      <c r="I158" s="32" t="n">
        <v>45.12</v>
      </c>
      <c r="J158" s="32" t="n">
        <v>3.56</v>
      </c>
      <c r="K158" s="32" t="n">
        <v>222016</v>
      </c>
      <c r="L158" s="31" t="n">
        <v>7</v>
      </c>
      <c r="M158" s="31" t="inlineStr">
        <is>
          <t>Outperforming</t>
        </is>
      </c>
      <c r="N158" s="32">
        <f>IF(M158="Underperforming",-5,IF(L158&gt;=95,15,IF(L158&gt;=90,10,IF(L158&gt;=80,5,0))))</f>
        <v/>
      </c>
      <c r="O158" s="32" t="n">
        <v>57.19</v>
      </c>
      <c r="P158" s="32" t="n">
        <v>31.09</v>
      </c>
      <c r="Q158" s="32" t="n">
        <v>31.41</v>
      </c>
      <c r="R158" s="31" t="inlineStr">
        <is>
          <t>Near 52W High Breakout</t>
        </is>
      </c>
      <c r="S158" s="31" t="inlineStr">
        <is>
          <t>Nifty 50</t>
        </is>
      </c>
      <c r="T158" s="32" t="n">
        <v>-4.43</v>
      </c>
      <c r="U158" s="32" t="n">
        <v>8.44</v>
      </c>
      <c r="V158" s="32" t="n">
        <v>13.47</v>
      </c>
      <c r="W158" s="32" t="n">
        <v>3.72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Yes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IF(B159=0,"",RANK(B159,$B$2:$B$282,0))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SFL</t>
        </is>
      </c>
      <c r="D159" s="31" t="inlineStr">
        <is>
          <t>Sheela Foam Limited</t>
        </is>
      </c>
      <c r="E159" s="31" t="inlineStr">
        <is>
          <t>consumer discretionary</t>
        </is>
      </c>
      <c r="F159" s="31" t="inlineStr">
        <is>
          <t>miscellaneous</t>
        </is>
      </c>
      <c r="G159" s="31" t="inlineStr">
        <is>
          <t>midcap</t>
        </is>
      </c>
      <c r="H159" s="32" t="n">
        <v>7396.14</v>
      </c>
      <c r="I159" s="32" t="n">
        <v>703.55</v>
      </c>
      <c r="J159" s="32" t="n">
        <v>3.41</v>
      </c>
      <c r="K159" s="32" t="n">
        <v>271377</v>
      </c>
      <c r="L159" s="31" t="n">
        <v>36</v>
      </c>
      <c r="M159" s="31" t="inlineStr">
        <is>
          <t>Outperforming</t>
        </is>
      </c>
      <c r="N159" s="32">
        <f>IF(M159="Underperforming",-5,IF(L159&gt;=95,15,IF(L159&gt;=90,10,IF(L159&gt;=80,5,0))))</f>
        <v/>
      </c>
      <c r="O159" s="32" t="n">
        <v>66.06</v>
      </c>
      <c r="P159" s="32" t="n">
        <v>19.55</v>
      </c>
      <c r="Q159" s="32" t="n">
        <v>535.58</v>
      </c>
      <c r="R159" s="31" t="inlineStr">
        <is>
          <t>Volume Spike / Accumulation</t>
        </is>
      </c>
      <c r="S159" s="31" t="inlineStr">
        <is>
          <t>Nifty 50</t>
        </is>
      </c>
      <c r="T159" s="32" t="n">
        <v>-4.43</v>
      </c>
      <c r="U159" s="32" t="n">
        <v>5.45</v>
      </c>
      <c r="V159" s="32" t="n">
        <v>10.34</v>
      </c>
      <c r="W159" s="32" t="n">
        <v>10.23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Yes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0 to 20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More than 20%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IF(B160=0,"",RANK(B160,$B$2:$B$282,0))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FIEMIND</t>
        </is>
      </c>
      <c r="D160" s="31" t="inlineStr">
        <is>
          <t>Fiem Industries Limited</t>
        </is>
      </c>
      <c r="E160" s="31" t="inlineStr">
        <is>
          <t>auto</t>
        </is>
      </c>
      <c r="F160" s="31" t="inlineStr">
        <is>
          <t>auto ancillaries</t>
        </is>
      </c>
      <c r="G160" s="31" t="inlineStr">
        <is>
          <t>midcap</t>
        </is>
      </c>
      <c r="H160" s="32" t="n">
        <v>5913.76</v>
      </c>
      <c r="I160" s="32" t="n">
        <v>2308.7</v>
      </c>
      <c r="J160" s="32" t="n">
        <v>2.75</v>
      </c>
      <c r="K160" s="32" t="n">
        <v>46566</v>
      </c>
      <c r="L160" s="31" t="n">
        <v>21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58.72</v>
      </c>
      <c r="P160" s="32" t="n">
        <v>14.97</v>
      </c>
      <c r="Q160" s="32" t="n">
        <v>1844.66</v>
      </c>
      <c r="R160" s="31" t="inlineStr">
        <is>
          <t>Near 52W High Breakout</t>
        </is>
      </c>
      <c r="S160" s="31" t="inlineStr">
        <is>
          <t>Nifty Auto</t>
        </is>
      </c>
      <c r="T160" s="32" t="n">
        <v>12.72</v>
      </c>
      <c r="U160" s="32" t="n">
        <v>23.85</v>
      </c>
      <c r="V160" s="32" t="n">
        <v>9.880000000000001</v>
      </c>
      <c r="W160" s="32" t="n">
        <v>7.36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Headwind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0 to 20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Blue sky scenario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Less than 1.5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Less than 0.7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IF(B161=0,"",RANK(B161,$B$2:$B$282,0))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MGEL</t>
        </is>
      </c>
      <c r="D161" s="31" t="inlineStr">
        <is>
          <t>Mangalam Global Enterprise Ltd</t>
        </is>
      </c>
      <c r="E161" s="31" t="inlineStr">
        <is>
          <t>services</t>
        </is>
      </c>
      <c r="F161" s="31" t="inlineStr">
        <is>
          <t>trading</t>
        </is>
      </c>
      <c r="G161" s="31" t="inlineStr">
        <is>
          <t>smallcap</t>
        </is>
      </c>
      <c r="H161" s="32" t="n">
        <v>527.95</v>
      </c>
      <c r="I161" s="32" t="n">
        <v>16.44</v>
      </c>
      <c r="J161" s="32" t="n">
        <v>2.62</v>
      </c>
      <c r="K161" s="32" t="n">
        <v>260228</v>
      </c>
      <c r="L161" s="31" t="n">
        <v>63</v>
      </c>
      <c r="M161" s="31" t="inlineStr">
        <is>
          <t>Outperforming</t>
        </is>
      </c>
      <c r="N161" s="32">
        <f>IF(M161="Underperforming",-5,IF(L161&gt;=95,15,IF(L161&gt;=90,10,IF(L161&gt;=80,5,0))))</f>
        <v/>
      </c>
      <c r="O161" s="32" t="n">
        <v>66.41</v>
      </c>
      <c r="P161" s="32" t="n">
        <v>29.8</v>
      </c>
      <c r="Q161" s="32" t="n">
        <v>11.56</v>
      </c>
      <c r="R161" s="31" t="inlineStr">
        <is>
          <t>Earnings / Momentum Support</t>
        </is>
      </c>
      <c r="S161" s="31" t="inlineStr">
        <is>
          <t>Nifty 50</t>
        </is>
      </c>
      <c r="T161" s="32" t="n">
        <v>-4.43</v>
      </c>
      <c r="U161" s="32" t="n">
        <v>12.67</v>
      </c>
      <c r="V161" s="32" t="n">
        <v>17.9</v>
      </c>
      <c r="W161" s="32" t="n">
        <v>18.12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No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Between 0.7 to 1.2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IF(B162=0,"",RANK(B162,$B$2:$B$282,0))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DLINKINDIA</t>
        </is>
      </c>
      <c r="D162" s="31" t="inlineStr">
        <is>
          <t>D-link (india) Limited</t>
        </is>
      </c>
      <c r="E162" s="31" t="inlineStr">
        <is>
          <t>services</t>
        </is>
      </c>
      <c r="F162" s="31" t="inlineStr">
        <is>
          <t>trading</t>
        </is>
      </c>
      <c r="G162" s="31" t="inlineStr">
        <is>
          <t>smallcap</t>
        </is>
      </c>
      <c r="H162" s="32" t="n">
        <v>1742.93</v>
      </c>
      <c r="I162" s="32" t="n">
        <v>501.65</v>
      </c>
      <c r="J162" s="32" t="n">
        <v>2.19</v>
      </c>
      <c r="K162" s="32" t="n">
        <v>113422</v>
      </c>
      <c r="L162" s="31" t="n">
        <v>16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65.51000000000001</v>
      </c>
      <c r="P162" s="32" t="n">
        <v>26.3</v>
      </c>
      <c r="Q162" s="32" t="n">
        <v>404</v>
      </c>
      <c r="R162" s="31" t="inlineStr">
        <is>
          <t>Volume Spike / Accumulation</t>
        </is>
      </c>
      <c r="S162" s="31" t="inlineStr">
        <is>
          <t>Nifty 50</t>
        </is>
      </c>
      <c r="T162" s="32" t="n">
        <v>-4.43</v>
      </c>
      <c r="U162" s="32" t="n">
        <v>-3.36</v>
      </c>
      <c r="V162" s="32" t="n">
        <v>1.12</v>
      </c>
      <c r="W162" s="32" t="n">
        <v>6.28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Yes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20 to 40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Less than 50%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IF(B163=0,"",RANK(B163,$B$2:$B$282,0))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ADANIGREEN</t>
        </is>
      </c>
      <c r="D163" s="31" t="inlineStr">
        <is>
          <t>Adani Green Energy Ltd</t>
        </is>
      </c>
      <c r="E163" s="31" t="inlineStr">
        <is>
          <t>power &amp; utilities</t>
        </is>
      </c>
      <c r="F163" s="31" t="inlineStr">
        <is>
          <t>power generation and supply</t>
        </is>
      </c>
      <c r="G163" s="31" t="inlineStr">
        <is>
          <t>largecap</t>
        </is>
      </c>
      <c r="H163" s="32" t="n">
        <v>239581.77</v>
      </c>
      <c r="I163" s="32" t="n">
        <v>1485.7</v>
      </c>
      <c r="J163" s="32" t="n">
        <v>2.15</v>
      </c>
      <c r="K163" s="32" t="n">
        <v>1975815</v>
      </c>
      <c r="L163" s="31" t="n">
        <v>80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72.65000000000001</v>
      </c>
      <c r="P163" s="32" t="n">
        <v>37.62</v>
      </c>
      <c r="Q163" s="32" t="n">
        <v>1202.91</v>
      </c>
      <c r="R163" s="31" t="inlineStr">
        <is>
          <t>Near 52W High Breakout</t>
        </is>
      </c>
      <c r="S163" s="31" t="inlineStr">
        <is>
          <t>Nifty IT</t>
        </is>
      </c>
      <c r="T163" s="32" t="n">
        <v>-27.75</v>
      </c>
      <c r="U163" s="32" t="n">
        <v>50.15</v>
      </c>
      <c r="V163" s="32" t="n">
        <v>107.8</v>
      </c>
      <c r="W163" s="32" t="n">
        <v>26.59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More than 1.2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IF(B164=0,"",RANK(B164,$B$2:$B$282,0))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ELGIEQUIP</t>
        </is>
      </c>
      <c r="D164" s="31" t="inlineStr">
        <is>
          <t>Elgi Equipments Limited</t>
        </is>
      </c>
      <c r="E164" s="31" t="inlineStr">
        <is>
          <t>industrials</t>
        </is>
      </c>
      <c r="F164" s="31" t="inlineStr">
        <is>
          <t>compressors / drilling equipment</t>
        </is>
      </c>
      <c r="G164" s="31" t="inlineStr">
        <is>
          <t>midcap</t>
        </is>
      </c>
      <c r="H164" s="32" t="n">
        <v>18806.97</v>
      </c>
      <c r="I164" s="32" t="n">
        <v>603.85</v>
      </c>
      <c r="J164" s="32" t="n">
        <v>1.75</v>
      </c>
      <c r="K164" s="32" t="n">
        <v>358767</v>
      </c>
      <c r="L164" s="31" t="n">
        <v>28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65.06999999999999</v>
      </c>
      <c r="P164" s="32" t="n">
        <v>16.64</v>
      </c>
      <c r="Q164" s="32" t="n">
        <v>481.85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-4.43</v>
      </c>
      <c r="U164" s="32" t="n">
        <v>13.03</v>
      </c>
      <c r="V164" s="32" t="n">
        <v>18.28</v>
      </c>
      <c r="W164" s="32" t="n">
        <v>9.06</v>
      </c>
      <c r="X164" s="31" t="inlineStr">
        <is>
          <t>Cyclical in an Upturn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Between 1.5 to 2</t>
        </is>
      </c>
      <c r="BU164" s="31">
        <f>IF(BT164="Above 2",0,IF(BT164="Between 1.5 to 2",5,IF(BT164="Less than 1.5",10,0)))</f>
        <v/>
      </c>
      <c r="BV164" s="31" t="inlineStr">
        <is>
          <t>Above 70%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IF(B165=0,"",RANK(B165,$B$2:$B$282,0))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EXIDEIND</t>
        </is>
      </c>
      <c r="D165" s="33" t="inlineStr">
        <is>
          <t>Exide Industries Limited</t>
        </is>
      </c>
      <c r="E165" s="31" t="inlineStr">
        <is>
          <t>auto</t>
        </is>
      </c>
      <c r="F165" s="31" t="inlineStr">
        <is>
          <t>auto ancillaries</t>
        </is>
      </c>
      <c r="G165" s="31" t="inlineStr">
        <is>
          <t>largecap</t>
        </is>
      </c>
      <c r="H165" s="32" t="n">
        <v>32780.25</v>
      </c>
      <c r="I165" s="32" t="n">
        <v>391.95</v>
      </c>
      <c r="J165" s="32" t="n">
        <v>1.63</v>
      </c>
      <c r="K165" s="32" t="n">
        <v>1527789</v>
      </c>
      <c r="L165" s="31" t="n">
        <v>25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62.57</v>
      </c>
      <c r="P165" s="32" t="n">
        <v>30.28</v>
      </c>
      <c r="Q165" s="32" t="n">
        <v>327.87</v>
      </c>
      <c r="R165" s="31" t="inlineStr">
        <is>
          <t>Earnings / Momentum Support</t>
        </is>
      </c>
      <c r="S165" s="31" t="inlineStr">
        <is>
          <t>Nifty Auto</t>
        </is>
      </c>
      <c r="T165" s="32" t="n">
        <v>12.72</v>
      </c>
      <c r="U165" s="32" t="n">
        <v>2.38</v>
      </c>
      <c r="V165" s="32" t="n">
        <v>-9.17</v>
      </c>
      <c r="W165" s="32" t="n">
        <v>8.460000000000001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No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Between 12 to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No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IF(B166=0,"",RANK(B166,$B$2:$B$282,0))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SHRIPISTON</t>
        </is>
      </c>
      <c r="D166" s="31" t="inlineStr">
        <is>
          <t>Shriram Pistons &amp; Rings Limited</t>
        </is>
      </c>
      <c r="E166" s="31" t="inlineStr">
        <is>
          <t>auto</t>
        </is>
      </c>
      <c r="F166" s="31" t="inlineStr">
        <is>
          <t>auto ancillaries</t>
        </is>
      </c>
      <c r="G166" s="31" t="inlineStr">
        <is>
          <t>midcap</t>
        </is>
      </c>
      <c r="H166" s="32" t="n">
        <v>15422.72</v>
      </c>
      <c r="I166" s="32" t="n">
        <v>3524.4</v>
      </c>
      <c r="J166" s="32" t="n">
        <v>0.66</v>
      </c>
      <c r="K166" s="32" t="n">
        <v>83307</v>
      </c>
      <c r="L166" s="31" t="n">
        <v>45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59.05</v>
      </c>
      <c r="P166" s="32" t="n">
        <v>27.3</v>
      </c>
      <c r="Q166" s="32" t="n">
        <v>2904.51</v>
      </c>
      <c r="R166" s="31" t="inlineStr">
        <is>
          <t>Earnings / Momentum Support</t>
        </is>
      </c>
      <c r="S166" s="31" t="inlineStr">
        <is>
          <t>Nifty Auto</t>
        </is>
      </c>
      <c r="T166" s="32" t="n">
        <v>12.72</v>
      </c>
      <c r="U166" s="32" t="n">
        <v>45.22</v>
      </c>
      <c r="V166" s="32" t="n">
        <v>28.83</v>
      </c>
      <c r="W166" s="32" t="n">
        <v>13.07</v>
      </c>
      <c r="X166" s="31" t="inlineStr">
        <is>
          <t>Growing Industry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IF(B167=0,"",RANK(B167,$B$2:$B$282,0))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ADANIENT</t>
        </is>
      </c>
      <c r="D167" s="31" t="inlineStr">
        <is>
          <t>Adani Enterprises Limited</t>
        </is>
      </c>
      <c r="E167" s="31" t="inlineStr">
        <is>
          <t>services</t>
        </is>
      </c>
      <c r="F167" s="31" t="inlineStr">
        <is>
          <t>trading</t>
        </is>
      </c>
      <c r="G167" s="31" t="inlineStr">
        <is>
          <t>largecap</t>
        </is>
      </c>
      <c r="H167" s="32" t="n">
        <v>376015.46</v>
      </c>
      <c r="I167" s="32" t="n">
        <v>2921.6</v>
      </c>
      <c r="J167" s="32" t="n">
        <v>0.44</v>
      </c>
      <c r="K167" s="32" t="n">
        <v>2321009</v>
      </c>
      <c r="L167" s="31" t="n">
        <v>51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68.7</v>
      </c>
      <c r="P167" s="32" t="n">
        <v>32.11</v>
      </c>
      <c r="Q167" s="32" t="n">
        <v>2505.23</v>
      </c>
      <c r="R167" s="31" t="inlineStr">
        <is>
          <t>Near 52W High Breakout</t>
        </is>
      </c>
      <c r="S167" s="31" t="inlineStr">
        <is>
          <t>Nifty 50</t>
        </is>
      </c>
      <c r="T167" s="32" t="n">
        <v>-4.43</v>
      </c>
      <c r="U167" s="32" t="n">
        <v>16.61</v>
      </c>
      <c r="V167" s="32" t="n">
        <v>22.01</v>
      </c>
      <c r="W167" s="32" t="n">
        <v>14.97</v>
      </c>
      <c r="X167" s="31" t="inlineStr">
        <is>
          <t>Growing Industry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Structural (10 Years Consistency)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Stable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20 to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Between 1.5 to 2</t>
        </is>
      </c>
      <c r="BU167" s="31">
        <f>IF(BT167="Above 2",0,IF(BT167="Between 1.5 to 2",5,IF(BT167="Less than 1.5",10,0)))</f>
        <v/>
      </c>
      <c r="BV167" s="31" t="inlineStr">
        <is>
          <t>Less than 50% and Borrowings are increasing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Between 0.7 to 1.2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IF(B168=0,"",RANK(B168,$B$2:$B$282,0))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DIFFNKG</t>
        </is>
      </c>
      <c r="D168" s="31" t="inlineStr">
        <is>
          <t>Diffusion Engineers Ltd</t>
        </is>
      </c>
      <c r="E168" s="31" t="inlineStr">
        <is>
          <t>industrials</t>
        </is>
      </c>
      <c r="F168" s="31" t="inlineStr">
        <is>
          <t>electrodes - welding equipment</t>
        </is>
      </c>
      <c r="G168" s="31" t="inlineStr">
        <is>
          <t>smallcap</t>
        </is>
      </c>
      <c r="H168" s="32" t="n">
        <v>1356.33</v>
      </c>
      <c r="I168" s="32" t="n">
        <v>361.75</v>
      </c>
      <c r="J168" s="32" t="n">
        <v>-0.18</v>
      </c>
      <c r="K168" s="32" t="n">
        <v>332310</v>
      </c>
      <c r="L168" s="31" t="n">
        <v>63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65.13</v>
      </c>
      <c r="P168" s="32" t="n">
        <v>14.56</v>
      </c>
      <c r="Q168" s="32" t="n">
        <v>264.44</v>
      </c>
      <c r="R168" s="31" t="inlineStr">
        <is>
          <t>Volume Spike / Accumulation</t>
        </is>
      </c>
      <c r="S168" s="31" t="inlineStr">
        <is>
          <t>Nifty Infra</t>
        </is>
      </c>
      <c r="T168" s="32" t="n">
        <v>2.95</v>
      </c>
      <c r="U168" s="32" t="n">
        <v>20.52</v>
      </c>
      <c r="V168" s="32" t="n">
        <v>17.06</v>
      </c>
      <c r="W168" s="32" t="n">
        <v>18.1</v>
      </c>
      <c r="X168" s="31" t="inlineStr">
        <is>
          <t>Cyclical in an Upturn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Yes</t>
        </is>
      </c>
      <c r="AQ168" s="31">
        <f>IF(AP168="Yes",10,0)</f>
        <v/>
      </c>
      <c r="AR168" s="31" t="inlineStr">
        <is>
          <t>Higher One Time, Lower Annuity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Less than 50%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IF(B169=0,"",RANK(B169,$B$2:$B$282,0))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CHENNPETRO</t>
        </is>
      </c>
      <c r="D169" s="31" t="inlineStr">
        <is>
          <t>Chennai Petroleum Corporation Limited</t>
        </is>
      </c>
      <c r="E169" s="31" t="inlineStr">
        <is>
          <t>energy</t>
        </is>
      </c>
      <c r="F169" s="31" t="inlineStr">
        <is>
          <t>refineries</t>
        </is>
      </c>
      <c r="G169" s="31" t="inlineStr">
        <is>
          <t>midcap</t>
        </is>
      </c>
      <c r="H169" s="32" t="n">
        <v>16977.39</v>
      </c>
      <c r="I169" s="32" t="n">
        <v>1137.7</v>
      </c>
      <c r="J169" s="32" t="n">
        <v>-0.21</v>
      </c>
      <c r="K169" s="32" t="n">
        <v>990933</v>
      </c>
      <c r="L169" s="31" t="n">
        <v>62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60.57</v>
      </c>
      <c r="P169" s="32" t="n">
        <v>44.01</v>
      </c>
      <c r="Q169" s="32" t="n">
        <v>872.14</v>
      </c>
      <c r="R169" s="31" t="inlineStr">
        <is>
          <t>Near 52W High Breakout</t>
        </is>
      </c>
      <c r="S169" s="31" t="inlineStr">
        <is>
          <t>Nifty Energy</t>
        </is>
      </c>
      <c r="T169" s="32" t="n">
        <v>9.800000000000001</v>
      </c>
      <c r="U169" s="32" t="n">
        <v>79.95</v>
      </c>
      <c r="V169" s="32" t="n">
        <v>63.88</v>
      </c>
      <c r="W169" s="32" t="n">
        <v>18.06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Oligopoly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Yes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Cyclical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Volatile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Blue sky scenario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Between 50% to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IF(B170=0,"",RANK(B170,$B$2:$B$282,0))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HONASA</t>
        </is>
      </c>
      <c r="D170" s="31" t="inlineStr">
        <is>
          <t>Honasa Consumer Ltd</t>
        </is>
      </c>
      <c r="E170" s="31" t="inlineStr">
        <is>
          <t>services</t>
        </is>
      </c>
      <c r="F170" s="31" t="inlineStr">
        <is>
          <t>trading</t>
        </is>
      </c>
      <c r="G170" s="31" t="inlineStr">
        <is>
          <t>midcap</t>
        </is>
      </c>
      <c r="H170" s="32" t="n">
        <v>13589.07</v>
      </c>
      <c r="I170" s="32" t="n">
        <v>413.65</v>
      </c>
      <c r="J170" s="32" t="n">
        <v>-0.96</v>
      </c>
      <c r="K170" s="32" t="n">
        <v>1765440</v>
      </c>
      <c r="L170" s="31" t="n">
        <v>66</v>
      </c>
      <c r="M170" s="31" t="inlineStr">
        <is>
          <t>Outperforming</t>
        </is>
      </c>
      <c r="N170" s="32">
        <f>IF(M170="Underperforming",-5,IF(L170&gt;=95,15,IF(L170&gt;=90,10,IF(L170&gt;=80,5,0))))</f>
        <v/>
      </c>
      <c r="O170" s="32" t="n">
        <v>75.31999999999999</v>
      </c>
      <c r="P170" s="32" t="n">
        <v>31.24</v>
      </c>
      <c r="Q170" s="32" t="n">
        <v>333.07</v>
      </c>
      <c r="R170" s="31" t="inlineStr">
        <is>
          <t>Near 52W High Breakout</t>
        </is>
      </c>
      <c r="S170" s="31" t="inlineStr">
        <is>
          <t>Nifty 50</t>
        </is>
      </c>
      <c r="T170" s="32" t="n">
        <v>-4.43</v>
      </c>
      <c r="U170" s="32" t="n">
        <v>34.72</v>
      </c>
      <c r="V170" s="32" t="n">
        <v>40.97</v>
      </c>
      <c r="W170" s="32" t="n">
        <v>19.06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No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Above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Between 50% to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IF(B171=0,"",RANK(B171,$B$2:$B$282,0))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INOXINDIA</t>
        </is>
      </c>
      <c r="D171" s="31" t="inlineStr">
        <is>
          <t>Inox India Ltd</t>
        </is>
      </c>
      <c r="E171" s="31" t="inlineStr">
        <is>
          <t>industrials</t>
        </is>
      </c>
      <c r="F171" s="31" t="inlineStr">
        <is>
          <t>packaging</t>
        </is>
      </c>
      <c r="G171" s="31" t="inlineStr">
        <is>
          <t>midcap</t>
        </is>
      </c>
      <c r="H171" s="32" t="n">
        <v>16780.36</v>
      </c>
      <c r="I171" s="32" t="n">
        <v>1808.2</v>
      </c>
      <c r="J171" s="32" t="n">
        <v>-2.2</v>
      </c>
      <c r="K171" s="32" t="n">
        <v>715519</v>
      </c>
      <c r="L171" s="31" t="n">
        <v>73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81.56999999999999</v>
      </c>
      <c r="P171" s="32" t="n">
        <v>53.44</v>
      </c>
      <c r="Q171" s="32" t="n">
        <v>1398.38</v>
      </c>
      <c r="R171" s="31" t="inlineStr">
        <is>
          <t>Volume Spike &amp; Near 52W High Breakout</t>
        </is>
      </c>
      <c r="S171" s="31" t="inlineStr">
        <is>
          <t>Nifty 50</t>
        </is>
      </c>
      <c r="T171" s="32" t="n">
        <v>-4.43</v>
      </c>
      <c r="U171" s="32" t="n">
        <v>52.94</v>
      </c>
      <c r="V171" s="32" t="n">
        <v>60.04</v>
      </c>
      <c r="W171" s="32" t="n">
        <v>22.91</v>
      </c>
      <c r="X171" s="31" t="inlineStr">
        <is>
          <t>Cyclical in an Upturn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Above 40</t>
        </is>
      </c>
      <c r="AY171" s="31">
        <f>IF(AX171="Above 40",20,IF(AX171="20 to 40",10,IF(AX171="0 to 20",-5,0)))</f>
        <v/>
      </c>
      <c r="AZ171" s="31" t="inlineStr">
        <is>
          <t>Above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Blue sky scenario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Between 12 to 20%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Yes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Less than 50%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IF(B172=0,"",RANK(B172,$B$2:$B$282,0))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SANDHAR</t>
        </is>
      </c>
      <c r="D172" s="31" t="inlineStr">
        <is>
          <t>Sandhar Technologies Limited</t>
        </is>
      </c>
      <c r="E172" s="31" t="inlineStr">
        <is>
          <t>auto</t>
        </is>
      </c>
      <c r="F172" s="31" t="inlineStr">
        <is>
          <t>auto ancillaries</t>
        </is>
      </c>
      <c r="G172" s="31" t="inlineStr">
        <is>
          <t>smallcap</t>
        </is>
      </c>
      <c r="H172" s="32" t="n">
        <v>4421.91</v>
      </c>
      <c r="I172" s="32" t="n">
        <v>712</v>
      </c>
      <c r="J172" s="32" t="n">
        <v>-3.08</v>
      </c>
      <c r="K172" s="32" t="n">
        <v>843988</v>
      </c>
      <c r="L172" s="31" t="n">
        <v>61</v>
      </c>
      <c r="M172" s="31" t="inlineStr">
        <is>
          <t>Outperforming</t>
        </is>
      </c>
      <c r="N172" s="32">
        <f>IF(M172="Underperforming",-5,IF(L172&gt;=95,15,IF(L172&gt;=90,10,IF(L172&gt;=80,5,0))))</f>
        <v/>
      </c>
      <c r="O172" s="32" t="n">
        <v>72</v>
      </c>
      <c r="P172" s="32" t="n">
        <v>19.46</v>
      </c>
      <c r="Q172" s="32" t="n">
        <v>527.35</v>
      </c>
      <c r="R172" s="31" t="inlineStr">
        <is>
          <t>Near 52W High Breakout</t>
        </is>
      </c>
      <c r="S172" s="31" t="inlineStr">
        <is>
          <t>Nifty Auto</t>
        </is>
      </c>
      <c r="T172" s="32" t="n">
        <v>12.72</v>
      </c>
      <c r="U172" s="32" t="n">
        <v>34.17</v>
      </c>
      <c r="V172" s="32" t="n">
        <v>19.04</v>
      </c>
      <c r="W172" s="32" t="n">
        <v>17.84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Blue sky scenario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Less than 50%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Between 0.7 to 1.2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IF(B173=0,"",RANK(B173,$B$2:$B$282,0))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ABDL</t>
        </is>
      </c>
      <c r="D173" s="31" t="inlineStr">
        <is>
          <t>Allied Blenders &amp; Distillers Ltd</t>
        </is>
      </c>
      <c r="E173" s="31" t="inlineStr">
        <is>
          <t>fmcg</t>
        </is>
      </c>
      <c r="F173" s="31" t="inlineStr">
        <is>
          <t>breweries &amp; distilleries</t>
        </is>
      </c>
      <c r="G173" s="31" t="inlineStr">
        <is>
          <t>midcap</t>
        </is>
      </c>
      <c r="H173" s="32" t="n">
        <v>17018.96</v>
      </c>
      <c r="I173" s="32" t="n">
        <v>644.45</v>
      </c>
      <c r="J173" s="32" t="n">
        <v>5.92</v>
      </c>
      <c r="K173" s="32" t="n">
        <v>2054909</v>
      </c>
      <c r="L173" s="31" t="n">
        <v>71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63.2</v>
      </c>
      <c r="P173" s="32" t="n">
        <v>19.57</v>
      </c>
      <c r="Q173" s="32" t="n">
        <v>485.21</v>
      </c>
      <c r="R173" s="31" t="inlineStr">
        <is>
          <t>Volume Spike &amp; Near 52W High Breakout</t>
        </is>
      </c>
      <c r="S173" s="31" t="inlineStr">
        <is>
          <t>Nifty FMCG</t>
        </is>
      </c>
      <c r="T173" s="32" t="n">
        <v>-10.45</v>
      </c>
      <c r="U173" s="32" t="n">
        <v>53.5</v>
      </c>
      <c r="V173" s="32" t="n">
        <v>71.41</v>
      </c>
      <c r="W173" s="32" t="n">
        <v>21.41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B2C</t>
        </is>
      </c>
      <c r="AO173" s="31">
        <f>IF(AN173="B2C",10,IF(AN173="B2B",5,0))</f>
        <v/>
      </c>
      <c r="AP173" s="31" t="inlineStr">
        <is>
          <t>Yes</t>
        </is>
      </c>
      <c r="AQ173" s="31">
        <f>IF(AP173="Yes",10,0)</f>
        <v/>
      </c>
      <c r="AR173" s="31" t="inlineStr">
        <is>
          <t>Higher Annuity, Lower One Time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0 to 20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Blue sky scenario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Less than 12%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Between 50% to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IF(B174=0,"",RANK(B174,$B$2:$B$282,0))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GUFICBIO</t>
        </is>
      </c>
      <c r="D174" s="33" t="inlineStr">
        <is>
          <t>Gufic Biosciences Limited</t>
        </is>
      </c>
      <c r="E174" s="31" t="inlineStr">
        <is>
          <t>healthcare</t>
        </is>
      </c>
      <c r="F174" s="31" t="inlineStr">
        <is>
          <t>pharmaceuticals - indian - bulk drugs &amp; formln</t>
        </is>
      </c>
      <c r="G174" s="31" t="inlineStr">
        <is>
          <t>smallcap</t>
        </is>
      </c>
      <c r="H174" s="32" t="n">
        <v>3541.98</v>
      </c>
      <c r="I174" s="32" t="n">
        <v>371.25</v>
      </c>
      <c r="J174" s="32" t="n">
        <v>5.11</v>
      </c>
      <c r="K174" s="32" t="n">
        <v>161321</v>
      </c>
      <c r="L174" s="31" t="n">
        <v>19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65.48999999999999</v>
      </c>
      <c r="P174" s="32" t="n">
        <v>22.26</v>
      </c>
      <c r="Q174" s="32" t="n">
        <v>285.62</v>
      </c>
      <c r="R174" s="31" t="inlineStr">
        <is>
          <t>Volume Spike &amp; Near 52W High Breakout</t>
        </is>
      </c>
      <c r="S174" s="31" t="inlineStr">
        <is>
          <t>Nifty Pharma</t>
        </is>
      </c>
      <c r="T174" s="32" t="n">
        <v>10.89</v>
      </c>
      <c r="U174" s="32" t="n">
        <v>0.19</v>
      </c>
      <c r="V174" s="32" t="n">
        <v>-9.65</v>
      </c>
      <c r="W174" s="32" t="n">
        <v>6.96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Yes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Yes</t>
        </is>
      </c>
      <c r="AQ174" s="31">
        <f>IF(AP174="Yes",10,0)</f>
        <v/>
      </c>
      <c r="AR174" s="31" t="inlineStr">
        <is>
          <t>Higher Annuity, Lower One Time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Yes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Less than 50%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Less than 0.7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IF(B175=0,"",RANK(B175,$B$2:$B$282,0))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GPTHEALTH</t>
        </is>
      </c>
      <c r="D175" s="33" t="inlineStr">
        <is>
          <t>GPT Healthcare Ltd</t>
        </is>
      </c>
      <c r="E175" s="31" t="inlineStr">
        <is>
          <t>healthcare</t>
        </is>
      </c>
      <c r="F175" s="31" t="inlineStr">
        <is>
          <t>healthcare</t>
        </is>
      </c>
      <c r="G175" s="31" t="inlineStr">
        <is>
          <t>smallcap</t>
        </is>
      </c>
      <c r="H175" s="32" t="n">
        <v>1185.77</v>
      </c>
      <c r="I175" s="32" t="n">
        <v>148.17</v>
      </c>
      <c r="J175" s="32" t="n">
        <v>2.53</v>
      </c>
      <c r="K175" s="32" t="n">
        <v>55181</v>
      </c>
      <c r="L175" s="31" t="n">
        <v>10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60.61</v>
      </c>
      <c r="P175" s="32" t="n">
        <v>27.16</v>
      </c>
      <c r="Q175" s="32" t="n">
        <v>120.82</v>
      </c>
      <c r="R175" s="31" t="inlineStr">
        <is>
          <t>Earnings / Momentum Support</t>
        </is>
      </c>
      <c r="S175" s="31" t="inlineStr">
        <is>
          <t>Nifty Pharma</t>
        </is>
      </c>
      <c r="T175" s="32" t="n">
        <v>10.89</v>
      </c>
      <c r="U175" s="32" t="n">
        <v>0.35</v>
      </c>
      <c r="V175" s="32" t="n">
        <v>-9.51</v>
      </c>
      <c r="W175" s="32" t="n">
        <v>4.42</v>
      </c>
      <c r="X175" s="31" t="inlineStr">
        <is>
          <t>Growing Industry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Structural (10 Years Consistency)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Stable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Annuity, Lower One Time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Between 12 to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IF(B176=0,"",RANK(B176,$B$2:$B$282,0))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SASKEN</t>
        </is>
      </c>
      <c r="D176" s="31" t="inlineStr">
        <is>
          <t>Sasken Communication Technologies Limited</t>
        </is>
      </c>
      <c r="E176" s="31" t="inlineStr">
        <is>
          <t>i.t</t>
        </is>
      </c>
      <c r="F176" s="31" t="inlineStr">
        <is>
          <t>computers - software - medium / small</t>
        </is>
      </c>
      <c r="G176" s="31" t="inlineStr">
        <is>
          <t>smallcap</t>
        </is>
      </c>
      <c r="H176" s="32" t="n">
        <v>3148</v>
      </c>
      <c r="I176" s="32" t="n">
        <v>2120.6</v>
      </c>
      <c r="J176" s="32" t="n">
        <v>2.3</v>
      </c>
      <c r="K176" s="32" t="n">
        <v>52430</v>
      </c>
      <c r="L176" s="31" t="n">
        <v>90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71.61</v>
      </c>
      <c r="P176" s="32" t="n">
        <v>31.4</v>
      </c>
      <c r="Q176" s="32" t="n">
        <v>1646.01</v>
      </c>
      <c r="R176" s="31" t="inlineStr">
        <is>
          <t>Earnings / Momentum Support</t>
        </is>
      </c>
      <c r="S176" s="31" t="inlineStr">
        <is>
          <t>Nifty IT</t>
        </is>
      </c>
      <c r="T176" s="32" t="n">
        <v>-27.75</v>
      </c>
      <c r="U176" s="32" t="n">
        <v>47.33</v>
      </c>
      <c r="V176" s="32" t="n">
        <v>103.9</v>
      </c>
      <c r="W176" s="32" t="n">
        <v>37.76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Annuity, Lower One Time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20 to 40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Negative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IF(B177=0,"",RANK(B177,$B$2:$B$282,0))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APOLLOHOSP</t>
        </is>
      </c>
      <c r="D177" s="31" t="inlineStr">
        <is>
          <t>Apollo Hospitals Enterprise Limited</t>
        </is>
      </c>
      <c r="E177" s="31" t="inlineStr">
        <is>
          <t>healthcare</t>
        </is>
      </c>
      <c r="F177" s="31" t="inlineStr">
        <is>
          <t>healthcare</t>
        </is>
      </c>
      <c r="G177" s="31" t="inlineStr">
        <is>
          <t>largecap</t>
        </is>
      </c>
      <c r="H177" s="32" t="n">
        <v>122116.31</v>
      </c>
      <c r="I177" s="32" t="n">
        <v>8498</v>
      </c>
      <c r="J177" s="32" t="n">
        <v>0.06</v>
      </c>
      <c r="K177" s="32" t="n">
        <v>276444</v>
      </c>
      <c r="L177" s="31" t="n">
        <v>19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66.59999999999999</v>
      </c>
      <c r="P177" s="32" t="n">
        <v>13.74</v>
      </c>
      <c r="Q177" s="32" t="n">
        <v>7382.06</v>
      </c>
      <c r="R177" s="31" t="inlineStr">
        <is>
          <t>Near 52W High Breakout</t>
        </is>
      </c>
      <c r="S177" s="31" t="inlineStr">
        <is>
          <t>Nifty Pharma</t>
        </is>
      </c>
      <c r="T177" s="32" t="n">
        <v>10.89</v>
      </c>
      <c r="U177" s="32" t="n">
        <v>21.81</v>
      </c>
      <c r="V177" s="32" t="n">
        <v>9.85</v>
      </c>
      <c r="W177" s="32" t="n">
        <v>6.9</v>
      </c>
      <c r="X177" s="31" t="inlineStr">
        <is>
          <t>Cyclical in an Upturn</t>
        </is>
      </c>
      <c r="Y177" s="31">
        <f>IF(X177="Growing Industry",10,IF(X177="Cyclical in an Upturn",5,0))</f>
        <v/>
      </c>
      <c r="Z177" s="31" t="inlineStr">
        <is>
          <t>Oligopoly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Cyclical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B2C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Fully One Time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Above 40</t>
        </is>
      </c>
      <c r="AY177" s="31">
        <f>IF(AX177="Above 40",20,IF(AX177="20 to 40",10,IF(AX177="0 to 20",-5,0)))</f>
        <v/>
      </c>
      <c r="AZ177" s="31" t="inlineStr">
        <is>
          <t>Above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Yes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Between 1.5 to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IF(B178=0,"",RANK(B178,$B$2:$B$282,0))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ZYDUSLIFE</t>
        </is>
      </c>
      <c r="D178" s="31" t="inlineStr">
        <is>
          <t>Zydus Lifesciences Ltd</t>
        </is>
      </c>
      <c r="E178" s="31" t="inlineStr">
        <is>
          <t>healthcare</t>
        </is>
      </c>
      <c r="F178" s="31" t="inlineStr">
        <is>
          <t>pharmaceuticals - indian - bulk drugs &amp; formln</t>
        </is>
      </c>
      <c r="G178" s="31" t="inlineStr">
        <is>
          <t>largecap</t>
        </is>
      </c>
      <c r="H178" s="32" t="n">
        <v>111279.42</v>
      </c>
      <c r="I178" s="32" t="n">
        <v>1104.7</v>
      </c>
      <c r="J178" s="32" t="n">
        <v>-0.11</v>
      </c>
      <c r="K178" s="32" t="n">
        <v>872151</v>
      </c>
      <c r="L178" s="31" t="n">
        <v>22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72.06</v>
      </c>
      <c r="P178" s="32" t="n">
        <v>20.23</v>
      </c>
      <c r="Q178" s="32" t="n">
        <v>939.61</v>
      </c>
      <c r="R178" s="31" t="inlineStr">
        <is>
          <t>Near 52W High Breakout</t>
        </is>
      </c>
      <c r="S178" s="31" t="inlineStr">
        <is>
          <t>Nifty Pharma</t>
        </is>
      </c>
      <c r="T178" s="32" t="n">
        <v>10.89</v>
      </c>
      <c r="U178" s="32" t="n">
        <v>14.61</v>
      </c>
      <c r="V178" s="32" t="n">
        <v>3.35</v>
      </c>
      <c r="W178" s="32" t="n">
        <v>7.74</v>
      </c>
      <c r="X178" s="31" t="inlineStr">
        <is>
          <t>Growing Industry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Yes</t>
        </is>
      </c>
      <c r="AQ178" s="31">
        <f>IF(AP178="Yes",10,0)</f>
        <v/>
      </c>
      <c r="AR178" s="31" t="inlineStr">
        <is>
          <t>Higher Annuity, Lower One Time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Less than 50%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IF(B179=0,"",RANK(B179,$B$2:$B$282,0))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1" t="inlineStr">
        <is>
          <t>JNKINDIA</t>
        </is>
      </c>
      <c r="D179" s="31" t="inlineStr">
        <is>
          <t>JNK India Ltd</t>
        </is>
      </c>
      <c r="E179" s="31" t="inlineStr">
        <is>
          <t>realty</t>
        </is>
      </c>
      <c r="F179" s="31" t="inlineStr">
        <is>
          <t>engineering - turnkey services</t>
        </is>
      </c>
      <c r="G179" s="31" t="inlineStr">
        <is>
          <t>smallcap</t>
        </is>
      </c>
      <c r="H179" s="32" t="n">
        <v>2629.83</v>
      </c>
      <c r="I179" s="32" t="n">
        <v>504.05</v>
      </c>
      <c r="J179" s="32" t="n">
        <v>7.24</v>
      </c>
      <c r="K179" s="32" t="n">
        <v>3001681</v>
      </c>
      <c r="L179" s="31" t="n">
        <v>91</v>
      </c>
      <c r="M179" s="31" t="inlineStr">
        <is>
          <t>Outperforming</t>
        </is>
      </c>
      <c r="N179" s="32">
        <f>IF(M179="Underperforming",-5,IF(L179&gt;=95,15,IF(L179&gt;=90,10,IF(L179&gt;=80,5,0))))</f>
        <v/>
      </c>
      <c r="O179" s="32" t="n">
        <v>77.48</v>
      </c>
      <c r="P179" s="32" t="n">
        <v>29.06</v>
      </c>
      <c r="Q179" s="32" t="n">
        <v>356.08</v>
      </c>
      <c r="R179" s="31" t="inlineStr">
        <is>
          <t>Volume Spike &amp; Near 52W High Breakout</t>
        </is>
      </c>
      <c r="S179" s="31" t="inlineStr">
        <is>
          <t>Nifty Realty</t>
        </is>
      </c>
      <c r="T179" s="32" t="n">
        <v>-23.58</v>
      </c>
      <c r="U179" s="32" t="n">
        <v>39.11</v>
      </c>
      <c r="V179" s="32" t="n">
        <v>82.03</v>
      </c>
      <c r="W179" s="32" t="n">
        <v>38.41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Above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More than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Negative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IF(B180=0,"",RANK(B180,$B$2:$B$282,0))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NYKAA</t>
        </is>
      </c>
      <c r="D180" s="31" t="inlineStr">
        <is>
          <t>FSN E-Commerce Ventures Ltd</t>
        </is>
      </c>
      <c r="E180" s="31" t="inlineStr">
        <is>
          <t>i.t</t>
        </is>
      </c>
      <c r="F180" s="31" t="inlineStr">
        <is>
          <t>trading</t>
        </is>
      </c>
      <c r="G180" s="31" t="inlineStr">
        <is>
          <t>largecap</t>
        </is>
      </c>
      <c r="H180" s="32" t="n">
        <v>74515.49000000001</v>
      </c>
      <c r="I180" s="32" t="n">
        <v>273.5</v>
      </c>
      <c r="J180" s="32" t="n">
        <v>5.09</v>
      </c>
      <c r="K180" s="32" t="n">
        <v>12127542</v>
      </c>
      <c r="L180" s="31" t="n">
        <v>36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57.86</v>
      </c>
      <c r="P180" s="32" t="n">
        <v>16.27</v>
      </c>
      <c r="Q180" s="32" t="n">
        <v>227.92</v>
      </c>
      <c r="R180" s="31" t="inlineStr">
        <is>
          <t>Near 52W High Breakout</t>
        </is>
      </c>
      <c r="S180" s="31" t="inlineStr">
        <is>
          <t>Nifty IT</t>
        </is>
      </c>
      <c r="T180" s="32" t="n">
        <v>-27.75</v>
      </c>
      <c r="U180" s="32" t="n">
        <v>40.45</v>
      </c>
      <c r="V180" s="32" t="n">
        <v>94.38</v>
      </c>
      <c r="W180" s="32" t="n">
        <v>10.47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Between 0.7 to 1.2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IF(B181=0,"",RANK(B181,$B$2:$B$282,0))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HFCL</t>
        </is>
      </c>
      <c r="D181" s="31" t="inlineStr">
        <is>
          <t>HFCL Ltd</t>
        </is>
      </c>
      <c r="E181" s="31" t="inlineStr">
        <is>
          <t>telecom</t>
        </is>
      </c>
      <c r="F181" s="31" t="inlineStr">
        <is>
          <t>cables - telephone</t>
        </is>
      </c>
      <c r="G181" s="31" t="inlineStr">
        <is>
          <t>largecap</t>
        </is>
      </c>
      <c r="H181" s="32" t="n">
        <v>25052.9</v>
      </c>
      <c r="I181" s="32" t="n">
        <v>171.86</v>
      </c>
      <c r="J181" s="32" t="n">
        <v>5</v>
      </c>
      <c r="K181" s="32" t="n">
        <v>9299089</v>
      </c>
      <c r="L181" s="31" t="n">
        <v>96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79.37</v>
      </c>
      <c r="P181" s="32" t="n">
        <v>47.3</v>
      </c>
      <c r="Q181" s="32" t="n">
        <v>140.87</v>
      </c>
      <c r="R181" s="31" t="inlineStr">
        <is>
          <t>Earnings / Momentum Support</t>
        </is>
      </c>
      <c r="S181" s="31" t="inlineStr">
        <is>
          <t>Nifty Infra</t>
        </is>
      </c>
      <c r="T181" s="32" t="n">
        <v>2.95</v>
      </c>
      <c r="U181" s="32" t="n">
        <v>98.28</v>
      </c>
      <c r="V181" s="32" t="n">
        <v>92.59</v>
      </c>
      <c r="W181" s="32" t="n">
        <v>52.22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Oligopoly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Yes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Above 40</t>
        </is>
      </c>
      <c r="AY181" s="31">
        <f>IF(AX181="Above 40",20,IF(AX181="20 to 40",10,IF(AX181="0 to 20",-5,0)))</f>
        <v/>
      </c>
      <c r="AZ181" s="31" t="inlineStr">
        <is>
          <t>Above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Negative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IF(B182=0,"",RANK(B182,$B$2:$B$282,0))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NBCC</t>
        </is>
      </c>
      <c r="D182" s="33" t="inlineStr">
        <is>
          <t>Nbcc (india) Limited</t>
        </is>
      </c>
      <c r="E182" s="31" t="inlineStr">
        <is>
          <t>miscellaneous</t>
        </is>
      </c>
      <c r="F182" s="31" t="inlineStr">
        <is>
          <t>miscellaneous</t>
        </is>
      </c>
      <c r="G182" s="31" t="inlineStr">
        <is>
          <t>largecap</t>
        </is>
      </c>
      <c r="H182" s="32" t="n">
        <v>27140.4</v>
      </c>
      <c r="I182" s="32" t="n">
        <v>105.16</v>
      </c>
      <c r="J182" s="32" t="n">
        <v>4.62</v>
      </c>
      <c r="K182" s="32" t="n">
        <v>15469674</v>
      </c>
      <c r="L182" s="31" t="n">
        <v>9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56.84</v>
      </c>
      <c r="P182" s="32" t="n">
        <v>22.23</v>
      </c>
      <c r="Q182" s="32" t="n">
        <v>83.42</v>
      </c>
      <c r="R182" s="31" t="inlineStr">
        <is>
          <t>Earnings / Momentum Support</t>
        </is>
      </c>
      <c r="S182" s="31" t="inlineStr">
        <is>
          <t>Nifty 50</t>
        </is>
      </c>
      <c r="T182" s="32" t="n">
        <v>-4.43</v>
      </c>
      <c r="U182" s="32" t="n">
        <v>-12.26</v>
      </c>
      <c r="V182" s="32" t="n">
        <v>-8.199999999999999</v>
      </c>
      <c r="W182" s="32" t="n">
        <v>4.09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Headwind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No</t>
        </is>
      </c>
      <c r="BS182" s="31">
        <f>IF(BR182="NO",5,0)</f>
        <v/>
      </c>
      <c r="BT182" s="31" t="inlineStr">
        <is>
          <t>Less than 1.5</t>
        </is>
      </c>
      <c r="BU182" s="31">
        <f>IF(BT182="Above 2",0,IF(BT182="Between 1.5 to 2",5,IF(BT182="Less than 1.5",10,0)))</f>
        <v/>
      </c>
      <c r="BV182" s="31" t="inlineStr">
        <is>
          <t>Less than 50%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IF(B183=0,"",RANK(B183,$B$2:$B$282,0))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APARINDS</t>
        </is>
      </c>
      <c r="D183" s="31" t="inlineStr">
        <is>
          <t>Apar Industries Limited</t>
        </is>
      </c>
      <c r="E183" s="31" t="inlineStr">
        <is>
          <t>industrials</t>
        </is>
      </c>
      <c r="F183" s="31" t="inlineStr">
        <is>
          <t>electric equipment</t>
        </is>
      </c>
      <c r="G183" s="31" t="inlineStr">
        <is>
          <t>largecap</t>
        </is>
      </c>
      <c r="H183" s="32" t="n">
        <v>58448.92</v>
      </c>
      <c r="I183" s="32" t="n">
        <v>15221</v>
      </c>
      <c r="J183" s="32" t="n">
        <v>4.6</v>
      </c>
      <c r="K183" s="32" t="n">
        <v>271159</v>
      </c>
      <c r="L183" s="31" t="n">
        <v>85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76.68000000000001</v>
      </c>
      <c r="P183" s="32" t="n">
        <v>38.7</v>
      </c>
      <c r="Q183" s="32" t="n">
        <v>11795.85</v>
      </c>
      <c r="R183" s="31" t="inlineStr">
        <is>
          <t>Volume Spike &amp; Near 52W High Breakout</t>
        </is>
      </c>
      <c r="S183" s="31" t="inlineStr">
        <is>
          <t>Nifty 50</t>
        </is>
      </c>
      <c r="T183" s="32" t="n">
        <v>-4.43</v>
      </c>
      <c r="U183" s="32" t="n">
        <v>93.92</v>
      </c>
      <c r="V183" s="32" t="n">
        <v>102.92</v>
      </c>
      <c r="W183" s="32" t="n">
        <v>30.56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Above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Blue sky scenario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Less than 12%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Above 2</t>
        </is>
      </c>
      <c r="BU183" s="31">
        <f>IF(BT183="Above 2",0,IF(BT183="Between 1.5 to 2",5,IF(BT183="Less than 1.5",10,0)))</f>
        <v/>
      </c>
      <c r="BV183" s="31" t="inlineStr">
        <is>
          <t>Between 50% to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IF(B184=0,"",RANK(B184,$B$2:$B$282,0))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INDNIPPON</t>
        </is>
      </c>
      <c r="D184" s="31" t="inlineStr">
        <is>
          <t>India Nippon Electricals Limited</t>
        </is>
      </c>
      <c r="E184" s="31" t="inlineStr">
        <is>
          <t>auto</t>
        </is>
      </c>
      <c r="F184" s="31" t="inlineStr">
        <is>
          <t>auto ancillaries</t>
        </is>
      </c>
      <c r="G184" s="31" t="inlineStr">
        <is>
          <t>smallcap</t>
        </is>
      </c>
      <c r="H184" s="32" t="n">
        <v>1947.7</v>
      </c>
      <c r="I184" s="32" t="n">
        <v>890.25</v>
      </c>
      <c r="J184" s="32" t="n">
        <v>3.4</v>
      </c>
      <c r="K184" s="32" t="n">
        <v>11587</v>
      </c>
      <c r="L184" s="31" t="n">
        <v>29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59.05</v>
      </c>
      <c r="P184" s="32" t="n">
        <v>11.69</v>
      </c>
      <c r="Q184" s="32" t="n">
        <v>716.97</v>
      </c>
      <c r="R184" s="31" t="inlineStr">
        <is>
          <t>Earnings / Momentum Support</t>
        </is>
      </c>
      <c r="S184" s="31" t="inlineStr">
        <is>
          <t>Nifty Auto</t>
        </is>
      </c>
      <c r="T184" s="32" t="n">
        <v>12.72</v>
      </c>
      <c r="U184" s="32" t="n">
        <v>24.84</v>
      </c>
      <c r="V184" s="32" t="n">
        <v>10.76</v>
      </c>
      <c r="W184" s="32" t="n">
        <v>9.07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0 to 20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No</t>
        </is>
      </c>
      <c r="BS184" s="31">
        <f>IF(BR184="NO",5,0)</f>
        <v/>
      </c>
      <c r="BT184" s="31" t="inlineStr">
        <is>
          <t>Less than 1.5</t>
        </is>
      </c>
      <c r="BU184" s="31">
        <f>IF(BT184="Above 2",0,IF(BT184="Between 1.5 to 2",5,IF(BT184="Less than 1.5",10,0)))</f>
        <v/>
      </c>
      <c r="BV184" s="31" t="inlineStr">
        <is>
          <t>Less than 50%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IF(B185=0,"",RANK(B185,$B$2:$B$282,0))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3" t="inlineStr">
        <is>
          <t>HONAUT</t>
        </is>
      </c>
      <c r="D185" s="33" t="inlineStr">
        <is>
          <t>Honeywell Automation India Limited</t>
        </is>
      </c>
      <c r="E185" s="31" t="inlineStr">
        <is>
          <t>consumer discretionary</t>
        </is>
      </c>
      <c r="F185" s="31" t="inlineStr">
        <is>
          <t>electronics - components</t>
        </is>
      </c>
      <c r="G185" s="31" t="inlineStr">
        <is>
          <t>largecap</t>
        </is>
      </c>
      <c r="H185" s="32" t="n">
        <v>31148.69</v>
      </c>
      <c r="I185" s="32" t="n">
        <v>36160</v>
      </c>
      <c r="J185" s="32" t="n">
        <v>2.64</v>
      </c>
      <c r="K185" s="32" t="n">
        <v>5576</v>
      </c>
      <c r="L185" s="31" t="n">
        <v>7</v>
      </c>
      <c r="M185" s="31" t="inlineStr">
        <is>
          <t>Underperforming</t>
        </is>
      </c>
      <c r="N185" s="32">
        <f>IF(M185="Underperforming",-5,IF(L185&gt;=95,15,IF(L185&gt;=90,10,IF(L185&gt;=80,5,0))))</f>
        <v/>
      </c>
      <c r="O185" s="32" t="n">
        <v>60.06</v>
      </c>
      <c r="P185" s="32" t="n">
        <v>23.88</v>
      </c>
      <c r="Q185" s="32" t="n">
        <v>29042.85</v>
      </c>
      <c r="R185" s="31" t="inlineStr">
        <is>
          <t>Earnings / Momentum Support</t>
        </is>
      </c>
      <c r="S185" s="31" t="inlineStr">
        <is>
          <t>Nifty 50</t>
        </is>
      </c>
      <c r="T185" s="32" t="n">
        <v>-4.43</v>
      </c>
      <c r="U185" s="32" t="n">
        <v>-4.88</v>
      </c>
      <c r="V185" s="32" t="n">
        <v>-0.47</v>
      </c>
      <c r="W185" s="32" t="n">
        <v>3.66</v>
      </c>
      <c r="X185" s="31" t="inlineStr">
        <is>
          <t>Growing Industry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No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Close to 52 week high or retracement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Between 12 to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Above 70%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IF(B186=0,"",RANK(B186,$B$2:$B$282,0))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3" t="inlineStr">
        <is>
          <t>SSWL</t>
        </is>
      </c>
      <c r="D186" s="33" t="inlineStr">
        <is>
          <t>Steel Strips Wheels Limited</t>
        </is>
      </c>
      <c r="E186" s="31" t="inlineStr">
        <is>
          <t>auto</t>
        </is>
      </c>
      <c r="F186" s="31" t="inlineStr">
        <is>
          <t>auto ancillaries</t>
        </is>
      </c>
      <c r="G186" s="31" t="inlineStr">
        <is>
          <t>smallcap</t>
        </is>
      </c>
      <c r="H186" s="32" t="n">
        <v>3549.61</v>
      </c>
      <c r="I186" s="32" t="n">
        <v>231.63</v>
      </c>
      <c r="J186" s="32" t="n">
        <v>2.57</v>
      </c>
      <c r="K186" s="32" t="n">
        <v>687243</v>
      </c>
      <c r="L186" s="31" t="n">
        <v>12</v>
      </c>
      <c r="M186" s="31" t="inlineStr">
        <is>
          <t>Underperforming</t>
        </is>
      </c>
      <c r="N186" s="32">
        <f>IF(M186="Underperforming",-5,IF(L186&gt;=95,15,IF(L186&gt;=90,10,IF(L186&gt;=80,5,0))))</f>
        <v/>
      </c>
      <c r="O186" s="32" t="n">
        <v>59.39</v>
      </c>
      <c r="P186" s="32" t="n">
        <v>8.470000000000001</v>
      </c>
      <c r="Q186" s="32" t="n">
        <v>174.51</v>
      </c>
      <c r="R186" s="31" t="inlineStr">
        <is>
          <t>Volume Spike / Accumulation</t>
        </is>
      </c>
      <c r="S186" s="31" t="inlineStr">
        <is>
          <t>Nifty Auto</t>
        </is>
      </c>
      <c r="T186" s="32" t="n">
        <v>12.72</v>
      </c>
      <c r="U186" s="32" t="n">
        <v>-6.25</v>
      </c>
      <c r="V186" s="32" t="n">
        <v>-16.82</v>
      </c>
      <c r="W186" s="32" t="n">
        <v>5.3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Too Many Players with High ROCE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No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Yes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Less than 12%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IF(B187=0,"",RANK(B187,$B$2:$B$282,0))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KDDL</t>
        </is>
      </c>
      <c r="D187" s="31" t="inlineStr">
        <is>
          <t>Kddl Limited</t>
        </is>
      </c>
      <c r="E187" s="31" t="inlineStr">
        <is>
          <t>consumer discretionary</t>
        </is>
      </c>
      <c r="F187" s="31" t="inlineStr">
        <is>
          <t>miscellaneous</t>
        </is>
      </c>
      <c r="G187" s="31" t="inlineStr">
        <is>
          <t>smallcap</t>
        </is>
      </c>
      <c r="H187" s="32" t="n">
        <v>3458.43</v>
      </c>
      <c r="I187" s="32" t="n">
        <v>2869.3</v>
      </c>
      <c r="J187" s="32" t="n">
        <v>2.04</v>
      </c>
      <c r="K187" s="32" t="n">
        <v>12887</v>
      </c>
      <c r="L187" s="31" t="n">
        <v>33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61.3</v>
      </c>
      <c r="P187" s="32" t="n">
        <v>15.25</v>
      </c>
      <c r="Q187" s="32" t="n">
        <v>2101.51</v>
      </c>
      <c r="R187" s="31" t="inlineStr">
        <is>
          <t>Near 52W High Breakout</t>
        </is>
      </c>
      <c r="S187" s="31" t="inlineStr">
        <is>
          <t>Nifty 50</t>
        </is>
      </c>
      <c r="T187" s="32" t="n">
        <v>-4.43</v>
      </c>
      <c r="U187" s="32" t="n">
        <v>16</v>
      </c>
      <c r="V187" s="32" t="n">
        <v>21.38</v>
      </c>
      <c r="W187" s="32" t="n">
        <v>9.73</v>
      </c>
      <c r="X187" s="31" t="inlineStr">
        <is>
          <t>Growing Industry</t>
        </is>
      </c>
      <c r="Y187" s="31">
        <f>IF(X187="Growing Industry",10,IF(X187="Cyclical in an Upturn",5,0))</f>
        <v/>
      </c>
      <c r="Z187" s="31" t="inlineStr">
        <is>
          <t>Too Many Players with High ROCE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No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Structural (10 Years Consistency)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Stable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0 to 20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Yes</t>
        </is>
      </c>
      <c r="BS187" s="31">
        <f>IF(BR187="NO",5,0)</f>
        <v/>
      </c>
      <c r="BT187" s="31" t="inlineStr">
        <is>
          <t>Between 1.5 to 2</t>
        </is>
      </c>
      <c r="BU187" s="31">
        <f>IF(BT187="Above 2",0,IF(BT187="Between 1.5 to 2",5,IF(BT187="Less than 1.5",10,0)))</f>
        <v/>
      </c>
      <c r="BV187" s="31" t="inlineStr">
        <is>
          <t>Less than 50%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IF(B188=0,"",RANK(B188,$B$2:$B$282,0))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BHAGYANGR</t>
        </is>
      </c>
      <c r="D188" s="31" t="inlineStr">
        <is>
          <t>Bhagyanagar India</t>
        </is>
      </c>
      <c r="E188" s="31" t="inlineStr">
        <is>
          <t>power &amp; utilities</t>
        </is>
      </c>
      <c r="F188" s="31" t="inlineStr">
        <is>
          <t>power generation and supply</t>
        </is>
      </c>
      <c r="G188" s="31" t="inlineStr">
        <is>
          <t>smallcap</t>
        </is>
      </c>
      <c r="H188" s="32" t="n">
        <v>975.21</v>
      </c>
      <c r="I188" s="32" t="n">
        <v>310.6</v>
      </c>
      <c r="J188" s="32" t="n">
        <v>1.9</v>
      </c>
      <c r="K188" s="32" t="n">
        <v>59502</v>
      </c>
      <c r="L188" s="31" t="n">
        <v>98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75.25</v>
      </c>
      <c r="P188" s="32" t="n">
        <v>58.19</v>
      </c>
      <c r="Q188" s="32" t="n">
        <v>219.22</v>
      </c>
      <c r="R188" s="31" t="inlineStr">
        <is>
          <t>Near 52W High Breakout</t>
        </is>
      </c>
      <c r="S188" s="31" t="inlineStr">
        <is>
          <t>Nifty IT</t>
        </is>
      </c>
      <c r="T188" s="32" t="n">
        <v>-27.75</v>
      </c>
      <c r="U188" s="32" t="n">
        <v>301.4</v>
      </c>
      <c r="V188" s="32" t="n">
        <v>455.53</v>
      </c>
      <c r="W188" s="32" t="n">
        <v>60.26</v>
      </c>
      <c r="X188" s="31" t="inlineStr">
        <is>
          <t>Growing Industry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Yes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Above 40</t>
        </is>
      </c>
      <c r="AY188" s="31">
        <f>IF(AX188="Above 40",20,IF(AX188="20 to 40",10,IF(AX188="0 to 20",-5,0)))</f>
        <v/>
      </c>
      <c r="AZ188" s="31" t="inlineStr">
        <is>
          <t>Above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Negative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Blue sky scenario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More than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Above 2</t>
        </is>
      </c>
      <c r="BU188" s="31">
        <f>IF(BT188="Above 2",0,IF(BT188="Between 1.5 to 2",5,IF(BT188="Less than 1.5",10,0)))</f>
        <v/>
      </c>
      <c r="BV188" s="31" t="inlineStr">
        <is>
          <t>Between 50% to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Between 0.7 to 1.2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IF(B189=0,"",RANK(B189,$B$2:$B$282,0))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1" t="inlineStr">
        <is>
          <t>BHAGERIA</t>
        </is>
      </c>
      <c r="D189" s="31" t="inlineStr">
        <is>
          <t>Bhageria Industries Limited</t>
        </is>
      </c>
      <c r="E189" s="31" t="inlineStr">
        <is>
          <t>chemicals</t>
        </is>
      </c>
      <c r="F189" s="31" t="inlineStr">
        <is>
          <t>dyes and pigments</t>
        </is>
      </c>
      <c r="G189" s="31" t="inlineStr">
        <is>
          <t>smallcap</t>
        </is>
      </c>
      <c r="H189" s="32" t="n">
        <v>896.3200000000001</v>
      </c>
      <c r="I189" s="32" t="n">
        <v>209.25</v>
      </c>
      <c r="J189" s="32" t="n">
        <v>1.89</v>
      </c>
      <c r="K189" s="32" t="n">
        <v>59871</v>
      </c>
      <c r="L189" s="31" t="n">
        <v>45</v>
      </c>
      <c r="M189" s="31" t="inlineStr">
        <is>
          <t>Outperforming</t>
        </is>
      </c>
      <c r="N189" s="32">
        <f>IF(M189="Underperforming",-5,IF(L189&gt;=95,15,IF(L189&gt;=90,10,IF(L189&gt;=80,5,0))))</f>
        <v/>
      </c>
      <c r="O189" s="32" t="n">
        <v>64.59</v>
      </c>
      <c r="P189" s="32" t="n">
        <v>15.11</v>
      </c>
      <c r="Q189" s="32" t="n">
        <v>154.4</v>
      </c>
      <c r="R189" s="31" t="inlineStr">
        <is>
          <t>Volume Spike / Accumulation</t>
        </is>
      </c>
      <c r="S189" s="31" t="inlineStr">
        <is>
          <t>Nifty 50</t>
        </is>
      </c>
      <c r="T189" s="32" t="n">
        <v>-4.43</v>
      </c>
      <c r="U189" s="32" t="n">
        <v>13.21</v>
      </c>
      <c r="V189" s="32" t="n">
        <v>18.46</v>
      </c>
      <c r="W189" s="32" t="n">
        <v>12.99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Less than 12%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No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IF(B190=0,"",RANK(B190,$B$2:$B$282,0))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3" t="inlineStr">
        <is>
          <t>JSWSTEEL</t>
        </is>
      </c>
      <c r="D190" s="33" t="inlineStr">
        <is>
          <t>Jsw Steel Limited</t>
        </is>
      </c>
      <c r="E190" s="31" t="inlineStr">
        <is>
          <t>metals &amp; mining</t>
        </is>
      </c>
      <c r="F190" s="31" t="inlineStr">
        <is>
          <t>steel - large</t>
        </is>
      </c>
      <c r="G190" s="31" t="inlineStr">
        <is>
          <t>largecap</t>
        </is>
      </c>
      <c r="H190" s="32" t="n">
        <v>313580.56</v>
      </c>
      <c r="I190" s="32" t="n">
        <v>1297.6</v>
      </c>
      <c r="J190" s="32" t="n">
        <v>1.19</v>
      </c>
      <c r="K190" s="32" t="n">
        <v>1091577</v>
      </c>
      <c r="L190" s="31" t="n">
        <v>29</v>
      </c>
      <c r="M190" s="31" t="inlineStr">
        <is>
          <t>Underperforming</t>
        </is>
      </c>
      <c r="N190" s="32">
        <f>IF(M190="Underperforming",-5,IF(L190&gt;=95,15,IF(L190&gt;=90,10,IF(L190&gt;=80,5,0))))</f>
        <v/>
      </c>
      <c r="O190" s="32" t="n">
        <v>63.71</v>
      </c>
      <c r="P190" s="32" t="n">
        <v>24.2</v>
      </c>
      <c r="Q190" s="32" t="n">
        <v>1119.46</v>
      </c>
      <c r="R190" s="31" t="inlineStr">
        <is>
          <t>Near 52W High Breakout</t>
        </is>
      </c>
      <c r="S190" s="31" t="inlineStr">
        <is>
          <t>Nifty Metal</t>
        </is>
      </c>
      <c r="T190" s="32" t="n">
        <v>38.84</v>
      </c>
      <c r="U190" s="32" t="n">
        <v>31.79</v>
      </c>
      <c r="V190" s="32" t="n">
        <v>-5.07</v>
      </c>
      <c r="W190" s="32" t="n">
        <v>9.07</v>
      </c>
      <c r="X190" s="31" t="inlineStr">
        <is>
          <t>Cyclical in an Upturn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Cyclical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Volatile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Yes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Blue sky scenario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More than 20%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Less than 1.5</t>
        </is>
      </c>
      <c r="BU190" s="31">
        <f>IF(BT190="Above 2",0,IF(BT190="Between 1.5 to 2",5,IF(BT190="Less than 1.5",10,0)))</f>
        <v/>
      </c>
      <c r="BV190" s="31" t="inlineStr">
        <is>
          <t>Above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Between 0.7 to 1.2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IF(B191=0,"",RANK(B191,$B$2:$B$282,0))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GALAPREC</t>
        </is>
      </c>
      <c r="D191" s="31" t="inlineStr">
        <is>
          <t>Gala Precision Engineering Ltd</t>
        </is>
      </c>
      <c r="E191" s="31" t="inlineStr">
        <is>
          <t>industrials</t>
        </is>
      </c>
      <c r="F191" s="31" t="inlineStr">
        <is>
          <t>fasteners</t>
        </is>
      </c>
      <c r="G191" s="31" t="inlineStr">
        <is>
          <t>smallcap</t>
        </is>
      </c>
      <c r="H191" s="32" t="n">
        <v>1174.05</v>
      </c>
      <c r="I191" s="32" t="n">
        <v>928.9</v>
      </c>
      <c r="J191" s="32" t="n">
        <v>0.88</v>
      </c>
      <c r="K191" s="32" t="n">
        <v>24858</v>
      </c>
      <c r="L191" s="31" t="n">
        <v>15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65.48999999999999</v>
      </c>
      <c r="P191" s="32" t="n">
        <v>20.28</v>
      </c>
      <c r="Q191" s="32" t="n">
        <v>702.4</v>
      </c>
      <c r="R191" s="31" t="inlineStr">
        <is>
          <t>Near 52W High Breakout</t>
        </is>
      </c>
      <c r="S191" s="31" t="inlineStr">
        <is>
          <t>Nifty Infra</t>
        </is>
      </c>
      <c r="T191" s="32" t="n">
        <v>2.95</v>
      </c>
      <c r="U191" s="32" t="n">
        <v>3.28</v>
      </c>
      <c r="V191" s="32" t="n">
        <v>0.32</v>
      </c>
      <c r="W191" s="32" t="n">
        <v>6.06</v>
      </c>
      <c r="X191" s="31" t="inlineStr">
        <is>
          <t>Cyclical in an Upturn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B2B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One Time, Lower Annuity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Less than 50%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Less than 0.7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IF(B192=0,"",RANK(B192,$B$2:$B$282,0))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SPECTRUM</t>
        </is>
      </c>
      <c r="D192" s="33" t="inlineStr">
        <is>
          <t>Spectrum Electrical Industries Ltd</t>
        </is>
      </c>
      <c r="E192" s="31" t="inlineStr">
        <is>
          <t>industrials</t>
        </is>
      </c>
      <c r="F192" s="31" t="inlineStr">
        <is>
          <t>electric equipment</t>
        </is>
      </c>
      <c r="G192" s="31" t="inlineStr">
        <is>
          <t>smallcap</t>
        </is>
      </c>
      <c r="H192" s="32" t="n">
        <v>2495.99</v>
      </c>
      <c r="I192" s="32" t="n">
        <v>1598.5</v>
      </c>
      <c r="J192" s="32" t="n">
        <v>0.64</v>
      </c>
      <c r="K192" s="32" t="n">
        <v>10364</v>
      </c>
      <c r="L192" s="31" t="n">
        <v>3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58.27</v>
      </c>
      <c r="P192" s="32" t="n">
        <v>26.12</v>
      </c>
      <c r="Q192" s="32" t="n">
        <v>1202.88</v>
      </c>
      <c r="R192" s="31" t="inlineStr">
        <is>
          <t>Earnings / Momentum Support</t>
        </is>
      </c>
      <c r="S192" s="31" t="inlineStr">
        <is>
          <t>Nifty Infra</t>
        </is>
      </c>
      <c r="T192" s="32" t="n">
        <v>2.95</v>
      </c>
      <c r="U192" s="32" t="n">
        <v>-2.62</v>
      </c>
      <c r="V192" s="32" t="n">
        <v>-5.41</v>
      </c>
      <c r="W192" s="32" t="n">
        <v>2.18</v>
      </c>
      <c r="X192" s="31" t="inlineStr">
        <is>
          <t>Cyclical in an Upturn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No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No</t>
        </is>
      </c>
      <c r="AQ192" s="31">
        <f>IF(AP192="Yes",10,0)</f>
        <v/>
      </c>
      <c r="AR192" s="31" t="inlineStr">
        <is>
          <t>Higher One Time, Lower Annuity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20 to 40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Close to 52 week high or retracement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More than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Less than 1.5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Between 0.7 to 1.2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IF(B193=0,"",RANK(B193,$B$2:$B$282,0))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1" t="inlineStr">
        <is>
          <t>VINCOFE</t>
        </is>
      </c>
      <c r="D193" s="31" t="inlineStr">
        <is>
          <t>Vintage Coffee &amp; Beverages Ltd</t>
        </is>
      </c>
      <c r="E193" s="31" t="inlineStr">
        <is>
          <t>consumer discretionary</t>
        </is>
      </c>
      <c r="F193" s="31" t="inlineStr">
        <is>
          <t>trading</t>
        </is>
      </c>
      <c r="G193" s="31" t="inlineStr">
        <is>
          <t>smallcap</t>
        </is>
      </c>
      <c r="H193" s="32" t="n">
        <v>2314.26</v>
      </c>
      <c r="I193" s="32" t="n">
        <v>159.45</v>
      </c>
      <c r="J193" s="32" t="n">
        <v>0.38</v>
      </c>
      <c r="K193" s="32" t="n">
        <v>12512630</v>
      </c>
      <c r="L193" s="31" t="n">
        <v>44</v>
      </c>
      <c r="M193" s="31" t="inlineStr">
        <is>
          <t>Outperforming</t>
        </is>
      </c>
      <c r="N193" s="32">
        <f>IF(M193="Underperforming",-5,IF(L193&gt;=95,15,IF(L193&gt;=90,10,IF(L193&gt;=80,5,0))))</f>
        <v/>
      </c>
      <c r="O193" s="32" t="n">
        <v>60.74</v>
      </c>
      <c r="P193" s="32" t="n">
        <v>12.75</v>
      </c>
      <c r="Q193" s="32" t="n">
        <v>118.44</v>
      </c>
      <c r="R193" s="31" t="inlineStr">
        <is>
          <t>Volume Spike / Accumulation</t>
        </is>
      </c>
      <c r="S193" s="31" t="inlineStr">
        <is>
          <t>Nifty 50</t>
        </is>
      </c>
      <c r="T193" s="32" t="n">
        <v>-4.43</v>
      </c>
      <c r="U193" s="32" t="n">
        <v>27.58</v>
      </c>
      <c r="V193" s="32" t="n">
        <v>33.5</v>
      </c>
      <c r="W193" s="32" t="n">
        <v>12.82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No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One Time, Lower Annuity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0 to 20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Between 12 to 20%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Between 1.5 to 2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IF(B194=0,"",RANK(B194,$B$2:$B$282,0))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COMSYN</t>
        </is>
      </c>
      <c r="D194" s="31" t="inlineStr">
        <is>
          <t>Commercial Syn Bags Ltd</t>
        </is>
      </c>
      <c r="E194" s="31" t="inlineStr">
        <is>
          <t>industrials</t>
        </is>
      </c>
      <c r="F194" s="31" t="inlineStr">
        <is>
          <t>packaging</t>
        </is>
      </c>
      <c r="G194" s="31" t="inlineStr">
        <is>
          <t>smallcap</t>
        </is>
      </c>
      <c r="H194" s="32" t="n">
        <v>683.27</v>
      </c>
      <c r="I194" s="32" t="n">
        <v>169.9</v>
      </c>
      <c r="J194" s="32" t="n">
        <v>0.31</v>
      </c>
      <c r="K194" s="32" t="n">
        <v>21625</v>
      </c>
      <c r="L194" s="31" t="n">
        <v>27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62.51</v>
      </c>
      <c r="P194" s="32" t="n">
        <v>27.83</v>
      </c>
      <c r="Q194" s="32" t="n">
        <v>140.27</v>
      </c>
      <c r="R194" s="31" t="inlineStr">
        <is>
          <t>Volume Spike / Accumulation</t>
        </is>
      </c>
      <c r="S194" s="31" t="inlineStr">
        <is>
          <t>Nifty 50</t>
        </is>
      </c>
      <c r="T194" s="32" t="n">
        <v>-4.43</v>
      </c>
      <c r="U194" s="32" t="n">
        <v>35.02</v>
      </c>
      <c r="V194" s="32" t="n">
        <v>41.28</v>
      </c>
      <c r="W194" s="32" t="n">
        <v>8.93</v>
      </c>
      <c r="X194" s="31" t="inlineStr">
        <is>
          <t>Cyclical in an Upturn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20 to 40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Less than 12%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No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IF(B195=0,"",RANK(B195,$B$2:$B$282,0))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RAMCOSYS</t>
        </is>
      </c>
      <c r="D195" s="31" t="inlineStr">
        <is>
          <t>Ramco Systems Limited</t>
        </is>
      </c>
      <c r="E195" s="31" t="inlineStr">
        <is>
          <t>i.t</t>
        </is>
      </c>
      <c r="F195" s="31" t="inlineStr">
        <is>
          <t>computers - software - medium / small</t>
        </is>
      </c>
      <c r="G195" s="31" t="inlineStr">
        <is>
          <t>smallcap</t>
        </is>
      </c>
      <c r="H195" s="32" t="n">
        <v>2056.91</v>
      </c>
      <c r="I195" s="32" t="n">
        <v>562.15</v>
      </c>
      <c r="J195" s="32" t="n">
        <v>2.25</v>
      </c>
      <c r="K195" s="32" t="n">
        <v>463028</v>
      </c>
      <c r="L195" s="31" t="n">
        <v>61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61.22</v>
      </c>
      <c r="P195" s="32" t="n">
        <v>16.47</v>
      </c>
      <c r="Q195" s="32" t="n">
        <v>382.77</v>
      </c>
      <c r="R195" s="31" t="inlineStr">
        <is>
          <t>Volume Spike / Accumulation</t>
        </is>
      </c>
      <c r="S195" s="31" t="inlineStr">
        <is>
          <t>Nifty IT</t>
        </is>
      </c>
      <c r="T195" s="32" t="n">
        <v>-27.75</v>
      </c>
      <c r="U195" s="32" t="n">
        <v>32.22</v>
      </c>
      <c r="V195" s="32" t="n">
        <v>83</v>
      </c>
      <c r="W195" s="32" t="n">
        <v>17.38</v>
      </c>
      <c r="X195" s="31" t="inlineStr">
        <is>
          <t>Growing Industry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Headwind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Annuity, Lower One Time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More than 20%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Yes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IF(B196=0,"",RANK(B196,$B$2:$B$282,0))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FORTIS</t>
        </is>
      </c>
      <c r="D196" s="31" t="inlineStr">
        <is>
          <t>Fortis Healthcare Limited</t>
        </is>
      </c>
      <c r="E196" s="31" t="inlineStr">
        <is>
          <t>healthcare</t>
        </is>
      </c>
      <c r="F196" s="31" t="inlineStr">
        <is>
          <t>healthcare</t>
        </is>
      </c>
      <c r="G196" s="31" t="inlineStr">
        <is>
          <t>largecap</t>
        </is>
      </c>
      <c r="H196" s="32" t="n">
        <v>74665.36</v>
      </c>
      <c r="I196" s="32" t="n">
        <v>990.35</v>
      </c>
      <c r="J196" s="32" t="n">
        <v>0.14</v>
      </c>
      <c r="K196" s="32" t="n">
        <v>934183</v>
      </c>
      <c r="L196" s="31" t="n">
        <v>35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61.5</v>
      </c>
      <c r="P196" s="32" t="n">
        <v>14.3</v>
      </c>
      <c r="Q196" s="32" t="n">
        <v>823.8</v>
      </c>
      <c r="R196" s="31" t="inlineStr">
        <is>
          <t>Earnings / Momentum Support</t>
        </is>
      </c>
      <c r="S196" s="31" t="inlineStr">
        <is>
          <t>Nifty Pharma</t>
        </is>
      </c>
      <c r="T196" s="32" t="n">
        <v>10.89</v>
      </c>
      <c r="U196" s="32" t="n">
        <v>31.5</v>
      </c>
      <c r="V196" s="32" t="n">
        <v>18.58</v>
      </c>
      <c r="W196" s="32" t="n">
        <v>10.17</v>
      </c>
      <c r="X196" s="31" t="inlineStr">
        <is>
          <t>Growing Industry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Yes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No</t>
        </is>
      </c>
      <c r="AQ196" s="31">
        <f>IF(AP196="Yes",10,0)</f>
        <v/>
      </c>
      <c r="AR196" s="31" t="inlineStr">
        <is>
          <t>Higher Annuity, Lower One Time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More than 20%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Yes</t>
        </is>
      </c>
      <c r="BS196" s="31">
        <f>IF(BR196="NO",5,0)</f>
        <v/>
      </c>
      <c r="BT196" s="31" t="inlineStr">
        <is>
          <t>Between 1.5 to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IF(B197=0,"",RANK(B197,$B$2:$B$282,0))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1" t="inlineStr">
        <is>
          <t>TORNTPHARM</t>
        </is>
      </c>
      <c r="D197" s="31" t="inlineStr">
        <is>
          <t>Torrent Pharmaceuticals Limited</t>
        </is>
      </c>
      <c r="E197" s="31" t="inlineStr">
        <is>
          <t>healthcare</t>
        </is>
      </c>
      <c r="F197" s="31" t="inlineStr">
        <is>
          <t>pharmaceuticals - indian - formulations</t>
        </is>
      </c>
      <c r="G197" s="31" t="inlineStr">
        <is>
          <t>largecap</t>
        </is>
      </c>
      <c r="H197" s="32" t="n">
        <v>154744.02</v>
      </c>
      <c r="I197" s="32" t="n">
        <v>4571.2</v>
      </c>
      <c r="J197" s="32" t="n">
        <v>-0.02</v>
      </c>
      <c r="K197" s="32" t="n">
        <v>426095</v>
      </c>
      <c r="L197" s="31" t="n">
        <v>24</v>
      </c>
      <c r="M197" s="31" t="inlineStr">
        <is>
          <t>Outperforming</t>
        </is>
      </c>
      <c r="N197" s="32">
        <f>IF(M197="Underperforming",-5,IF(L197&gt;=95,15,IF(L197&gt;=90,10,IF(L197&gt;=80,5,0))))</f>
        <v/>
      </c>
      <c r="O197" s="32" t="n">
        <v>68.77</v>
      </c>
      <c r="P197" s="32" t="n">
        <v>29.97</v>
      </c>
      <c r="Q197" s="32" t="n">
        <v>3896.79</v>
      </c>
      <c r="R197" s="31" t="inlineStr">
        <is>
          <t>Near 52W High Breakout</t>
        </is>
      </c>
      <c r="S197" s="31" t="inlineStr">
        <is>
          <t>Nifty Pharma</t>
        </is>
      </c>
      <c r="T197" s="32" t="n">
        <v>10.89</v>
      </c>
      <c r="U197" s="32" t="n">
        <v>42.06</v>
      </c>
      <c r="V197" s="32" t="n">
        <v>28.1</v>
      </c>
      <c r="W197" s="32" t="n">
        <v>8.279999999999999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Yes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Yes</t>
        </is>
      </c>
      <c r="AQ197" s="31">
        <f>IF(AP197="Yes",10,0)</f>
        <v/>
      </c>
      <c r="AR197" s="31" t="inlineStr">
        <is>
          <t>Higher Annuity, Lower One Time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20 to 40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Blue sky scenario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Less than 12%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Yes</t>
        </is>
      </c>
      <c r="BS197" s="31">
        <f>IF(BR197="NO",5,0)</f>
        <v/>
      </c>
      <c r="BT197" s="31" t="inlineStr">
        <is>
          <t>Above 2</t>
        </is>
      </c>
      <c r="BU197" s="31">
        <f>IF(BT197="Above 2",0,IF(BT197="Between 1.5 to 2",5,IF(BT197="Less than 1.5",10,0)))</f>
        <v/>
      </c>
      <c r="BV197" s="31" t="inlineStr">
        <is>
          <t>Between 50% to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Between 0.7 to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IF(B198=0,"",RANK(B198,$B$2:$B$282,0))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1" t="inlineStr">
        <is>
          <t>TBZ</t>
        </is>
      </c>
      <c r="D198" s="31" t="inlineStr">
        <is>
          <t>Tribhovandas Bhimji Zaveri Limited</t>
        </is>
      </c>
      <c r="E198" s="31" t="inlineStr">
        <is>
          <t>consumer discretionary</t>
        </is>
      </c>
      <c r="F198" s="31" t="inlineStr">
        <is>
          <t>diamond cutting / jewellery</t>
        </is>
      </c>
      <c r="G198" s="31" t="inlineStr">
        <is>
          <t>smallcap</t>
        </is>
      </c>
      <c r="H198" s="32" t="n">
        <v>1108.33</v>
      </c>
      <c r="I198" s="32" t="n">
        <v>183.77</v>
      </c>
      <c r="J198" s="32" t="n">
        <v>10.64</v>
      </c>
      <c r="K198" s="32" t="n">
        <v>4353315</v>
      </c>
      <c r="L198" s="31" t="n">
        <v>30</v>
      </c>
      <c r="M198" s="31" t="inlineStr">
        <is>
          <t>Outperforming</t>
        </is>
      </c>
      <c r="N198" s="32">
        <f>IF(M198="Underperforming",-5,IF(L198&gt;=95,15,IF(L198&gt;=90,10,IF(L198&gt;=80,5,0))))</f>
        <v/>
      </c>
      <c r="O198" s="32" t="n">
        <v>62.13</v>
      </c>
      <c r="P198" s="32" t="n">
        <v>13.88</v>
      </c>
      <c r="Q198" s="32" t="n">
        <v>132.89</v>
      </c>
      <c r="R198" s="31" t="inlineStr">
        <is>
          <t>Volume Spike / Accumulation</t>
        </is>
      </c>
      <c r="S198" s="31" t="inlineStr">
        <is>
          <t>Nifty 50</t>
        </is>
      </c>
      <c r="T198" s="32" t="n">
        <v>-4.43</v>
      </c>
      <c r="U198" s="32" t="n">
        <v>-3.34</v>
      </c>
      <c r="V198" s="32" t="n">
        <v>1.15</v>
      </c>
      <c r="W198" s="32" t="n">
        <v>9.08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Yes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0 to 20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Less than 1.5</t>
        </is>
      </c>
      <c r="BU198" s="31">
        <f>IF(BT198="Above 2",0,IF(BT198="Between 1.5 to 2",5,IF(BT198="Less than 1.5",10,0)))</f>
        <v/>
      </c>
      <c r="BV198" s="31" t="inlineStr">
        <is>
          <t>Less than 50% and Borrowings are increasing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Between 0.7 to 1.2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IF(B199=0,"",RANK(B199,$B$2:$B$282,0))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3" t="inlineStr">
        <is>
          <t>AEROENTER</t>
        </is>
      </c>
      <c r="D199" s="33" t="inlineStr">
        <is>
          <t>Aeroflex Enterprises Ltd</t>
        </is>
      </c>
      <c r="E199" s="31" t="inlineStr">
        <is>
          <t>metals &amp; mining</t>
        </is>
      </c>
      <c r="F199" s="31" t="inlineStr">
        <is>
          <t>steel - medium / small</t>
        </is>
      </c>
      <c r="G199" s="31" t="inlineStr">
        <is>
          <t>smallcap</t>
        </is>
      </c>
      <c r="H199" s="32" t="n">
        <v>1162.97</v>
      </c>
      <c r="I199" s="32" t="n">
        <v>109.78</v>
      </c>
      <c r="J199" s="32" t="n">
        <v>6.75</v>
      </c>
      <c r="K199" s="32" t="n">
        <v>1070685</v>
      </c>
      <c r="L199" s="31" t="n">
        <v>65</v>
      </c>
      <c r="M199" s="31" t="inlineStr">
        <is>
          <t>Underperforming</t>
        </is>
      </c>
      <c r="N199" s="32">
        <f>IF(M199="Underperforming",-5,IF(L199&gt;=95,15,IF(L199&gt;=90,10,IF(L199&gt;=80,5,0))))</f>
        <v/>
      </c>
      <c r="O199" s="32" t="n">
        <v>65.17</v>
      </c>
      <c r="P199" s="32" t="n">
        <v>32.19</v>
      </c>
      <c r="Q199" s="32" t="n">
        <v>79.56</v>
      </c>
      <c r="R199" s="31" t="inlineStr">
        <is>
          <t>Volume Spike &amp; Near 52W High Breakout</t>
        </is>
      </c>
      <c r="S199" s="31" t="inlineStr">
        <is>
          <t>Nifty Metal</t>
        </is>
      </c>
      <c r="T199" s="32" t="n">
        <v>38.84</v>
      </c>
      <c r="U199" s="32" t="n">
        <v>20.75</v>
      </c>
      <c r="V199" s="32" t="n">
        <v>-13.03</v>
      </c>
      <c r="W199" s="32" t="n">
        <v>18.71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Cyclical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Volatile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20 to 40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Less than 50%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Less than 0.7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IF(B200=0,"",RANK(B200,$B$2:$B$282,0))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1" t="inlineStr">
        <is>
          <t>PREMEXPLN</t>
        </is>
      </c>
      <c r="D200" s="31" t="inlineStr">
        <is>
          <t>Premier Explosives Limited</t>
        </is>
      </c>
      <c r="E200" s="31" t="inlineStr">
        <is>
          <t>aerospace &amp; defence</t>
        </is>
      </c>
      <c r="F200" s="31" t="inlineStr">
        <is>
          <t>chemicals</t>
        </is>
      </c>
      <c r="G200" s="31" t="inlineStr">
        <is>
          <t>smallcap</t>
        </is>
      </c>
      <c r="H200" s="32" t="n">
        <v>3520.55</v>
      </c>
      <c r="I200" s="32" t="n">
        <v>692.65</v>
      </c>
      <c r="J200" s="32" t="n">
        <v>5.77</v>
      </c>
      <c r="K200" s="32" t="n">
        <v>646540</v>
      </c>
      <c r="L200" s="31" t="n">
        <v>54</v>
      </c>
      <c r="M200" s="31" t="inlineStr">
        <is>
          <t>Outperforming</t>
        </is>
      </c>
      <c r="N200" s="32">
        <f>IF(M200="Underperforming",-5,IF(L200&gt;=95,15,IF(L200&gt;=90,10,IF(L200&gt;=80,5,0))))</f>
        <v/>
      </c>
      <c r="O200" s="32" t="n">
        <v>67.98999999999999</v>
      </c>
      <c r="P200" s="32" t="n">
        <v>18.54</v>
      </c>
      <c r="Q200" s="32" t="n">
        <v>481.3</v>
      </c>
      <c r="R200" s="31" t="inlineStr">
        <is>
          <t>Near 52W High Breakout</t>
        </is>
      </c>
      <c r="S200" s="31" t="inlineStr">
        <is>
          <t>Nifty IT</t>
        </is>
      </c>
      <c r="T200" s="32" t="n">
        <v>-27.75</v>
      </c>
      <c r="U200" s="32" t="n">
        <v>13.92</v>
      </c>
      <c r="V200" s="32" t="n">
        <v>57.67</v>
      </c>
      <c r="W200" s="32" t="n">
        <v>15.75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More than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Less than 1.5</t>
        </is>
      </c>
      <c r="BU200" s="31">
        <f>IF(BT200="Above 2",0,IF(BT200="Between 1.5 to 2",5,IF(BT200="Less than 1.5",10,0)))</f>
        <v/>
      </c>
      <c r="BV200" s="31" t="inlineStr">
        <is>
          <t>Negative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IF(B201=0,"",RANK(B201,$B$2:$B$282,0))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1" t="inlineStr">
        <is>
          <t>JSWINFRA</t>
        </is>
      </c>
      <c r="D201" s="31" t="inlineStr">
        <is>
          <t>JSW Infrastructure Ltd</t>
        </is>
      </c>
      <c r="E201" s="31" t="inlineStr">
        <is>
          <t>transportation</t>
        </is>
      </c>
      <c r="F201" s="31" t="inlineStr">
        <is>
          <t>miscellaneous</t>
        </is>
      </c>
      <c r="G201" s="31" t="inlineStr">
        <is>
          <t>largecap</t>
        </is>
      </c>
      <c r="H201" s="32" t="n">
        <v>57844.54</v>
      </c>
      <c r="I201" s="32" t="n">
        <v>291</v>
      </c>
      <c r="J201" s="32" t="n">
        <v>5.65</v>
      </c>
      <c r="K201" s="32" t="n">
        <v>4700920</v>
      </c>
      <c r="L201" s="31" t="n">
        <v>5</v>
      </c>
      <c r="M201" s="31" t="inlineStr">
        <is>
          <t>Outperforming</t>
        </is>
      </c>
      <c r="N201" s="32">
        <f>IF(M201="Underperforming",-5,IF(L201&gt;=95,15,IF(L201&gt;=90,10,IF(L201&gt;=80,5,0))))</f>
        <v/>
      </c>
      <c r="O201" s="32" t="n">
        <v>58.87</v>
      </c>
      <c r="P201" s="32" t="n">
        <v>18.74</v>
      </c>
      <c r="Q201" s="32" t="n">
        <v>233.69</v>
      </c>
      <c r="R201" s="31" t="inlineStr">
        <is>
          <t>Volume Spike / Accumulation</t>
        </is>
      </c>
      <c r="S201" s="31" t="inlineStr">
        <is>
          <t>Nifty 50</t>
        </is>
      </c>
      <c r="T201" s="32" t="n">
        <v>-4.43</v>
      </c>
      <c r="U201" s="32" t="n">
        <v>-3.54</v>
      </c>
      <c r="V201" s="32" t="n">
        <v>0.93</v>
      </c>
      <c r="W201" s="32" t="n">
        <v>2.71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Yes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0 to 20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Less than 12%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Above 70%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IF(B202=0,"",RANK(B202,$B$2:$B$282,0))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KIRLOSENG</t>
        </is>
      </c>
      <c r="D202" s="31" t="inlineStr">
        <is>
          <t>Kirloskar Oil Engines Limited</t>
        </is>
      </c>
      <c r="E202" s="31" t="inlineStr">
        <is>
          <t>industrials</t>
        </is>
      </c>
      <c r="F202" s="31" t="inlineStr">
        <is>
          <t>engines</t>
        </is>
      </c>
      <c r="G202" s="31" t="inlineStr">
        <is>
          <t>largecap</t>
        </is>
      </c>
      <c r="H202" s="32" t="n">
        <v>26134.13</v>
      </c>
      <c r="I202" s="32" t="n">
        <v>1890.5</v>
      </c>
      <c r="J202" s="32" t="n">
        <v>5.15</v>
      </c>
      <c r="K202" s="32" t="n">
        <v>238134</v>
      </c>
      <c r="L202" s="31" t="n">
        <v>75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73.06</v>
      </c>
      <c r="P202" s="32" t="n">
        <v>39.18</v>
      </c>
      <c r="Q202" s="32" t="n">
        <v>1497.15</v>
      </c>
      <c r="R202" s="31" t="inlineStr">
        <is>
          <t>Near 52W High Breakout</t>
        </is>
      </c>
      <c r="S202" s="31" t="inlineStr">
        <is>
          <t>Nifty 50</t>
        </is>
      </c>
      <c r="T202" s="32" t="n">
        <v>-4.43</v>
      </c>
      <c r="U202" s="32" t="n">
        <v>115.93</v>
      </c>
      <c r="V202" s="32" t="n">
        <v>125.94</v>
      </c>
      <c r="W202" s="32" t="n">
        <v>23.55</v>
      </c>
      <c r="X202" s="31" t="inlineStr">
        <is>
          <t>Cyclical in an Upturn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Blue sky scenario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Yes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Between 50% to 70%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More than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IF(B203=0,"",RANK(B203,$B$2:$B$282,0))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3" t="inlineStr">
        <is>
          <t>BHAGCHEM</t>
        </is>
      </c>
      <c r="D203" s="33" t="inlineStr">
        <is>
          <t>Bhagiradha Chemicals &amp; Industries Ltd</t>
        </is>
      </c>
      <c r="E203" s="31" t="inlineStr">
        <is>
          <t>chemicals</t>
        </is>
      </c>
      <c r="F203" s="31" t="inlineStr">
        <is>
          <t>pesticides / agrochemicals - indian</t>
        </is>
      </c>
      <c r="G203" s="31" t="inlineStr">
        <is>
          <t>smallcap</t>
        </is>
      </c>
      <c r="H203" s="32" t="n">
        <v>3336.9</v>
      </c>
      <c r="I203" s="32" t="n">
        <v>270.04</v>
      </c>
      <c r="J203" s="32" t="n">
        <v>4.94</v>
      </c>
      <c r="K203" s="32" t="n">
        <v>235100</v>
      </c>
      <c r="L203" s="31" t="n">
        <v>24</v>
      </c>
      <c r="M203" s="31" t="inlineStr">
        <is>
          <t>Underperforming</t>
        </is>
      </c>
      <c r="N203" s="32">
        <f>IF(M203="Underperforming",-5,IF(L203&gt;=95,15,IF(L203&gt;=90,10,IF(L203&gt;=80,5,0))))</f>
        <v/>
      </c>
      <c r="O203" s="32" t="n">
        <v>62.45</v>
      </c>
      <c r="P203" s="32" t="n">
        <v>23.08</v>
      </c>
      <c r="Q203" s="32" t="n">
        <v>201.39</v>
      </c>
      <c r="R203" s="31" t="inlineStr">
        <is>
          <t>Earnings / Momentum Support</t>
        </is>
      </c>
      <c r="S203" s="31" t="inlineStr">
        <is>
          <t>Nifty 50</t>
        </is>
      </c>
      <c r="T203" s="32" t="n">
        <v>-4.43</v>
      </c>
      <c r="U203" s="32" t="n">
        <v>-11.62</v>
      </c>
      <c r="V203" s="32" t="n">
        <v>-7.52</v>
      </c>
      <c r="W203" s="32" t="n">
        <v>8.06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20 to 40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Less than 50%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IF(B204=0,"",RANK(B204,$B$2:$B$282,0))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3" t="inlineStr">
        <is>
          <t>ZENTEC</t>
        </is>
      </c>
      <c r="D204" s="33" t="inlineStr">
        <is>
          <t>Zen Technologies Limited</t>
        </is>
      </c>
      <c r="E204" s="31" t="inlineStr">
        <is>
          <t>aerospace &amp; defence</t>
        </is>
      </c>
      <c r="F204" s="31" t="inlineStr">
        <is>
          <t>miscellaneous</t>
        </is>
      </c>
      <c r="G204" s="31" t="inlineStr">
        <is>
          <t>midcap</t>
        </is>
      </c>
      <c r="H204" s="32" t="n">
        <v>15485.7</v>
      </c>
      <c r="I204" s="32" t="n">
        <v>1793.8</v>
      </c>
      <c r="J204" s="32" t="n">
        <v>4.59</v>
      </c>
      <c r="K204" s="32" t="n">
        <v>900956</v>
      </c>
      <c r="L204" s="31" t="n">
        <v>15</v>
      </c>
      <c r="M204" s="31" t="inlineStr">
        <is>
          <t>Underperforming</t>
        </is>
      </c>
      <c r="N204" s="32">
        <f>IF(M204="Underperforming",-5,IF(L204&gt;=95,15,IF(L204&gt;=90,10,IF(L204&gt;=80,5,0))))</f>
        <v/>
      </c>
      <c r="O204" s="32" t="n">
        <v>67.48999999999999</v>
      </c>
      <c r="P204" s="32" t="n">
        <v>22.88</v>
      </c>
      <c r="Q204" s="32" t="n">
        <v>1375.97</v>
      </c>
      <c r="R204" s="31" t="inlineStr">
        <is>
          <t>Earnings / Momentum Support</t>
        </is>
      </c>
      <c r="S204" s="31" t="inlineStr">
        <is>
          <t>Nifty 50</t>
        </is>
      </c>
      <c r="T204" s="32" t="n">
        <v>-4.43</v>
      </c>
      <c r="U204" s="32" t="n">
        <v>-9.050000000000001</v>
      </c>
      <c r="V204" s="32" t="n">
        <v>-4.83</v>
      </c>
      <c r="W204" s="32" t="n">
        <v>6</v>
      </c>
      <c r="X204" s="31" t="inlineStr">
        <is>
          <t>Growing Industry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Structural (10 Years Consistency)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Stable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No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Close to 52 week high or retracement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Less than 12%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Yes</t>
        </is>
      </c>
      <c r="BS204" s="31">
        <f>IF(BR204="NO",5,0)</f>
        <v/>
      </c>
      <c r="BT204" s="31" t="inlineStr">
        <is>
          <t>Above 2</t>
        </is>
      </c>
      <c r="BU204" s="31">
        <f>IF(BT204="Above 2",0,IF(BT204="Between 1.5 to 2",5,IF(BT204="Less than 1.5",10,0)))</f>
        <v/>
      </c>
      <c r="BV204" s="31" t="inlineStr">
        <is>
          <t>Above 70%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Less than 0.7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IF(B205=0,"",RANK(B205,$B$2:$B$282,0))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1" t="inlineStr">
        <is>
          <t>TITAGARH</t>
        </is>
      </c>
      <c r="D205" s="31" t="inlineStr">
        <is>
          <t>Titagarh Rail Systems Ltd</t>
        </is>
      </c>
      <c r="E205" s="31" t="inlineStr">
        <is>
          <t>industrials</t>
        </is>
      </c>
      <c r="F205" s="31" t="inlineStr">
        <is>
          <t>engineering</t>
        </is>
      </c>
      <c r="G205" s="31" t="inlineStr">
        <is>
          <t>midcap</t>
        </is>
      </c>
      <c r="H205" s="32" t="n">
        <v>11079.61</v>
      </c>
      <c r="I205" s="32" t="n">
        <v>858.65</v>
      </c>
      <c r="J205" s="32" t="n">
        <v>4.37</v>
      </c>
      <c r="K205" s="32" t="n">
        <v>994625</v>
      </c>
      <c r="L205" s="31" t="n">
        <v>21</v>
      </c>
      <c r="M205" s="31" t="inlineStr">
        <is>
          <t>Outperforming</t>
        </is>
      </c>
      <c r="N205" s="32">
        <f>IF(M205="Underperforming",-5,IF(L205&gt;=95,15,IF(L205&gt;=90,10,IF(L205&gt;=80,5,0))))</f>
        <v/>
      </c>
      <c r="O205" s="32" t="n">
        <v>59.27</v>
      </c>
      <c r="P205" s="32" t="n">
        <v>21.47</v>
      </c>
      <c r="Q205" s="32" t="n">
        <v>657.02</v>
      </c>
      <c r="R205" s="31" t="inlineStr">
        <is>
          <t>Earnings / Momentum Support</t>
        </is>
      </c>
      <c r="S205" s="31" t="inlineStr">
        <is>
          <t>Nifty 50</t>
        </is>
      </c>
      <c r="T205" s="32" t="n">
        <v>-4.43</v>
      </c>
      <c r="U205" s="32" t="n">
        <v>-4.36</v>
      </c>
      <c r="V205" s="32" t="n">
        <v>0.08</v>
      </c>
      <c r="W205" s="32" t="n">
        <v>7.59</v>
      </c>
      <c r="X205" s="31" t="inlineStr">
        <is>
          <t>Cyclical in an Upturn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No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20 to 40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Yes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IF(B206=0,"",RANK(B206,$B$2:$B$282,0))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1" t="inlineStr">
        <is>
          <t>DIACABS</t>
        </is>
      </c>
      <c r="D206" s="31" t="inlineStr">
        <is>
          <t>Diamond Power Infrastructure Ltd</t>
        </is>
      </c>
      <c r="E206" s="31" t="inlineStr">
        <is>
          <t>industrials</t>
        </is>
      </c>
      <c r="F206" s="31" t="inlineStr">
        <is>
          <t>cables - power</t>
        </is>
      </c>
      <c r="G206" s="31" t="inlineStr">
        <is>
          <t>midcap</t>
        </is>
      </c>
      <c r="H206" s="32" t="n">
        <v>10209.01</v>
      </c>
      <c r="I206" s="32" t="n">
        <v>201.91</v>
      </c>
      <c r="J206" s="32" t="n">
        <v>4.22</v>
      </c>
      <c r="K206" s="32" t="n">
        <v>4513813</v>
      </c>
      <c r="L206" s="31" t="n">
        <v>84</v>
      </c>
      <c r="M206" s="31" t="inlineStr">
        <is>
          <t>Outperforming</t>
        </is>
      </c>
      <c r="N206" s="32">
        <f>IF(M206="Underperforming",-5,IF(L206&gt;=95,15,IF(L206&gt;=90,10,IF(L206&gt;=80,5,0))))</f>
        <v/>
      </c>
      <c r="O206" s="32" t="n">
        <v>75.15000000000001</v>
      </c>
      <c r="P206" s="32" t="n">
        <v>32.74</v>
      </c>
      <c r="Q206" s="32" t="n">
        <v>150.81</v>
      </c>
      <c r="R206" s="31" t="inlineStr">
        <is>
          <t>Near 52W High Breakout</t>
        </is>
      </c>
      <c r="S206" s="31" t="inlineStr">
        <is>
          <t>Nifty Energy</t>
        </is>
      </c>
      <c r="T206" s="32" t="n">
        <v>9.800000000000001</v>
      </c>
      <c r="U206" s="32" t="n">
        <v>100.77</v>
      </c>
      <c r="V206" s="32" t="n">
        <v>82.84</v>
      </c>
      <c r="W206" s="32" t="n">
        <v>29.58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Structural (10 Years Consistency)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Stable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20 to 40</t>
        </is>
      </c>
      <c r="AY206" s="31">
        <f>IF(AX206="Above 40",20,IF(AX206="20 to 40",10,IF(AX206="0 to 20",-5,0)))</f>
        <v/>
      </c>
      <c r="AZ206" s="31" t="inlineStr">
        <is>
          <t>Above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Yes</t>
        </is>
      </c>
      <c r="BS206" s="31">
        <f>IF(BR206="NO",5,0)</f>
        <v/>
      </c>
      <c r="BT206" s="31" t="inlineStr">
        <is>
          <t>Above 2</t>
        </is>
      </c>
      <c r="BU206" s="31">
        <f>IF(BT206="Above 2",0,IF(BT206="Between 1.5 to 2",5,IF(BT206="Less than 1.5",10,0)))</f>
        <v/>
      </c>
      <c r="BV206" s="31" t="inlineStr">
        <is>
          <t>Negative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IF(B207=0,"",RANK(B207,$B$2:$B$282,0))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MSPL</t>
        </is>
      </c>
      <c r="D207" s="31" t="inlineStr">
        <is>
          <t>Msp Steel &amp; Power Limited</t>
        </is>
      </c>
      <c r="E207" s="31" t="inlineStr">
        <is>
          <t>metals &amp; mining</t>
        </is>
      </c>
      <c r="F207" s="31" t="inlineStr">
        <is>
          <t>steel - medium / small</t>
        </is>
      </c>
      <c r="G207" s="31" t="inlineStr">
        <is>
          <t>smallcap</t>
        </is>
      </c>
      <c r="H207" s="32" t="n">
        <v>2266.05</v>
      </c>
      <c r="I207" s="32" t="n">
        <v>41.47</v>
      </c>
      <c r="J207" s="32" t="n">
        <v>3.73</v>
      </c>
      <c r="K207" s="32" t="n">
        <v>6197266</v>
      </c>
      <c r="L207" s="31" t="n">
        <v>58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63.11</v>
      </c>
      <c r="P207" s="32" t="n">
        <v>20.39</v>
      </c>
      <c r="Q207" s="32" t="n">
        <v>32.27</v>
      </c>
      <c r="R207" s="31" t="inlineStr">
        <is>
          <t>Volume Spike &amp; Near 52W High Breakout</t>
        </is>
      </c>
      <c r="S207" s="31" t="inlineStr">
        <is>
          <t>Nifty Metal</t>
        </is>
      </c>
      <c r="T207" s="32" t="n">
        <v>38.84</v>
      </c>
      <c r="U207" s="32" t="n">
        <v>48</v>
      </c>
      <c r="V207" s="32" t="n">
        <v>6.6</v>
      </c>
      <c r="W207" s="32" t="n">
        <v>16.71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Cyclical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Volatile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20 to 40</t>
        </is>
      </c>
      <c r="AY207" s="31">
        <f>IF(AX207="Above 40",20,IF(AX207="20 to 40",10,IF(AX207="0 to 20",-5,0)))</f>
        <v/>
      </c>
      <c r="AZ207" s="31" t="inlineStr">
        <is>
          <t>Between 50 to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More than 20%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Above 70%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IF(B208=0,"",RANK(B208,$B$2:$B$282,0))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1" t="inlineStr">
        <is>
          <t>THERMAX</t>
        </is>
      </c>
      <c r="D208" s="31" t="inlineStr">
        <is>
          <t>Thermax Limited</t>
        </is>
      </c>
      <c r="E208" s="31" t="inlineStr">
        <is>
          <t>industrials</t>
        </is>
      </c>
      <c r="F208" s="31" t="inlineStr">
        <is>
          <t>electric equipment</t>
        </is>
      </c>
      <c r="G208" s="31" t="inlineStr">
        <is>
          <t>largecap</t>
        </is>
      </c>
      <c r="H208" s="32" t="n">
        <v>54469.92</v>
      </c>
      <c r="I208" s="32" t="n">
        <v>4726.3</v>
      </c>
      <c r="J208" s="32" t="n">
        <v>3.39</v>
      </c>
      <c r="K208" s="32" t="n">
        <v>238336</v>
      </c>
      <c r="L208" s="31" t="n">
        <v>60</v>
      </c>
      <c r="M208" s="31" t="inlineStr">
        <is>
          <t>Outperforming</t>
        </is>
      </c>
      <c r="N208" s="32">
        <f>IF(M208="Underperforming",-5,IF(L208&gt;=95,15,IF(L208&gt;=90,10,IF(L208&gt;=80,5,0))))</f>
        <v/>
      </c>
      <c r="O208" s="32" t="n">
        <v>70.63</v>
      </c>
      <c r="P208" s="32" t="n">
        <v>37.64</v>
      </c>
      <c r="Q208" s="32" t="n">
        <v>3989.16</v>
      </c>
      <c r="R208" s="31" t="inlineStr">
        <is>
          <t>Earnings / Momentum Support</t>
        </is>
      </c>
      <c r="S208" s="31" t="inlineStr">
        <is>
          <t>Nifty 50</t>
        </is>
      </c>
      <c r="T208" s="32" t="n">
        <v>-4.43</v>
      </c>
      <c r="U208" s="32" t="n">
        <v>33.64</v>
      </c>
      <c r="V208" s="32" t="n">
        <v>39.84</v>
      </c>
      <c r="W208" s="32" t="n">
        <v>17.2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No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Between 12 to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Between 50% to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Less than 0.7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IF(B209=0,"",RANK(B209,$B$2:$B$282,0))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1" t="inlineStr">
        <is>
          <t>XPROINDIA</t>
        </is>
      </c>
      <c r="D209" s="31" t="inlineStr">
        <is>
          <t>Xpro India Limited</t>
        </is>
      </c>
      <c r="E209" s="31" t="inlineStr">
        <is>
          <t>industrials</t>
        </is>
      </c>
      <c r="F209" s="31" t="inlineStr">
        <is>
          <t>packaging</t>
        </is>
      </c>
      <c r="G209" s="31" t="inlineStr">
        <is>
          <t>smallcap</t>
        </is>
      </c>
      <c r="H209" s="32" t="n">
        <v>2754.49</v>
      </c>
      <c r="I209" s="32" t="n">
        <v>1207.1</v>
      </c>
      <c r="J209" s="32" t="n">
        <v>2.85</v>
      </c>
      <c r="K209" s="32" t="n">
        <v>28135</v>
      </c>
      <c r="L209" s="31" t="n">
        <v>42</v>
      </c>
      <c r="M209" s="31" t="inlineStr">
        <is>
          <t>Outperforming</t>
        </is>
      </c>
      <c r="N209" s="32">
        <f>IF(M209="Underperforming",-5,IF(L209&gt;=95,15,IF(L209&gt;=90,10,IF(L209&gt;=80,5,0))))</f>
        <v/>
      </c>
      <c r="O209" s="32" t="n">
        <v>60.08</v>
      </c>
      <c r="P209" s="32" t="n">
        <v>19.34</v>
      </c>
      <c r="Q209" s="32" t="n">
        <v>891.16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-4.43</v>
      </c>
      <c r="U209" s="32" t="n">
        <v>-1.13</v>
      </c>
      <c r="V209" s="32" t="n">
        <v>3.46</v>
      </c>
      <c r="W209" s="32" t="n">
        <v>12.1</v>
      </c>
      <c r="X209" s="31" t="inlineStr">
        <is>
          <t>Cyclical in an Upturn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More than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Between 1.5 to 2</t>
        </is>
      </c>
      <c r="BU209" s="31">
        <f>IF(BT209="Above 2",0,IF(BT209="Between 1.5 to 2",5,IF(BT209="Less than 1.5",10,0)))</f>
        <v/>
      </c>
      <c r="BV209" s="31" t="inlineStr">
        <is>
          <t>Less than 50%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IF(B210=0,"",RANK(B210,$B$2:$B$282,0))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NAVINFLUOR</t>
        </is>
      </c>
      <c r="D210" s="31" t="inlineStr">
        <is>
          <t>Navin Fluorine International Limited</t>
        </is>
      </c>
      <c r="E210" s="31" t="inlineStr">
        <is>
          <t>chemicals</t>
        </is>
      </c>
      <c r="F210" s="31" t="inlineStr">
        <is>
          <t>chemicals</t>
        </is>
      </c>
      <c r="G210" s="31" t="inlineStr">
        <is>
          <t>largecap</t>
        </is>
      </c>
      <c r="H210" s="32" t="n">
        <v>36678.6</v>
      </c>
      <c r="I210" s="32" t="n">
        <v>7303</v>
      </c>
      <c r="J210" s="32" t="n">
        <v>2.04</v>
      </c>
      <c r="K210" s="32" t="n">
        <v>136617</v>
      </c>
      <c r="L210" s="31" t="n">
        <v>49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69.53</v>
      </c>
      <c r="P210" s="32" t="n">
        <v>37.47</v>
      </c>
      <c r="Q210" s="32" t="n">
        <v>5925.43</v>
      </c>
      <c r="R210" s="31" t="inlineStr">
        <is>
          <t>Near 52W High Breakout</t>
        </is>
      </c>
      <c r="S210" s="31" t="inlineStr">
        <is>
          <t>Nifty 50</t>
        </is>
      </c>
      <c r="T210" s="32" t="n">
        <v>-4.43</v>
      </c>
      <c r="U210" s="32" t="n">
        <v>61.32</v>
      </c>
      <c r="V210" s="32" t="n">
        <v>68.8</v>
      </c>
      <c r="W210" s="32" t="n">
        <v>14.25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Oligopoly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Shallow Cyclical (2 to 3 Years Growth)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20 to 40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3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More than 20%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Between 50% to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IF(B211=0,"",RANK(B211,$B$2:$B$282,0))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1" t="inlineStr">
        <is>
          <t>HIRECT</t>
        </is>
      </c>
      <c r="D211" s="31" t="inlineStr">
        <is>
          <t>Hind Rectifiers Limited</t>
        </is>
      </c>
      <c r="E211" s="31" t="inlineStr">
        <is>
          <t>consumer discretionary</t>
        </is>
      </c>
      <c r="F211" s="31" t="inlineStr">
        <is>
          <t>electronics - components</t>
        </is>
      </c>
      <c r="G211" s="31" t="inlineStr">
        <is>
          <t>smallcap</t>
        </is>
      </c>
      <c r="H211" s="32" t="n">
        <v>3820.99</v>
      </c>
      <c r="I211" s="32" t="n">
        <v>1130.5</v>
      </c>
      <c r="J211" s="32" t="n">
        <v>1.68</v>
      </c>
      <c r="K211" s="32" t="n">
        <v>96480</v>
      </c>
      <c r="L211" s="31" t="n">
        <v>79</v>
      </c>
      <c r="M211" s="31" t="inlineStr">
        <is>
          <t>Outperforming</t>
        </is>
      </c>
      <c r="N211" s="32">
        <f>IF(M211="Underperforming",-5,IF(L211&gt;=95,15,IF(L211&gt;=90,10,IF(L211&gt;=80,5,0))))</f>
        <v/>
      </c>
      <c r="O211" s="32" t="n">
        <v>76.73999999999999</v>
      </c>
      <c r="P211" s="32" t="n">
        <v>25.41</v>
      </c>
      <c r="Q211" s="32" t="n">
        <v>790.0599999999999</v>
      </c>
      <c r="R211" s="31" t="inlineStr">
        <is>
          <t>Near 52W High Breakout</t>
        </is>
      </c>
      <c r="S211" s="31" t="inlineStr">
        <is>
          <t>Nifty 50</t>
        </is>
      </c>
      <c r="T211" s="32" t="n">
        <v>-4.43</v>
      </c>
      <c r="U211" s="32" t="n">
        <v>76.38</v>
      </c>
      <c r="V211" s="32" t="n">
        <v>84.56</v>
      </c>
      <c r="W211" s="32" t="n">
        <v>26.27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No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Yes</t>
        </is>
      </c>
      <c r="AQ211" s="31">
        <f>IF(AP211="Yes",10,0)</f>
        <v/>
      </c>
      <c r="AR211" s="31" t="inlineStr">
        <is>
          <t>Higher One Time, Lower Annuity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20 to 40</t>
        </is>
      </c>
      <c r="AY211" s="31">
        <f>IF(AX211="Above 40",20,IF(AX211="20 to 40",10,IF(AX211="0 to 20",-5,0)))</f>
        <v/>
      </c>
      <c r="AZ211" s="31" t="inlineStr">
        <is>
          <t>Above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Blue sky scenario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Less than 12%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Yes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Between 0.7 to 1.2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IF(B212=0,"",RANK(B212,$B$2:$B$282,0))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SHYAMMETL</t>
        </is>
      </c>
      <c r="D212" s="33" t="inlineStr">
        <is>
          <t>Shyam Metalics &amp; Energy Ltd</t>
        </is>
      </c>
      <c r="E212" s="31" t="inlineStr">
        <is>
          <t>metals &amp; mining</t>
        </is>
      </c>
      <c r="F212" s="31" t="inlineStr">
        <is>
          <t>steel - large</t>
        </is>
      </c>
      <c r="G212" s="31" t="inlineStr">
        <is>
          <t>largecap</t>
        </is>
      </c>
      <c r="H212" s="32" t="n">
        <v>27060.44</v>
      </c>
      <c r="I212" s="32" t="n">
        <v>983.75</v>
      </c>
      <c r="J212" s="32" t="n">
        <v>1.48</v>
      </c>
      <c r="K212" s="32" t="n">
        <v>864603</v>
      </c>
      <c r="L212" s="31" t="n">
        <v>33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63.13</v>
      </c>
      <c r="P212" s="32" t="n">
        <v>15.26</v>
      </c>
      <c r="Q212" s="32" t="n">
        <v>812.23</v>
      </c>
      <c r="R212" s="31" t="inlineStr">
        <is>
          <t>Near 52W High Breakout</t>
        </is>
      </c>
      <c r="S212" s="31" t="inlineStr">
        <is>
          <t>Nifty Metal</t>
        </is>
      </c>
      <c r="T212" s="32" t="n">
        <v>38.84</v>
      </c>
      <c r="U212" s="32" t="n">
        <v>18.11</v>
      </c>
      <c r="V212" s="32" t="n">
        <v>-14.93</v>
      </c>
      <c r="W212" s="32" t="n">
        <v>9.83</v>
      </c>
      <c r="X212" s="31" t="inlineStr">
        <is>
          <t>Cyclical in an Upturn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No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Cyclical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Volatile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Yes</t>
        </is>
      </c>
      <c r="AQ212" s="31">
        <f>IF(AP212="Yes",10,0)</f>
        <v/>
      </c>
      <c r="AR212" s="31" t="inlineStr">
        <is>
          <t>Higher One Time, Lower Annuity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Blue sky scenario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More than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Less than 1.5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IF(B213=0,"",RANK(B213,$B$2:$B$282,0))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3" t="inlineStr">
        <is>
          <t>KPRMILL</t>
        </is>
      </c>
      <c r="D213" s="33" t="inlineStr">
        <is>
          <t>K.p.r. Mill Limited</t>
        </is>
      </c>
      <c r="E213" s="31" t="inlineStr">
        <is>
          <t>consumer discretionary</t>
        </is>
      </c>
      <c r="F213" s="31" t="inlineStr">
        <is>
          <t>textiles - products</t>
        </is>
      </c>
      <c r="G213" s="31" t="inlineStr">
        <is>
          <t>largecap</t>
        </is>
      </c>
      <c r="H213" s="32" t="n">
        <v>36051.12</v>
      </c>
      <c r="I213" s="32" t="n">
        <v>1065.8</v>
      </c>
      <c r="J213" s="32" t="n">
        <v>1.05</v>
      </c>
      <c r="K213" s="32" t="n">
        <v>412636</v>
      </c>
      <c r="L213" s="31" t="n">
        <v>14</v>
      </c>
      <c r="M213" s="31" t="inlineStr">
        <is>
          <t>Underperforming</t>
        </is>
      </c>
      <c r="N213" s="32">
        <f>IF(M213="Underperforming",-5,IF(L213&gt;=95,15,IF(L213&gt;=90,10,IF(L213&gt;=80,5,0))))</f>
        <v/>
      </c>
      <c r="O213" s="32" t="n">
        <v>63.31</v>
      </c>
      <c r="P213" s="32" t="n">
        <v>22.51</v>
      </c>
      <c r="Q213" s="32" t="n">
        <v>854.0599999999999</v>
      </c>
      <c r="R213" s="31" t="inlineStr">
        <is>
          <t>Earnings / Momentum Support</t>
        </is>
      </c>
      <c r="S213" s="31" t="inlineStr">
        <is>
          <t>Nifty 500</t>
        </is>
      </c>
      <c r="T213" s="32" t="n">
        <v>-1.34</v>
      </c>
      <c r="U213" s="32" t="n">
        <v>-2.17</v>
      </c>
      <c r="V213" s="32" t="n">
        <v>-0.85</v>
      </c>
      <c r="W213" s="32" t="n">
        <v>5.86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Too Many Players with High ROCE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Structural (10 Years Consistency)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No</t>
        </is>
      </c>
      <c r="AQ213" s="31">
        <f>IF(AP213="Yes",10,0)</f>
        <v/>
      </c>
      <c r="AR213" s="31" t="inlineStr">
        <is>
          <t>Higher One Time, Lower Annuity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20 to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2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Uptrend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Close to 52 week high or retracement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Less than 12%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Yes</t>
        </is>
      </c>
      <c r="BS213" s="31">
        <f>IF(BR213="NO",5,0)</f>
        <v/>
      </c>
      <c r="BT213" s="31" t="inlineStr">
        <is>
          <t>Above 2</t>
        </is>
      </c>
      <c r="BU213" s="31">
        <f>IF(BT213="Above 2",0,IF(BT213="Between 1.5 to 2",5,IF(BT213="Less than 1.5",10,0)))</f>
        <v/>
      </c>
      <c r="BV213" s="31" t="inlineStr">
        <is>
          <t>Above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IF(B214=0,"",RANK(B214,$B$2:$B$282,0))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3" t="inlineStr">
        <is>
          <t>ELECTHERM</t>
        </is>
      </c>
      <c r="D214" s="33" t="inlineStr">
        <is>
          <t>Electrotherm (india) Limited</t>
        </is>
      </c>
      <c r="E214" s="31" t="inlineStr">
        <is>
          <t>metals &amp; mining</t>
        </is>
      </c>
      <c r="F214" s="31" t="inlineStr">
        <is>
          <t>steel - medium / small</t>
        </is>
      </c>
      <c r="G214" s="31" t="inlineStr">
        <is>
          <t>smallcap</t>
        </is>
      </c>
      <c r="H214" s="32" t="n">
        <v>1507.03</v>
      </c>
      <c r="I214" s="32" t="n">
        <v>1190.1</v>
      </c>
      <c r="J214" s="32" t="n">
        <v>0.63</v>
      </c>
      <c r="K214" s="32" t="n">
        <v>119156</v>
      </c>
      <c r="L214" s="31" t="n">
        <v>84</v>
      </c>
      <c r="M214" s="31" t="inlineStr">
        <is>
          <t>Underperforming</t>
        </is>
      </c>
      <c r="N214" s="32">
        <f>IF(M214="Underperforming",-5,IF(L214&gt;=95,15,IF(L214&gt;=90,10,IF(L214&gt;=80,5,0))))</f>
        <v/>
      </c>
      <c r="O214" s="32" t="n">
        <v>69.98</v>
      </c>
      <c r="P214" s="32" t="n">
        <v>26.62</v>
      </c>
      <c r="Q214" s="32" t="n">
        <v>767.8</v>
      </c>
      <c r="R214" s="31" t="inlineStr">
        <is>
          <t>Volume Spike &amp; Near 52W High Breakout</t>
        </is>
      </c>
      <c r="S214" s="31" t="inlineStr">
        <is>
          <t>Nifty Metal</t>
        </is>
      </c>
      <c r="T214" s="32" t="n">
        <v>38.84</v>
      </c>
      <c r="U214" s="32" t="n">
        <v>-1.36</v>
      </c>
      <c r="V214" s="32" t="n">
        <v>-28.95</v>
      </c>
      <c r="W214" s="32" t="n">
        <v>29.54</v>
      </c>
      <c r="X214" s="31" t="inlineStr">
        <is>
          <t>Cyclical in an Upturn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No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Cyclical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Volatile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One Time, Lower Annuity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Between 50 to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Close to 52 week high or retracement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No</t>
        </is>
      </c>
      <c r="BS214" s="31">
        <f>IF(BR214="NO",5,0)</f>
        <v/>
      </c>
      <c r="BT214" s="31" t="inlineStr">
        <is>
          <t>Less than 1.5</t>
        </is>
      </c>
      <c r="BU214" s="31">
        <f>IF(BT214="Above 2",0,IF(BT214="Between 1.5 to 2",5,IF(BT214="Less than 1.5",10,0)))</f>
        <v/>
      </c>
      <c r="BV214" s="31" t="inlineStr">
        <is>
          <t>Above 70%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IF(B215=0,"",RANK(B215,$B$2:$B$282,0))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GRASIM</t>
        </is>
      </c>
      <c r="D215" s="31" t="inlineStr">
        <is>
          <t>Grasim Industries Limited</t>
        </is>
      </c>
      <c r="E215" s="31" t="inlineStr">
        <is>
          <t>textiles</t>
        </is>
      </c>
      <c r="F215" s="31" t="inlineStr">
        <is>
          <t>textiles - manmade</t>
        </is>
      </c>
      <c r="G215" s="31" t="inlineStr">
        <is>
          <t>largecap</t>
        </is>
      </c>
      <c r="H215" s="32" t="n">
        <v>210265.37</v>
      </c>
      <c r="I215" s="32" t="n">
        <v>3105.5</v>
      </c>
      <c r="J215" s="32" t="n">
        <v>0.52</v>
      </c>
      <c r="K215" s="32" t="n">
        <v>536817</v>
      </c>
      <c r="L215" s="31" t="n">
        <v>22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64.48</v>
      </c>
      <c r="P215" s="32" t="n">
        <v>22.99</v>
      </c>
      <c r="Q215" s="32" t="n">
        <v>2741.78</v>
      </c>
      <c r="R215" s="31" t="inlineStr">
        <is>
          <t>Near 52W High Breakout</t>
        </is>
      </c>
      <c r="S215" s="31" t="inlineStr">
        <is>
          <t>Nifty 50</t>
        </is>
      </c>
      <c r="T215" s="32" t="n">
        <v>-4.43</v>
      </c>
      <c r="U215" s="32" t="n">
        <v>17.01</v>
      </c>
      <c r="V215" s="32" t="n">
        <v>22.43</v>
      </c>
      <c r="W215" s="32" t="n">
        <v>7.83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20 to 40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Blue sky scenario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Less than 1.5</t>
        </is>
      </c>
      <c r="BU215" s="31">
        <f>IF(BT215="Above 2",0,IF(BT215="Between 1.5 to 2",5,IF(BT215="Less than 1.5",10,0)))</f>
        <v/>
      </c>
      <c r="BV215" s="31" t="inlineStr">
        <is>
          <t>Negative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More than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IF(B216=0,"",RANK(B216,$B$2:$B$282,0))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1" t="inlineStr">
        <is>
          <t>AIAENG</t>
        </is>
      </c>
      <c r="D216" s="31" t="inlineStr">
        <is>
          <t>Aia Engineering Limited</t>
        </is>
      </c>
      <c r="E216" s="31" t="inlineStr">
        <is>
          <t>industrials</t>
        </is>
      </c>
      <c r="F216" s="31" t="inlineStr">
        <is>
          <t>castings &amp; forgings</t>
        </is>
      </c>
      <c r="G216" s="31" t="inlineStr">
        <is>
          <t>largecap</t>
        </is>
      </c>
      <c r="H216" s="32" t="n">
        <v>40300.4</v>
      </c>
      <c r="I216" s="32" t="n">
        <v>4333.7</v>
      </c>
      <c r="J216" s="32" t="n">
        <v>0.35</v>
      </c>
      <c r="K216" s="32" t="n">
        <v>49722</v>
      </c>
      <c r="L216" s="31" t="n">
        <v>30</v>
      </c>
      <c r="M216" s="31" t="inlineStr">
        <is>
          <t>Outperforming</t>
        </is>
      </c>
      <c r="N216" s="32">
        <f>IF(M216="Underperforming",-5,IF(L216&gt;=95,15,IF(L216&gt;=90,10,IF(L216&gt;=80,5,0))))</f>
        <v/>
      </c>
      <c r="O216" s="32" t="n">
        <v>61.22</v>
      </c>
      <c r="P216" s="32" t="n">
        <v>17.3</v>
      </c>
      <c r="Q216" s="32" t="n">
        <v>3749.02</v>
      </c>
      <c r="R216" s="31" t="inlineStr">
        <is>
          <t>Earnings / Momentum Support</t>
        </is>
      </c>
      <c r="S216" s="31" t="inlineStr">
        <is>
          <t>Nifty 500</t>
        </is>
      </c>
      <c r="T216" s="32" t="n">
        <v>-1.34</v>
      </c>
      <c r="U216" s="32" t="n">
        <v>26.5</v>
      </c>
      <c r="V216" s="32" t="n">
        <v>28.21</v>
      </c>
      <c r="W216" s="32" t="n">
        <v>9.16</v>
      </c>
      <c r="X216" s="31" t="inlineStr">
        <is>
          <t>Cyclical in an Upturn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No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0 to 20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No</t>
        </is>
      </c>
      <c r="BS216" s="31">
        <f>IF(BR216="NO",5,0)</f>
        <v/>
      </c>
      <c r="BT216" s="31" t="inlineStr">
        <is>
          <t>Less than 1.5</t>
        </is>
      </c>
      <c r="BU216" s="31">
        <f>IF(BT216="Above 2",0,IF(BT216="Between 1.5 to 2",5,IF(BT216="Less than 1.5",10,0)))</f>
        <v/>
      </c>
      <c r="BV216" s="31" t="inlineStr">
        <is>
          <t>Less than 50%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Less than 0.7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IF(B217=0,"",RANK(B217,$B$2:$B$282,0))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BHARATFORG</t>
        </is>
      </c>
      <c r="D217" s="31" t="inlineStr">
        <is>
          <t>Bharat Forge Limited</t>
        </is>
      </c>
      <c r="E217" s="31" t="inlineStr">
        <is>
          <t>industrials</t>
        </is>
      </c>
      <c r="F217" s="31" t="inlineStr">
        <is>
          <t>castings &amp; forgings</t>
        </is>
      </c>
      <c r="G217" s="31" t="inlineStr">
        <is>
          <t>largecap</t>
        </is>
      </c>
      <c r="H217" s="32" t="n">
        <v>92887.84</v>
      </c>
      <c r="I217" s="32" t="n">
        <v>1945.1</v>
      </c>
      <c r="J217" s="32" t="n">
        <v>0.11</v>
      </c>
      <c r="K217" s="32" t="n">
        <v>893592</v>
      </c>
      <c r="L217" s="31" t="n">
        <v>41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64.47</v>
      </c>
      <c r="P217" s="32" t="n">
        <v>33.89</v>
      </c>
      <c r="Q217" s="32" t="n">
        <v>1634.5</v>
      </c>
      <c r="R217" s="31" t="inlineStr">
        <is>
          <t>Near 52W High Breakout</t>
        </is>
      </c>
      <c r="S217" s="31" t="inlineStr">
        <is>
          <t>Nifty 500</t>
        </is>
      </c>
      <c r="T217" s="32" t="n">
        <v>-1.34</v>
      </c>
      <c r="U217" s="32" t="n">
        <v>49.42</v>
      </c>
      <c r="V217" s="32" t="n">
        <v>51.45</v>
      </c>
      <c r="W217" s="32" t="n">
        <v>12.06</v>
      </c>
      <c r="X217" s="31" t="inlineStr">
        <is>
          <t>Cyclical in an Upturn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20 to 40</t>
        </is>
      </c>
      <c r="AY217" s="31">
        <f>IF(AX217="Above 40",20,IF(AX217="20 to 40",10,IF(AX217="0 to 20",-5,0)))</f>
        <v/>
      </c>
      <c r="AZ217" s="31" t="inlineStr">
        <is>
          <t>Between 50 to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Less than 12%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Yes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Between 50% to 70%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Between 0.7 to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IF(B218=0,"",RANK(B218,$B$2:$B$282,0))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1" t="inlineStr">
        <is>
          <t>ANTELOPUS</t>
        </is>
      </c>
      <c r="D218" s="31" t="inlineStr">
        <is>
          <t>Antelopus Selan Energy Ltd</t>
        </is>
      </c>
      <c r="E218" s="31" t="inlineStr">
        <is>
          <t>energy</t>
        </is>
      </c>
      <c r="F218" s="31" t="inlineStr">
        <is>
          <t>oil drilling / allied services</t>
        </is>
      </c>
      <c r="G218" s="31" t="inlineStr">
        <is>
          <t>smallcap</t>
        </is>
      </c>
      <c r="H218" s="32" t="n">
        <v>3022.73</v>
      </c>
      <c r="I218" s="32" t="n">
        <v>836.55</v>
      </c>
      <c r="J218" s="32" t="n">
        <v>-2.69</v>
      </c>
      <c r="K218" s="32" t="n">
        <v>162842</v>
      </c>
      <c r="L218" s="31" t="n">
        <v>64</v>
      </c>
      <c r="M218" s="31" t="inlineStr">
        <is>
          <t>Outperforming</t>
        </is>
      </c>
      <c r="N218" s="32">
        <f>IF(M218="Underperforming",-5,IF(L218&gt;=95,15,IF(L218&gt;=90,10,IF(L218&gt;=80,5,0))))</f>
        <v/>
      </c>
      <c r="O218" s="32" t="n">
        <v>65.28</v>
      </c>
      <c r="P218" s="32" t="n">
        <v>43.53</v>
      </c>
      <c r="Q218" s="32" t="n">
        <v>621.86</v>
      </c>
      <c r="R218" s="31" t="inlineStr">
        <is>
          <t>Earnings / Momentum Support</t>
        </is>
      </c>
      <c r="S218" s="31" t="inlineStr">
        <is>
          <t>Nifty Energy</t>
        </is>
      </c>
      <c r="T218" s="32" t="n">
        <v>9.800000000000001</v>
      </c>
      <c r="U218" s="32" t="n">
        <v>14.38</v>
      </c>
      <c r="V218" s="32" t="n">
        <v>4.16</v>
      </c>
      <c r="W218" s="32" t="n">
        <v>18.49</v>
      </c>
      <c r="X218" s="31" t="inlineStr">
        <is>
          <t>Cyclical in an Upturn</t>
        </is>
      </c>
      <c r="Y218" s="31">
        <f>IF(X218="Growing Industry",10,IF(X218="Cyclical in an Upturn",5,0))</f>
        <v/>
      </c>
      <c r="Z218" s="31" t="inlineStr">
        <is>
          <t>Oligopoly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Yes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Cyclical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Volatile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No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Above 40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More than 20%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Above 2</t>
        </is>
      </c>
      <c r="BU218" s="31">
        <f>IF(BT218="Above 2",0,IF(BT218="Between 1.5 to 2",5,IF(BT218="Less than 1.5",10,0)))</f>
        <v/>
      </c>
      <c r="BV218" s="31" t="inlineStr">
        <is>
          <t>Above 70%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IF(B219=0,"",RANK(B219,$B$2:$B$282,0))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INDSWFTLAB</t>
        </is>
      </c>
      <c r="D219" s="31" t="inlineStr">
        <is>
          <t>Ind-swift Laboratories Limited</t>
        </is>
      </c>
      <c r="E219" s="31" t="inlineStr">
        <is>
          <t>healthcare</t>
        </is>
      </c>
      <c r="F219" s="31" t="inlineStr">
        <is>
          <t>pharmaceuticals - indian - bulk drugs &amp; formln</t>
        </is>
      </c>
      <c r="G219" s="31" t="inlineStr">
        <is>
          <t>smallcap</t>
        </is>
      </c>
      <c r="H219" s="32" t="n">
        <v>1377.49</v>
      </c>
      <c r="I219" s="32" t="n">
        <v>163.03</v>
      </c>
      <c r="J219" s="32" t="n">
        <v>2.77</v>
      </c>
      <c r="K219" s="32" t="n">
        <v>372371</v>
      </c>
      <c r="L219" s="31" t="n">
        <v>47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72.97</v>
      </c>
      <c r="P219" s="32" t="n">
        <v>34.06</v>
      </c>
      <c r="Q219" s="32" t="n">
        <v>117.11</v>
      </c>
      <c r="R219" s="31" t="inlineStr">
        <is>
          <t>Near 52W High Breakout</t>
        </is>
      </c>
      <c r="S219" s="31" t="inlineStr">
        <is>
          <t>Nifty Pharma</t>
        </is>
      </c>
      <c r="T219" s="32" t="n">
        <v>10.89</v>
      </c>
      <c r="U219" s="32" t="n">
        <v>50.16</v>
      </c>
      <c r="V219" s="32" t="n">
        <v>35.41</v>
      </c>
      <c r="W219" s="32" t="n">
        <v>13.53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Yes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Yes</t>
        </is>
      </c>
      <c r="AQ219" s="31">
        <f>IF(AP219="Yes",10,0)</f>
        <v/>
      </c>
      <c r="AR219" s="31" t="inlineStr">
        <is>
          <t>Higher Annuity, Lower One Time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20 to 40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Negative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IF(B220=0,"",RANK(B220,$B$2:$B$282,0))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APCOTEXIND</t>
        </is>
      </c>
      <c r="D220" s="31" t="inlineStr">
        <is>
          <t>Apcotex Industries Limited</t>
        </is>
      </c>
      <c r="E220" s="31" t="inlineStr">
        <is>
          <t>chemicals</t>
        </is>
      </c>
      <c r="F220" s="31" t="inlineStr">
        <is>
          <t>miscellaneous</t>
        </is>
      </c>
      <c r="G220" s="31" t="inlineStr">
        <is>
          <t>smallcap</t>
        </is>
      </c>
      <c r="H220" s="32" t="n">
        <v>2705.01</v>
      </c>
      <c r="I220" s="32" t="n">
        <v>529.3</v>
      </c>
      <c r="J220" s="32" t="n">
        <v>1.45</v>
      </c>
      <c r="K220" s="32" t="n">
        <v>115068</v>
      </c>
      <c r="L220" s="31" t="n">
        <v>68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71.56999999999999</v>
      </c>
      <c r="P220" s="32" t="n">
        <v>34.16</v>
      </c>
      <c r="Q220" s="32" t="n">
        <v>410.09</v>
      </c>
      <c r="R220" s="31" t="inlineStr">
        <is>
          <t>Near 52W High Breakout</t>
        </is>
      </c>
      <c r="S220" s="31" t="inlineStr">
        <is>
          <t>Nifty Infra</t>
        </is>
      </c>
      <c r="T220" s="32" t="n">
        <v>2.95</v>
      </c>
      <c r="U220" s="32" t="n">
        <v>42.13</v>
      </c>
      <c r="V220" s="32" t="n">
        <v>38.06</v>
      </c>
      <c r="W220" s="32" t="n">
        <v>19.59</v>
      </c>
      <c r="X220" s="31" t="inlineStr">
        <is>
          <t>Growing Industry</t>
        </is>
      </c>
      <c r="Y220" s="31">
        <f>IF(X220="Growing Industry",10,IF(X220="Cyclical in an Upturn",5,0))</f>
        <v/>
      </c>
      <c r="Z220" s="31" t="inlineStr">
        <is>
          <t>Oligopoly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Cyclical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Fully One Time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Above 40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1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Sideways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Overhead supply in last 2 years in last 2 years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Less than 1.5</t>
        </is>
      </c>
      <c r="BU220" s="31">
        <f>IF(BT220="Above 2",0,IF(BT220="Between 1.5 to 2",5,IF(BT220="Less than 1.5",10,0)))</f>
        <v/>
      </c>
      <c r="BV220" s="31" t="inlineStr">
        <is>
          <t>Between 50% to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Less than 0.7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IF(B221=0,"",RANK(B221,$B$2:$B$282,0))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AUROPHARMA</t>
        </is>
      </c>
      <c r="D221" s="31" t="inlineStr">
        <is>
          <t>Aurobindo Pharma Limited</t>
        </is>
      </c>
      <c r="E221" s="31" t="inlineStr">
        <is>
          <t>healthcare</t>
        </is>
      </c>
      <c r="F221" s="31" t="inlineStr">
        <is>
          <t>pharmaceuticals - indian - bulk drugs &amp; formln</t>
        </is>
      </c>
      <c r="G221" s="31" t="inlineStr">
        <is>
          <t>largecap</t>
        </is>
      </c>
      <c r="H221" s="32" t="n">
        <v>85035.17</v>
      </c>
      <c r="I221" s="32" t="n">
        <v>1472.8</v>
      </c>
      <c r="J221" s="32" t="n">
        <v>0.59</v>
      </c>
      <c r="K221" s="32" t="n">
        <v>669347</v>
      </c>
      <c r="L221" s="31" t="n">
        <v>24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66.8</v>
      </c>
      <c r="P221" s="32" t="n">
        <v>44.76</v>
      </c>
      <c r="Q221" s="32" t="n">
        <v>1283.49</v>
      </c>
      <c r="R221" s="31" t="inlineStr">
        <is>
          <t>Near 52W High Breakout</t>
        </is>
      </c>
      <c r="S221" s="31" t="inlineStr">
        <is>
          <t>Nifty Pharma</t>
        </is>
      </c>
      <c r="T221" s="32" t="n">
        <v>10.89</v>
      </c>
      <c r="U221" s="32" t="n">
        <v>28.53</v>
      </c>
      <c r="V221" s="32" t="n">
        <v>15.9</v>
      </c>
      <c r="W221" s="32" t="n">
        <v>8.08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Yes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Annuity, Lower One Time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Above 40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Close to 52 week high or retracement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Less than 12%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Above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IF(B222=0,"",RANK(B222,$B$2:$B$282,0))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MANALIPETC</t>
        </is>
      </c>
      <c r="D222" s="33" t="inlineStr">
        <is>
          <t>Manali Petrochemicals Limited</t>
        </is>
      </c>
      <c r="E222" s="31" t="inlineStr">
        <is>
          <t>energy</t>
        </is>
      </c>
      <c r="F222" s="31" t="inlineStr">
        <is>
          <t>petrochemicals</t>
        </is>
      </c>
      <c r="G222" s="31" t="inlineStr">
        <is>
          <t>smallcap</t>
        </is>
      </c>
      <c r="H222" s="32" t="n">
        <v>1018.58</v>
      </c>
      <c r="I222" s="32" t="n">
        <v>65.2</v>
      </c>
      <c r="J222" s="32" t="n">
        <v>10.1</v>
      </c>
      <c r="K222" s="32" t="n">
        <v>9295357</v>
      </c>
      <c r="L222" s="31" t="n">
        <v>40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59.75</v>
      </c>
      <c r="P222" s="32" t="n">
        <v>21.76</v>
      </c>
      <c r="Q222" s="32" t="n">
        <v>46.64</v>
      </c>
      <c r="R222" s="31" t="inlineStr">
        <is>
          <t>Volume Spike / Accumulation</t>
        </is>
      </c>
      <c r="S222" s="31" t="inlineStr">
        <is>
          <t>Nifty Energy</t>
        </is>
      </c>
      <c r="T222" s="32" t="n">
        <v>9.800000000000001</v>
      </c>
      <c r="U222" s="32" t="n">
        <v>2.59</v>
      </c>
      <c r="V222" s="32" t="n">
        <v>-6.57</v>
      </c>
      <c r="W222" s="32" t="n">
        <v>11.29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Oligopoly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Yes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20 to 40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Close to 52 week high or retracement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Above 2</t>
        </is>
      </c>
      <c r="BU222" s="31">
        <f>IF(BT222="Above 2",0,IF(BT222="Between 1.5 to 2",5,IF(BT222="Less than 1.5",10,0)))</f>
        <v/>
      </c>
      <c r="BV222" s="31" t="inlineStr">
        <is>
          <t>Above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IF(B223=0,"",RANK(B223,$B$2:$B$282,0))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VINDHYATEL</t>
        </is>
      </c>
      <c r="D223" s="31" t="inlineStr">
        <is>
          <t>Vindhya Telelinks Limited</t>
        </is>
      </c>
      <c r="E223" s="31" t="inlineStr">
        <is>
          <t>realty</t>
        </is>
      </c>
      <c r="F223" s="31" t="inlineStr">
        <is>
          <t>construction</t>
        </is>
      </c>
      <c r="G223" s="31" t="inlineStr">
        <is>
          <t>smallcap</t>
        </is>
      </c>
      <c r="H223" s="32" t="n">
        <v>2346</v>
      </c>
      <c r="I223" s="32" t="n">
        <v>2087.8</v>
      </c>
      <c r="J223" s="32" t="n">
        <v>5.47</v>
      </c>
      <c r="K223" s="32" t="n">
        <v>100881</v>
      </c>
      <c r="L223" s="31" t="n">
        <v>81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66.40000000000001</v>
      </c>
      <c r="P223" s="32" t="n">
        <v>33.39</v>
      </c>
      <c r="Q223" s="32" t="n">
        <v>1535.36</v>
      </c>
      <c r="R223" s="31" t="inlineStr">
        <is>
          <t>Earnings / Momentum Support</t>
        </is>
      </c>
      <c r="S223" s="31" t="inlineStr">
        <is>
          <t>Nifty Realty</t>
        </is>
      </c>
      <c r="T223" s="32" t="n">
        <v>-23.58</v>
      </c>
      <c r="U223" s="32" t="n">
        <v>24.51</v>
      </c>
      <c r="V223" s="32" t="n">
        <v>62.92</v>
      </c>
      <c r="W223" s="32" t="n">
        <v>27.75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No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20 to 40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Close to 52 week high or retracement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Less than 12%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No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Negative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Less than 0.7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IF(B224=0,"",RANK(B224,$B$2:$B$282,0))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1" t="inlineStr">
        <is>
          <t>SOTL</t>
        </is>
      </c>
      <c r="D224" s="31" t="inlineStr">
        <is>
          <t>Savita Oil Technologies Limited</t>
        </is>
      </c>
      <c r="E224" s="31" t="inlineStr">
        <is>
          <t>energy</t>
        </is>
      </c>
      <c r="F224" s="31" t="inlineStr">
        <is>
          <t>petrochemicals</t>
        </is>
      </c>
      <c r="G224" s="31" t="inlineStr">
        <is>
          <t>smallcap</t>
        </is>
      </c>
      <c r="H224" s="32" t="n">
        <v>3726.94</v>
      </c>
      <c r="I224" s="32" t="n">
        <v>570.35</v>
      </c>
      <c r="J224" s="32" t="n">
        <v>4.92</v>
      </c>
      <c r="K224" s="32" t="n">
        <v>536033</v>
      </c>
      <c r="L224" s="31" t="n">
        <v>78</v>
      </c>
      <c r="M224" s="31" t="inlineStr">
        <is>
          <t>Outperforming</t>
        </is>
      </c>
      <c r="N224" s="32">
        <f>IF(M224="Underperforming",-5,IF(L224&gt;=95,15,IF(L224&gt;=90,10,IF(L224&gt;=80,5,0))))</f>
        <v/>
      </c>
      <c r="O224" s="32" t="n">
        <v>75.31</v>
      </c>
      <c r="P224" s="32" t="n">
        <v>27.95</v>
      </c>
      <c r="Q224" s="32" t="n">
        <v>430.36</v>
      </c>
      <c r="R224" s="31" t="inlineStr">
        <is>
          <t>Near 52W High Breakout</t>
        </is>
      </c>
      <c r="S224" s="31" t="inlineStr">
        <is>
          <t>Nifty Energy</t>
        </is>
      </c>
      <c r="T224" s="32" t="n">
        <v>9.800000000000001</v>
      </c>
      <c r="U224" s="32" t="n">
        <v>36.77</v>
      </c>
      <c r="V224" s="32" t="n">
        <v>24.56</v>
      </c>
      <c r="W224" s="32" t="n">
        <v>25.01</v>
      </c>
      <c r="X224" s="31" t="inlineStr">
        <is>
          <t>Cyclical in an Upturn</t>
        </is>
      </c>
      <c r="Y224" s="31">
        <f>IF(X224="Growing Industry",10,IF(X224="Cyclical in an Upturn",5,0))</f>
        <v/>
      </c>
      <c r="Z224" s="31" t="inlineStr">
        <is>
          <t>Oligopoly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Yes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Cyclical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Volatile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Yes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Above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More than 20%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No</t>
        </is>
      </c>
      <c r="BS224" s="31">
        <f>IF(BR224="NO",5,0)</f>
        <v/>
      </c>
      <c r="BT224" s="31" t="inlineStr">
        <is>
          <t>Less than 1.5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IF(B225=0,"",RANK(B225,$B$2:$B$282,0))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RICOAUTO</t>
        </is>
      </c>
      <c r="D225" s="31" t="inlineStr">
        <is>
          <t>Rico Auto Industries Limited</t>
        </is>
      </c>
      <c r="E225" s="31" t="inlineStr">
        <is>
          <t>auto</t>
        </is>
      </c>
      <c r="F225" s="31" t="inlineStr">
        <is>
          <t>auto ancillaries</t>
        </is>
      </c>
      <c r="G225" s="31" t="inlineStr">
        <is>
          <t>smallcap</t>
        </is>
      </c>
      <c r="H225" s="32" t="n">
        <v>1723.8</v>
      </c>
      <c r="I225" s="32" t="n">
        <v>133.19</v>
      </c>
      <c r="J225" s="32" t="n">
        <v>4.53</v>
      </c>
      <c r="K225" s="32" t="n">
        <v>2415303</v>
      </c>
      <c r="L225" s="31" t="n">
        <v>61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59.18</v>
      </c>
      <c r="P225" s="32" t="n">
        <v>17.65</v>
      </c>
      <c r="Q225" s="32" t="n">
        <v>95.48999999999999</v>
      </c>
      <c r="R225" s="31" t="inlineStr">
        <is>
          <t>Volume Spike &amp; Near 52W High Breakout</t>
        </is>
      </c>
      <c r="S225" s="31" t="inlineStr">
        <is>
          <t>Nifty Auto</t>
        </is>
      </c>
      <c r="T225" s="32" t="n">
        <v>12.72</v>
      </c>
      <c r="U225" s="32" t="n">
        <v>69.3</v>
      </c>
      <c r="V225" s="32" t="n">
        <v>50.2</v>
      </c>
      <c r="W225" s="32" t="n">
        <v>17.41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Yes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Less than 12%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No</t>
        </is>
      </c>
      <c r="BS225" s="31">
        <f>IF(BR225="NO",5,0)</f>
        <v/>
      </c>
      <c r="BT225" s="31" t="inlineStr">
        <is>
          <t>Above 2</t>
        </is>
      </c>
      <c r="BU225" s="31">
        <f>IF(BT225="Above 2",0,IF(BT225="Between 1.5 to 2",5,IF(BT225="Less than 1.5",10,0)))</f>
        <v/>
      </c>
      <c r="BV225" s="31" t="inlineStr">
        <is>
          <t>Above 70%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Between 0.7 to 1.2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IF(B226=0,"",RANK(B226,$B$2:$B$282,0))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1" t="inlineStr">
        <is>
          <t>CYIENTDLM</t>
        </is>
      </c>
      <c r="D226" s="31" t="inlineStr">
        <is>
          <t>Cyient DLM Ltd</t>
        </is>
      </c>
      <c r="E226" s="31" t="inlineStr">
        <is>
          <t>consumer discretionary</t>
        </is>
      </c>
      <c r="F226" s="31" t="inlineStr">
        <is>
          <t>electronics - components</t>
        </is>
      </c>
      <c r="G226" s="31" t="inlineStr">
        <is>
          <t>smallcap</t>
        </is>
      </c>
      <c r="H226" s="32" t="n">
        <v>3427.35</v>
      </c>
      <c r="I226" s="32" t="n">
        <v>449.7</v>
      </c>
      <c r="J226" s="32" t="n">
        <v>4.13</v>
      </c>
      <c r="K226" s="32" t="n">
        <v>243804</v>
      </c>
      <c r="L226" s="31" t="n">
        <v>41</v>
      </c>
      <c r="M226" s="31" t="inlineStr">
        <is>
          <t>Outperforming</t>
        </is>
      </c>
      <c r="N226" s="32">
        <f>IF(M226="Underperforming",-5,IF(L226&gt;=95,15,IF(L226&gt;=90,10,IF(L226&gt;=80,5,0))))</f>
        <v/>
      </c>
      <c r="O226" s="32" t="n">
        <v>63.46</v>
      </c>
      <c r="P226" s="32" t="n">
        <v>28.89</v>
      </c>
      <c r="Q226" s="32" t="n">
        <v>344.57</v>
      </c>
      <c r="R226" s="31" t="inlineStr">
        <is>
          <t>Earnings / Momentum Support</t>
        </is>
      </c>
      <c r="S226" s="31" t="inlineStr">
        <is>
          <t>Nifty 50</t>
        </is>
      </c>
      <c r="T226" s="32" t="n">
        <v>-4.43</v>
      </c>
      <c r="U226" s="32" t="n">
        <v>-1.83</v>
      </c>
      <c r="V226" s="32" t="n">
        <v>2.72</v>
      </c>
      <c r="W226" s="32" t="n">
        <v>11.87</v>
      </c>
      <c r="X226" s="31" t="inlineStr">
        <is>
          <t>Growing Industry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20 to 40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Less than 12%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Above 2</t>
        </is>
      </c>
      <c r="BU226" s="31">
        <f>IF(BT226="Above 2",0,IF(BT226="Between 1.5 to 2",5,IF(BT226="Less than 1.5",10,0)))</f>
        <v/>
      </c>
      <c r="BV226" s="31" t="inlineStr">
        <is>
          <t>Less than 50%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IF(B227=0,"",RANK(B227,$B$2:$B$282,0))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LMW</t>
        </is>
      </c>
      <c r="D227" s="31" t="inlineStr">
        <is>
          <t>LMW Ltd</t>
        </is>
      </c>
      <c r="E227" s="31" t="inlineStr">
        <is>
          <t>industrials</t>
        </is>
      </c>
      <c r="F227" s="31" t="inlineStr">
        <is>
          <t>textile machinery</t>
        </is>
      </c>
      <c r="G227" s="31" t="inlineStr">
        <is>
          <t>midcap</t>
        </is>
      </c>
      <c r="H227" s="32" t="n">
        <v>16646.25</v>
      </c>
      <c r="I227" s="32" t="n">
        <v>15759</v>
      </c>
      <c r="J227" s="32" t="n">
        <v>1.14</v>
      </c>
      <c r="K227" s="32" t="n">
        <v>1227</v>
      </c>
      <c r="L227" s="31" t="n">
        <v>3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58.56</v>
      </c>
      <c r="P227" s="32" t="n">
        <v>17.67</v>
      </c>
      <c r="Q227" s="32" t="n">
        <v>12759.45</v>
      </c>
      <c r="R227" s="31" t="inlineStr">
        <is>
          <t>Earnings / Momentum Support</t>
        </is>
      </c>
      <c r="S227" s="31" t="inlineStr">
        <is>
          <t>Nifty 50</t>
        </is>
      </c>
      <c r="T227" s="32" t="n">
        <v>-4.43</v>
      </c>
      <c r="U227" s="32" t="n">
        <v>-4.28</v>
      </c>
      <c r="V227" s="32" t="n">
        <v>0.16</v>
      </c>
      <c r="W227" s="32" t="n">
        <v>2.06</v>
      </c>
      <c r="X227" s="31" t="inlineStr">
        <is>
          <t>Cyclical in an Upturn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No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Close to 52 week high or retracement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Above 70%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IF(B228=0,"",RANK(B228,$B$2:$B$282,0))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JSWDULUX</t>
        </is>
      </c>
      <c r="D228" s="31" t="inlineStr">
        <is>
          <t>JSW Dulux Ltd</t>
        </is>
      </c>
      <c r="E228" s="31" t="inlineStr">
        <is>
          <t>building materials</t>
        </is>
      </c>
      <c r="F228" s="31" t="inlineStr">
        <is>
          <t>paints / varnishes</t>
        </is>
      </c>
      <c r="G228" s="31" t="inlineStr">
        <is>
          <t>midcap</t>
        </is>
      </c>
      <c r="H228" s="32" t="n">
        <v>14517.34</v>
      </c>
      <c r="I228" s="32" t="n">
        <v>3168.4</v>
      </c>
      <c r="J228" s="32" t="n">
        <v>-0.61</v>
      </c>
      <c r="K228" s="32" t="n">
        <v>46312</v>
      </c>
      <c r="L228" s="31" t="n">
        <v>6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56.21</v>
      </c>
      <c r="P228" s="32" t="n">
        <v>18.34</v>
      </c>
      <c r="Q228" s="32" t="n">
        <v>2608.58</v>
      </c>
      <c r="R228" s="31" t="inlineStr">
        <is>
          <t>Earnings / Momentum Support</t>
        </is>
      </c>
      <c r="S228" s="31" t="inlineStr">
        <is>
          <t>Nifty Infra</t>
        </is>
      </c>
      <c r="T228" s="32" t="n">
        <v>2.95</v>
      </c>
      <c r="U228" s="32" t="n">
        <v>3.01</v>
      </c>
      <c r="V228" s="32" t="n">
        <v>0.06</v>
      </c>
      <c r="W228" s="32" t="n">
        <v>3.42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1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More than 20%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Less than 1.5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IF(B229=0,"",RANK(B229,$B$2:$B$282,0))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KIMS</t>
        </is>
      </c>
      <c r="D229" s="31" t="inlineStr">
        <is>
          <t>Krishna Institute of Medical Sciences Ltd</t>
        </is>
      </c>
      <c r="E229" s="31" t="inlineStr">
        <is>
          <t>healthcare</t>
        </is>
      </c>
      <c r="F229" s="31" t="inlineStr">
        <is>
          <t>healthcare</t>
        </is>
      </c>
      <c r="G229" s="31" t="inlineStr">
        <is>
          <t>largecap</t>
        </is>
      </c>
      <c r="H229" s="32" t="n">
        <v>30626.63</v>
      </c>
      <c r="I229" s="32" t="n">
        <v>785.1</v>
      </c>
      <c r="J229" s="32" t="n">
        <v>2.57</v>
      </c>
      <c r="K229" s="32" t="n">
        <v>483256</v>
      </c>
      <c r="L229" s="31" t="n">
        <v>25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64.06999999999999</v>
      </c>
      <c r="P229" s="32" t="n">
        <v>20.63</v>
      </c>
      <c r="Q229" s="32" t="n">
        <v>630.29</v>
      </c>
      <c r="R229" s="31" t="inlineStr">
        <is>
          <t>Volume Spike &amp; Near 52W High Breakout</t>
        </is>
      </c>
      <c r="S229" s="31" t="inlineStr">
        <is>
          <t>Nifty Pharma</t>
        </is>
      </c>
      <c r="T229" s="32" t="n">
        <v>10.89</v>
      </c>
      <c r="U229" s="32" t="n">
        <v>15.46</v>
      </c>
      <c r="V229" s="32" t="n">
        <v>4.12</v>
      </c>
      <c r="W229" s="32" t="n">
        <v>8.41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Yes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Annuity, Lower One Time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Blue sky scenario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Between 50% to 70%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More than 1.2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IF(B230=0,"",RANK(B230,$B$2:$B$282,0))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DIAMONDYD</t>
        </is>
      </c>
      <c r="D230" s="31" t="inlineStr">
        <is>
          <t>Prataap Snacks Ltd</t>
        </is>
      </c>
      <c r="E230" s="31" t="inlineStr">
        <is>
          <t>fmcg</t>
        </is>
      </c>
      <c r="F230" s="31" t="inlineStr">
        <is>
          <t>food - processing - indian</t>
        </is>
      </c>
      <c r="G230" s="31" t="inlineStr">
        <is>
          <t>smallcap</t>
        </is>
      </c>
      <c r="H230" s="32" t="n">
        <v>2680.3</v>
      </c>
      <c r="I230" s="32" t="n">
        <v>1129.4</v>
      </c>
      <c r="J230" s="32" t="n">
        <v>0.72</v>
      </c>
      <c r="K230" s="32" t="n">
        <v>14618</v>
      </c>
      <c r="L230" s="31" t="n">
        <v>11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59.63</v>
      </c>
      <c r="P230" s="32" t="n">
        <v>19.42</v>
      </c>
      <c r="Q230" s="32" t="n">
        <v>919.92</v>
      </c>
      <c r="R230" s="31" t="inlineStr">
        <is>
          <t>Earnings / Momentum Support</t>
        </is>
      </c>
      <c r="S230" s="31" t="inlineStr">
        <is>
          <t>Nifty FMCG</t>
        </is>
      </c>
      <c r="T230" s="32" t="n">
        <v>-10.45</v>
      </c>
      <c r="U230" s="32" t="n">
        <v>3.64</v>
      </c>
      <c r="V230" s="32" t="n">
        <v>15.74</v>
      </c>
      <c r="W230" s="32" t="n">
        <v>5.19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Headwind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B2C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Annuity, Lower One Time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Between 50% to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IF(B231=0,"",RANK(B231,$B$2:$B$282,0))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AJANTPHARM</t>
        </is>
      </c>
      <c r="D231" s="31" t="inlineStr">
        <is>
          <t>Ajanta Pharma Limited</t>
        </is>
      </c>
      <c r="E231" s="31" t="inlineStr">
        <is>
          <t>healthcare</t>
        </is>
      </c>
      <c r="F231" s="31" t="inlineStr">
        <is>
          <t>pharmaceuticals - indian - formulations</t>
        </is>
      </c>
      <c r="G231" s="31" t="inlineStr">
        <is>
          <t>largecap</t>
        </is>
      </c>
      <c r="H231" s="32" t="n">
        <v>39272.26</v>
      </c>
      <c r="I231" s="32" t="n">
        <v>3131</v>
      </c>
      <c r="J231" s="32" t="n">
        <v>-0.39</v>
      </c>
      <c r="K231" s="32" t="n">
        <v>80576</v>
      </c>
      <c r="L231" s="31" t="n">
        <v>10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61.84</v>
      </c>
      <c r="P231" s="32" t="n">
        <v>35.68</v>
      </c>
      <c r="Q231" s="32" t="n">
        <v>2605.48</v>
      </c>
      <c r="R231" s="31" t="inlineStr">
        <is>
          <t>Near 52W High Breakout</t>
        </is>
      </c>
      <c r="S231" s="31" t="inlineStr">
        <is>
          <t>Nifty Pharma</t>
        </is>
      </c>
      <c r="T231" s="32" t="n">
        <v>10.89</v>
      </c>
      <c r="U231" s="32" t="n">
        <v>20.19</v>
      </c>
      <c r="V231" s="32" t="n">
        <v>8.390000000000001</v>
      </c>
      <c r="W231" s="32" t="n">
        <v>4.55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Yes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Annuity, Lower One Time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Negative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Between 12 to 20%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No</t>
        </is>
      </c>
      <c r="BS231" s="31">
        <f>IF(BR231="NO",5,0)</f>
        <v/>
      </c>
      <c r="BT231" s="31" t="inlineStr">
        <is>
          <t>Between 1.5 to 2</t>
        </is>
      </c>
      <c r="BU231" s="31">
        <f>IF(BT231="Above 2",0,IF(BT231="Between 1.5 to 2",5,IF(BT231="Less than 1.5",10,0)))</f>
        <v/>
      </c>
      <c r="BV231" s="31" t="inlineStr">
        <is>
          <t>Less than 50%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Less than 0.7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IF(B232=0,"",RANK(B232,$B$2:$B$282,0))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TVSSCS</t>
        </is>
      </c>
      <c r="D232" s="31" t="inlineStr">
        <is>
          <t>TVS Supply Chain Solutions Ltd</t>
        </is>
      </c>
      <c r="E232" s="31" t="inlineStr">
        <is>
          <t>transportation</t>
        </is>
      </c>
      <c r="F232" s="31" t="inlineStr">
        <is>
          <t>miscellaneous</t>
        </is>
      </c>
      <c r="G232" s="31" t="inlineStr">
        <is>
          <t>midcap</t>
        </is>
      </c>
      <c r="H232" s="32" t="n">
        <v>5304.75</v>
      </c>
      <c r="I232" s="32" t="n">
        <v>132.26</v>
      </c>
      <c r="J232" s="32" t="n">
        <v>10</v>
      </c>
      <c r="K232" s="32" t="n">
        <v>1581448</v>
      </c>
      <c r="L232" s="31" t="n">
        <v>16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59.38</v>
      </c>
      <c r="P232" s="32" t="n">
        <v>11.1</v>
      </c>
      <c r="Q232" s="32" t="n">
        <v>97.61</v>
      </c>
      <c r="R232" s="31" t="inlineStr">
        <is>
          <t>Volume Spike &amp; Near 52W High Breakout</t>
        </is>
      </c>
      <c r="S232" s="31" t="inlineStr">
        <is>
          <t>Nifty 50</t>
        </is>
      </c>
      <c r="T232" s="32" t="n">
        <v>-4.43</v>
      </c>
      <c r="U232" s="32" t="n">
        <v>-1.42</v>
      </c>
      <c r="V232" s="32" t="n">
        <v>3.15</v>
      </c>
      <c r="W232" s="32" t="n">
        <v>6.11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Yes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0 to 20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Above 70%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More than 1.2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IF(B233=0,"",RANK(B233,$B$2:$B$282,0))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LLOYDSENGG</t>
        </is>
      </c>
      <c r="D233" s="31" t="inlineStr">
        <is>
          <t>Lloyds Engineering Works Ltd</t>
        </is>
      </c>
      <c r="E233" s="31" t="inlineStr">
        <is>
          <t>industrials</t>
        </is>
      </c>
      <c r="F233" s="31" t="inlineStr">
        <is>
          <t>engineering</t>
        </is>
      </c>
      <c r="G233" s="31" t="inlineStr">
        <is>
          <t>midcap</t>
        </is>
      </c>
      <c r="H233" s="32" t="n">
        <v>9876.59</v>
      </c>
      <c r="I233" s="32" t="n">
        <v>70.94</v>
      </c>
      <c r="J233" s="32" t="n">
        <v>6.31</v>
      </c>
      <c r="K233" s="32" t="n">
        <v>7051380</v>
      </c>
      <c r="L233" s="31" t="n">
        <v>70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65.83</v>
      </c>
      <c r="P233" s="32" t="n">
        <v>28.69</v>
      </c>
      <c r="Q233" s="32" t="n">
        <v>54.59</v>
      </c>
      <c r="R233" s="31" t="inlineStr">
        <is>
          <t>Earnings / Momentum Support</t>
        </is>
      </c>
      <c r="S233" s="31" t="inlineStr">
        <is>
          <t>Nifty 50</t>
        </is>
      </c>
      <c r="T233" s="32" t="n">
        <v>-4.43</v>
      </c>
      <c r="U233" s="32" t="n">
        <v>16.34</v>
      </c>
      <c r="V233" s="32" t="n">
        <v>21.74</v>
      </c>
      <c r="W233" s="32" t="n">
        <v>21.1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No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2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Yes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Negative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IF(B234=0,"",RANK(B234,$B$2:$B$282,0))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DEEDEV</t>
        </is>
      </c>
      <c r="D234" s="31" t="inlineStr">
        <is>
          <t>DEE Development Engineers Ltd</t>
        </is>
      </c>
      <c r="E234" s="31" t="inlineStr">
        <is>
          <t>metals &amp; mining</t>
        </is>
      </c>
      <c r="F234" s="31" t="inlineStr">
        <is>
          <t>steel - medium / small</t>
        </is>
      </c>
      <c r="G234" s="31" t="inlineStr">
        <is>
          <t>smallcap</t>
        </is>
      </c>
      <c r="H234" s="32" t="n">
        <v>4332.08</v>
      </c>
      <c r="I234" s="32" t="n">
        <v>656.7</v>
      </c>
      <c r="J234" s="32" t="n">
        <v>5</v>
      </c>
      <c r="K234" s="32" t="n">
        <v>141364</v>
      </c>
      <c r="L234" s="31" t="n">
        <v>95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84.41</v>
      </c>
      <c r="P234" s="32" t="n">
        <v>60.48</v>
      </c>
      <c r="Q234" s="32" t="n">
        <v>511.78</v>
      </c>
      <c r="R234" s="31" t="inlineStr">
        <is>
          <t>Near 52W High Breakout</t>
        </is>
      </c>
      <c r="S234" s="31" t="inlineStr">
        <is>
          <t>Nifty Metal</t>
        </is>
      </c>
      <c r="T234" s="32" t="n">
        <v>38.84</v>
      </c>
      <c r="U234" s="32" t="n">
        <v>129.09</v>
      </c>
      <c r="V234" s="32" t="n">
        <v>65.01000000000001</v>
      </c>
      <c r="W234" s="32" t="n">
        <v>50.9</v>
      </c>
      <c r="X234" s="31" t="inlineStr">
        <is>
          <t>Cyclical in an Upturn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Cyclical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Volatile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Yes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Above 40</t>
        </is>
      </c>
      <c r="AY234" s="31">
        <f>IF(AX234="Above 40",20,IF(AX234="20 to 40",10,IF(AX234="0 to 20",-5,0)))</f>
        <v/>
      </c>
      <c r="AZ234" s="31" t="inlineStr">
        <is>
          <t>Above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Blue sky scenario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Yes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Less than 50%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IF(B235=0,"",RANK(B235,$B$2:$B$282,0))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TRITURBINE</t>
        </is>
      </c>
      <c r="D235" s="31" t="inlineStr">
        <is>
          <t>Triveni Turbine Limited</t>
        </is>
      </c>
      <c r="E235" s="31" t="inlineStr">
        <is>
          <t>industrials</t>
        </is>
      </c>
      <c r="F235" s="31" t="inlineStr">
        <is>
          <t>electric equipment</t>
        </is>
      </c>
      <c r="G235" s="31" t="inlineStr">
        <is>
          <t>largecap</t>
        </is>
      </c>
      <c r="H235" s="32" t="n">
        <v>20367.53</v>
      </c>
      <c r="I235" s="32" t="n">
        <v>671.2</v>
      </c>
      <c r="J235" s="32" t="n">
        <v>4.76</v>
      </c>
      <c r="K235" s="32" t="n">
        <v>671285</v>
      </c>
      <c r="L235" s="31" t="n">
        <v>48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65.84</v>
      </c>
      <c r="P235" s="32" t="n">
        <v>32.52</v>
      </c>
      <c r="Q235" s="32" t="n">
        <v>569.1900000000001</v>
      </c>
      <c r="R235" s="31" t="inlineStr">
        <is>
          <t>Earnings / Momentum Support</t>
        </is>
      </c>
      <c r="S235" s="31" t="inlineStr">
        <is>
          <t>Nifty 50</t>
        </is>
      </c>
      <c r="T235" s="32" t="n">
        <v>-4.43</v>
      </c>
      <c r="U235" s="32" t="n">
        <v>12.74</v>
      </c>
      <c r="V235" s="32" t="n">
        <v>17.97</v>
      </c>
      <c r="W235" s="32" t="n">
        <v>13.58</v>
      </c>
      <c r="X235" s="31" t="inlineStr">
        <is>
          <t>Cyclical in an Upturn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No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20 to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Less than 12%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Less than 50%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Less than 0.7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IF(B236=0,"",RANK(B236,$B$2:$B$282,0))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1" t="inlineStr">
        <is>
          <t>LOKESHMACH</t>
        </is>
      </c>
      <c r="D236" s="31" t="inlineStr">
        <is>
          <t>Lokesh Machines Limited</t>
        </is>
      </c>
      <c r="E236" s="31" t="inlineStr">
        <is>
          <t>industrials</t>
        </is>
      </c>
      <c r="F236" s="31" t="inlineStr">
        <is>
          <t>engineering</t>
        </is>
      </c>
      <c r="G236" s="31" t="inlineStr">
        <is>
          <t>smallcap</t>
        </is>
      </c>
      <c r="H236" s="32" t="n">
        <v>545.2</v>
      </c>
      <c r="I236" s="32" t="n">
        <v>265.6</v>
      </c>
      <c r="J236" s="32" t="n">
        <v>3.75</v>
      </c>
      <c r="K236" s="32" t="n">
        <v>27225</v>
      </c>
      <c r="L236" s="31" t="n">
        <v>55</v>
      </c>
      <c r="M236" s="31" t="inlineStr">
        <is>
          <t>Outperforming</t>
        </is>
      </c>
      <c r="N236" s="32">
        <f>IF(M236="Underperforming",-5,IF(L236&gt;=95,15,IF(L236&gt;=90,10,IF(L236&gt;=80,5,0))))</f>
        <v/>
      </c>
      <c r="O236" s="32" t="n">
        <v>62.55</v>
      </c>
      <c r="P236" s="32" t="n">
        <v>37.71</v>
      </c>
      <c r="Q236" s="32" t="n">
        <v>192.57</v>
      </c>
      <c r="R236" s="31" t="inlineStr">
        <is>
          <t>Near 52W High Breakout</t>
        </is>
      </c>
      <c r="S236" s="31" t="inlineStr">
        <is>
          <t>Nifty 50</t>
        </is>
      </c>
      <c r="T236" s="32" t="n">
        <v>-4.43</v>
      </c>
      <c r="U236" s="32" t="n">
        <v>49.43</v>
      </c>
      <c r="V236" s="32" t="n">
        <v>56.36</v>
      </c>
      <c r="W236" s="32" t="n">
        <v>16.05</v>
      </c>
      <c r="X236" s="31" t="inlineStr">
        <is>
          <t>Cyclical in an Upturn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No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Yes</t>
        </is>
      </c>
      <c r="AQ236" s="31">
        <f>IF(AP236="Yes",10,0)</f>
        <v/>
      </c>
      <c r="AR236" s="31" t="inlineStr">
        <is>
          <t>Higher One Time, Lower Annuity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20 to 40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Negative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Between 0.7 to 1.2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IF(B237=0,"",RANK(B237,$B$2:$B$282,0))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DEEPAKFERT</t>
        </is>
      </c>
      <c r="D237" s="31" t="inlineStr">
        <is>
          <t>Deepak Fertilizers And Petrochemicals Corporation Limited</t>
        </is>
      </c>
      <c r="E237" s="31" t="inlineStr">
        <is>
          <t>chemicals</t>
        </is>
      </c>
      <c r="F237" s="31" t="inlineStr">
        <is>
          <t>chemicals</t>
        </is>
      </c>
      <c r="G237" s="31" t="inlineStr">
        <is>
          <t>midcap</t>
        </is>
      </c>
      <c r="H237" s="32" t="n">
        <v>18955.87</v>
      </c>
      <c r="I237" s="32" t="n">
        <v>1554.6</v>
      </c>
      <c r="J237" s="32" t="n">
        <v>3.53</v>
      </c>
      <c r="K237" s="32" t="n">
        <v>740484</v>
      </c>
      <c r="L237" s="31" t="n">
        <v>59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69.33</v>
      </c>
      <c r="P237" s="32" t="n">
        <v>31.24</v>
      </c>
      <c r="Q237" s="32" t="n">
        <v>1182.74</v>
      </c>
      <c r="R237" s="31" t="inlineStr">
        <is>
          <t>Earnings / Momentum Support</t>
        </is>
      </c>
      <c r="S237" s="31" t="inlineStr">
        <is>
          <t>Nifty 50</t>
        </is>
      </c>
      <c r="T237" s="32" t="n">
        <v>-4.43</v>
      </c>
      <c r="U237" s="32" t="n">
        <v>0.74</v>
      </c>
      <c r="V237" s="32" t="n">
        <v>5.41</v>
      </c>
      <c r="W237" s="32" t="n">
        <v>16.97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No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One Time, Lower Annuity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20 to 40</t>
        </is>
      </c>
      <c r="AY237" s="31">
        <f>IF(AX237="Above 40",20,IF(AX237="20 to 40",10,IF(AX237="0 to 20",-5,0)))</f>
        <v/>
      </c>
      <c r="AZ237" s="31" t="inlineStr">
        <is>
          <t>Between 50 to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No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Less than 50%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Between 0.7 to 1.2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IF(B238=0,"",RANK(B238,$B$2:$B$282,0))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PTCIL</t>
        </is>
      </c>
      <c r="D238" s="31" t="inlineStr">
        <is>
          <t>PTC Industries Ltd</t>
        </is>
      </c>
      <c r="E238" s="31" t="inlineStr">
        <is>
          <t>industrials</t>
        </is>
      </c>
      <c r="F238" s="31" t="inlineStr">
        <is>
          <t>castings &amp; forgings</t>
        </is>
      </c>
      <c r="G238" s="31" t="inlineStr">
        <is>
          <t>largecap</t>
        </is>
      </c>
      <c r="H238" s="32" t="n">
        <v>27256.45</v>
      </c>
      <c r="I238" s="32" t="n">
        <v>18602</v>
      </c>
      <c r="J238" s="32" t="n">
        <v>2.32</v>
      </c>
      <c r="K238" s="32" t="n">
        <v>10057</v>
      </c>
      <c r="L238" s="31" t="n">
        <v>18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60.68</v>
      </c>
      <c r="P238" s="32" t="n">
        <v>14.22</v>
      </c>
      <c r="Q238" s="32" t="n">
        <v>14546.34</v>
      </c>
      <c r="R238" s="31" t="inlineStr">
        <is>
          <t>Near 52W High Breakout</t>
        </is>
      </c>
      <c r="S238" s="31" t="inlineStr">
        <is>
          <t>Nifty 50</t>
        </is>
      </c>
      <c r="T238" s="32" t="n">
        <v>-4.43</v>
      </c>
      <c r="U238" s="32" t="n">
        <v>21.76</v>
      </c>
      <c r="V238" s="32" t="n">
        <v>27.41</v>
      </c>
      <c r="W238" s="32" t="n">
        <v>6.71</v>
      </c>
      <c r="X238" s="31" t="inlineStr">
        <is>
          <t>Cyclical in an Upturn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B2B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One Time, Lower Annuity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0 to 20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Positive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Negative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Less than 0.7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IF(B239=0,"",RANK(B239,$B$2:$B$282,0))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ASIANENE</t>
        </is>
      </c>
      <c r="D239" s="31" t="inlineStr">
        <is>
          <t>Asian Energy Services Ltd</t>
        </is>
      </c>
      <c r="E239" s="31" t="inlineStr">
        <is>
          <t>energy</t>
        </is>
      </c>
      <c r="F239" s="31" t="inlineStr">
        <is>
          <t>oil drilling / allied services</t>
        </is>
      </c>
      <c r="G239" s="31" t="inlineStr">
        <is>
          <t>smallcap</t>
        </is>
      </c>
      <c r="H239" s="32" t="n">
        <v>1759.72</v>
      </c>
      <c r="I239" s="32" t="n">
        <v>366.2</v>
      </c>
      <c r="J239" s="32" t="n">
        <v>1.16</v>
      </c>
      <c r="K239" s="32" t="n">
        <v>187540</v>
      </c>
      <c r="L239" s="31" t="n">
        <v>42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61.66</v>
      </c>
      <c r="P239" s="32" t="n">
        <v>13.59</v>
      </c>
      <c r="Q239" s="32" t="n">
        <v>272.85</v>
      </c>
      <c r="R239" s="31" t="inlineStr">
        <is>
          <t>Near 52W High Breakout</t>
        </is>
      </c>
      <c r="S239" s="31" t="inlineStr">
        <is>
          <t>Nifty Energy</t>
        </is>
      </c>
      <c r="T239" s="32" t="n">
        <v>9.800000000000001</v>
      </c>
      <c r="U239" s="32" t="n">
        <v>18.14</v>
      </c>
      <c r="V239" s="32" t="n">
        <v>7.59</v>
      </c>
      <c r="W239" s="32" t="n">
        <v>12.13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Oligopoly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Yes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Cyclical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Volatile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Higher One Time, Lower Annuity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Good</t>
        </is>
      </c>
      <c r="AU239" s="31">
        <f>IF(AT239="Good",10,0)</f>
        <v/>
      </c>
      <c r="AV239" s="31" t="inlineStr">
        <is>
          <t>Yes for more than 2 years</t>
        </is>
      </c>
      <c r="AW239" s="31">
        <f>IF(AV239="Yes for more than 2 years",10,IF(AV239="Yes only for next 1 to 2 years",5,0))</f>
        <v/>
      </c>
      <c r="AX239" s="31" t="inlineStr">
        <is>
          <t>0 to 20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Close to 52 week high or retracement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More than 20%</t>
        </is>
      </c>
      <c r="BO239" s="31">
        <f>IF(BN239="More than 20%",10,IF(BN239="Between 12 to 20%",5,IF(BN239="Less than 12%",0,0)))</f>
        <v/>
      </c>
      <c r="BP239" s="31" t="inlineStr">
        <is>
          <t>No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Less than 1.5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IF(B240=0,"",RANK(B240,$B$2:$B$282,0))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CHAMBLFERT</t>
        </is>
      </c>
      <c r="D240" s="33" t="inlineStr">
        <is>
          <t>Chambal Fertilizers &amp; Chemicals Limited</t>
        </is>
      </c>
      <c r="E240" s="31" t="inlineStr">
        <is>
          <t>chemicals</t>
        </is>
      </c>
      <c r="F240" s="31" t="inlineStr">
        <is>
          <t>fertilizers</t>
        </is>
      </c>
      <c r="G240" s="31" t="inlineStr">
        <is>
          <t>midcap</t>
        </is>
      </c>
      <c r="H240" s="32" t="n">
        <v>18642.35</v>
      </c>
      <c r="I240" s="32" t="n">
        <v>470.2</v>
      </c>
      <c r="J240" s="32" t="n">
        <v>1.05</v>
      </c>
      <c r="K240" s="32" t="n">
        <v>549391</v>
      </c>
      <c r="L240" s="31" t="n">
        <v>1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54.98</v>
      </c>
      <c r="P240" s="32" t="n">
        <v>15.72</v>
      </c>
      <c r="Q240" s="32" t="n">
        <v>385.45</v>
      </c>
      <c r="R240" s="31" t="inlineStr">
        <is>
          <t>Volume Spike / Accumulation</t>
        </is>
      </c>
      <c r="S240" s="31" t="inlineStr">
        <is>
          <t>Nifty 50</t>
        </is>
      </c>
      <c r="T240" s="32" t="n">
        <v>-4.43</v>
      </c>
      <c r="U240" s="32" t="n">
        <v>-12.68</v>
      </c>
      <c r="V240" s="32" t="n">
        <v>-8.630000000000001</v>
      </c>
      <c r="W240" s="32" t="n">
        <v>0.5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No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Yes</t>
        </is>
      </c>
      <c r="AQ240" s="31">
        <f>IF(AP240="Yes",10,0)</f>
        <v/>
      </c>
      <c r="AR240" s="31" t="inlineStr">
        <is>
          <t>Higher One Time, Lower Annuity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0 to 20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1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More than 20%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Less than 1.5</t>
        </is>
      </c>
      <c r="BU240" s="31">
        <f>IF(BT240="Above 2",0,IF(BT240="Between 1.5 to 2",5,IF(BT240="Less than 1.5",10,0)))</f>
        <v/>
      </c>
      <c r="BV240" s="31" t="inlineStr">
        <is>
          <t>Less than 50%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IF(B241=0,"",RANK(B241,$B$2:$B$282,0))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1" t="inlineStr">
        <is>
          <t>TATACOMM</t>
        </is>
      </c>
      <c r="D241" s="31" t="inlineStr">
        <is>
          <t>Tata Communications Limited</t>
        </is>
      </c>
      <c r="E241" s="31" t="inlineStr">
        <is>
          <t>telecom-service</t>
        </is>
      </c>
      <c r="F241" s="31" t="inlineStr">
        <is>
          <t>telecommunications - service provider</t>
        </is>
      </c>
      <c r="G241" s="31" t="inlineStr">
        <is>
          <t>largecap</t>
        </is>
      </c>
      <c r="H241" s="32" t="n">
        <v>56031</v>
      </c>
      <c r="I241" s="32" t="n">
        <v>1966.6</v>
      </c>
      <c r="J241" s="32" t="n">
        <v>0.03</v>
      </c>
      <c r="K241" s="32" t="n">
        <v>281125</v>
      </c>
      <c r="L241" s="31" t="n">
        <v>46</v>
      </c>
      <c r="M241" s="31" t="inlineStr">
        <is>
          <t>Outperforming</t>
        </is>
      </c>
      <c r="N241" s="32">
        <f>IF(M241="Underperforming",-5,IF(L241&gt;=95,15,IF(L241&gt;=90,10,IF(L241&gt;=80,5,0))))</f>
        <v/>
      </c>
      <c r="O241" s="32" t="n">
        <v>68.66</v>
      </c>
      <c r="P241" s="32" t="n">
        <v>28.03</v>
      </c>
      <c r="Q241" s="32" t="n">
        <v>1560.39</v>
      </c>
      <c r="R241" s="31" t="inlineStr">
        <is>
          <t>Near 52W High Breakout</t>
        </is>
      </c>
      <c r="S241" s="31" t="inlineStr">
        <is>
          <t>Nifty 500</t>
        </is>
      </c>
      <c r="T241" s="32" t="n">
        <v>-1.34</v>
      </c>
      <c r="U241" s="32" t="n">
        <v>17</v>
      </c>
      <c r="V241" s="32" t="n">
        <v>18.58</v>
      </c>
      <c r="W241" s="32" t="n">
        <v>13.3</v>
      </c>
      <c r="X241" s="31" t="inlineStr">
        <is>
          <t>Growing Industry</t>
        </is>
      </c>
      <c r="Y241" s="31">
        <f>IF(X241="Growing Industry",10,IF(X241="Cyclical in an Upturn",5,0))</f>
        <v/>
      </c>
      <c r="Z241" s="31" t="inlineStr">
        <is>
          <t>Oligopoly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Yes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Structural (10 Years Consistency)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Stable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Yes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More than 1.2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IF(B242=0,"",RANK(B242,$B$2:$B$282,0))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BBOX</t>
        </is>
      </c>
      <c r="D242" s="31" t="inlineStr">
        <is>
          <t>Black Box Ltd</t>
        </is>
      </c>
      <c r="E242" s="31" t="inlineStr">
        <is>
          <t>i.t</t>
        </is>
      </c>
      <c r="F242" s="31" t="inlineStr">
        <is>
          <t>computers - software - medium / small</t>
        </is>
      </c>
      <c r="G242" s="31" t="inlineStr">
        <is>
          <t>midcap</t>
        </is>
      </c>
      <c r="H242" s="32" t="n">
        <v>17545.41</v>
      </c>
      <c r="I242" s="32" t="n">
        <v>1018.6</v>
      </c>
      <c r="J242" s="32" t="n">
        <v>3.05</v>
      </c>
      <c r="K242" s="32" t="n">
        <v>567032</v>
      </c>
      <c r="L242" s="31" t="n">
        <v>93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78.56999999999999</v>
      </c>
      <c r="P242" s="32" t="n">
        <v>35.09</v>
      </c>
      <c r="Q242" s="32" t="n">
        <v>833.48</v>
      </c>
      <c r="R242" s="31" t="inlineStr">
        <is>
          <t>Earnings / Momentum Support</t>
        </is>
      </c>
      <c r="S242" s="31" t="inlineStr">
        <is>
          <t>Nifty IT</t>
        </is>
      </c>
      <c r="T242" s="32" t="n">
        <v>-27.75</v>
      </c>
      <c r="U242" s="32" t="n">
        <v>93.62</v>
      </c>
      <c r="V242" s="32" t="n">
        <v>167.96</v>
      </c>
      <c r="W242" s="32" t="n">
        <v>41.38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No</t>
        </is>
      </c>
      <c r="AQ242" s="31">
        <f>IF(AP242="Yes",10,0)</f>
        <v/>
      </c>
      <c r="AR242" s="31" t="inlineStr">
        <is>
          <t>Higher Annuity, Lower One Time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20 to 40</t>
        </is>
      </c>
      <c r="AY242" s="31">
        <f>IF(AX242="Above 40",20,IF(AX242="20 to 40",10,IF(AX242="0 to 20",-5,0)))</f>
        <v/>
      </c>
      <c r="AZ242" s="31" t="inlineStr">
        <is>
          <t>Above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Close to 52 week high or retracement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Less than 12%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Above 2</t>
        </is>
      </c>
      <c r="BU242" s="31">
        <f>IF(BT242="Above 2",0,IF(BT242="Between 1.5 to 2",5,IF(BT242="Less than 1.5",10,0)))</f>
        <v/>
      </c>
      <c r="BV242" s="31" t="inlineStr">
        <is>
          <t>Less than 50%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Between 0.7 to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IF(B243=0,"",RANK(B243,$B$2:$B$282,0))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1" t="inlineStr">
        <is>
          <t>VSTIND</t>
        </is>
      </c>
      <c r="D243" s="31" t="inlineStr">
        <is>
          <t>Vst Industries Limited</t>
        </is>
      </c>
      <c r="E243" s="31" t="inlineStr">
        <is>
          <t>fmcg</t>
        </is>
      </c>
      <c r="F243" s="31" t="inlineStr">
        <is>
          <t>cigarettes</t>
        </is>
      </c>
      <c r="G243" s="31" t="inlineStr">
        <is>
          <t>smallcap</t>
        </is>
      </c>
      <c r="H243" s="32" t="n">
        <v>4353.54</v>
      </c>
      <c r="I243" s="32" t="n">
        <v>259.75</v>
      </c>
      <c r="J243" s="32" t="n">
        <v>1.35</v>
      </c>
      <c r="K243" s="32" t="n">
        <v>163623</v>
      </c>
      <c r="L243" s="31" t="n">
        <v>6</v>
      </c>
      <c r="M243" s="31" t="inlineStr">
        <is>
          <t>Outperforming</t>
        </is>
      </c>
      <c r="N243" s="32">
        <f>IF(M243="Underperforming",-5,IF(L243&gt;=95,15,IF(L243&gt;=90,10,IF(L243&gt;=80,5,0))))</f>
        <v/>
      </c>
      <c r="O243" s="32" t="n">
        <v>56.78</v>
      </c>
      <c r="P243" s="32" t="n">
        <v>30.17</v>
      </c>
      <c r="Q243" s="32" t="n">
        <v>221.17</v>
      </c>
      <c r="R243" s="31" t="inlineStr">
        <is>
          <t>Earnings / Momentum Support</t>
        </is>
      </c>
      <c r="S243" s="31" t="inlineStr">
        <is>
          <t>Nifty FMCG</t>
        </is>
      </c>
      <c r="T243" s="32" t="n">
        <v>-10.45</v>
      </c>
      <c r="U243" s="32" t="n">
        <v>-6.06</v>
      </c>
      <c r="V243" s="32" t="n">
        <v>4.91</v>
      </c>
      <c r="W243" s="32" t="n">
        <v>3.55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B2C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Annuity, Lower One Time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20 to 40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2</t>
        </is>
      </c>
      <c r="BC243" s="31">
        <f>IF(BB243="Stage 2",20,IF(BB243="Stage 1",0,IF(BB243="Stage 3",5,IF(BB243="Stage 4",-5,0))))</f>
        <v/>
      </c>
      <c r="BD243" s="31" t="inlineStr">
        <is>
          <t>Negative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Above 2</t>
        </is>
      </c>
      <c r="BU243" s="31">
        <f>IF(BT243="Above 2",0,IF(BT243="Between 1.5 to 2",5,IF(BT243="Less than 1.5",10,0)))</f>
        <v/>
      </c>
      <c r="BV243" s="31" t="inlineStr">
        <is>
          <t>Less than 50%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IF(B244=0,"",RANK(B244,$B$2:$B$282,0))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MEDANTA</t>
        </is>
      </c>
      <c r="D244" s="33" t="inlineStr">
        <is>
          <t>Global Health Ltd</t>
        </is>
      </c>
      <c r="E244" s="31" t="inlineStr">
        <is>
          <t>healthcare</t>
        </is>
      </c>
      <c r="F244" s="31" t="inlineStr">
        <is>
          <t>healthcare</t>
        </is>
      </c>
      <c r="G244" s="31" t="inlineStr">
        <is>
          <t>largecap</t>
        </is>
      </c>
      <c r="H244" s="32" t="n">
        <v>33037.03</v>
      </c>
      <c r="I244" s="32" t="n">
        <v>1235.1</v>
      </c>
      <c r="J244" s="32" t="n">
        <v>0.49</v>
      </c>
      <c r="K244" s="32" t="n">
        <v>247598</v>
      </c>
      <c r="L244" s="31" t="n">
        <v>10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57.7</v>
      </c>
      <c r="P244" s="32" t="n">
        <v>20.69</v>
      </c>
      <c r="Q244" s="32" t="n">
        <v>1008.59</v>
      </c>
      <c r="R244" s="31" t="inlineStr">
        <is>
          <t>Earnings / Momentum Support</t>
        </is>
      </c>
      <c r="S244" s="31" t="inlineStr">
        <is>
          <t>Nifty Pharma</t>
        </is>
      </c>
      <c r="T244" s="32" t="n">
        <v>10.89</v>
      </c>
      <c r="U244" s="32" t="n">
        <v>4.18</v>
      </c>
      <c r="V244" s="32" t="n">
        <v>-6.06</v>
      </c>
      <c r="W244" s="32" t="n">
        <v>4.42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Yes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Annuity, Lower One Time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20 to 40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2</t>
        </is>
      </c>
      <c r="BC244" s="31">
        <f>IF(BB244="Stage 2",20,IF(BB244="Stage 1",0,IF(BB244="Stage 3",5,IF(BB244="Stage 4",-5,0))))</f>
        <v/>
      </c>
      <c r="BD244" s="31" t="inlineStr">
        <is>
          <t>Negative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Yes</t>
        </is>
      </c>
      <c r="BS244" s="31">
        <f>IF(BR244="NO",5,0)</f>
        <v/>
      </c>
      <c r="BT244" s="31" t="inlineStr">
        <is>
          <t>Less than 1.5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IF(B245=0,"",RANK(B245,$B$2:$B$282,0))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1" t="inlineStr">
        <is>
          <t>CARBORUNIV</t>
        </is>
      </c>
      <c r="D245" s="31" t="inlineStr">
        <is>
          <t>Carborundum Universal Limited</t>
        </is>
      </c>
      <c r="E245" s="31" t="inlineStr">
        <is>
          <t>industrials</t>
        </is>
      </c>
      <c r="F245" s="31" t="inlineStr">
        <is>
          <t>abrasives and grinding wheels</t>
        </is>
      </c>
      <c r="G245" s="31" t="inlineStr">
        <is>
          <t>midcap</t>
        </is>
      </c>
      <c r="H245" s="32" t="n">
        <v>19007.34</v>
      </c>
      <c r="I245" s="32" t="n">
        <v>1053.1</v>
      </c>
      <c r="J245" s="32" t="n">
        <v>5.54</v>
      </c>
      <c r="K245" s="32" t="n">
        <v>367180</v>
      </c>
      <c r="L245" s="31" t="n">
        <v>40</v>
      </c>
      <c r="M245" s="31" t="inlineStr">
        <is>
          <t>Outperforming</t>
        </is>
      </c>
      <c r="N245" s="32">
        <f>IF(M245="Underperforming",-5,IF(L245&gt;=95,15,IF(L245&gt;=90,10,IF(L245&gt;=80,5,0))))</f>
        <v/>
      </c>
      <c r="O245" s="32" t="n">
        <v>64.43000000000001</v>
      </c>
      <c r="P245" s="32" t="n">
        <v>32.46</v>
      </c>
      <c r="Q245" s="32" t="n">
        <v>884.53</v>
      </c>
      <c r="R245" s="31" t="inlineStr">
        <is>
          <t>Near 52W High Breakout</t>
        </is>
      </c>
      <c r="S245" s="31" t="inlineStr">
        <is>
          <t>Nifty 50</t>
        </is>
      </c>
      <c r="T245" s="32" t="n">
        <v>-4.43</v>
      </c>
      <c r="U245" s="32" t="n">
        <v>11.29</v>
      </c>
      <c r="V245" s="32" t="n">
        <v>16.45</v>
      </c>
      <c r="W245" s="32" t="n">
        <v>11.62</v>
      </c>
      <c r="X245" s="31" t="inlineStr">
        <is>
          <t>Cyclical in an Upturn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Yes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20 to 40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Negative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More than 20%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Yes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Between 50% to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IF(B246=0,"",RANK(B246,$B$2:$B$282,0))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RML</t>
        </is>
      </c>
      <c r="D246" s="33" t="inlineStr">
        <is>
          <t>Rane (madras) Limited</t>
        </is>
      </c>
      <c r="E246" s="31" t="inlineStr">
        <is>
          <t>auto</t>
        </is>
      </c>
      <c r="F246" s="31" t="inlineStr">
        <is>
          <t>auto ancillaries</t>
        </is>
      </c>
      <c r="G246" s="31" t="inlineStr">
        <is>
          <t>smallcap</t>
        </is>
      </c>
      <c r="H246" s="32" t="n">
        <v>2463.3</v>
      </c>
      <c r="I246" s="32" t="n">
        <v>922.7</v>
      </c>
      <c r="J246" s="32" t="n">
        <v>3.52</v>
      </c>
      <c r="K246" s="32" t="n">
        <v>14666</v>
      </c>
      <c r="L246" s="31" t="n">
        <v>11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61.35</v>
      </c>
      <c r="P246" s="32" t="n">
        <v>19.84</v>
      </c>
      <c r="Q246" s="32" t="n">
        <v>723.8</v>
      </c>
      <c r="R246" s="31" t="inlineStr">
        <is>
          <t>Near 52W High Breakout</t>
        </is>
      </c>
      <c r="S246" s="31" t="inlineStr">
        <is>
          <t>Nifty Auto</t>
        </is>
      </c>
      <c r="T246" s="32" t="n">
        <v>12.72</v>
      </c>
      <c r="U246" s="32" t="n">
        <v>3.04</v>
      </c>
      <c r="V246" s="32" t="n">
        <v>-8.58</v>
      </c>
      <c r="W246" s="32" t="n">
        <v>5.11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Yes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Less than 12%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No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Between 50% to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Between 0.7 to 1.2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IF(B247=0,"",RANK(B247,$B$2:$B$282,0))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1" t="inlineStr">
        <is>
          <t>ATGL</t>
        </is>
      </c>
      <c r="D247" s="31" t="inlineStr">
        <is>
          <t>Adani Total Gas Ltd</t>
        </is>
      </c>
      <c r="E247" s="31" t="inlineStr">
        <is>
          <t>energy</t>
        </is>
      </c>
      <c r="F247" s="31" t="inlineStr">
        <is>
          <t>miscellaneous</t>
        </is>
      </c>
      <c r="G247" s="31" t="inlineStr">
        <is>
          <t>largecap</t>
        </is>
      </c>
      <c r="H247" s="32" t="n">
        <v>78762.89999999999</v>
      </c>
      <c r="I247" s="32" t="n">
        <v>728.5</v>
      </c>
      <c r="J247" s="32" t="n">
        <v>1.72</v>
      </c>
      <c r="K247" s="32" t="n">
        <v>3246129</v>
      </c>
      <c r="L247" s="31" t="n">
        <v>26</v>
      </c>
      <c r="M247" s="31" t="inlineStr">
        <is>
          <t>Outperforming</t>
        </is>
      </c>
      <c r="N247" s="32">
        <f>IF(M247="Underperforming",-5,IF(L247&gt;=95,15,IF(L247&gt;=90,10,IF(L247&gt;=80,5,0))))</f>
        <v/>
      </c>
      <c r="O247" s="32" t="n">
        <v>64.87</v>
      </c>
      <c r="P247" s="32" t="n">
        <v>48.67</v>
      </c>
      <c r="Q247" s="32" t="n">
        <v>572.05</v>
      </c>
      <c r="R247" s="31" t="inlineStr">
        <is>
          <t>Earnings / Momentum Support</t>
        </is>
      </c>
      <c r="S247" s="31" t="inlineStr">
        <is>
          <t>Nifty Energy</t>
        </is>
      </c>
      <c r="T247" s="32" t="n">
        <v>9.800000000000001</v>
      </c>
      <c r="U247" s="32" t="n">
        <v>10.66</v>
      </c>
      <c r="V247" s="32" t="n">
        <v>0.78</v>
      </c>
      <c r="W247" s="32" t="n">
        <v>8.57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Oligopoly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Yes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No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Less than 12%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Yes</t>
        </is>
      </c>
      <c r="BS247" s="31">
        <f>IF(BR247="NO",5,0)</f>
        <v/>
      </c>
      <c r="BT247" s="31" t="inlineStr">
        <is>
          <t>Above 2</t>
        </is>
      </c>
      <c r="BU247" s="31">
        <f>IF(BT247="Above 2",0,IF(BT247="Between 1.5 to 2",5,IF(BT247="Less than 1.5",10,0)))</f>
        <v/>
      </c>
      <c r="BV247" s="31" t="inlineStr">
        <is>
          <t>Above 70%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Less than 0.7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IF(B248=0,"",RANK(B248,$B$2:$B$282,0))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1" t="inlineStr">
        <is>
          <t>ADANIENSOL</t>
        </is>
      </c>
      <c r="D248" s="31" t="inlineStr">
        <is>
          <t>Adani Energy Solutions Ltd</t>
        </is>
      </c>
      <c r="E248" s="31" t="inlineStr">
        <is>
          <t>power &amp; utilities</t>
        </is>
      </c>
      <c r="F248" s="31" t="inlineStr">
        <is>
          <t>power generation and supply</t>
        </is>
      </c>
      <c r="G248" s="31" t="inlineStr">
        <is>
          <t>largecap</t>
        </is>
      </c>
      <c r="H248" s="32" t="n">
        <v>176192.13</v>
      </c>
      <c r="I248" s="32" t="n">
        <v>1489.6</v>
      </c>
      <c r="J248" s="32" t="n">
        <v>1.56</v>
      </c>
      <c r="K248" s="32" t="n">
        <v>1607528</v>
      </c>
      <c r="L248" s="31" t="n">
        <v>74</v>
      </c>
      <c r="M248" s="31" t="inlineStr">
        <is>
          <t>Outperforming</t>
        </is>
      </c>
      <c r="N248" s="32">
        <f>IF(M248="Underperforming",-5,IF(L248&gt;=95,15,IF(L248&gt;=90,10,IF(L248&gt;=80,5,0))))</f>
        <v/>
      </c>
      <c r="O248" s="32" t="n">
        <v>67.8</v>
      </c>
      <c r="P248" s="32" t="n">
        <v>34.52</v>
      </c>
      <c r="Q248" s="32" t="n">
        <v>1220.49</v>
      </c>
      <c r="R248" s="31" t="inlineStr">
        <is>
          <t>Earnings / Momentum Support</t>
        </is>
      </c>
      <c r="S248" s="31" t="inlineStr">
        <is>
          <t>Nifty IT</t>
        </is>
      </c>
      <c r="T248" s="32" t="n">
        <v>-27.75</v>
      </c>
      <c r="U248" s="32" t="n">
        <v>73.01000000000001</v>
      </c>
      <c r="V248" s="32" t="n">
        <v>139.44</v>
      </c>
      <c r="W248" s="32" t="n">
        <v>23.32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No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20 to 40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Less than 12%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Yes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Above 70%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More than 1.2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IF(B249=0,"",RANK(B249,$B$2:$B$282,0))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1" t="inlineStr">
        <is>
          <t>MSTCLTD</t>
        </is>
      </c>
      <c r="D249" s="31" t="inlineStr">
        <is>
          <t>MSTC Ltd</t>
        </is>
      </c>
      <c r="E249" s="31" t="inlineStr">
        <is>
          <t>i.t</t>
        </is>
      </c>
      <c r="F249" s="31" t="inlineStr">
        <is>
          <t>trading</t>
        </is>
      </c>
      <c r="G249" s="31" t="inlineStr">
        <is>
          <t>smallcap</t>
        </is>
      </c>
      <c r="H249" s="32" t="n">
        <v>3947.68</v>
      </c>
      <c r="I249" s="32" t="n">
        <v>568.55</v>
      </c>
      <c r="J249" s="32" t="n">
        <v>1.39</v>
      </c>
      <c r="K249" s="32" t="n">
        <v>919737</v>
      </c>
      <c r="L249" s="31" t="n">
        <v>37</v>
      </c>
      <c r="M249" s="31" t="inlineStr">
        <is>
          <t>Outperforming</t>
        </is>
      </c>
      <c r="N249" s="32">
        <f>IF(M249="Underperforming",-5,IF(L249&gt;=95,15,IF(L249&gt;=90,10,IF(L249&gt;=80,5,0))))</f>
        <v/>
      </c>
      <c r="O249" s="32" t="n">
        <v>66.09999999999999</v>
      </c>
      <c r="P249" s="32" t="n">
        <v>18.16</v>
      </c>
      <c r="Q249" s="32" t="n">
        <v>435.55</v>
      </c>
      <c r="R249" s="31" t="inlineStr">
        <is>
          <t>Volume Spike &amp; Near 52W High Breakout</t>
        </is>
      </c>
      <c r="S249" s="31" t="inlineStr">
        <is>
          <t>Nifty IT</t>
        </is>
      </c>
      <c r="T249" s="32" t="n">
        <v>-27.75</v>
      </c>
      <c r="U249" s="32" t="n">
        <v>9.279999999999999</v>
      </c>
      <c r="V249" s="32" t="n">
        <v>51.25</v>
      </c>
      <c r="W249" s="32" t="n">
        <v>10.68</v>
      </c>
      <c r="X249" s="31" t="inlineStr">
        <is>
          <t>Growing Industry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Structural (10 Years Consistency)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Stable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0 to 20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Negative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IF(B250=0,"",RANK(B250,$B$2:$B$282,0))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1" t="inlineStr">
        <is>
          <t>SBC</t>
        </is>
      </c>
      <c r="D250" s="31" t="inlineStr">
        <is>
          <t>SBC Exports Ltd</t>
        </is>
      </c>
      <c r="E250" s="31" t="inlineStr">
        <is>
          <t>textiles</t>
        </is>
      </c>
      <c r="F250" s="31" t="inlineStr">
        <is>
          <t>textiles - products</t>
        </is>
      </c>
      <c r="G250" s="31" t="inlineStr">
        <is>
          <t>smallcap</t>
        </is>
      </c>
      <c r="H250" s="32" t="n">
        <v>1760.47</v>
      </c>
      <c r="I250" s="32" t="n">
        <v>37.18</v>
      </c>
      <c r="J250" s="32" t="n">
        <v>0.57</v>
      </c>
      <c r="K250" s="32" t="n">
        <v>18461673</v>
      </c>
      <c r="L250" s="31" t="n">
        <v>76</v>
      </c>
      <c r="M250" s="31" t="inlineStr">
        <is>
          <t>Outperforming</t>
        </is>
      </c>
      <c r="N250" s="32">
        <f>IF(M250="Underperforming",-5,IF(L250&gt;=95,15,IF(L250&gt;=90,10,IF(L250&gt;=80,5,0))))</f>
        <v/>
      </c>
      <c r="O250" s="32" t="n">
        <v>70.84</v>
      </c>
      <c r="P250" s="32" t="n">
        <v>23.35</v>
      </c>
      <c r="Q250" s="32" t="n">
        <v>32.78</v>
      </c>
      <c r="R250" s="31" t="inlineStr">
        <is>
          <t>Earnings / Momentum Support</t>
        </is>
      </c>
      <c r="S250" s="31" t="inlineStr">
        <is>
          <t>Nifty 50</t>
        </is>
      </c>
      <c r="T250" s="32" t="n">
        <v>-4.43</v>
      </c>
      <c r="U250" s="32" t="n">
        <v>150.03</v>
      </c>
      <c r="V250" s="32" t="n">
        <v>161.63</v>
      </c>
      <c r="W250" s="32" t="n">
        <v>24.29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More than 20%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Yes</t>
        </is>
      </c>
      <c r="BS250" s="31">
        <f>IF(BR250="NO",5,0)</f>
        <v/>
      </c>
      <c r="BT250" s="31" t="inlineStr">
        <is>
          <t>Less than 1.5</t>
        </is>
      </c>
      <c r="BU250" s="31">
        <f>IF(BT250="Above 2",0,IF(BT250="Between 1.5 to 2",5,IF(BT250="Less than 1.5",10,0)))</f>
        <v/>
      </c>
      <c r="BV250" s="31" t="inlineStr">
        <is>
          <t>Negative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More than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IF(B251=0,"",RANK(B251,$B$2:$B$282,0))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PANAMAPET</t>
        </is>
      </c>
      <c r="D251" s="33" t="inlineStr">
        <is>
          <t>Panama Petrochem Limited</t>
        </is>
      </c>
      <c r="E251" s="31" t="inlineStr">
        <is>
          <t>energy</t>
        </is>
      </c>
      <c r="F251" s="31" t="inlineStr">
        <is>
          <t>petrochemicals</t>
        </is>
      </c>
      <c r="G251" s="31" t="inlineStr">
        <is>
          <t>smallcap</t>
        </is>
      </c>
      <c r="H251" s="32" t="n">
        <v>2273.65</v>
      </c>
      <c r="I251" s="32" t="n">
        <v>377.25</v>
      </c>
      <c r="J251" s="32" t="n">
        <v>0.37</v>
      </c>
      <c r="K251" s="32" t="n">
        <v>288528</v>
      </c>
      <c r="L251" s="31" t="n">
        <v>36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70.52</v>
      </c>
      <c r="P251" s="32" t="n">
        <v>20.35</v>
      </c>
      <c r="Q251" s="32" t="n">
        <v>279.01</v>
      </c>
      <c r="R251" s="31" t="inlineStr">
        <is>
          <t>Volume Spike &amp; Near 52W High Breakout</t>
        </is>
      </c>
      <c r="S251" s="31" t="inlineStr">
        <is>
          <t>Nifty Energy</t>
        </is>
      </c>
      <c r="T251" s="32" t="n">
        <v>9.800000000000001</v>
      </c>
      <c r="U251" s="32" t="n">
        <v>4.86</v>
      </c>
      <c r="V251" s="32" t="n">
        <v>-4.5</v>
      </c>
      <c r="W251" s="32" t="n">
        <v>10.56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Oligopoly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Yes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Cyclical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Volatile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20 to 40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More than 20%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Less than 1.5</t>
        </is>
      </c>
      <c r="BU251" s="31">
        <f>IF(BT251="Above 2",0,IF(BT251="Between 1.5 to 2",5,IF(BT251="Less than 1.5",10,0)))</f>
        <v/>
      </c>
      <c r="BV251" s="31" t="inlineStr">
        <is>
          <t>Negative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Less than 0.7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IF(B252=0,"",RANK(B252,$B$2:$B$282,0))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1" t="inlineStr">
        <is>
          <t>NEOGEN</t>
        </is>
      </c>
      <c r="D252" s="31" t="inlineStr">
        <is>
          <t>Neogen Chemicals Ltd</t>
        </is>
      </c>
      <c r="E252" s="31" t="inlineStr">
        <is>
          <t>chemicals</t>
        </is>
      </c>
      <c r="F252" s="31" t="inlineStr">
        <is>
          <t>chemicals</t>
        </is>
      </c>
      <c r="G252" s="31" t="inlineStr">
        <is>
          <t>midcap</t>
        </is>
      </c>
      <c r="H252" s="32" t="n">
        <v>5554.92</v>
      </c>
      <c r="I252" s="32" t="n">
        <v>2033.7</v>
      </c>
      <c r="J252" s="32" t="n">
        <v>0.25</v>
      </c>
      <c r="K252" s="32" t="n">
        <v>196643</v>
      </c>
      <c r="L252" s="31" t="n">
        <v>62</v>
      </c>
      <c r="M252" s="31" t="inlineStr">
        <is>
          <t>Outperforming</t>
        </is>
      </c>
      <c r="N252" s="32">
        <f>IF(M252="Underperforming",-5,IF(L252&gt;=95,15,IF(L252&gt;=90,10,IF(L252&gt;=80,5,0))))</f>
        <v/>
      </c>
      <c r="O252" s="32" t="n">
        <v>71.53</v>
      </c>
      <c r="P252" s="32" t="n">
        <v>33.01</v>
      </c>
      <c r="Q252" s="32" t="n">
        <v>1514.13</v>
      </c>
      <c r="R252" s="31" t="inlineStr">
        <is>
          <t>Near 52W High Breakout</t>
        </is>
      </c>
      <c r="S252" s="31" t="inlineStr">
        <is>
          <t>Nifty 50</t>
        </is>
      </c>
      <c r="T252" s="32" t="n">
        <v>-4.43</v>
      </c>
      <c r="U252" s="32" t="n">
        <v>22.6</v>
      </c>
      <c r="V252" s="32" t="n">
        <v>28.29</v>
      </c>
      <c r="W252" s="32" t="n">
        <v>18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Yes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20 to 40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More than 20%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Yes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Negative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More than 1.2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IF(B253=0,"",RANK(B253,$B$2:$B$282,0))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3" t="inlineStr">
        <is>
          <t>PITTIENG</t>
        </is>
      </c>
      <c r="D253" s="33" t="inlineStr">
        <is>
          <t>Pitti Engineering Ltd</t>
        </is>
      </c>
      <c r="E253" s="31" t="inlineStr">
        <is>
          <t>industrials</t>
        </is>
      </c>
      <c r="F253" s="31" t="inlineStr">
        <is>
          <t>engineering</t>
        </is>
      </c>
      <c r="G253" s="31" t="inlineStr">
        <is>
          <t>smallcap</t>
        </is>
      </c>
      <c r="H253" s="32" t="n">
        <v>3502.73</v>
      </c>
      <c r="I253" s="32" t="n">
        <v>993</v>
      </c>
      <c r="J253" s="32" t="n">
        <v>6.75</v>
      </c>
      <c r="K253" s="32" t="n">
        <v>104486</v>
      </c>
      <c r="L253" s="31" t="n">
        <v>18</v>
      </c>
      <c r="M253" s="31" t="inlineStr">
        <is>
          <t>Underperforming</t>
        </is>
      </c>
      <c r="N253" s="32">
        <f>IF(M253="Underperforming",-5,IF(L253&gt;=95,15,IF(L253&gt;=90,10,IF(L253&gt;=80,5,0))))</f>
        <v/>
      </c>
      <c r="O253" s="32" t="n">
        <v>59.71</v>
      </c>
      <c r="P253" s="32" t="n">
        <v>12.33</v>
      </c>
      <c r="Q253" s="32" t="n">
        <v>745.91</v>
      </c>
      <c r="R253" s="31" t="inlineStr">
        <is>
          <t>Near 52W High Breakout</t>
        </is>
      </c>
      <c r="S253" s="31" t="inlineStr">
        <is>
          <t>Nifty Infra</t>
        </is>
      </c>
      <c r="T253" s="32" t="n">
        <v>2.95</v>
      </c>
      <c r="U253" s="32" t="n">
        <v>-0.27</v>
      </c>
      <c r="V253" s="32" t="n">
        <v>-3.13</v>
      </c>
      <c r="W253" s="32" t="n">
        <v>6.65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0 to 20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Positive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Close to 52 week high or retracement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No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Between 50% to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Between 0.7 to 1.2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IF(B254=0,"",RANK(B254,$B$2:$B$282,0))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THELEELA</t>
        </is>
      </c>
      <c r="D254" s="31" t="inlineStr">
        <is>
          <t>Leela Palaces Hotels &amp; Resorts Ltd</t>
        </is>
      </c>
      <c r="E254" s="31" t="inlineStr">
        <is>
          <t>services</t>
        </is>
      </c>
      <c r="F254" s="31" t="inlineStr">
        <is>
          <t>hotels</t>
        </is>
      </c>
      <c r="G254" s="31" t="inlineStr">
        <is>
          <t>midcap</t>
        </is>
      </c>
      <c r="H254" s="32" t="n">
        <v>13580.4</v>
      </c>
      <c r="I254" s="32" t="n">
        <v>429.8</v>
      </c>
      <c r="J254" s="32" t="n">
        <v>5.69</v>
      </c>
      <c r="K254" s="32" t="n">
        <v>303851</v>
      </c>
      <c r="L254" s="31" t="n">
        <v>2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49.32</v>
      </c>
      <c r="P254" s="32" t="n">
        <v>6.88</v>
      </c>
      <c r="Q254" s="32" t="n">
        <v>348.85</v>
      </c>
      <c r="R254" s="31" t="inlineStr">
        <is>
          <t>Earnings / Momentum Support</t>
        </is>
      </c>
      <c r="S254" s="31" t="inlineStr">
        <is>
          <t>Nifty 50</t>
        </is>
      </c>
      <c r="T254" s="32" t="n">
        <v>-4.43</v>
      </c>
      <c r="U254" s="32" t="n">
        <v>6.82</v>
      </c>
      <c r="V254" s="32" t="n">
        <v>11.78</v>
      </c>
      <c r="W254" s="32" t="n">
        <v>1.33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No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Below 45</t>
        </is>
      </c>
      <c r="BA254" s="31">
        <f>IF(AZ254="Between 50 to 75",10,IF(AZ254="Above 75",0,0))</f>
        <v/>
      </c>
      <c r="BB254" s="31" t="inlineStr">
        <is>
          <t>Stage 1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More than 20%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Between 1.5 to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IF(B255=0,"",RANK(B255,$B$2:$B$282,0))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TIINDIA</t>
        </is>
      </c>
      <c r="D255" s="33" t="inlineStr">
        <is>
          <t>Tube Investments of India Ltd</t>
        </is>
      </c>
      <c r="E255" s="31" t="inlineStr">
        <is>
          <t>industrials</t>
        </is>
      </c>
      <c r="F255" s="31" t="inlineStr">
        <is>
          <t>steel - large</t>
        </is>
      </c>
      <c r="G255" s="31" t="inlineStr">
        <is>
          <t>largecap</t>
        </is>
      </c>
      <c r="H255" s="32" t="n">
        <v>57587.79</v>
      </c>
      <c r="I255" s="32" t="n">
        <v>3141.8</v>
      </c>
      <c r="J255" s="32" t="n">
        <v>5.6</v>
      </c>
      <c r="K255" s="32" t="n">
        <v>260594</v>
      </c>
      <c r="L255" s="31" t="n">
        <v>24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62.25</v>
      </c>
      <c r="P255" s="32" t="n">
        <v>17.7</v>
      </c>
      <c r="Q255" s="32" t="n">
        <v>2452.36</v>
      </c>
      <c r="R255" s="31" t="inlineStr">
        <is>
          <t>Earnings / Momentum Support</t>
        </is>
      </c>
      <c r="S255" s="31" t="inlineStr">
        <is>
          <t>Nifty Metal</t>
        </is>
      </c>
      <c r="T255" s="32" t="n">
        <v>38.84</v>
      </c>
      <c r="U255" s="32" t="n">
        <v>7.15</v>
      </c>
      <c r="V255" s="32" t="n">
        <v>-22.82</v>
      </c>
      <c r="W255" s="32" t="n">
        <v>8.109999999999999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Structural (10 Years Consistency)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Stable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No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0 to 20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Close to 52 week high or retracement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Less than 12%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Yes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Above 70%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Less than 0.7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IF(B256=0,"",RANK(B256,$B$2:$B$282,0))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RKFORGE</t>
        </is>
      </c>
      <c r="D256" s="33" t="inlineStr">
        <is>
          <t>Ramkrishna Forgings Limited</t>
        </is>
      </c>
      <c r="E256" s="31" t="inlineStr">
        <is>
          <t>industrials</t>
        </is>
      </c>
      <c r="F256" s="31" t="inlineStr">
        <is>
          <t>castings &amp; forgings</t>
        </is>
      </c>
      <c r="G256" s="31" t="inlineStr">
        <is>
          <t>midcap</t>
        </is>
      </c>
      <c r="H256" s="32" t="n">
        <v>10208.98</v>
      </c>
      <c r="I256" s="32" t="n">
        <v>592.2</v>
      </c>
      <c r="J256" s="32" t="n">
        <v>5.38</v>
      </c>
      <c r="K256" s="32" t="n">
        <v>776746</v>
      </c>
      <c r="L256" s="31" t="n">
        <v>1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56.57</v>
      </c>
      <c r="P256" s="32" t="n">
        <v>16.12</v>
      </c>
      <c r="Q256" s="32" t="n">
        <v>473.2</v>
      </c>
      <c r="R256" s="31" t="inlineStr">
        <is>
          <t>Earnings / Momentum Support</t>
        </is>
      </c>
      <c r="S256" s="31" t="inlineStr">
        <is>
          <t>Nifty 50</t>
        </is>
      </c>
      <c r="T256" s="32" t="n">
        <v>-4.43</v>
      </c>
      <c r="U256" s="32" t="n">
        <v>-8.699999999999999</v>
      </c>
      <c r="V256" s="32" t="n">
        <v>-4.46</v>
      </c>
      <c r="W256" s="32" t="n">
        <v>-0.25</v>
      </c>
      <c r="X256" s="31" t="inlineStr">
        <is>
          <t>Cyclical in an Upturn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More than 20%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Yes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Above 70%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Between 0.7 to 1.2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IF(B257=0,"",RANK(B257,$B$2:$B$282,0))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GREENLAM</t>
        </is>
      </c>
      <c r="D257" s="31" t="inlineStr">
        <is>
          <t>Greenlam Industries Limited</t>
        </is>
      </c>
      <c r="E257" s="31" t="inlineStr">
        <is>
          <t>building materials</t>
        </is>
      </c>
      <c r="F257" s="31" t="inlineStr">
        <is>
          <t>miscellaneous</t>
        </is>
      </c>
      <c r="G257" s="31" t="inlineStr">
        <is>
          <t>midcap</t>
        </is>
      </c>
      <c r="H257" s="32" t="n">
        <v>6162.33</v>
      </c>
      <c r="I257" s="32" t="n">
        <v>252.39</v>
      </c>
      <c r="J257" s="32" t="n">
        <v>4.5</v>
      </c>
      <c r="K257" s="32" t="n">
        <v>344947</v>
      </c>
      <c r="L257" s="31" t="n">
        <v>13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59.2</v>
      </c>
      <c r="P257" s="32" t="n">
        <v>17.58</v>
      </c>
      <c r="Q257" s="32" t="n">
        <v>184.84</v>
      </c>
      <c r="R257" s="31" t="inlineStr">
        <is>
          <t>Near 52W High Breakout</t>
        </is>
      </c>
      <c r="S257" s="31" t="inlineStr">
        <is>
          <t>Nifty Infra</t>
        </is>
      </c>
      <c r="T257" s="32" t="n">
        <v>2.95</v>
      </c>
      <c r="U257" s="32" t="n">
        <v>5.23</v>
      </c>
      <c r="V257" s="32" t="n">
        <v>2.21</v>
      </c>
      <c r="W257" s="32" t="n">
        <v>5.6</v>
      </c>
      <c r="X257" s="31" t="inlineStr">
        <is>
          <t>Growing Industry</t>
        </is>
      </c>
      <c r="Y257" s="31">
        <f>IF(X257="Growing Industry",10,IF(X257="Cyclical in an Upturn",5,0))</f>
        <v/>
      </c>
      <c r="Z257" s="31" t="inlineStr">
        <is>
          <t>Too Many Players with High ROCE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No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Structural (10 Years Consistency)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Stable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0 to 20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1</t>
        </is>
      </c>
      <c r="BC257" s="31">
        <f>IF(BB257="Stage 2",20,IF(BB257="Stage 1",0,IF(BB257="Stage 3",5,IF(BB257="Stage 4",-5,0))))</f>
        <v/>
      </c>
      <c r="BD257" s="31" t="inlineStr">
        <is>
          <t>Positive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Yes</t>
        </is>
      </c>
      <c r="BS257" s="31">
        <f>IF(BR257="NO",5,0)</f>
        <v/>
      </c>
      <c r="BT257" s="31" t="inlineStr">
        <is>
          <t>Above 2</t>
        </is>
      </c>
      <c r="BU257" s="31">
        <f>IF(BT257="Above 2",0,IF(BT257="Between 1.5 to 2",5,IF(BT257="Less than 1.5",10,0)))</f>
        <v/>
      </c>
      <c r="BV257" s="31" t="inlineStr">
        <is>
          <t>Above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Between 0.7 to 1.2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IF(B258=0,"",RANK(B258,$B$2:$B$282,0))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3" t="inlineStr">
        <is>
          <t>TMPV</t>
        </is>
      </c>
      <c r="D258" s="33" t="inlineStr">
        <is>
          <t>Tata Motors Passenger Vehicles Ltd</t>
        </is>
      </c>
      <c r="E258" s="31" t="inlineStr">
        <is>
          <t>auto</t>
        </is>
      </c>
      <c r="F258" s="31" t="inlineStr">
        <is>
          <t>automobiles - passenger cars</t>
        </is>
      </c>
      <c r="G258" s="31" t="inlineStr">
        <is>
          <t>largecap</t>
        </is>
      </c>
      <c r="H258" s="32" t="n">
        <v>138420.57</v>
      </c>
      <c r="I258" s="32" t="n">
        <v>390</v>
      </c>
      <c r="J258" s="32" t="n">
        <v>3.75</v>
      </c>
      <c r="K258" s="32" t="n">
        <v>7787586</v>
      </c>
      <c r="L258" s="31" t="n">
        <v>1</v>
      </c>
      <c r="M258" s="31" t="inlineStr">
        <is>
          <t>Underperforming</t>
        </is>
      </c>
      <c r="N258" s="32">
        <f>IF(M258="Underperforming",-5,IF(L258&gt;=95,15,IF(L258&gt;=90,10,IF(L258&gt;=80,5,0))))</f>
        <v/>
      </c>
      <c r="O258" s="32" t="n">
        <v>51.3</v>
      </c>
      <c r="P258" s="32" t="n">
        <v>24.03</v>
      </c>
      <c r="Q258" s="32" t="n">
        <v>311.93</v>
      </c>
      <c r="R258" s="31" t="inlineStr">
        <is>
          <t>Earnings / Momentum Support</t>
        </is>
      </c>
      <c r="S258" s="31" t="inlineStr">
        <is>
          <t>Nifty Auto</t>
        </is>
      </c>
      <c r="T258" s="32" t="n">
        <v>12.72</v>
      </c>
      <c r="U258" s="32" t="n">
        <v>-45.23</v>
      </c>
      <c r="V258" s="32" t="n">
        <v>-51.41</v>
      </c>
      <c r="W258" s="32" t="n">
        <v>-2.45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3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Less than 12%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Less than 50%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Less than 0.7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IF(B259=0,"",RANK(B259,$B$2:$B$282,0))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SUPRAJIT</t>
        </is>
      </c>
      <c r="D259" s="33" t="inlineStr">
        <is>
          <t>Suprajit Engineering Limited</t>
        </is>
      </c>
      <c r="E259" s="31" t="inlineStr">
        <is>
          <t>auto</t>
        </is>
      </c>
      <c r="F259" s="31" t="inlineStr">
        <is>
          <t>auto ancillaries</t>
        </is>
      </c>
      <c r="G259" s="31" t="inlineStr">
        <is>
          <t>midcap</t>
        </is>
      </c>
      <c r="H259" s="32" t="n">
        <v>6132.92</v>
      </c>
      <c r="I259" s="32" t="n">
        <v>460.3</v>
      </c>
      <c r="J259" s="32" t="n">
        <v>2.95</v>
      </c>
      <c r="K259" s="32" t="n">
        <v>92246</v>
      </c>
      <c r="L259" s="31" t="n">
        <v>5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54.86</v>
      </c>
      <c r="P259" s="32" t="n">
        <v>18.85</v>
      </c>
      <c r="Q259" s="32" t="n">
        <v>373.19</v>
      </c>
      <c r="R259" s="31" t="inlineStr">
        <is>
          <t>Earnings / Momentum Support</t>
        </is>
      </c>
      <c r="S259" s="31" t="inlineStr">
        <is>
          <t>Nifty Auto</t>
        </is>
      </c>
      <c r="T259" s="32" t="n">
        <v>12.72</v>
      </c>
      <c r="U259" s="32" t="n">
        <v>1.4</v>
      </c>
      <c r="V259" s="32" t="n">
        <v>-10.04</v>
      </c>
      <c r="W259" s="32" t="n">
        <v>3.36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Headwind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More than 20%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Less than 50%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IF(B260=0,"",RANK(B260,$B$2:$B$282,0))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GANDHAR</t>
        </is>
      </c>
      <c r="D260" s="33" t="inlineStr">
        <is>
          <t>Gandhar Oil Refinery (India) Ltd</t>
        </is>
      </c>
      <c r="E260" s="31" t="inlineStr">
        <is>
          <t>energy</t>
        </is>
      </c>
      <c r="F260" s="31" t="inlineStr">
        <is>
          <t>refineries</t>
        </is>
      </c>
      <c r="G260" s="31" t="inlineStr">
        <is>
          <t>smallcap</t>
        </is>
      </c>
      <c r="H260" s="32" t="n">
        <v>1521.34</v>
      </c>
      <c r="I260" s="32" t="n">
        <v>159.48</v>
      </c>
      <c r="J260" s="32" t="n">
        <v>2.61</v>
      </c>
      <c r="K260" s="32" t="n">
        <v>230691</v>
      </c>
      <c r="L260" s="31" t="n">
        <v>9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57.62</v>
      </c>
      <c r="P260" s="32" t="n">
        <v>23.56</v>
      </c>
      <c r="Q260" s="32" t="n">
        <v>120.94</v>
      </c>
      <c r="R260" s="31" t="inlineStr">
        <is>
          <t>Earnings / Momentum Support</t>
        </is>
      </c>
      <c r="S260" s="31" t="inlineStr">
        <is>
          <t>Nifty Energy</t>
        </is>
      </c>
      <c r="T260" s="32" t="n">
        <v>9.800000000000001</v>
      </c>
      <c r="U260" s="32" t="n">
        <v>-6.43</v>
      </c>
      <c r="V260" s="32" t="n">
        <v>-14.78</v>
      </c>
      <c r="W260" s="32" t="n">
        <v>4.25</v>
      </c>
      <c r="X260" s="31" t="inlineStr">
        <is>
          <t>Cyclical in an Upturn</t>
        </is>
      </c>
      <c r="Y260" s="31">
        <f>IF(X260="Growing Industry",10,IF(X260="Cyclical in an Upturn",5,0))</f>
        <v/>
      </c>
      <c r="Z260" s="31" t="inlineStr">
        <is>
          <t>Oligopoly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Yes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Cyclical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Volatile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20 to 40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2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No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Between 50% to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IF(B261=0,"",RANK(B261,$B$2:$B$282,0))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FACT</t>
        </is>
      </c>
      <c r="D261" s="33" t="inlineStr">
        <is>
          <t>Fertilizers And Chemicals Travancore Limited</t>
        </is>
      </c>
      <c r="E261" s="31" t="inlineStr">
        <is>
          <t>chemicals</t>
        </is>
      </c>
      <c r="F261" s="31" t="inlineStr">
        <is>
          <t>fertilizers</t>
        </is>
      </c>
      <c r="G261" s="31" t="inlineStr">
        <is>
          <t>largecap</t>
        </is>
      </c>
      <c r="H261" s="32" t="n">
        <v>57537.64</v>
      </c>
      <c r="I261" s="32" t="n">
        <v>902.35</v>
      </c>
      <c r="J261" s="32" t="n">
        <v>1.48</v>
      </c>
      <c r="K261" s="32" t="n">
        <v>248746</v>
      </c>
      <c r="L261" s="31" t="n">
        <v>1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56.4</v>
      </c>
      <c r="P261" s="32" t="n">
        <v>13.83</v>
      </c>
      <c r="Q261" s="32" t="n">
        <v>689.1900000000001</v>
      </c>
      <c r="R261" s="31" t="inlineStr">
        <is>
          <t>Earnings / Momentum Support</t>
        </is>
      </c>
      <c r="S261" s="31" t="inlineStr">
        <is>
          <t>Nifty 50</t>
        </is>
      </c>
      <c r="T261" s="32" t="n">
        <v>-4.43</v>
      </c>
      <c r="U261" s="32" t="n">
        <v>-11.1</v>
      </c>
      <c r="V261" s="32" t="n">
        <v>-6.97</v>
      </c>
      <c r="W261" s="32" t="n">
        <v>-0.83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Tailwind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2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Less than 12%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No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More than 1.2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IF(B262=0,"",RANK(B262,$B$2:$B$282,0))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1" t="inlineStr">
        <is>
          <t>ACMESOLAR</t>
        </is>
      </c>
      <c r="D262" s="31" t="inlineStr">
        <is>
          <t>ACME Solar Holdings Ltd</t>
        </is>
      </c>
      <c r="E262" s="31" t="inlineStr">
        <is>
          <t>realty</t>
        </is>
      </c>
      <c r="F262" s="31" t="inlineStr">
        <is>
          <t>engineering - turnkey services</t>
        </is>
      </c>
      <c r="G262" s="31" t="inlineStr">
        <is>
          <t>largecap</t>
        </is>
      </c>
      <c r="H262" s="32" t="n">
        <v>20266.73</v>
      </c>
      <c r="I262" s="32" t="n">
        <v>335.75</v>
      </c>
      <c r="J262" s="32" t="n">
        <v>0.39</v>
      </c>
      <c r="K262" s="32" t="n">
        <v>1365603</v>
      </c>
      <c r="L262" s="31" t="n">
        <v>52</v>
      </c>
      <c r="M262" s="31" t="inlineStr">
        <is>
          <t>Outperforming</t>
        </is>
      </c>
      <c r="N262" s="32">
        <f>IF(M262="Underperforming",-5,IF(L262&gt;=95,15,IF(L262&gt;=90,10,IF(L262&gt;=80,5,0))))</f>
        <v/>
      </c>
      <c r="O262" s="32" t="n">
        <v>64.92</v>
      </c>
      <c r="P262" s="32" t="n">
        <v>20.35</v>
      </c>
      <c r="Q262" s="32" t="n">
        <v>274.32</v>
      </c>
      <c r="R262" s="31" t="inlineStr">
        <is>
          <t>Earnings / Momentum Support</t>
        </is>
      </c>
      <c r="S262" s="31" t="inlineStr">
        <is>
          <t>Nifty Realty</t>
        </is>
      </c>
      <c r="T262" s="32" t="n">
        <v>-23.58</v>
      </c>
      <c r="U262" s="32" t="n">
        <v>37.05</v>
      </c>
      <c r="V262" s="32" t="n">
        <v>79.33</v>
      </c>
      <c r="W262" s="32" t="n">
        <v>15.28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Tailwind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20 to 40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2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Less than 12%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Yes</t>
        </is>
      </c>
      <c r="BS262" s="31">
        <f>IF(BR262="NO",5,0)</f>
        <v/>
      </c>
      <c r="BT262" s="31" t="inlineStr">
        <is>
          <t>Above 2</t>
        </is>
      </c>
      <c r="BU262" s="31">
        <f>IF(BT262="Above 2",0,IF(BT262="Between 1.5 to 2",5,IF(BT262="Less than 1.5",10,0)))</f>
        <v/>
      </c>
      <c r="BV262" s="31" t="inlineStr">
        <is>
          <t>Between 50% to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More than 1.2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IF(B263=0,"",RANK(B263,$B$2:$B$282,0))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1" t="inlineStr">
        <is>
          <t>LT</t>
        </is>
      </c>
      <c r="D263" s="31" t="inlineStr">
        <is>
          <t>Larsen &amp; Toubro Limited</t>
        </is>
      </c>
      <c r="E263" s="31" t="inlineStr">
        <is>
          <t>realty</t>
        </is>
      </c>
      <c r="F263" s="31" t="inlineStr">
        <is>
          <t>engineering - turnkey services</t>
        </is>
      </c>
      <c r="G263" s="31" t="inlineStr">
        <is>
          <t>largecap</t>
        </is>
      </c>
      <c r="H263" s="32" t="n">
        <v>531269.15</v>
      </c>
      <c r="I263" s="32" t="n">
        <v>4049.3</v>
      </c>
      <c r="J263" s="32" t="n">
        <v>4.85</v>
      </c>
      <c r="K263" s="32" t="n">
        <v>3065790</v>
      </c>
      <c r="L263" s="31" t="n">
        <v>20</v>
      </c>
      <c r="M263" s="31" t="inlineStr">
        <is>
          <t>Outperforming</t>
        </is>
      </c>
      <c r="N263" s="32">
        <f>IF(M263="Underperforming",-5,IF(L263&gt;=95,15,IF(L263&gt;=90,10,IF(L263&gt;=80,5,0))))</f>
        <v/>
      </c>
      <c r="O263" s="32" t="n">
        <v>55.29</v>
      </c>
      <c r="P263" s="32" t="n">
        <v>10.16</v>
      </c>
      <c r="Q263" s="32" t="n">
        <v>3412.09</v>
      </c>
      <c r="R263" s="31" t="inlineStr">
        <is>
          <t>Earnings / Momentum Support</t>
        </is>
      </c>
      <c r="S263" s="31" t="inlineStr">
        <is>
          <t>Nifty Realty</t>
        </is>
      </c>
      <c r="T263" s="32" t="n">
        <v>-23.58</v>
      </c>
      <c r="U263" s="32" t="n">
        <v>13.98</v>
      </c>
      <c r="V263" s="32" t="n">
        <v>49.14</v>
      </c>
      <c r="W263" s="32" t="n">
        <v>7.16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Tailwind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No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Less than 50%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Between 0.7 to 1.2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IF(B264=0,"",RANK(B264,$B$2:$B$282,0))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VENUSPIPES</t>
        </is>
      </c>
      <c r="D264" s="33" t="inlineStr">
        <is>
          <t>Venus Pipes &amp; Tubes Ltd</t>
        </is>
      </c>
      <c r="E264" s="31" t="inlineStr">
        <is>
          <t>metals &amp; mining</t>
        </is>
      </c>
      <c r="F264" s="31" t="inlineStr">
        <is>
          <t>steel - medium / small</t>
        </is>
      </c>
      <c r="G264" s="31" t="inlineStr">
        <is>
          <t>smallcap</t>
        </is>
      </c>
      <c r="H264" s="32" t="n">
        <v>2798.95</v>
      </c>
      <c r="I264" s="32" t="n">
        <v>1414.3</v>
      </c>
      <c r="J264" s="32" t="n">
        <v>4.68</v>
      </c>
      <c r="K264" s="32" t="n">
        <v>34090</v>
      </c>
      <c r="L264" s="31" t="n">
        <v>39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60.11</v>
      </c>
      <c r="P264" s="32" t="n">
        <v>20.43</v>
      </c>
      <c r="Q264" s="32" t="n">
        <v>1059.45</v>
      </c>
      <c r="R264" s="31" t="inlineStr">
        <is>
          <t>Earnings / Momentum Support</t>
        </is>
      </c>
      <c r="S264" s="31" t="inlineStr">
        <is>
          <t>Nifty Metal</t>
        </is>
      </c>
      <c r="T264" s="32" t="n">
        <v>38.84</v>
      </c>
      <c r="U264" s="32" t="n">
        <v>1.43</v>
      </c>
      <c r="V264" s="32" t="n">
        <v>-26.94</v>
      </c>
      <c r="W264" s="32" t="n">
        <v>11.26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Cyclical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Volatile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No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20 to 40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2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Between 50% to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IF(B265=0,"",RANK(B265,$B$2:$B$282,0))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1" t="inlineStr">
        <is>
          <t>EICHERMOT</t>
        </is>
      </c>
      <c r="D265" s="31" t="inlineStr">
        <is>
          <t>Eicher Motors Limited</t>
        </is>
      </c>
      <c r="E265" s="31" t="inlineStr">
        <is>
          <t>auto</t>
        </is>
      </c>
      <c r="F265" s="31" t="inlineStr">
        <is>
          <t>automobiles - motorcycles / mopeds</t>
        </is>
      </c>
      <c r="G265" s="31" t="inlineStr">
        <is>
          <t>largecap</t>
        </is>
      </c>
      <c r="H265" s="32" t="n">
        <v>196943.88</v>
      </c>
      <c r="I265" s="32" t="n">
        <v>7312</v>
      </c>
      <c r="J265" s="32" t="n">
        <v>1.85</v>
      </c>
      <c r="K265" s="32" t="n">
        <v>300260</v>
      </c>
      <c r="L265" s="31" t="n">
        <v>31</v>
      </c>
      <c r="M265" s="31" t="inlineStr">
        <is>
          <t>Outperforming</t>
        </is>
      </c>
      <c r="N265" s="32">
        <f>IF(M265="Underperforming",-5,IF(L265&gt;=95,15,IF(L265&gt;=90,10,IF(L265&gt;=80,5,0))))</f>
        <v/>
      </c>
      <c r="O265" s="32" t="n">
        <v>53.99</v>
      </c>
      <c r="P265" s="32" t="n">
        <v>8.42</v>
      </c>
      <c r="Q265" s="32" t="n">
        <v>6200.01</v>
      </c>
      <c r="R265" s="31" t="inlineStr">
        <is>
          <t>Earnings / Momentum Support</t>
        </is>
      </c>
      <c r="S265" s="31" t="inlineStr">
        <is>
          <t>Nifty Auto</t>
        </is>
      </c>
      <c r="T265" s="32" t="n">
        <v>12.72</v>
      </c>
      <c r="U265" s="32" t="n">
        <v>39.25</v>
      </c>
      <c r="V265" s="32" t="n">
        <v>23.54</v>
      </c>
      <c r="W265" s="32" t="n">
        <v>9.25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One Time, Lower Annuity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0 to 20</t>
        </is>
      </c>
      <c r="AY265" s="31">
        <f>IF(AX265="Above 40",20,IF(AX265="20 to 40",10,IF(AX265="0 to 20",-5,0)))</f>
        <v/>
      </c>
      <c r="AZ265" s="31" t="inlineStr">
        <is>
          <t>Between 50 to 75</t>
        </is>
      </c>
      <c r="BA265" s="31">
        <f>IF(AZ265="Between 50 to 75",10,IF(AZ265="Above 75",0,0))</f>
        <v/>
      </c>
      <c r="BB265" s="31" t="inlineStr">
        <is>
          <t>Stage 1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Less than 12%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No</t>
        </is>
      </c>
      <c r="BS265" s="31">
        <f>IF(BR265="NO",5,0)</f>
        <v/>
      </c>
      <c r="BT265" s="31" t="inlineStr">
        <is>
          <t>Above 2</t>
        </is>
      </c>
      <c r="BU265" s="31">
        <f>IF(BT265="Above 2",0,IF(BT265="Between 1.5 to 2",5,IF(BT265="Less than 1.5",10,0)))</f>
        <v/>
      </c>
      <c r="BV265" s="31" t="inlineStr">
        <is>
          <t>Above 70%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IF(B266=0,"",RANK(B266,$B$2:$B$282,0))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BERGEPAINT</t>
        </is>
      </c>
      <c r="D266" s="33" t="inlineStr">
        <is>
          <t>Berger Paints (i) Limited</t>
        </is>
      </c>
      <c r="E266" s="31" t="inlineStr">
        <is>
          <t>building materials</t>
        </is>
      </c>
      <c r="F266" s="31" t="inlineStr">
        <is>
          <t>paints / varnishes</t>
        </is>
      </c>
      <c r="G266" s="31" t="inlineStr">
        <is>
          <t>largecap</t>
        </is>
      </c>
      <c r="H266" s="32" t="n">
        <v>59926.71</v>
      </c>
      <c r="I266" s="32" t="n">
        <v>515.15</v>
      </c>
      <c r="J266" s="32" t="n">
        <v>0.23</v>
      </c>
      <c r="K266" s="32" t="n">
        <v>382979</v>
      </c>
      <c r="L266" s="31" t="n">
        <v>11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56.09</v>
      </c>
      <c r="P266" s="32" t="n">
        <v>28.53</v>
      </c>
      <c r="Q266" s="32" t="n">
        <v>433.73</v>
      </c>
      <c r="R266" s="31" t="inlineStr">
        <is>
          <t>Earnings / Momentum Support</t>
        </is>
      </c>
      <c r="S266" s="31" t="inlineStr">
        <is>
          <t>Nifty Infra</t>
        </is>
      </c>
      <c r="T266" s="32" t="n">
        <v>2.95</v>
      </c>
      <c r="U266" s="32" t="n">
        <v>-9.039999999999999</v>
      </c>
      <c r="V266" s="32" t="n">
        <v>-11.65</v>
      </c>
      <c r="W266" s="32" t="n">
        <v>4.72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No</t>
        </is>
      </c>
      <c r="AC266" s="31">
        <f>IF(AB266="No",5,0)</f>
        <v/>
      </c>
      <c r="AD266" s="31" t="inlineStr">
        <is>
          <t>Headwind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No</t>
        </is>
      </c>
      <c r="AQ266" s="31">
        <f>IF(AP266="Yes",10,0)</f>
        <v/>
      </c>
      <c r="AR266" s="31" t="inlineStr">
        <is>
          <t>Higher One Time, Lower Annuity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20 to 40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2</t>
        </is>
      </c>
      <c r="BC266" s="31">
        <f>IF(BB266="Stage 2",20,IF(BB266="Stage 1",0,IF(BB266="Stage 3",5,IF(BB266="Stage 4",-5,0))))</f>
        <v/>
      </c>
      <c r="BD266" s="31" t="inlineStr">
        <is>
          <t>Negative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More than 20%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Between 1.5 to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IF(B267=0,"",RANK(B267,$B$2:$B$282,0))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SILVERTUC</t>
        </is>
      </c>
      <c r="D267" s="33" t="inlineStr">
        <is>
          <t>Silver Touch Technologies Ltd</t>
        </is>
      </c>
      <c r="E267" s="31" t="inlineStr">
        <is>
          <t>i.t</t>
        </is>
      </c>
      <c r="F267" s="31" t="inlineStr">
        <is>
          <t>computers - software - medium / small</t>
        </is>
      </c>
      <c r="G267" s="31" t="inlineStr">
        <is>
          <t>smallcap</t>
        </is>
      </c>
      <c r="H267" s="32" t="n">
        <v>2401.4</v>
      </c>
      <c r="I267" s="32" t="n">
        <v>198.78</v>
      </c>
      <c r="J267" s="32" t="n">
        <v>4.97</v>
      </c>
      <c r="K267" s="32" t="n">
        <v>698308</v>
      </c>
      <c r="L267" s="31" t="n">
        <v>51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41.57</v>
      </c>
      <c r="P267" s="32" t="n">
        <v>42.88</v>
      </c>
      <c r="Q267" s="32" t="n">
        <v>78.06999999999999</v>
      </c>
      <c r="R267" s="31" t="inlineStr">
        <is>
          <t>Earnings / Momentum Support</t>
        </is>
      </c>
      <c r="S267" s="31" t="inlineStr">
        <is>
          <t>Nifty IT</t>
        </is>
      </c>
      <c r="T267" s="32" t="n">
        <v>-27.75</v>
      </c>
      <c r="U267" s="32" t="n">
        <v>-74.8</v>
      </c>
      <c r="V267" s="32" t="n">
        <v>-65.12</v>
      </c>
      <c r="W267" s="32" t="n">
        <v>15.14</v>
      </c>
      <c r="X267" s="31" t="inlineStr">
        <is>
          <t>Growing Industry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Headwind</t>
        </is>
      </c>
      <c r="AE267" s="31">
        <f>IF(AD267="Tailwind",10,0)</f>
        <v/>
      </c>
      <c r="AF267" s="31" t="inlineStr">
        <is>
          <t>Structural (10 Years Consistency)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Stable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No</t>
        </is>
      </c>
      <c r="AQ267" s="31">
        <f>IF(AP267="Yes",10,0)</f>
        <v/>
      </c>
      <c r="AR267" s="31" t="inlineStr">
        <is>
          <t>Higher Annuity, Lower One Time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Below 45</t>
        </is>
      </c>
      <c r="BA267" s="31">
        <f>IF(AZ267="Between 50 to 75",10,IF(AZ267="Above 75",0,0))</f>
        <v/>
      </c>
      <c r="BB267" s="31" t="inlineStr">
        <is>
          <t>Stage 4</t>
        </is>
      </c>
      <c r="BC267" s="31">
        <f>IF(BB267="Stage 2",20,IF(BB267="Stage 1",0,IF(BB267="Stage 3",5,IF(BB267="Stage 4",-5,0))))</f>
        <v/>
      </c>
      <c r="BD267" s="31" t="inlineStr">
        <is>
          <t>Positive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Yes</t>
        </is>
      </c>
      <c r="BS267" s="31">
        <f>IF(BR267="NO",5,0)</f>
        <v/>
      </c>
      <c r="BT267" s="31" t="inlineStr">
        <is>
          <t>Between 1.5 to 2</t>
        </is>
      </c>
      <c r="BU267" s="31">
        <f>IF(BT267="Above 2",0,IF(BT267="Between 1.5 to 2",5,IF(BT267="Less than 1.5",10,0)))</f>
        <v/>
      </c>
      <c r="BV267" s="31" t="inlineStr">
        <is>
          <t>Less than 50%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IF(B268=0,"",RANK(B268,$B$2:$B$282,0))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1" t="inlineStr">
        <is>
          <t>MANINDS</t>
        </is>
      </c>
      <c r="D268" s="31" t="inlineStr">
        <is>
          <t>Man Industries (india) Limited</t>
        </is>
      </c>
      <c r="E268" s="31" t="inlineStr">
        <is>
          <t>metals &amp; mining</t>
        </is>
      </c>
      <c r="F268" s="31" t="inlineStr">
        <is>
          <t>steel - medium / small</t>
        </is>
      </c>
      <c r="G268" s="31" t="inlineStr">
        <is>
          <t>smallcap</t>
        </is>
      </c>
      <c r="H268" s="32" t="n">
        <v>3818.36</v>
      </c>
      <c r="I268" s="32" t="n">
        <v>545.95</v>
      </c>
      <c r="J268" s="32" t="n">
        <v>7.25</v>
      </c>
      <c r="K268" s="32" t="n">
        <v>605722</v>
      </c>
      <c r="L268" s="31" t="n">
        <v>57</v>
      </c>
      <c r="M268" s="31" t="inlineStr">
        <is>
          <t>Outperforming</t>
        </is>
      </c>
      <c r="N268" s="32">
        <f>IF(M268="Underperforming",-5,IF(L268&gt;=95,15,IF(L268&gt;=90,10,IF(L268&gt;=80,5,0))))</f>
        <v/>
      </c>
      <c r="O268" s="32" t="n">
        <v>60.22</v>
      </c>
      <c r="P268" s="32" t="n">
        <v>24.27</v>
      </c>
      <c r="Q268" s="32" t="n">
        <v>393.96</v>
      </c>
      <c r="R268" s="31" t="inlineStr">
        <is>
          <t>Near 52W High Breakout</t>
        </is>
      </c>
      <c r="S268" s="31" t="inlineStr">
        <is>
          <t>Nifty Metal</t>
        </is>
      </c>
      <c r="T268" s="32" t="n">
        <v>38.84</v>
      </c>
      <c r="U268" s="32" t="n">
        <v>45.76</v>
      </c>
      <c r="V268" s="32" t="n">
        <v>4.99</v>
      </c>
      <c r="W268" s="32" t="n">
        <v>16.56</v>
      </c>
      <c r="X268" s="31" t="inlineStr">
        <is>
          <t>Cyclical in an Upturn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Tailwind</t>
        </is>
      </c>
      <c r="AE268" s="31">
        <f>IF(AD268="Tailwind",10,0)</f>
        <v/>
      </c>
      <c r="AF268" s="31" t="inlineStr">
        <is>
          <t>Cyclical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Volatile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Yes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20 to 40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2</t>
        </is>
      </c>
      <c r="BC268" s="31">
        <f>IF(BB268="Stage 2",20,IF(BB268="Stage 1",0,IF(BB268="Stage 3",5,IF(BB268="Stage 4",-5,0))))</f>
        <v/>
      </c>
      <c r="BD268" s="31" t="inlineStr">
        <is>
          <t>Negative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Blue sky scenario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Less than 12%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Above 2</t>
        </is>
      </c>
      <c r="BU268" s="31">
        <f>IF(BT268="Above 2",0,IF(BT268="Between 1.5 to 2",5,IF(BT268="Less than 1.5",10,0)))</f>
        <v/>
      </c>
      <c r="BV268" s="31" t="inlineStr">
        <is>
          <t>Above 70%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IF(B269=0,"",RANK(B269,$B$2:$B$282,0))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3" t="inlineStr">
        <is>
          <t>KAMDHENU</t>
        </is>
      </c>
      <c r="D269" s="33" t="inlineStr">
        <is>
          <t>Kamdhenu Limited</t>
        </is>
      </c>
      <c r="E269" s="31" t="inlineStr">
        <is>
          <t>metals &amp; mining</t>
        </is>
      </c>
      <c r="F269" s="31" t="inlineStr">
        <is>
          <t>steel - medium / small</t>
        </is>
      </c>
      <c r="G269" s="31" t="inlineStr">
        <is>
          <t>smallcap</t>
        </is>
      </c>
      <c r="H269" s="32" t="n">
        <v>794.91</v>
      </c>
      <c r="I269" s="32" t="n">
        <v>29.29</v>
      </c>
      <c r="J269" s="32" t="n">
        <v>3.87</v>
      </c>
      <c r="K269" s="32" t="n">
        <v>2494603</v>
      </c>
      <c r="L269" s="31" t="n">
        <v>16</v>
      </c>
      <c r="M269" s="31" t="inlineStr">
        <is>
          <t>Underperforming</t>
        </is>
      </c>
      <c r="N269" s="32">
        <f>IF(M269="Underperforming",-5,IF(L269&gt;=95,15,IF(L269&gt;=90,10,IF(L269&gt;=80,5,0))))</f>
        <v/>
      </c>
      <c r="O269" s="32" t="n">
        <v>63.65</v>
      </c>
      <c r="P269" s="32" t="n">
        <v>17.09</v>
      </c>
      <c r="Q269" s="32" t="n">
        <v>20.59</v>
      </c>
      <c r="R269" s="31" t="inlineStr">
        <is>
          <t>Volume Spike / Accumulation</t>
        </is>
      </c>
      <c r="S269" s="31" t="inlineStr">
        <is>
          <t>Nifty Metal</t>
        </is>
      </c>
      <c r="T269" s="32" t="n">
        <v>38.84</v>
      </c>
      <c r="U269" s="32" t="n">
        <v>-8.960000000000001</v>
      </c>
      <c r="V269" s="32" t="n">
        <v>-34.43</v>
      </c>
      <c r="W269" s="32" t="n">
        <v>6.25</v>
      </c>
      <c r="X269" s="31" t="inlineStr">
        <is>
          <t>Cyclical in an Upturn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Cyclical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Volatile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No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Between 50% to 70%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Less than 0.7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IF(B270=0,"",RANK(B270,$B$2:$B$282,0))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1" t="inlineStr">
        <is>
          <t>TVSSRICHAK</t>
        </is>
      </c>
      <c r="D270" s="31" t="inlineStr">
        <is>
          <t>Tvs Srichakra Limited</t>
        </is>
      </c>
      <c r="E270" s="31" t="inlineStr">
        <is>
          <t>auto</t>
        </is>
      </c>
      <c r="F270" s="31" t="inlineStr">
        <is>
          <t>tyres</t>
        </is>
      </c>
      <c r="G270" s="31" t="inlineStr">
        <is>
          <t>smallcap</t>
        </is>
      </c>
      <c r="H270" s="32" t="n">
        <v>2968.79</v>
      </c>
      <c r="I270" s="32" t="n">
        <v>3985.4</v>
      </c>
      <c r="J270" s="32" t="n">
        <v>2.79</v>
      </c>
      <c r="K270" s="32" t="n">
        <v>8055</v>
      </c>
      <c r="L270" s="31" t="n">
        <v>35</v>
      </c>
      <c r="M270" s="31" t="inlineStr">
        <is>
          <t>Outperforming</t>
        </is>
      </c>
      <c r="N270" s="32">
        <f>IF(M270="Underperforming",-5,IF(L270&gt;=95,15,IF(L270&gt;=90,10,IF(L270&gt;=80,5,0))))</f>
        <v/>
      </c>
      <c r="O270" s="32" t="n">
        <v>53.98</v>
      </c>
      <c r="P270" s="32" t="n">
        <v>10.53</v>
      </c>
      <c r="Q270" s="32" t="n">
        <v>3075.93</v>
      </c>
      <c r="R270" s="31" t="inlineStr">
        <is>
          <t>Earnings / Momentum Support</t>
        </is>
      </c>
      <c r="S270" s="31" t="inlineStr">
        <is>
          <t>Nifty Auto</t>
        </is>
      </c>
      <c r="T270" s="32" t="n">
        <v>12.72</v>
      </c>
      <c r="U270" s="32" t="n">
        <v>27.7</v>
      </c>
      <c r="V270" s="32" t="n">
        <v>13.29</v>
      </c>
      <c r="W270" s="32" t="n">
        <v>10.2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1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More than 20%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Yes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Above 70%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IF(B271=0,"",RANK(B271,$B$2:$B$282,0))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3" t="inlineStr">
        <is>
          <t>IRISDOREME</t>
        </is>
      </c>
      <c r="D271" s="33" t="inlineStr">
        <is>
          <t>Iris Clothings Ltd</t>
        </is>
      </c>
      <c r="E271" s="31" t="inlineStr">
        <is>
          <t>consumer discretionary</t>
        </is>
      </c>
      <c r="F271" s="31" t="inlineStr">
        <is>
          <t>textiles - products</t>
        </is>
      </c>
      <c r="G271" s="31" t="inlineStr">
        <is>
          <t>smallcap</t>
        </is>
      </c>
      <c r="H271" s="32" t="n">
        <v>683.1</v>
      </c>
      <c r="I271" s="32" t="n">
        <v>36.58</v>
      </c>
      <c r="J271" s="32" t="n">
        <v>1.92</v>
      </c>
      <c r="K271" s="32" t="n">
        <v>351947</v>
      </c>
      <c r="L271" s="31" t="n">
        <v>1</v>
      </c>
      <c r="M271" s="31" t="inlineStr">
        <is>
          <t>Underperforming</t>
        </is>
      </c>
      <c r="N271" s="32">
        <f>IF(M271="Underperforming",-5,IF(L271&gt;=95,15,IF(L271&gt;=90,10,IF(L271&gt;=80,5,0))))</f>
        <v/>
      </c>
      <c r="O271" s="32" t="n">
        <v>55.79</v>
      </c>
      <c r="P271" s="32" t="n">
        <v>16.16</v>
      </c>
      <c r="Q271" s="32" t="n">
        <v>26.51</v>
      </c>
      <c r="R271" s="31" t="inlineStr">
        <is>
          <t>Earnings / Momentum Support</t>
        </is>
      </c>
      <c r="S271" s="31" t="inlineStr">
        <is>
          <t>Nifty 50</t>
        </is>
      </c>
      <c r="T271" s="32" t="n">
        <v>-4.43</v>
      </c>
      <c r="U271" s="32" t="n">
        <v>-38.74</v>
      </c>
      <c r="V271" s="32" t="n">
        <v>-35.9</v>
      </c>
      <c r="W271" s="32" t="n">
        <v>-0.65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No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0 to 20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Positive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Close to 52 week high or retracement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Between 12 to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Above 2</t>
        </is>
      </c>
      <c r="BU271" s="31">
        <f>IF(BT271="Above 2",0,IF(BT271="Between 1.5 to 2",5,IF(BT271="Less than 1.5",10,0)))</f>
        <v/>
      </c>
      <c r="BV271" s="31" t="inlineStr">
        <is>
          <t>Negative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Less than 0.7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IF(B272=0,"",RANK(B272,$B$2:$B$282,0))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1" t="inlineStr">
        <is>
          <t>BIOCON</t>
        </is>
      </c>
      <c r="D272" s="31" t="inlineStr">
        <is>
          <t>Biocon Limited</t>
        </is>
      </c>
      <c r="E272" s="31" t="inlineStr">
        <is>
          <t>healthcare</t>
        </is>
      </c>
      <c r="F272" s="31" t="inlineStr">
        <is>
          <t>pharmaceuticals - indian - bulk drugs &amp; formln</t>
        </is>
      </c>
      <c r="G272" s="31" t="inlineStr">
        <is>
          <t>largecap</t>
        </is>
      </c>
      <c r="H272" s="32" t="n">
        <v>67421.66</v>
      </c>
      <c r="I272" s="32" t="n">
        <v>419</v>
      </c>
      <c r="J272" s="32" t="n">
        <v>0.73</v>
      </c>
      <c r="K272" s="32" t="n">
        <v>1674659</v>
      </c>
      <c r="L272" s="31" t="n">
        <v>11</v>
      </c>
      <c r="M272" s="31" t="inlineStr">
        <is>
          <t>Outperforming</t>
        </is>
      </c>
      <c r="N272" s="32">
        <f>IF(M272="Underperforming",-5,IF(L272&gt;=95,15,IF(L272&gt;=90,10,IF(L272&gt;=80,5,0))))</f>
        <v/>
      </c>
      <c r="O272" s="32" t="n">
        <v>61.49</v>
      </c>
      <c r="P272" s="32" t="n">
        <v>19.73</v>
      </c>
      <c r="Q272" s="32" t="n">
        <v>359.96</v>
      </c>
      <c r="R272" s="31" t="inlineStr">
        <is>
          <t>Near 52W High Breakout</t>
        </is>
      </c>
      <c r="S272" s="31" t="inlineStr">
        <is>
          <t>Nifty Pharma</t>
        </is>
      </c>
      <c r="T272" s="32" t="n">
        <v>10.89</v>
      </c>
      <c r="U272" s="32" t="n">
        <v>18.05</v>
      </c>
      <c r="V272" s="32" t="n">
        <v>6.46</v>
      </c>
      <c r="W272" s="32" t="n">
        <v>5.29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Yes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Annuity, Lower One Time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2</t>
        </is>
      </c>
      <c r="BC272" s="31">
        <f>IF(BB272="Stage 2",20,IF(BB272="Stage 1",0,IF(BB272="Stage 3",5,IF(BB272="Stage 4",-5,0))))</f>
        <v/>
      </c>
      <c r="BD272" s="31" t="inlineStr">
        <is>
          <t>Negative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Blue sky scenario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Between 50% to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IF(B273=0,"",RANK(B273,$B$2:$B$282,0))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LALPATHLAB</t>
        </is>
      </c>
      <c r="D273" s="33" t="inlineStr">
        <is>
          <t>Dr. Lal Path Labs Ltd.</t>
        </is>
      </c>
      <c r="E273" s="31" t="inlineStr">
        <is>
          <t>healthcare</t>
        </is>
      </c>
      <c r="F273" s="31" t="inlineStr">
        <is>
          <t>healthcare</t>
        </is>
      </c>
      <c r="G273" s="31" t="inlineStr">
        <is>
          <t>largecap</t>
        </is>
      </c>
      <c r="H273" s="32" t="n">
        <v>26699.89</v>
      </c>
      <c r="I273" s="32" t="n">
        <v>1601.5</v>
      </c>
      <c r="J273" s="32" t="n">
        <v>0.5</v>
      </c>
      <c r="K273" s="32" t="n">
        <v>192359</v>
      </c>
      <c r="L273" s="31" t="n">
        <v>15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59.63</v>
      </c>
      <c r="P273" s="32" t="n">
        <v>23.16</v>
      </c>
      <c r="Q273" s="32" t="n">
        <v>1340.72</v>
      </c>
      <c r="R273" s="31" t="inlineStr">
        <is>
          <t>Earnings / Momentum Support</t>
        </is>
      </c>
      <c r="S273" s="31" t="inlineStr">
        <is>
          <t>Nifty Pharma</t>
        </is>
      </c>
      <c r="T273" s="32" t="n">
        <v>10.89</v>
      </c>
      <c r="U273" s="32" t="n">
        <v>9.17</v>
      </c>
      <c r="V273" s="32" t="n">
        <v>-1.55</v>
      </c>
      <c r="W273" s="32" t="n">
        <v>6.1</v>
      </c>
      <c r="X273" s="31" t="inlineStr">
        <is>
          <t>Growing Industry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Yes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Structural (10 Years Consistency)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Stable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No</t>
        </is>
      </c>
      <c r="AQ273" s="31">
        <f>IF(AP273="Yes",10,0)</f>
        <v/>
      </c>
      <c r="AR273" s="31" t="inlineStr">
        <is>
          <t>Higher Annuity, Lower One Time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20 to 40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Negative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Yes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Above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IF(B274=0,"",RANK(B274,$B$2:$B$282,0))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3" t="inlineStr">
        <is>
          <t>KOVAI</t>
        </is>
      </c>
      <c r="D274" s="33" t="inlineStr">
        <is>
          <t>Kovai Medical Center &amp; Hospital Ltd</t>
        </is>
      </c>
      <c r="E274" s="31" t="inlineStr">
        <is>
          <t>healthcare</t>
        </is>
      </c>
      <c r="F274" s="31" t="inlineStr">
        <is>
          <t>healthcare</t>
        </is>
      </c>
      <c r="G274" s="31" t="inlineStr">
        <is>
          <t>midcap</t>
        </is>
      </c>
      <c r="H274" s="32" t="n">
        <v>6340.49</v>
      </c>
      <c r="I274" s="32" t="n">
        <v>5811</v>
      </c>
      <c r="J274" s="32" t="n">
        <v>0.28</v>
      </c>
      <c r="K274" s="32" t="n">
        <v>2484</v>
      </c>
      <c r="L274" s="31" t="n">
        <v>4</v>
      </c>
      <c r="M274" s="31" t="inlineStr">
        <is>
          <t>Underperforming</t>
        </is>
      </c>
      <c r="N274" s="32">
        <f>IF(M274="Underperforming",-5,IF(L274&gt;=95,15,IF(L274&gt;=90,10,IF(L274&gt;=80,5,0))))</f>
        <v/>
      </c>
      <c r="O274" s="32" t="n">
        <v>58.61</v>
      </c>
      <c r="P274" s="32" t="n">
        <v>18.98</v>
      </c>
      <c r="Q274" s="32" t="n">
        <v>4815.01</v>
      </c>
      <c r="R274" s="31" t="inlineStr">
        <is>
          <t>Earnings / Momentum Support</t>
        </is>
      </c>
      <c r="S274" s="31" t="inlineStr">
        <is>
          <t>Nifty Pharma</t>
        </is>
      </c>
      <c r="T274" s="32" t="n">
        <v>10.89</v>
      </c>
      <c r="U274" s="32" t="n">
        <v>-2.1</v>
      </c>
      <c r="V274" s="32" t="n">
        <v>-11.72</v>
      </c>
      <c r="W274" s="32" t="n">
        <v>2.46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Yes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No</t>
        </is>
      </c>
      <c r="AQ274" s="31">
        <f>IF(AP274="Yes",10,0)</f>
        <v/>
      </c>
      <c r="AR274" s="31" t="inlineStr">
        <is>
          <t>Higher Annuity, Lower One Time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1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Between 12 to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Between 1.5 to 2</t>
        </is>
      </c>
      <c r="BU274" s="31">
        <f>IF(BT274="Above 2",0,IF(BT274="Between 1.5 to 2",5,IF(BT274="Less than 1.5",10,0)))</f>
        <v/>
      </c>
      <c r="BV274" s="31" t="inlineStr">
        <is>
          <t>Above 70%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IF(B275=0,"",RANK(B275,$B$2:$B$282,0))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3" t="inlineStr">
        <is>
          <t>EPL</t>
        </is>
      </c>
      <c r="D275" s="33" t="inlineStr">
        <is>
          <t>EPL Ltd</t>
        </is>
      </c>
      <c r="E275" s="31" t="inlineStr">
        <is>
          <t>industrials</t>
        </is>
      </c>
      <c r="F275" s="31" t="inlineStr">
        <is>
          <t>packaging</t>
        </is>
      </c>
      <c r="G275" s="31" t="inlineStr">
        <is>
          <t>midcap</t>
        </is>
      </c>
      <c r="H275" s="32" t="n">
        <v>6949.7</v>
      </c>
      <c r="I275" s="32" t="n">
        <v>224.8</v>
      </c>
      <c r="J275" s="32" t="n">
        <v>3.59</v>
      </c>
      <c r="K275" s="32" t="n">
        <v>803690</v>
      </c>
      <c r="L275" s="31" t="n">
        <v>8</v>
      </c>
      <c r="M275" s="31" t="inlineStr">
        <is>
          <t>Underperforming</t>
        </is>
      </c>
      <c r="N275" s="32">
        <f>IF(M275="Underperforming",-5,IF(L275&gt;=95,15,IF(L275&gt;=90,10,IF(L275&gt;=80,5,0))))</f>
        <v/>
      </c>
      <c r="O275" s="32" t="n">
        <v>54.54</v>
      </c>
      <c r="P275" s="32" t="n">
        <v>11.98</v>
      </c>
      <c r="Q275" s="32" t="n">
        <v>186.78</v>
      </c>
      <c r="R275" s="31" t="inlineStr">
        <is>
          <t>Earnings / Momentum Support</t>
        </is>
      </c>
      <c r="S275" s="31" t="inlineStr">
        <is>
          <t>Nifty 50</t>
        </is>
      </c>
      <c r="T275" s="32" t="n">
        <v>-4.43</v>
      </c>
      <c r="U275" s="32" t="n">
        <v>-5.45</v>
      </c>
      <c r="V275" s="32" t="n">
        <v>-1.06</v>
      </c>
      <c r="W275" s="32" t="n">
        <v>4.06</v>
      </c>
      <c r="X275" s="31" t="inlineStr">
        <is>
          <t>Cyclical in an Upturn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1</t>
        </is>
      </c>
      <c r="BC275" s="31">
        <f>IF(BB275="Stage 2",20,IF(BB275="Stage 1",0,IF(BB275="Stage 3",5,IF(BB275="Stage 4",-5,0))))</f>
        <v/>
      </c>
      <c r="BD275" s="31" t="inlineStr">
        <is>
          <t>Positive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IF(B276=0,"",RANK(B276,$B$2:$B$282,0))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1" t="inlineStr">
        <is>
          <t>GLOSTERLTD</t>
        </is>
      </c>
      <c r="D276" s="31" t="inlineStr">
        <is>
          <t>Gloster Ltd</t>
        </is>
      </c>
      <c r="E276" s="31" t="inlineStr">
        <is>
          <t>textiles</t>
        </is>
      </c>
      <c r="F276" s="31" t="inlineStr">
        <is>
          <t>textiles - jute - yarn / products</t>
        </is>
      </c>
      <c r="G276" s="31" t="inlineStr">
        <is>
          <t>smallcap</t>
        </is>
      </c>
      <c r="H276" s="32" t="n">
        <v>718.86</v>
      </c>
      <c r="I276" s="32" t="n">
        <v>668.8</v>
      </c>
      <c r="J276" s="32" t="n">
        <v>1.81</v>
      </c>
      <c r="K276" s="32" t="n">
        <v>1045</v>
      </c>
      <c r="L276" s="31" t="n">
        <v>14</v>
      </c>
      <c r="M276" s="31" t="inlineStr">
        <is>
          <t>Outperforming</t>
        </is>
      </c>
      <c r="N276" s="32">
        <f>IF(M276="Underperforming",-5,IF(L276&gt;=95,15,IF(L276&gt;=90,10,IF(L276&gt;=80,5,0))))</f>
        <v/>
      </c>
      <c r="O276" s="32" t="n">
        <v>60.53</v>
      </c>
      <c r="P276" s="32" t="n">
        <v>24.76</v>
      </c>
      <c r="Q276" s="32" t="n">
        <v>527.86</v>
      </c>
      <c r="R276" s="31" t="inlineStr">
        <is>
          <t>Earnings / Momentum Support</t>
        </is>
      </c>
      <c r="S276" s="31" t="inlineStr">
        <is>
          <t>Nifty IT</t>
        </is>
      </c>
      <c r="T276" s="32" t="n">
        <v>-27.75</v>
      </c>
      <c r="U276" s="32" t="n">
        <v>-1.19</v>
      </c>
      <c r="V276" s="32" t="n">
        <v>36.75</v>
      </c>
      <c r="W276" s="32" t="n">
        <v>5.73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Tailwind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More than 20%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Yes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Negative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Between 0.7 to 1.2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IF(B277=0,"",RANK(B277,$B$2:$B$282,0))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3" t="inlineStr">
        <is>
          <t>RAJRATAN</t>
        </is>
      </c>
      <c r="D277" s="33" t="inlineStr">
        <is>
          <t>Rajratan Global Wire Ltd</t>
        </is>
      </c>
      <c r="E277" s="31" t="inlineStr">
        <is>
          <t>metals &amp; mining</t>
        </is>
      </c>
      <c r="F277" s="31" t="inlineStr">
        <is>
          <t>steel - medium / small</t>
        </is>
      </c>
      <c r="G277" s="31" t="inlineStr">
        <is>
          <t>smallcap</t>
        </is>
      </c>
      <c r="H277" s="32" t="n">
        <v>2221.23</v>
      </c>
      <c r="I277" s="32" t="n">
        <v>459.2</v>
      </c>
      <c r="J277" s="32" t="n">
        <v>4.96</v>
      </c>
      <c r="K277" s="32" t="n">
        <v>155486</v>
      </c>
      <c r="L277" s="31" t="n">
        <v>26</v>
      </c>
      <c r="M277" s="31" t="inlineStr">
        <is>
          <t>Underperforming</t>
        </is>
      </c>
      <c r="N277" s="32">
        <f>IF(M277="Underperforming",-5,IF(L277&gt;=95,15,IF(L277&gt;=90,10,IF(L277&gt;=80,5,0))))</f>
        <v/>
      </c>
      <c r="O277" s="32" t="n">
        <v>57.61</v>
      </c>
      <c r="P277" s="32" t="n">
        <v>8.31</v>
      </c>
      <c r="Q277" s="32" t="n">
        <v>328.34</v>
      </c>
      <c r="R277" s="31" t="inlineStr">
        <is>
          <t>Earnings / Momentum Support</t>
        </is>
      </c>
      <c r="S277" s="31" t="inlineStr">
        <is>
          <t>Nifty Metal</t>
        </is>
      </c>
      <c r="T277" s="32" t="n">
        <v>38.84</v>
      </c>
      <c r="U277" s="32" t="n">
        <v>7.97</v>
      </c>
      <c r="V277" s="32" t="n">
        <v>-22.23</v>
      </c>
      <c r="W277" s="32" t="n">
        <v>8.529999999999999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Cyclical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Volatile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No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Close to 52 week high or retracement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No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Between 50% to 70%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Less than 0.7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IF(B278=0,"",RANK(B278,$B$2:$B$282,0))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GAIL</t>
        </is>
      </c>
      <c r="D278" s="33" t="inlineStr">
        <is>
          <t>Gail (india) Limited</t>
        </is>
      </c>
      <c r="E278" s="31" t="inlineStr">
        <is>
          <t>energy</t>
        </is>
      </c>
      <c r="F278" s="31" t="inlineStr">
        <is>
          <t>miscellaneous</t>
        </is>
      </c>
      <c r="G278" s="31" t="inlineStr">
        <is>
          <t>largecap</t>
        </is>
      </c>
      <c r="H278" s="32" t="n">
        <v>109205.83</v>
      </c>
      <c r="I278" s="32" t="n">
        <v>170.5</v>
      </c>
      <c r="J278" s="32" t="n">
        <v>2.66</v>
      </c>
      <c r="K278" s="32" t="n">
        <v>7288989</v>
      </c>
      <c r="L278" s="31" t="n">
        <v>3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57.32</v>
      </c>
      <c r="P278" s="32" t="n">
        <v>13.84</v>
      </c>
      <c r="Q278" s="32" t="n">
        <v>143.43</v>
      </c>
      <c r="R278" s="31" t="inlineStr">
        <is>
          <t>Earnings / Momentum Support</t>
        </is>
      </c>
      <c r="S278" s="31" t="inlineStr">
        <is>
          <t>Nifty Energy</t>
        </is>
      </c>
      <c r="T278" s="32" t="n">
        <v>9.800000000000001</v>
      </c>
      <c r="U278" s="32" t="n">
        <v>-7.58</v>
      </c>
      <c r="V278" s="32" t="n">
        <v>-15.84</v>
      </c>
      <c r="W278" s="32" t="n">
        <v>1.9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Oligopoly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Yes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No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Above 70%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IF(B279=0,"",RANK(B279,$B$2:$B$282,0))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3" t="inlineStr">
        <is>
          <t>JTLIND</t>
        </is>
      </c>
      <c r="D279" s="33" t="inlineStr">
        <is>
          <t>JTL Industries Ltd</t>
        </is>
      </c>
      <c r="E279" s="31" t="inlineStr">
        <is>
          <t>metals &amp; mining</t>
        </is>
      </c>
      <c r="F279" s="31" t="inlineStr">
        <is>
          <t>steel - medium / small</t>
        </is>
      </c>
      <c r="G279" s="31" t="inlineStr">
        <is>
          <t>smallcap</t>
        </is>
      </c>
      <c r="H279" s="32" t="n">
        <v>2803.46</v>
      </c>
      <c r="I279" s="32" t="n">
        <v>74.98999999999999</v>
      </c>
      <c r="J279" s="32" t="n">
        <v>5.15</v>
      </c>
      <c r="K279" s="32" t="n">
        <v>5520684</v>
      </c>
      <c r="L279" s="31" t="n">
        <v>35</v>
      </c>
      <c r="M279" s="31" t="inlineStr">
        <is>
          <t>Underperforming</t>
        </is>
      </c>
      <c r="N279" s="32">
        <f>IF(M279="Underperforming",-5,IF(L279&gt;=95,15,IF(L279&gt;=90,10,IF(L279&gt;=80,5,0))))</f>
        <v/>
      </c>
      <c r="O279" s="32" t="n">
        <v>56.12</v>
      </c>
      <c r="P279" s="32" t="n">
        <v>15.01</v>
      </c>
      <c r="Q279" s="32" t="n">
        <v>55.02</v>
      </c>
      <c r="R279" s="31" t="inlineStr">
        <is>
          <t>Earnings / Momentum Support</t>
        </is>
      </c>
      <c r="S279" s="31" t="inlineStr">
        <is>
          <t>Nifty Metal</t>
        </is>
      </c>
      <c r="T279" s="32" t="n">
        <v>38.84</v>
      </c>
      <c r="U279" s="32" t="n">
        <v>-3.62</v>
      </c>
      <c r="V279" s="32" t="n">
        <v>-30.58</v>
      </c>
      <c r="W279" s="32" t="n">
        <v>10.17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Cyclical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Volatile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No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Positive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Close to 52 week high or retracement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No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Negative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IF(B280=0,"",RANK(B280,$B$2:$B$282,0))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3" t="inlineStr">
        <is>
          <t>VSSL</t>
        </is>
      </c>
      <c r="D280" s="33" t="inlineStr">
        <is>
          <t>Vardhman Special Steels Limited</t>
        </is>
      </c>
      <c r="E280" s="31" t="inlineStr">
        <is>
          <t>metals &amp; mining</t>
        </is>
      </c>
      <c r="F280" s="31" t="inlineStr">
        <is>
          <t>steel - medium / small</t>
        </is>
      </c>
      <c r="G280" s="31" t="inlineStr">
        <is>
          <t>smallcap</t>
        </is>
      </c>
      <c r="H280" s="32" t="n">
        <v>2590.69</v>
      </c>
      <c r="I280" s="32" t="n">
        <v>276.15</v>
      </c>
      <c r="J280" s="32" t="n">
        <v>3.06</v>
      </c>
      <c r="K280" s="32" t="n">
        <v>83203</v>
      </c>
      <c r="L280" s="31" t="n">
        <v>18</v>
      </c>
      <c r="M280" s="31" t="inlineStr">
        <is>
          <t>Underperforming</t>
        </is>
      </c>
      <c r="N280" s="32">
        <f>IF(M280="Underperforming",-5,IF(L280&gt;=95,15,IF(L280&gt;=90,10,IF(L280&gt;=80,5,0))))</f>
        <v/>
      </c>
      <c r="O280" s="32" t="n">
        <v>56.19</v>
      </c>
      <c r="P280" s="32" t="n">
        <v>21.99</v>
      </c>
      <c r="Q280" s="32" t="n">
        <v>218.8</v>
      </c>
      <c r="R280" s="31" t="inlineStr">
        <is>
          <t>Earnings / Momentum Support</t>
        </is>
      </c>
      <c r="S280" s="31" t="inlineStr">
        <is>
          <t>Nifty Metal</t>
        </is>
      </c>
      <c r="T280" s="32" t="n">
        <v>38.84</v>
      </c>
      <c r="U280" s="32" t="n">
        <v>9.41</v>
      </c>
      <c r="V280" s="32" t="n">
        <v>-21.2</v>
      </c>
      <c r="W280" s="32" t="n">
        <v>6.51</v>
      </c>
      <c r="X280" s="31" t="inlineStr">
        <is>
          <t>Cyclical in an Upturn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Headwind</t>
        </is>
      </c>
      <c r="AE280" s="31">
        <f>IF(AD280="Tailwind",10,0)</f>
        <v/>
      </c>
      <c r="AF280" s="31" t="inlineStr">
        <is>
          <t>Cyclical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Volatile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20 to 40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Negative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More than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No</t>
        </is>
      </c>
      <c r="BS280" s="31">
        <f>IF(BR280="NO",5,0)</f>
        <v/>
      </c>
      <c r="BT280" s="31" t="inlineStr">
        <is>
          <t>Less than 1.5</t>
        </is>
      </c>
      <c r="BU280" s="31">
        <f>IF(BT280="Above 2",0,IF(BT280="Between 1.5 to 2",5,IF(BT280="Less than 1.5",10,0)))</f>
        <v/>
      </c>
      <c r="BV280" s="31" t="inlineStr">
        <is>
          <t>Between 50% to 70%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Less than 0.7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IF(B281=0,"",RANK(B281,$B$2:$B$282,0))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JBMA</t>
        </is>
      </c>
      <c r="D281" s="33" t="inlineStr">
        <is>
          <t>Jbm Auto Limited</t>
        </is>
      </c>
      <c r="E281" s="31" t="inlineStr">
        <is>
          <t>auto</t>
        </is>
      </c>
      <c r="F281" s="31" t="inlineStr">
        <is>
          <t>auto ancillaries</t>
        </is>
      </c>
      <c r="G281" s="31" t="inlineStr">
        <is>
          <t>midcap</t>
        </is>
      </c>
      <c r="H281" s="32" t="n">
        <v>15250.33</v>
      </c>
      <c r="I281" s="32" t="n">
        <v>683.8</v>
      </c>
      <c r="J281" s="32" t="n">
        <v>6.04</v>
      </c>
      <c r="K281" s="32" t="n">
        <v>4784656</v>
      </c>
      <c r="L281" s="31" t="n">
        <v>28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61.12</v>
      </c>
      <c r="P281" s="32" t="n">
        <v>15.77</v>
      </c>
      <c r="Q281" s="32" t="n">
        <v>513.03</v>
      </c>
      <c r="R281" s="31" t="inlineStr">
        <is>
          <t>Earnings / Momentum Support</t>
        </is>
      </c>
      <c r="S281" s="31" t="inlineStr">
        <is>
          <t>Nifty Auto</t>
        </is>
      </c>
      <c r="T281" s="32" t="n">
        <v>12.72</v>
      </c>
      <c r="U281" s="32" t="n">
        <v>-2.37</v>
      </c>
      <c r="V281" s="32" t="n">
        <v>-13.39</v>
      </c>
      <c r="W281" s="32" t="n">
        <v>9.02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Too Many Players with High ROCE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No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Negative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More than 1.2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IF(B282=0,"",RANK(B282,$B$2:$B$282,0))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BALAMINES</t>
        </is>
      </c>
      <c r="D282" s="31" t="inlineStr">
        <is>
          <t>Balaji Amines Limited</t>
        </is>
      </c>
      <c r="E282" s="31" t="inlineStr">
        <is>
          <t>chemicals</t>
        </is>
      </c>
      <c r="F282" s="31" t="inlineStr">
        <is>
          <t>chemicals</t>
        </is>
      </c>
      <c r="G282" s="31" t="inlineStr">
        <is>
          <t>midcap</t>
        </is>
      </c>
      <c r="H282" s="32" t="n">
        <v>6655.17</v>
      </c>
      <c r="I282" s="32" t="n">
        <v>2133</v>
      </c>
      <c r="J282" s="32" t="n">
        <v>3.85</v>
      </c>
      <c r="K282" s="32" t="n">
        <v>212251</v>
      </c>
      <c r="L282" s="31" t="n">
        <v>92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82.55</v>
      </c>
      <c r="P282" s="32" t="n">
        <v>38.69</v>
      </c>
      <c r="Q282" s="32" t="n">
        <v>1594.56</v>
      </c>
      <c r="R282" s="31" t="inlineStr">
        <is>
          <t>Near 52W High Breakout</t>
        </is>
      </c>
      <c r="S282" s="31" t="inlineStr">
        <is>
          <t>Nifty 50</t>
        </is>
      </c>
      <c r="T282" s="32" t="n">
        <v>-4.43</v>
      </c>
      <c r="U282" s="32" t="n">
        <v>47.66</v>
      </c>
      <c r="V282" s="32" t="n">
        <v>54.51</v>
      </c>
      <c r="W282" s="32" t="n">
        <v>38.83</v>
      </c>
      <c r="X282" s="31" t="inlineStr">
        <is>
          <t>Growing Industry</t>
        </is>
      </c>
      <c r="Y282" s="31">
        <f>IF(X282="Growing Industry",10,IF(X282="Cyclical in an Upturn",5,0))</f>
        <v/>
      </c>
      <c r="Z282" s="31" t="inlineStr">
        <is>
          <t>Duopoly That Cooperate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Headwind</t>
        </is>
      </c>
      <c r="AE282" s="31">
        <f>IF(AD282="Tailwind",10,0)</f>
        <v/>
      </c>
      <c r="AF282" s="31" t="inlineStr">
        <is>
          <t>Shallow Cyclical (2 to 3 Years Growth)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4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Downtrend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Overhead supply in last 2 years in last 2 years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No</t>
        </is>
      </c>
      <c r="BM282" s="31">
        <f>IF(BL282="Yes",10,0)</f>
        <v/>
      </c>
      <c r="BN282" s="31" t="inlineStr">
        <is>
          <t>More than 20%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Less than 1.5</t>
        </is>
      </c>
      <c r="BU282" s="31">
        <f>IF(BT282="Above 2",0,IF(BT282="Between 1.5 to 2",5,IF(BT282="Less than 1.5",10,0)))</f>
        <v/>
      </c>
      <c r="BV282" s="31" t="inlineStr">
        <is>
          <t>Between 50% to 70%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</sheetData>
  <autoFilter ref="A1:CE282"/>
  <conditionalFormatting sqref="B2:B28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8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8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8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8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8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8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8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8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8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8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8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8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8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8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8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8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8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8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8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8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8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8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8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8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8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8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8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8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8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8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8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82">
    <cfRule type="cellIs" priority="36" operator="equal" dxfId="3" stopIfTrue="1">
      <formula>"Underperforming"</formula>
    </cfRule>
  </conditionalFormatting>
  <conditionalFormatting sqref="N2:N282">
    <cfRule type="cellIs" priority="37" operator="equal" dxfId="3" stopIfTrue="1">
      <formula>-5</formula>
    </cfRule>
  </conditionalFormatting>
  <conditionalFormatting sqref="Q2:Q282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82" showDropDown="0" showInputMessage="0" showErrorMessage="0" allowBlank="1" type="list">
      <formula1>"Growing Industry,Stagnant Industry,Cyclical in an Upturn"</formula1>
    </dataValidation>
    <dataValidation sqref="Z2:Z28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82" showDropDown="0" showInputMessage="0" showErrorMessage="0" allowBlank="1" type="list">
      <formula1>"Yes,No"</formula1>
    </dataValidation>
    <dataValidation sqref="AD2:AD282" showDropDown="0" showInputMessage="0" showErrorMessage="0" allowBlank="1" type="list">
      <formula1>"Tailwind,Headwind"</formula1>
    </dataValidation>
    <dataValidation sqref="AF2:AF282" showDropDown="0" showInputMessage="0" showErrorMessage="0" allowBlank="1" type="list">
      <formula1>"Structural (10 Years Consistency),Shallow Cyclical (2 to 3 Years Growth),Cyclical"</formula1>
    </dataValidation>
    <dataValidation sqref="AH2:AH282" showDropDown="0" showInputMessage="0" showErrorMessage="0" allowBlank="1" type="list">
      <formula1>"Yes due to Product Mix change or Operating Leverage,Yes, these are peak margins,No"</formula1>
    </dataValidation>
    <dataValidation sqref="AJ2:AJ282" showDropDown="0" showInputMessage="0" showErrorMessage="0" allowBlank="1" type="list">
      <formula1>"Stable,Volatile"</formula1>
    </dataValidation>
    <dataValidation sqref="AL2:AL282" showDropDown="0" showInputMessage="0" showErrorMessage="0" allowBlank="1" type="list">
      <formula1>"Yes,No"</formula1>
    </dataValidation>
    <dataValidation sqref="AN2:AN282" showDropDown="0" showInputMessage="0" showErrorMessage="0" allowBlank="1" type="list">
      <formula1>"B2C,B2B,B2G"</formula1>
    </dataValidation>
    <dataValidation sqref="AP2:AP282" showDropDown="0" showInputMessage="0" showErrorMessage="0" allowBlank="1" type="list">
      <formula1>"Yes,No"</formula1>
    </dataValidation>
    <dataValidation sqref="AR2:AR282" showDropDown="0" showInputMessage="0" showErrorMessage="0" allowBlank="1" type="list">
      <formula1>"Fully Annuity,Higher Annuity, Lower One time,Higher One Time, Lower Annuity,Fully One Time"</formula1>
    </dataValidation>
    <dataValidation sqref="AT2:AT282" showDropDown="0" showInputMessage="0" showErrorMessage="0" allowBlank="1" type="list">
      <formula1>"Good,Allocated capital in Non-core Areas"</formula1>
    </dataValidation>
    <dataValidation sqref="AV2:AV282" showDropDown="0" showInputMessage="0" showErrorMessage="0" allowBlank="1" type="list">
      <formula1>"Yes for more than 2 years,Yes only for next 1 to 2 years,No"</formula1>
    </dataValidation>
    <dataValidation sqref="AX2:AX282" showDropDown="0" showInputMessage="0" showErrorMessage="0" allowBlank="1" type="list">
      <formula1>"Above 40,20 to 40,0 to 20"</formula1>
    </dataValidation>
    <dataValidation sqref="AZ2:AZ282" showDropDown="0" showInputMessage="0" showErrorMessage="0" allowBlank="1" type="list">
      <formula1>"Between 50 to 75,Above 75,Below 45"</formula1>
    </dataValidation>
    <dataValidation sqref="BB2:BB282" showDropDown="0" showInputMessage="0" showErrorMessage="0" allowBlank="1" type="list">
      <formula1>"Stage 1,Stage 2,Stage 3,Stage 4"</formula1>
    </dataValidation>
    <dataValidation sqref="BD2:BD282" showDropDown="0" showInputMessage="0" showErrorMessage="0" allowBlank="1" type="list">
      <formula1>"Positive Trend,Negative Trend"</formula1>
    </dataValidation>
    <dataValidation sqref="BF2:BF282" showDropDown="0" showInputMessage="0" showErrorMessage="0" allowBlank="1" type="list">
      <formula1>"Uptrend,Sideways,Downtrend"</formula1>
    </dataValidation>
    <dataValidation sqref="BH2:BH282" showDropDown="0" showInputMessage="0" showErrorMessage="0" allowBlank="1" type="list">
      <formula1>"Uptrend,Sideways,Downtrend"</formula1>
    </dataValidation>
    <dataValidation sqref="BJ2:BJ28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82" showDropDown="0" showInputMessage="0" showErrorMessage="0" allowBlank="1" type="list">
      <formula1>"Yes,No"</formula1>
    </dataValidation>
    <dataValidation sqref="BN2:BN282" showDropDown="0" showInputMessage="0" showErrorMessage="0" allowBlank="1" type="list">
      <formula1>"More than 20%,Between 12 to 20%,Less than 12%"</formula1>
    </dataValidation>
    <dataValidation sqref="BP2:BP282" showDropDown="0" showInputMessage="0" showErrorMessage="0" allowBlank="1" type="list">
      <formula1>"Yes,No"</formula1>
    </dataValidation>
    <dataValidation sqref="BR2:BR282" showDropDown="0" showInputMessage="0" showErrorMessage="0" allowBlank="1" type="list">
      <formula1>"Yes,No"</formula1>
    </dataValidation>
    <dataValidation sqref="BT2:BT282" showDropDown="0" showInputMessage="0" showErrorMessage="0" allowBlank="1" type="list">
      <formula1>"Above 2,Between 1.5 to 2,Less than 1.5"</formula1>
    </dataValidation>
    <dataValidation sqref="BV2:BV282" showDropDown="0" showInputMessage="0" showErrorMessage="0" allowBlank="1" type="list">
      <formula1>"Above 70%,Between 50% to 70%,Less than 50%,Less than 50% and Borrowings are increasing,Negative"</formula1>
    </dataValidation>
    <dataValidation sqref="BX2:BX282" showDropDown="0" showInputMessage="0" showErrorMessage="0" allowBlank="1" type="list">
      <formula1>"More than 1.2,Between 0.7 to 1.2,Less than 0.7"</formula1>
    </dataValidation>
    <dataValidation sqref="BZ2:BZ282" showDropDown="0" showInputMessage="0" showErrorMessage="0" allowBlank="1" type="list">
      <formula1>"Yes,No"</formula1>
    </dataValidation>
    <dataValidation sqref="CB2:CB282" showDropDown="0" showInputMessage="0" showErrorMessage="0" allowBlank="1" type="list">
      <formula1>"More than 15%,Less than 15%"</formula1>
    </dataValidation>
    <dataValidation sqref="CD2:CD28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MAHABANK</t>
        </is>
      </c>
      <c r="D2" s="31" t="inlineStr">
        <is>
          <t>Bank Of Maharashtra Ltd</t>
        </is>
      </c>
      <c r="E2" s="31" t="inlineStr">
        <is>
          <t>bank</t>
        </is>
      </c>
      <c r="F2" s="31" t="inlineStr">
        <is>
          <t>banks - public sector</t>
        </is>
      </c>
      <c r="G2" s="31" t="inlineStr">
        <is>
          <t>largecap</t>
        </is>
      </c>
      <c r="H2" s="32" t="n">
        <v>63901.44</v>
      </c>
      <c r="I2" s="32" t="n">
        <v>87.3</v>
      </c>
      <c r="J2" s="32" t="n">
        <v>5.08</v>
      </c>
      <c r="K2" s="32" t="n">
        <v>36284743</v>
      </c>
      <c r="L2" s="31" t="n">
        <v>67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71.33</v>
      </c>
      <c r="P2" s="32" t="n">
        <v>41.27</v>
      </c>
      <c r="Q2" s="32" t="n">
        <v>70.68000000000001</v>
      </c>
      <c r="R2" s="31" t="inlineStr">
        <is>
          <t>Near 52W High Breakout</t>
        </is>
      </c>
      <c r="S2" s="31" t="inlineStr">
        <is>
          <t>Nifty Bank</t>
        </is>
      </c>
      <c r="T2" s="32" t="n">
        <v>2.32</v>
      </c>
      <c r="U2" s="32" t="n">
        <v>65.40000000000001</v>
      </c>
      <c r="V2" s="32" t="n">
        <v>61.65</v>
      </c>
      <c r="W2" s="32" t="n">
        <v>19.11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KTKBANK</t>
        </is>
      </c>
      <c r="D3" s="31" t="inlineStr">
        <is>
          <t>The Karnataka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10022.61</v>
      </c>
      <c r="I3" s="32" t="n">
        <v>275.7</v>
      </c>
      <c r="J3" s="32" t="n">
        <v>4.02</v>
      </c>
      <c r="K3" s="32" t="n">
        <v>3073840</v>
      </c>
      <c r="L3" s="31" t="n">
        <v>42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69.27</v>
      </c>
      <c r="P3" s="32" t="n">
        <v>54.41</v>
      </c>
      <c r="Q3" s="32" t="n">
        <v>219.34</v>
      </c>
      <c r="R3" s="31" t="inlineStr">
        <is>
          <t>Near 52W High Breakout</t>
        </is>
      </c>
      <c r="S3" s="31" t="inlineStr">
        <is>
          <t>Nifty Bank</t>
        </is>
      </c>
      <c r="T3" s="32" t="n">
        <v>2.32</v>
      </c>
      <c r="U3" s="32" t="n">
        <v>38</v>
      </c>
      <c r="V3" s="32" t="n">
        <v>34.87</v>
      </c>
      <c r="W3" s="32" t="n">
        <v>12.09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BANDHANBNK</t>
        </is>
      </c>
      <c r="D4" s="31" t="inlineStr">
        <is>
          <t>Bandhan Bank Ltd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31236.75</v>
      </c>
      <c r="I4" s="32" t="n">
        <v>204.6</v>
      </c>
      <c r="J4" s="32" t="n">
        <v>5.52</v>
      </c>
      <c r="K4" s="32" t="n">
        <v>10237548</v>
      </c>
      <c r="L4" s="31" t="n">
        <v>20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64.13</v>
      </c>
      <c r="P4" s="32" t="n">
        <v>26.88</v>
      </c>
      <c r="Q4" s="32" t="n">
        <v>167.14</v>
      </c>
      <c r="R4" s="31" t="inlineStr">
        <is>
          <t>Near 52W High Breakout</t>
        </is>
      </c>
      <c r="S4" s="31" t="inlineStr">
        <is>
          <t>Nifty Bank</t>
        </is>
      </c>
      <c r="T4" s="32" t="n">
        <v>2.32</v>
      </c>
      <c r="U4" s="32" t="n">
        <v>17.85</v>
      </c>
      <c r="V4" s="32" t="n">
        <v>15.18</v>
      </c>
      <c r="W4" s="32" t="n">
        <v>7.24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RBLBANK</t>
        </is>
      </c>
      <c r="D5" s="31" t="inlineStr">
        <is>
          <t>Rbl Bank Limited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largecap</t>
        </is>
      </c>
      <c r="H5" s="32" t="n">
        <v>22196.38</v>
      </c>
      <c r="I5" s="32" t="n">
        <v>365.85</v>
      </c>
      <c r="J5" s="32" t="n">
        <v>1.88</v>
      </c>
      <c r="K5" s="32" t="n">
        <v>8410483</v>
      </c>
      <c r="L5" s="31" t="n">
        <v>56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69.25</v>
      </c>
      <c r="P5" s="32" t="n">
        <v>28.74</v>
      </c>
      <c r="Q5" s="32" t="n">
        <v>303.28</v>
      </c>
      <c r="R5" s="31" t="inlineStr">
        <is>
          <t>Near 52W High Breakout</t>
        </is>
      </c>
      <c r="S5" s="31" t="inlineStr">
        <is>
          <t>Nifty Bank</t>
        </is>
      </c>
      <c r="T5" s="32" t="n">
        <v>2.32</v>
      </c>
      <c r="U5" s="32" t="n">
        <v>66.73</v>
      </c>
      <c r="V5" s="32" t="n">
        <v>62.95</v>
      </c>
      <c r="W5" s="32" t="n">
        <v>16.22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TMB</t>
        </is>
      </c>
      <c r="D6" s="31" t="inlineStr">
        <is>
          <t>Tamilnad Mercantile Bank Ltd</t>
        </is>
      </c>
      <c r="E6" s="31" t="inlineStr">
        <is>
          <t>bank</t>
        </is>
      </c>
      <c r="F6" s="31" t="inlineStr">
        <is>
          <t>banks - private sector</t>
        </is>
      </c>
      <c r="G6" s="31" t="inlineStr">
        <is>
          <t>midcap</t>
        </is>
      </c>
      <c r="H6" s="32" t="n">
        <v>12151.89</v>
      </c>
      <c r="I6" s="32" t="n">
        <v>767.05</v>
      </c>
      <c r="J6" s="32" t="n">
        <v>-0.05</v>
      </c>
      <c r="K6" s="32" t="n">
        <v>210472</v>
      </c>
      <c r="L6" s="31" t="n">
        <v>65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69.04000000000001</v>
      </c>
      <c r="P6" s="32" t="n">
        <v>29.57</v>
      </c>
      <c r="Q6" s="32" t="n">
        <v>609.55</v>
      </c>
      <c r="R6" s="31" t="inlineStr">
        <is>
          <t>Near 52W High Breakout</t>
        </is>
      </c>
      <c r="S6" s="31" t="inlineStr">
        <is>
          <t>Nifty Bank</t>
        </is>
      </c>
      <c r="T6" s="32" t="n">
        <v>2.32</v>
      </c>
      <c r="U6" s="32" t="n">
        <v>76.55</v>
      </c>
      <c r="V6" s="32" t="n">
        <v>72.54000000000001</v>
      </c>
      <c r="W6" s="32" t="n">
        <v>18.66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SATIN</t>
        </is>
      </c>
      <c r="D7" s="31" t="inlineStr">
        <is>
          <t>Satin Creditcare Network Limited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2426.94</v>
      </c>
      <c r="I7" s="32" t="n">
        <v>226.32</v>
      </c>
      <c r="J7" s="32" t="n">
        <v>3.02</v>
      </c>
      <c r="K7" s="32" t="n">
        <v>444134</v>
      </c>
      <c r="L7" s="31" t="n">
        <v>70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68.62</v>
      </c>
      <c r="P7" s="32" t="n">
        <v>41.38</v>
      </c>
      <c r="Q7" s="32" t="n">
        <v>187.06</v>
      </c>
      <c r="R7" s="31" t="inlineStr">
        <is>
          <t>Earnings / Momentum Support</t>
        </is>
      </c>
      <c r="S7" s="31" t="inlineStr">
        <is>
          <t>Nifty Bank</t>
        </is>
      </c>
      <c r="T7" s="32" t="n">
        <v>2.32</v>
      </c>
      <c r="U7" s="32" t="n">
        <v>42.22</v>
      </c>
      <c r="V7" s="32" t="n">
        <v>39</v>
      </c>
      <c r="W7" s="32" t="n">
        <v>20.92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J&amp;KBANK</t>
        </is>
      </c>
      <c r="D8" s="31" t="inlineStr">
        <is>
          <t>The Jammu &amp; Kashmir Bank Limited</t>
        </is>
      </c>
      <c r="E8" s="31" t="inlineStr">
        <is>
          <t>bank</t>
        </is>
      </c>
      <c r="F8" s="31" t="inlineStr">
        <is>
          <t>banks - private sector</t>
        </is>
      </c>
      <c r="G8" s="31" t="inlineStr">
        <is>
          <t>midcap</t>
        </is>
      </c>
      <c r="H8" s="32" t="n">
        <v>16855.8</v>
      </c>
      <c r="I8" s="32" t="n">
        <v>157.4</v>
      </c>
      <c r="J8" s="32" t="n">
        <v>2.83</v>
      </c>
      <c r="K8" s="32" t="n">
        <v>3788279</v>
      </c>
      <c r="L8" s="31" t="n">
        <v>53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73.45</v>
      </c>
      <c r="P8" s="32" t="n">
        <v>49.55</v>
      </c>
      <c r="Q8" s="32" t="n">
        <v>125.84</v>
      </c>
      <c r="R8" s="31" t="inlineStr">
        <is>
          <t>Near 52W High Breakout</t>
        </is>
      </c>
      <c r="S8" s="31" t="inlineStr">
        <is>
          <t>Nifty Bank</t>
        </is>
      </c>
      <c r="T8" s="32" t="n">
        <v>2.32</v>
      </c>
      <c r="U8" s="32" t="n">
        <v>53.3</v>
      </c>
      <c r="V8" s="32" t="n">
        <v>49.83</v>
      </c>
      <c r="W8" s="32" t="n">
        <v>15.66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IF(B9=0,"",RANK(B9,$B$2:$B$43,0))</f>
        <v/>
      </c>
      <c r="B9" s="32">
        <f>SUM(N9,Y9,AA9,AC9,AE9,AG9,AI9,AK9,AM9,AO9,AQ9,AS9,AU9,AW9,AY9,BA9,BC9,BE9,BG9,BI9,BK9,BM9,BO9,BQ9,BS9,BU9,BW9,BY9,CA9)</f>
        <v/>
      </c>
      <c r="C9" s="31" t="inlineStr">
        <is>
          <t>AUBANK</t>
        </is>
      </c>
      <c r="D9" s="31" t="inlineStr">
        <is>
          <t>AU Small Finance Bank Ltd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72080.57000000001</v>
      </c>
      <c r="I9" s="32" t="n">
        <v>1015.5</v>
      </c>
      <c r="J9" s="32" t="n">
        <v>5.42</v>
      </c>
      <c r="K9" s="32" t="n">
        <v>4077611</v>
      </c>
      <c r="L9" s="31" t="n">
        <v>34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56.96</v>
      </c>
      <c r="P9" s="32" t="n">
        <v>20.1</v>
      </c>
      <c r="Q9" s="32" t="n">
        <v>880.6900000000001</v>
      </c>
      <c r="R9" s="31" t="inlineStr">
        <is>
          <t>Near 52W High Breakout</t>
        </is>
      </c>
      <c r="S9" s="31" t="inlineStr">
        <is>
          <t>Nifty Bank</t>
        </is>
      </c>
      <c r="T9" s="32" t="n">
        <v>2.32</v>
      </c>
      <c r="U9" s="32" t="n">
        <v>32.29</v>
      </c>
      <c r="V9" s="32" t="n">
        <v>29.29</v>
      </c>
      <c r="W9" s="32" t="n">
        <v>10.01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IFCI</t>
        </is>
      </c>
      <c r="D10" s="31" t="inlineStr">
        <is>
          <t>Ifci Limited</t>
        </is>
      </c>
      <c r="E10" s="31" t="inlineStr">
        <is>
          <t>financials</t>
        </is>
      </c>
      <c r="F10" s="31" t="inlineStr">
        <is>
          <t>finance - term-lending institutions</t>
        </is>
      </c>
      <c r="G10" s="31" t="inlineStr">
        <is>
          <t>midcap</t>
        </is>
      </c>
      <c r="H10" s="32" t="n">
        <v>18989.53</v>
      </c>
      <c r="I10" s="32" t="n">
        <v>84.56999999999999</v>
      </c>
      <c r="J10" s="32" t="n">
        <v>19.99</v>
      </c>
      <c r="K10" s="32" t="n">
        <v>240541132</v>
      </c>
      <c r="L10" s="31" t="n">
        <v>64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72.76000000000001</v>
      </c>
      <c r="P10" s="32" t="n">
        <v>23.34</v>
      </c>
      <c r="Q10" s="32" t="n">
        <v>62.36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2.32</v>
      </c>
      <c r="U10" s="32" t="n">
        <v>37.36</v>
      </c>
      <c r="V10" s="32" t="n">
        <v>34.24</v>
      </c>
      <c r="W10" s="32" t="n">
        <v>18.21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20 to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ABSLAMC</t>
        </is>
      </c>
      <c r="D11" s="31" t="inlineStr">
        <is>
          <t>Aditya Birla Sun Life AMC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largecap</t>
        </is>
      </c>
      <c r="H11" s="32" t="n">
        <v>30861.83</v>
      </c>
      <c r="I11" s="32" t="n">
        <v>1101.2</v>
      </c>
      <c r="J11" s="32" t="n">
        <v>3.05</v>
      </c>
      <c r="K11" s="32" t="n">
        <v>801088</v>
      </c>
      <c r="L11" s="31" t="n">
        <v>44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66.29000000000001</v>
      </c>
      <c r="P11" s="32" t="n">
        <v>41.37</v>
      </c>
      <c r="Q11" s="32" t="n">
        <v>870.8200000000001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2.32</v>
      </c>
      <c r="U11" s="32" t="n">
        <v>47.78</v>
      </c>
      <c r="V11" s="32" t="n">
        <v>44.43</v>
      </c>
      <c r="W11" s="32" t="n">
        <v>12.52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Above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SURYODAY</t>
        </is>
      </c>
      <c r="D12" s="31" t="inlineStr">
        <is>
          <t>Suryoday Small Finance Bank Ltd</t>
        </is>
      </c>
      <c r="E12" s="31" t="inlineStr">
        <is>
          <t>bank</t>
        </is>
      </c>
      <c r="F12" s="31" t="inlineStr">
        <is>
          <t>banks - private sector</t>
        </is>
      </c>
      <c r="G12" s="31" t="inlineStr">
        <is>
          <t>smallcap</t>
        </is>
      </c>
      <c r="H12" s="32" t="n">
        <v>1752.19</v>
      </c>
      <c r="I12" s="32" t="n">
        <v>169.65</v>
      </c>
      <c r="J12" s="32" t="n">
        <v>2.91</v>
      </c>
      <c r="K12" s="32" t="n">
        <v>209639</v>
      </c>
      <c r="L12" s="31" t="n">
        <v>34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62.4</v>
      </c>
      <c r="P12" s="32" t="n">
        <v>29.08</v>
      </c>
      <c r="Q12" s="32" t="n">
        <v>138.26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2.32</v>
      </c>
      <c r="U12" s="32" t="n">
        <v>18.56</v>
      </c>
      <c r="V12" s="32" t="n">
        <v>15.88</v>
      </c>
      <c r="W12" s="32" t="n">
        <v>10.01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FEDERALBNK</t>
        </is>
      </c>
      <c r="D13" s="31" t="inlineStr">
        <is>
          <t>The Federal Bank  Limited</t>
        </is>
      </c>
      <c r="E13" s="31" t="inlineStr">
        <is>
          <t>bank</t>
        </is>
      </c>
      <c r="F13" s="31" t="inlineStr">
        <is>
          <t>banks - private sector</t>
        </is>
      </c>
      <c r="G13" s="31" t="inlineStr">
        <is>
          <t>largecap</t>
        </is>
      </c>
      <c r="H13" s="32" t="n">
        <v>76331.14999999999</v>
      </c>
      <c r="I13" s="32" t="n">
        <v>315.7</v>
      </c>
      <c r="J13" s="32" t="n">
        <v>1.92</v>
      </c>
      <c r="K13" s="32" t="n">
        <v>9052110</v>
      </c>
      <c r="L13" s="31" t="n">
        <v>48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67.79000000000001</v>
      </c>
      <c r="P13" s="32" t="n">
        <v>17.8</v>
      </c>
      <c r="Q13" s="32" t="n">
        <v>268.5</v>
      </c>
      <c r="R13" s="31" t="inlineStr">
        <is>
          <t>Near 52W High Breakout</t>
        </is>
      </c>
      <c r="S13" s="31" t="inlineStr">
        <is>
          <t>Nifty Bank</t>
        </is>
      </c>
      <c r="T13" s="32" t="n">
        <v>2.32</v>
      </c>
      <c r="U13" s="32" t="n">
        <v>54.71</v>
      </c>
      <c r="V13" s="32" t="n">
        <v>51.2</v>
      </c>
      <c r="W13" s="32" t="n">
        <v>14.08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more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IF(B14=0,"",RANK(B14,$B$2:$B$43,0))</f>
        <v/>
      </c>
      <c r="B14" s="32">
        <f>SUM(N14,Y14,AA14,AC14,AE14,AG14,AI14,AK14,AM14,AO14,AQ14,AS14,AU14,AW14,AY14,BA14,BC14,BE14,BG14,BI14,BK14,BM14,BO14,BQ14,BS14,BU14,BW14,BY14,CA14)</f>
        <v/>
      </c>
      <c r="C14" s="33" t="inlineStr">
        <is>
          <t>RANEHOLDIN</t>
        </is>
      </c>
      <c r="D14" s="33" t="inlineStr">
        <is>
          <t>Rane Holdings Limited</t>
        </is>
      </c>
      <c r="E14" s="31" t="inlineStr">
        <is>
          <t>financials</t>
        </is>
      </c>
      <c r="F14" s="31" t="inlineStr">
        <is>
          <t>finance &amp; investments</t>
        </is>
      </c>
      <c r="G14" s="31" t="inlineStr">
        <is>
          <t>smallcap</t>
        </is>
      </c>
      <c r="H14" s="32" t="n">
        <v>1957.49</v>
      </c>
      <c r="I14" s="32" t="n">
        <v>1450</v>
      </c>
      <c r="J14" s="32" t="n">
        <v>5.76</v>
      </c>
      <c r="K14" s="32" t="n">
        <v>11385</v>
      </c>
      <c r="L14" s="31" t="n">
        <v>17</v>
      </c>
      <c r="M14" s="31" t="inlineStr">
        <is>
          <t>Underperforming</t>
        </is>
      </c>
      <c r="N14" s="32">
        <f>IF(M14="Underperforming",-5,IF(L14&gt;=95,15,IF(L14&gt;=90,10,IF(L14&gt;=80,5,0))))</f>
        <v/>
      </c>
      <c r="O14" s="32" t="n">
        <v>61.2</v>
      </c>
      <c r="P14" s="32" t="n">
        <v>25.24</v>
      </c>
      <c r="Q14" s="32" t="n">
        <v>1064.82</v>
      </c>
      <c r="R14" s="31" t="inlineStr">
        <is>
          <t>Earnings / Momentum Support</t>
        </is>
      </c>
      <c r="S14" s="31" t="inlineStr">
        <is>
          <t>Nifty Bank</t>
        </is>
      </c>
      <c r="T14" s="32" t="n">
        <v>2.32</v>
      </c>
      <c r="U14" s="32" t="n">
        <v>-1.7</v>
      </c>
      <c r="V14" s="32" t="n">
        <v>-3.93</v>
      </c>
      <c r="W14" s="32" t="n">
        <v>6.31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No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IF(B15=0,"",RANK(B15,$B$2:$B$43,0))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YESBANK</t>
        </is>
      </c>
      <c r="D15" s="31" t="inlineStr">
        <is>
          <t>Yes Bank Limited</t>
        </is>
      </c>
      <c r="E15" s="31" t="inlineStr">
        <is>
          <t>bank</t>
        </is>
      </c>
      <c r="F15" s="31" t="inlineStr">
        <is>
          <t>banks - private sector</t>
        </is>
      </c>
      <c r="G15" s="31" t="inlineStr">
        <is>
          <t>largecap</t>
        </is>
      </c>
      <c r="H15" s="32" t="n">
        <v>69722.89999999999</v>
      </c>
      <c r="I15" s="32" t="n">
        <v>23.02</v>
      </c>
      <c r="J15" s="32" t="n">
        <v>3.6</v>
      </c>
      <c r="K15" s="32" t="n">
        <v>87273100</v>
      </c>
      <c r="L15" s="31" t="n">
        <v>22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60.12</v>
      </c>
      <c r="P15" s="32" t="n">
        <v>22.64</v>
      </c>
      <c r="Q15" s="32" t="n">
        <v>19.27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2.32</v>
      </c>
      <c r="U15" s="32" t="n">
        <v>14.19</v>
      </c>
      <c r="V15" s="32" t="n">
        <v>11.6</v>
      </c>
      <c r="W15" s="32" t="n">
        <v>7.84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less than 2.5x and Growth less than 20%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20 to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Close to 52 week high or retracement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IF(B16=0,"",RANK(B16,$B$2:$B$43,0))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MOTILALOFS</t>
        </is>
      </c>
      <c r="D16" s="31" t="inlineStr">
        <is>
          <t>Motilal Oswal Financial Services Limited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largecap</t>
        </is>
      </c>
      <c r="H16" s="32" t="n">
        <v>50050.68</v>
      </c>
      <c r="I16" s="32" t="n">
        <v>888.45</v>
      </c>
      <c r="J16" s="32" t="n">
        <v>6.84</v>
      </c>
      <c r="K16" s="32" t="n">
        <v>3169428</v>
      </c>
      <c r="L16" s="31" t="n">
        <v>31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58.27</v>
      </c>
      <c r="P16" s="32" t="n">
        <v>23.9</v>
      </c>
      <c r="Q16" s="32" t="n">
        <v>693.04</v>
      </c>
      <c r="R16" s="31" t="inlineStr">
        <is>
          <t>Earnings / Momentum Support</t>
        </is>
      </c>
      <c r="S16" s="31" t="inlineStr">
        <is>
          <t>Nifty Bank</t>
        </is>
      </c>
      <c r="T16" s="32" t="n">
        <v>2.32</v>
      </c>
      <c r="U16" s="32" t="n">
        <v>9.050000000000001</v>
      </c>
      <c r="V16" s="32" t="n">
        <v>6.58</v>
      </c>
      <c r="W16" s="32" t="n">
        <v>9.300000000000001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No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between 2.5x to 5x and Growth more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Close to 52 week high or retracement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IF(B17=0,"",RANK(B17,$B$2:$B$43,0))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NUVAMA</t>
        </is>
      </c>
      <c r="D17" s="31" t="inlineStr">
        <is>
          <t>Nuvama Wealth Management Ltd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largecap</t>
        </is>
      </c>
      <c r="H17" s="32" t="n">
        <v>27491.91</v>
      </c>
      <c r="I17" s="32" t="n">
        <v>1588.1</v>
      </c>
      <c r="J17" s="32" t="n">
        <v>5.16</v>
      </c>
      <c r="K17" s="32" t="n">
        <v>474650</v>
      </c>
      <c r="L17" s="31" t="n">
        <v>43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60.92</v>
      </c>
      <c r="P17" s="32" t="n">
        <v>28.67</v>
      </c>
      <c r="Q17" s="32" t="n">
        <v>1263.4</v>
      </c>
      <c r="R17" s="31" t="inlineStr">
        <is>
          <t>Near 52W High Breakout</t>
        </is>
      </c>
      <c r="S17" s="31" t="inlineStr">
        <is>
          <t>Nifty Bank</t>
        </is>
      </c>
      <c r="T17" s="32" t="n">
        <v>2.32</v>
      </c>
      <c r="U17" s="32" t="n">
        <v>14.17</v>
      </c>
      <c r="V17" s="32" t="n">
        <v>11.58</v>
      </c>
      <c r="W17" s="32" t="n">
        <v>12.33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above 5x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Blue sky scenario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IF(B18=0,"",RANK(B18,$B$2:$B$43,0))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ANGELONE</t>
        </is>
      </c>
      <c r="D18" s="31" t="inlineStr">
        <is>
          <t>Angel One Ltd</t>
        </is>
      </c>
      <c r="E18" s="31" t="inlineStr">
        <is>
          <t>financials</t>
        </is>
      </c>
      <c r="F18" s="31" t="inlineStr">
        <is>
          <t>finance &amp; investments</t>
        </is>
      </c>
      <c r="G18" s="31" t="inlineStr">
        <is>
          <t>largecap</t>
        </is>
      </c>
      <c r="H18" s="32" t="n">
        <v>29489.07</v>
      </c>
      <c r="I18" s="32" t="n">
        <v>339.5</v>
      </c>
      <c r="J18" s="32" t="n">
        <v>4.86</v>
      </c>
      <c r="K18" s="32" t="n">
        <v>7318502</v>
      </c>
      <c r="L18" s="31" t="n">
        <v>66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64.86</v>
      </c>
      <c r="P18" s="32" t="n">
        <v>25.82</v>
      </c>
      <c r="Q18" s="32" t="n">
        <v>259.82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2.32</v>
      </c>
      <c r="U18" s="32" t="n">
        <v>17.95</v>
      </c>
      <c r="V18" s="32" t="n">
        <v>15.28</v>
      </c>
      <c r="W18" s="32" t="n">
        <v>18.76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above 5x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20 to 40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Blue sky scenario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IF(B19=0,"",RANK(B19,$B$2:$B$43,0))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MONARCH</t>
        </is>
      </c>
      <c r="D19" s="31" t="inlineStr">
        <is>
          <t>Monarch Networth Capital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2616.25</v>
      </c>
      <c r="I19" s="32" t="n">
        <v>339.95</v>
      </c>
      <c r="J19" s="32" t="n">
        <v>3</v>
      </c>
      <c r="K19" s="32" t="n">
        <v>237137</v>
      </c>
      <c r="L19" s="31" t="n">
        <v>26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63.19</v>
      </c>
      <c r="P19" s="32" t="n">
        <v>20.23</v>
      </c>
      <c r="Q19" s="32" t="n">
        <v>268.94</v>
      </c>
      <c r="R19" s="31" t="inlineStr">
        <is>
          <t>Earnings / Momentum Support</t>
        </is>
      </c>
      <c r="S19" s="31" t="inlineStr">
        <is>
          <t>Nifty Bank</t>
        </is>
      </c>
      <c r="T19" s="32" t="n">
        <v>2.32</v>
      </c>
      <c r="U19" s="32" t="n">
        <v>7.67</v>
      </c>
      <c r="V19" s="32" t="n">
        <v>5.23</v>
      </c>
      <c r="W19" s="32" t="n">
        <v>8.85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No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between 2.5x to 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20 to 40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IF(B20=0,"",RANK(B20,$B$2:$B$43,0))</f>
        <v/>
      </c>
      <c r="B20" s="32">
        <f>SUM(N20,Y20,AA20,AC20,AE20,AG20,AI20,AK20,AM20,AO20,AQ20,AS20,AU20,AW20,AY20,BA20,BC20,BE20,BG20,BI20,BK20,BM20,BO20,BQ20,BS20,BU20,BW20,BY20,CA20)</f>
        <v/>
      </c>
      <c r="C20" s="31" t="inlineStr">
        <is>
          <t>NIVABUPA</t>
        </is>
      </c>
      <c r="D20" s="31" t="inlineStr">
        <is>
          <t>Niva Bupa Health Insurance Company Ltd</t>
        </is>
      </c>
      <c r="E20" s="31" t="inlineStr">
        <is>
          <t>financials</t>
        </is>
      </c>
      <c r="F20" s="31" t="inlineStr">
        <is>
          <t>finance &amp; investments</t>
        </is>
      </c>
      <c r="G20" s="31" t="inlineStr">
        <is>
          <t>midcap</t>
        </is>
      </c>
      <c r="H20" s="32" t="n">
        <v>15328.35</v>
      </c>
      <c r="I20" s="32" t="n">
        <v>83.95999999999999</v>
      </c>
      <c r="J20" s="32" t="n">
        <v>1.19</v>
      </c>
      <c r="K20" s="32" t="n">
        <v>788362</v>
      </c>
      <c r="L20" s="31" t="n">
        <v>9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59.75</v>
      </c>
      <c r="P20" s="32" t="n">
        <v>22.81</v>
      </c>
      <c r="Q20" s="32" t="n">
        <v>70.7</v>
      </c>
      <c r="R20" s="31" t="inlineStr">
        <is>
          <t>Earnings / Momentum Support</t>
        </is>
      </c>
      <c r="S20" s="31" t="inlineStr">
        <is>
          <t>Nifty Bank</t>
        </is>
      </c>
      <c r="T20" s="32" t="n">
        <v>2.32</v>
      </c>
      <c r="U20" s="32" t="n">
        <v>3.13</v>
      </c>
      <c r="V20" s="32" t="n">
        <v>0.8</v>
      </c>
      <c r="W20" s="32" t="n">
        <v>4.16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No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between 2.5x to 5x and Growth more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Close to 52 week high or retracement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IF(B21=0,"",RANK(B21,$B$2:$B$43,0))</f>
        <v/>
      </c>
      <c r="B21" s="32">
        <f>SUM(N21,Y21,AA21,AC21,AE21,AG21,AI21,AK21,AM21,AO21,AQ21,AS21,AU21,AW21,AY21,BA21,BC21,BE21,BG21,BI21,BK21,BM21,BO21,BQ21,BS21,BU21,BW21,BY21,CA21)</f>
        <v/>
      </c>
      <c r="C21" s="31" t="inlineStr">
        <is>
          <t>EQUITASBNK</t>
        </is>
      </c>
      <c r="D21" s="31" t="inlineStr">
        <is>
          <t>Equitas Small Finance Bank Ltd</t>
        </is>
      </c>
      <c r="E21" s="31" t="inlineStr">
        <is>
          <t>bank</t>
        </is>
      </c>
      <c r="F21" s="31" t="inlineStr">
        <is>
          <t>banks - private sector</t>
        </is>
      </c>
      <c r="G21" s="31" t="inlineStr">
        <is>
          <t>midcap</t>
        </is>
      </c>
      <c r="H21" s="32" t="n">
        <v>8145.91</v>
      </c>
      <c r="I21" s="32" t="n">
        <v>75.54000000000001</v>
      </c>
      <c r="J21" s="32" t="n">
        <v>5.81</v>
      </c>
      <c r="K21" s="32" t="n">
        <v>14409502</v>
      </c>
      <c r="L21" s="31" t="n">
        <v>35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63.84</v>
      </c>
      <c r="P21" s="32" t="n">
        <v>21.37</v>
      </c>
      <c r="Q21" s="32" t="n">
        <v>59.81</v>
      </c>
      <c r="R21" s="31" t="inlineStr">
        <is>
          <t>Volume Spike &amp; Near 52W High Breakout</t>
        </is>
      </c>
      <c r="S21" s="31" t="inlineStr">
        <is>
          <t>Nifty Bank</t>
        </is>
      </c>
      <c r="T21" s="32" t="n">
        <v>2.32</v>
      </c>
      <c r="U21" s="32" t="n">
        <v>10.41</v>
      </c>
      <c r="V21" s="32" t="n">
        <v>7.9</v>
      </c>
      <c r="W21" s="32" t="n">
        <v>10.22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Cyclical in an Uptick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inlineStr">
        <is>
          <t>Yes</t>
        </is>
      </c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No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No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less than 2.5x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IF(B22=0,"",RANK(B22,$B$2:$B$43,0))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CGCL</t>
        </is>
      </c>
      <c r="D22" s="31" t="inlineStr">
        <is>
          <t>Capri Global Capital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midcap</t>
        </is>
      </c>
      <c r="H22" s="32" t="n">
        <v>19174.77</v>
      </c>
      <c r="I22" s="32" t="n">
        <v>208.48</v>
      </c>
      <c r="J22" s="32" t="n">
        <v>4.61</v>
      </c>
      <c r="K22" s="32" t="n">
        <v>3918586</v>
      </c>
      <c r="L22" s="31" t="n">
        <v>28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65.56999999999999</v>
      </c>
      <c r="P22" s="32" t="n">
        <v>17.23</v>
      </c>
      <c r="Q22" s="32" t="n">
        <v>168.48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2.32</v>
      </c>
      <c r="U22" s="32" t="n">
        <v>21.96</v>
      </c>
      <c r="V22" s="32" t="n">
        <v>19.19</v>
      </c>
      <c r="W22" s="32" t="n">
        <v>9.06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0 to 20</t>
        </is>
      </c>
      <c r="BM22" s="31">
        <f>IF(BL22="Above 40",20,IF(BL22="20 to 40",10,IF(BL22="0 to 20",-5,0)))</f>
        <v/>
      </c>
      <c r="BN22" s="31" t="inlineStr">
        <is>
          <t>Between 50 to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Close to 52 week high or retracement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IF(B23=0,"",RANK(B23,$B$2:$B$43,0))</f>
        <v/>
      </c>
      <c r="B23" s="32">
        <f>SUM(N23,Y23,AA23,AC23,AE23,AG23,AI23,AK23,AM23,AO23,AQ23,AS23,AU23,AW23,AY23,BA23,BC23,BE23,BG23,BI23,BK23,BM23,BO23,BQ23,BS23,BU23,BW23,BY23,CA23)</f>
        <v/>
      </c>
      <c r="C23" s="31" t="inlineStr">
        <is>
          <t>MUTHOOTMF</t>
        </is>
      </c>
      <c r="D23" s="31" t="inlineStr">
        <is>
          <t>Muthoot Microfin Ltd</t>
        </is>
      </c>
      <c r="E23" s="31" t="inlineStr">
        <is>
          <t>financials</t>
        </is>
      </c>
      <c r="F23" s="31" t="inlineStr">
        <is>
          <t>finance &amp; investments</t>
        </is>
      </c>
      <c r="G23" s="31" t="inlineStr">
        <is>
          <t>smallcap</t>
        </is>
      </c>
      <c r="H23" s="32" t="n">
        <v>3079.6</v>
      </c>
      <c r="I23" s="32" t="n">
        <v>187.6</v>
      </c>
      <c r="J23" s="32" t="n">
        <v>3.86</v>
      </c>
      <c r="K23" s="32" t="n">
        <v>212022</v>
      </c>
      <c r="L23" s="31" t="n">
        <v>48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56.67</v>
      </c>
      <c r="P23" s="32" t="n">
        <v>23.15</v>
      </c>
      <c r="Q23" s="32" t="n">
        <v>150.87</v>
      </c>
      <c r="R23" s="31" t="inlineStr">
        <is>
          <t>Earnings / Momentum Support</t>
        </is>
      </c>
      <c r="S23" s="31" t="inlineStr">
        <is>
          <t>Nifty Bank</t>
        </is>
      </c>
      <c r="T23" s="32" t="n">
        <v>2.32</v>
      </c>
      <c r="U23" s="32" t="n">
        <v>40.12</v>
      </c>
      <c r="V23" s="32" t="n">
        <v>36.94</v>
      </c>
      <c r="W23" s="32" t="n">
        <v>13.96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No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IF(B24=0,"",RANK(B24,$B$2:$B$43,0))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SOUTHBANK</t>
        </is>
      </c>
      <c r="D24" s="31" t="inlineStr">
        <is>
          <t>The South Indian Bank Limited</t>
        </is>
      </c>
      <c r="E24" s="31" t="inlineStr">
        <is>
          <t>bank</t>
        </is>
      </c>
      <c r="F24" s="31" t="inlineStr">
        <is>
          <t>banks - private sector</t>
        </is>
      </c>
      <c r="G24" s="31" t="inlineStr">
        <is>
          <t>midcap</t>
        </is>
      </c>
      <c r="H24" s="32" t="n">
        <v>11862.82</v>
      </c>
      <c r="I24" s="32" t="n">
        <v>46.66</v>
      </c>
      <c r="J24" s="32" t="n">
        <v>2.96</v>
      </c>
      <c r="K24" s="32" t="n">
        <v>35993222</v>
      </c>
      <c r="L24" s="31" t="n">
        <v>51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67.84</v>
      </c>
      <c r="P24" s="32" t="n">
        <v>13.81</v>
      </c>
      <c r="Q24" s="32" t="n">
        <v>36.82</v>
      </c>
      <c r="R24" s="31" t="inlineStr">
        <is>
          <t>Volume Spike &amp; Near 52W High Breakout</t>
        </is>
      </c>
      <c r="S24" s="31" t="inlineStr">
        <is>
          <t>Nifty Bank</t>
        </is>
      </c>
      <c r="T24" s="32" t="n">
        <v>2.32</v>
      </c>
      <c r="U24" s="32" t="n">
        <v>56.81</v>
      </c>
      <c r="V24" s="32" t="n">
        <v>53.26</v>
      </c>
      <c r="W24" s="32" t="n">
        <v>15.2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less than 2.5x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0 to 20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IF(B25=0,"",RANK(B25,$B$2:$B$43,0))</f>
        <v/>
      </c>
      <c r="B25" s="32">
        <f>SUM(N25,Y25,AA25,AC25,AE25,AG25,AI25,AK25,AM25,AO25,AQ25,AS25,AU25,AW25,AY25,BA25,BC25,BE25,BG25,BI25,BK25,BM25,BO25,BQ25,BS25,BU25,BW25,BY25,CA25)</f>
        <v/>
      </c>
      <c r="C25" s="31" t="inlineStr">
        <is>
          <t>AXISBANK</t>
        </is>
      </c>
      <c r="D25" s="31" t="inlineStr">
        <is>
          <t>Axis Bank Limited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largecap</t>
        </is>
      </c>
      <c r="H25" s="32" t="n">
        <v>409439.58</v>
      </c>
      <c r="I25" s="32" t="n">
        <v>1356.3</v>
      </c>
      <c r="J25" s="32" t="n">
        <v>2.96</v>
      </c>
      <c r="K25" s="32" t="n">
        <v>8535670</v>
      </c>
      <c r="L25" s="31" t="n">
        <v>13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59</v>
      </c>
      <c r="P25" s="32" t="n">
        <v>9.33</v>
      </c>
      <c r="Q25" s="32" t="n">
        <v>1161.5</v>
      </c>
      <c r="R25" s="31" t="inlineStr">
        <is>
          <t>Near 52W High Breakout</t>
        </is>
      </c>
      <c r="S25" s="31" t="inlineStr">
        <is>
          <t>Nifty Bank</t>
        </is>
      </c>
      <c r="T25" s="32" t="n">
        <v>2.32</v>
      </c>
      <c r="U25" s="32" t="n">
        <v>12.58</v>
      </c>
      <c r="V25" s="32" t="n">
        <v>10.03</v>
      </c>
      <c r="W25" s="32" t="n">
        <v>5.55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0 to 20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Blue sky scenario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IF(B26=0,"",RANK(B26,$B$2:$B$43,0))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BFINVEST</t>
        </is>
      </c>
      <c r="D26" s="33" t="inlineStr">
        <is>
          <t>Bf Investment Limited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1596.17</v>
      </c>
      <c r="I26" s="32" t="n">
        <v>437.3</v>
      </c>
      <c r="J26" s="32" t="n">
        <v>3.2</v>
      </c>
      <c r="K26" s="32" t="n">
        <v>58459</v>
      </c>
      <c r="L26" s="31" t="n">
        <v>4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55.46</v>
      </c>
      <c r="P26" s="32" t="n">
        <v>18.8</v>
      </c>
      <c r="Q26" s="32" t="n">
        <v>340.29</v>
      </c>
      <c r="R26" s="31" t="inlineStr">
        <is>
          <t>Earnings / Momentum Support</t>
        </is>
      </c>
      <c r="S26" s="31" t="inlineStr">
        <is>
          <t>Nifty Bank</t>
        </is>
      </c>
      <c r="T26" s="32" t="n">
        <v>2.32</v>
      </c>
      <c r="U26" s="32" t="n">
        <v>-9.630000000000001</v>
      </c>
      <c r="V26" s="32" t="n">
        <v>-11.68</v>
      </c>
      <c r="W26" s="32" t="n">
        <v>2.34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No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IF(B27=0,"",RANK(B27,$B$2:$B$43,0))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STEL</t>
        </is>
      </c>
      <c r="D27" s="31" t="inlineStr">
        <is>
          <t>Stel Holdings Limited</t>
        </is>
      </c>
      <c r="E27" s="31" t="inlineStr">
        <is>
          <t>financials</t>
        </is>
      </c>
      <c r="F27" s="31" t="inlineStr">
        <is>
          <t>finance &amp; investments</t>
        </is>
      </c>
      <c r="G27" s="31" t="inlineStr">
        <is>
          <t>smallcap</t>
        </is>
      </c>
      <c r="H27" s="32" t="n">
        <v>1003.6</v>
      </c>
      <c r="I27" s="32" t="n">
        <v>554.1</v>
      </c>
      <c r="J27" s="32" t="n">
        <v>1.89</v>
      </c>
      <c r="K27" s="32" t="n">
        <v>6695</v>
      </c>
      <c r="L27" s="31" t="n">
        <v>34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62.72</v>
      </c>
      <c r="P27" s="32" t="n">
        <v>6.62</v>
      </c>
      <c r="Q27" s="32" t="n">
        <v>387.44</v>
      </c>
      <c r="R27" s="31" t="inlineStr">
        <is>
          <t>Near 52W High Breakout</t>
        </is>
      </c>
      <c r="S27" s="31" t="inlineStr">
        <is>
          <t>Nifty Bank</t>
        </is>
      </c>
      <c r="T27" s="32" t="n">
        <v>2.32</v>
      </c>
      <c r="U27" s="32" t="n">
        <v>31.32</v>
      </c>
      <c r="V27" s="32" t="n">
        <v>28.34</v>
      </c>
      <c r="W27" s="32" t="n">
        <v>10.09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less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IF(B28=0,"",RANK(B28,$B$2:$B$43,0))</f>
        <v/>
      </c>
      <c r="B28" s="32">
        <f>SUM(N28,Y28,AA28,AC28,AE28,AG28,AI28,AK28,AM28,AO28,AQ28,AS28,AU28,AW28,AY28,BA28,BC28,BE28,BG28,BI28,BK28,BM28,BO28,BQ28,BS28,BU28,BW28,BY28,CA28)</f>
        <v/>
      </c>
      <c r="C28" s="31" t="inlineStr">
        <is>
          <t>PAISALO</t>
        </is>
      </c>
      <c r="D28" s="31" t="inlineStr">
        <is>
          <t>Paisalo Digital Ltd</t>
        </is>
      </c>
      <c r="E28" s="31" t="inlineStr">
        <is>
          <t>financials</t>
        </is>
      </c>
      <c r="F28" s="31" t="inlineStr">
        <is>
          <t>finance &amp; investments</t>
        </is>
      </c>
      <c r="G28" s="31" t="inlineStr">
        <is>
          <t>midcap</t>
        </is>
      </c>
      <c r="H28" s="32" t="n">
        <v>5321.61</v>
      </c>
      <c r="I28" s="32" t="n">
        <v>59.3</v>
      </c>
      <c r="J28" s="32" t="n">
        <v>1.35</v>
      </c>
      <c r="K28" s="32" t="n">
        <v>8509192</v>
      </c>
      <c r="L28" s="31" t="n">
        <v>89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77.36</v>
      </c>
      <c r="P28" s="32" t="n">
        <v>32.77</v>
      </c>
      <c r="Q28" s="32" t="n">
        <v>46.49</v>
      </c>
      <c r="R28" s="31" t="inlineStr">
        <is>
          <t>Near 52W High Breakout</t>
        </is>
      </c>
      <c r="S28" s="31" t="inlineStr">
        <is>
          <t>Nifty Bank</t>
        </is>
      </c>
      <c r="T28" s="32" t="n">
        <v>2.32</v>
      </c>
      <c r="U28" s="32" t="n">
        <v>89.7</v>
      </c>
      <c r="V28" s="32" t="n">
        <v>85.40000000000001</v>
      </c>
      <c r="W28" s="32" t="n">
        <v>37.18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less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Above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IF(B29=0,"",RANK(B29,$B$2:$B$43,0))</f>
        <v/>
      </c>
      <c r="B29" s="32">
        <f>SUM(N29,Y29,AA29,AC29,AE29,AG29,AI29,AK29,AM29,AO29,AQ29,AS29,AU29,AW29,AY29,BA29,BC29,BE29,BG29,BI29,BK29,BM29,BO29,BQ29,BS29,BU29,BW29,BY29,CA29)</f>
        <v/>
      </c>
      <c r="C29" s="33" t="inlineStr">
        <is>
          <t>CAPITALSFB</t>
        </is>
      </c>
      <c r="D29" s="33" t="inlineStr">
        <is>
          <t>Capital Small Finance Bank Ltd</t>
        </is>
      </c>
      <c r="E29" s="31" t="inlineStr">
        <is>
          <t>bank</t>
        </is>
      </c>
      <c r="F29" s="31" t="inlineStr">
        <is>
          <t>banks - private sector</t>
        </is>
      </c>
      <c r="G29" s="31" t="inlineStr">
        <is>
          <t>smallcap</t>
        </is>
      </c>
      <c r="H29" s="32" t="n">
        <v>1262.41</v>
      </c>
      <c r="I29" s="32" t="n">
        <v>281.7</v>
      </c>
      <c r="J29" s="32" t="n">
        <v>1.35</v>
      </c>
      <c r="K29" s="32" t="n">
        <v>15024</v>
      </c>
      <c r="L29" s="31" t="n">
        <v>5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55.59</v>
      </c>
      <c r="P29" s="32" t="n">
        <v>27.38</v>
      </c>
      <c r="Q29" s="32" t="n">
        <v>238.29</v>
      </c>
      <c r="R29" s="31" t="inlineStr">
        <is>
          <t>Earnings / Momentum Support</t>
        </is>
      </c>
      <c r="S29" s="31" t="inlineStr">
        <is>
          <t>Nifty Bank</t>
        </is>
      </c>
      <c r="T29" s="32" t="n">
        <v>2.32</v>
      </c>
      <c r="U29" s="32" t="n">
        <v>-5.89</v>
      </c>
      <c r="V29" s="32" t="n">
        <v>-8.02</v>
      </c>
      <c r="W29" s="32" t="n">
        <v>3.09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No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less than 2.5x and Growth less than 20%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Between 50 to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Close to 52 week high or retracement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IF(B30=0,"",RANK(B30,$B$2:$B$43,0))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SAMMAANCAP</t>
        </is>
      </c>
      <c r="D30" s="31" t="inlineStr">
        <is>
          <t>Sammaan Capital Ltd</t>
        </is>
      </c>
      <c r="E30" s="31" t="inlineStr">
        <is>
          <t>financials</t>
        </is>
      </c>
      <c r="F30" s="31" t="inlineStr">
        <is>
          <t>finance - housing</t>
        </is>
      </c>
      <c r="G30" s="31" t="inlineStr">
        <is>
          <t>midcap</t>
        </is>
      </c>
      <c r="H30" s="32" t="n">
        <v>19512.8</v>
      </c>
      <c r="I30" s="32" t="n">
        <v>174.42</v>
      </c>
      <c r="J30" s="32" t="n">
        <v>3.84</v>
      </c>
      <c r="K30" s="32" t="n">
        <v>13048147</v>
      </c>
      <c r="L30" s="31" t="n">
        <v>41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60.85</v>
      </c>
      <c r="P30" s="32" t="n">
        <v>17.84</v>
      </c>
      <c r="Q30" s="32" t="n">
        <v>141.95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2.32</v>
      </c>
      <c r="U30" s="32" t="n">
        <v>36.36</v>
      </c>
      <c r="V30" s="32" t="n">
        <v>33.27</v>
      </c>
      <c r="W30" s="32" t="n">
        <v>11.79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less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IF(B31=0,"",RANK(B31,$B$2:$B$43,0))</f>
        <v/>
      </c>
      <c r="B31" s="32">
        <f>SUM(N31,Y31,AA31,AC31,AE31,AG31,AI31,AK31,AM31,AO31,AQ31,AS31,AU31,AW31,AY31,BA31,BC31,BE31,BG31,BI31,BK31,BM31,BO31,BQ31,BS31,BU31,BW31,BY31,CA31)</f>
        <v/>
      </c>
      <c r="C31" s="31" t="inlineStr">
        <is>
          <t>MUFIN</t>
        </is>
      </c>
      <c r="D31" s="31" t="inlineStr">
        <is>
          <t>Mufin Green Finance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2347.63</v>
      </c>
      <c r="I31" s="32" t="n">
        <v>122.46</v>
      </c>
      <c r="J31" s="32" t="n">
        <v>3.37</v>
      </c>
      <c r="K31" s="32" t="n">
        <v>1022865</v>
      </c>
      <c r="L31" s="31" t="n">
        <v>51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61.72</v>
      </c>
      <c r="P31" s="32" t="n">
        <v>17.07</v>
      </c>
      <c r="Q31" s="32" t="n">
        <v>97.98</v>
      </c>
      <c r="R31" s="31" t="inlineStr">
        <is>
          <t>Near 52W High Breakout</t>
        </is>
      </c>
      <c r="S31" s="31" t="inlineStr">
        <is>
          <t>Nifty Bank</t>
        </is>
      </c>
      <c r="T31" s="32" t="n">
        <v>2.32</v>
      </c>
      <c r="U31" s="32" t="n">
        <v>63.15</v>
      </c>
      <c r="V31" s="32" t="n">
        <v>59.45</v>
      </c>
      <c r="W31" s="32" t="n">
        <v>15.12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above 5x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IF(B32=0,"",RANK(B32,$B$2:$B$43,0))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PRUDENT</t>
        </is>
      </c>
      <c r="D32" s="31" t="inlineStr">
        <is>
          <t>Prudent Corporate Advisory Services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midcap</t>
        </is>
      </c>
      <c r="H32" s="32" t="n">
        <v>11663.85</v>
      </c>
      <c r="I32" s="32" t="n">
        <v>2909.1</v>
      </c>
      <c r="J32" s="32" t="n">
        <v>3.27</v>
      </c>
      <c r="K32" s="32" t="n">
        <v>31807</v>
      </c>
      <c r="L32" s="31" t="n">
        <v>22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61.8</v>
      </c>
      <c r="P32" s="32" t="n">
        <v>19.77</v>
      </c>
      <c r="Q32" s="32" t="n">
        <v>2264.92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2.32</v>
      </c>
      <c r="U32" s="32" t="n">
        <v>2.41</v>
      </c>
      <c r="V32" s="32" t="n">
        <v>0.09</v>
      </c>
      <c r="W32" s="32" t="n">
        <v>7.65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above 5x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IF(B33=0,"",RANK(B33,$B$2:$B$43,0))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CANFINHOME</t>
        </is>
      </c>
      <c r="D33" s="31" t="inlineStr">
        <is>
          <t>Can Fin Homes Limited</t>
        </is>
      </c>
      <c r="E33" s="31" t="inlineStr">
        <is>
          <t>financials</t>
        </is>
      </c>
      <c r="F33" s="31" t="inlineStr">
        <is>
          <t>finance - housing</t>
        </is>
      </c>
      <c r="G33" s="31" t="inlineStr">
        <is>
          <t>midcap</t>
        </is>
      </c>
      <c r="H33" s="32" t="n">
        <v>11244.87</v>
      </c>
      <c r="I33" s="32" t="n">
        <v>862.3</v>
      </c>
      <c r="J33" s="32" t="n">
        <v>2.11</v>
      </c>
      <c r="K33" s="32" t="n">
        <v>313967</v>
      </c>
      <c r="L33" s="31" t="n">
        <v>7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51.93</v>
      </c>
      <c r="P33" s="32" t="n">
        <v>15.8</v>
      </c>
      <c r="Q33" s="32" t="n">
        <v>728.21</v>
      </c>
      <c r="R33" s="31" t="inlineStr">
        <is>
          <t>Volume Spike / Accumulation</t>
        </is>
      </c>
      <c r="S33" s="31" t="inlineStr">
        <is>
          <t>Nifty Bank</t>
        </is>
      </c>
      <c r="T33" s="32" t="n">
        <v>2.32</v>
      </c>
      <c r="U33" s="32" t="n">
        <v>10.47</v>
      </c>
      <c r="V33" s="32" t="n">
        <v>7.97</v>
      </c>
      <c r="W33" s="32" t="n">
        <v>3.63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Headwind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0 to 20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1</t>
        </is>
      </c>
      <c r="BQ33" s="31">
        <f>IF(BP33="Stage 2",20,IF(BP33="Stage 1",0,IF(BP33="Stage 3",5,IF(BP33="Stage 4",-5,0))))</f>
        <v/>
      </c>
      <c r="BR33" s="31" t="inlineStr">
        <is>
          <t>Positive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IF(B34=0,"",RANK(B34,$B$2:$B$43,0))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RELIGARE</t>
        </is>
      </c>
      <c r="D34" s="31" t="inlineStr">
        <is>
          <t>Religare Enterprises Limited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midcap</t>
        </is>
      </c>
      <c r="H34" s="32" t="n">
        <v>7692.77</v>
      </c>
      <c r="I34" s="32" t="n">
        <v>239.82</v>
      </c>
      <c r="J34" s="32" t="n">
        <v>3.78</v>
      </c>
      <c r="K34" s="32" t="n">
        <v>683668</v>
      </c>
      <c r="L34" s="31" t="n">
        <v>4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54.89</v>
      </c>
      <c r="P34" s="32" t="n">
        <v>8.35</v>
      </c>
      <c r="Q34" s="32" t="n">
        <v>186.98</v>
      </c>
      <c r="R34" s="31" t="inlineStr">
        <is>
          <t>Earnings / Momentum Support</t>
        </is>
      </c>
      <c r="S34" s="31" t="inlineStr">
        <is>
          <t>Nifty Bank</t>
        </is>
      </c>
      <c r="T34" s="32" t="n">
        <v>2.32</v>
      </c>
      <c r="U34" s="32" t="n">
        <v>2.69</v>
      </c>
      <c r="V34" s="32" t="n">
        <v>0.37</v>
      </c>
      <c r="W34" s="32" t="n">
        <v>2.64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No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between 2.5x to 5x and Growth less than 20%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Close to 52 week high or retracement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IF(B35=0,"",RANK(B35,$B$2:$B$43,0))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IDFCFIRSTB</t>
        </is>
      </c>
      <c r="D35" s="31" t="inlineStr">
        <is>
          <t>IDFC First Bank Ltd</t>
        </is>
      </c>
      <c r="E35" s="31" t="inlineStr">
        <is>
          <t>bank</t>
        </is>
      </c>
      <c r="F35" s="31" t="inlineStr">
        <is>
          <t>banks - private sector</t>
        </is>
      </c>
      <c r="G35" s="31" t="inlineStr">
        <is>
          <t>largecap</t>
        </is>
      </c>
      <c r="H35" s="32" t="n">
        <v>62749.4</v>
      </c>
      <c r="I35" s="32" t="n">
        <v>76.5</v>
      </c>
      <c r="J35" s="32" t="n">
        <v>4.87</v>
      </c>
      <c r="K35" s="32" t="n">
        <v>47039199</v>
      </c>
      <c r="L35" s="31" t="n">
        <v>21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56.56</v>
      </c>
      <c r="P35" s="32" t="n">
        <v>30.4</v>
      </c>
      <c r="Q35" s="32" t="n">
        <v>62.7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2.32</v>
      </c>
      <c r="U35" s="32" t="n">
        <v>8.960000000000001</v>
      </c>
      <c r="V35" s="32" t="n">
        <v>6.49</v>
      </c>
      <c r="W35" s="32" t="n">
        <v>7.48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Headwind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less than 2.5x and Growth less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20 to 40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1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IF(B36=0,"",RANK(B36,$B$2:$B$43,0))</f>
        <v/>
      </c>
      <c r="B36" s="32">
        <f>SUM(N36,Y36,AA36,AC36,AE36,AG36,AI36,AK36,AM36,AO36,AQ36,AS36,AU36,AW36,AY36,BA36,BC36,BE36,BG36,BI36,BK36,BM36,BO36,BQ36,BS36,BU36,BW36,BY36,CA36)</f>
        <v/>
      </c>
      <c r="C36" s="33" t="inlineStr">
        <is>
          <t>JSFB</t>
        </is>
      </c>
      <c r="D36" s="33" t="inlineStr">
        <is>
          <t>Jana Small Finance Bank Ltd</t>
        </is>
      </c>
      <c r="E36" s="31" t="inlineStr">
        <is>
          <t>bank</t>
        </is>
      </c>
      <c r="F36" s="31" t="inlineStr">
        <is>
          <t>banks - private sector</t>
        </is>
      </c>
      <c r="G36" s="31" t="inlineStr">
        <is>
          <t>smallcap</t>
        </is>
      </c>
      <c r="H36" s="32" t="n">
        <v>4874.42</v>
      </c>
      <c r="I36" s="32" t="n">
        <v>479.75</v>
      </c>
      <c r="J36" s="32" t="n">
        <v>3.66</v>
      </c>
      <c r="K36" s="32" t="n">
        <v>766788</v>
      </c>
      <c r="L36" s="31" t="n">
        <v>23</v>
      </c>
      <c r="M36" s="31" t="inlineStr">
        <is>
          <t>Underperforming</t>
        </is>
      </c>
      <c r="N36" s="32">
        <f>IF(M36="Underperforming",-5,IF(L36&gt;=95,15,IF(L36&gt;=90,10,IF(L36&gt;=80,5,0))))</f>
        <v/>
      </c>
      <c r="O36" s="32" t="n">
        <v>60.09</v>
      </c>
      <c r="P36" s="32" t="n">
        <v>26.1</v>
      </c>
      <c r="Q36" s="32" t="n">
        <v>373.34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2.32</v>
      </c>
      <c r="U36" s="32" t="n">
        <v>-3.45</v>
      </c>
      <c r="V36" s="32" t="n">
        <v>-5.64</v>
      </c>
      <c r="W36" s="32" t="n">
        <v>8.01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less than 2.5x and Growth less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20 to 40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Negative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IF(B37=0,"",RANK(B37,$B$2:$B$43,0))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BANKBARODA</t>
        </is>
      </c>
      <c r="D37" s="31" t="inlineStr">
        <is>
          <t>Bank Of Baroda Ltd</t>
        </is>
      </c>
      <c r="E37" s="31" t="inlineStr">
        <is>
          <t>bank</t>
        </is>
      </c>
      <c r="F37" s="31" t="inlineStr">
        <is>
          <t>banks - public sector</t>
        </is>
      </c>
      <c r="G37" s="31" t="inlineStr">
        <is>
          <t>largecap</t>
        </is>
      </c>
      <c r="H37" s="32" t="n">
        <v>138385.65</v>
      </c>
      <c r="I37" s="32" t="n">
        <v>274.75</v>
      </c>
      <c r="J37" s="32" t="n">
        <v>2.67</v>
      </c>
      <c r="K37" s="32" t="n">
        <v>27384601</v>
      </c>
      <c r="L37" s="31" t="n">
        <v>8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53.93</v>
      </c>
      <c r="P37" s="32" t="n">
        <v>8.19</v>
      </c>
      <c r="Q37" s="32" t="n">
        <v>226.9</v>
      </c>
      <c r="R37" s="31" t="inlineStr">
        <is>
          <t>Volume Spike / Accumulation</t>
        </is>
      </c>
      <c r="S37" s="31" t="inlineStr">
        <is>
          <t>Nifty Bank</t>
        </is>
      </c>
      <c r="T37" s="32" t="n">
        <v>2.32</v>
      </c>
      <c r="U37" s="32" t="n">
        <v>18.57</v>
      </c>
      <c r="V37" s="32" t="n">
        <v>15.88</v>
      </c>
      <c r="W37" s="32" t="n">
        <v>3.94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Headwind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less than 2.5x and Growth less than 20%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0 to 20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1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IF(B38=0,"",RANK(B38,$B$2:$B$43,0))</f>
        <v/>
      </c>
      <c r="B38" s="32">
        <f>SUM(N38,Y38,AA38,AC38,AE38,AG38,AI38,AK38,AM38,AO38,AQ38,AS38,AU38,AW38,AY38,BA38,BC38,BE38,BG38,BI38,BK38,BM38,BO38,BQ38,BS38,BU38,BW38,BY38,CA38)</f>
        <v/>
      </c>
      <c r="C38" s="33" t="inlineStr">
        <is>
          <t>KOTAKBANK</t>
        </is>
      </c>
      <c r="D38" s="33" t="inlineStr">
        <is>
          <t>Kotak Mahindra Bank Limited</t>
        </is>
      </c>
      <c r="E38" s="31" t="inlineStr">
        <is>
          <t>bank</t>
        </is>
      </c>
      <c r="F38" s="31" t="inlineStr">
        <is>
          <t>banks - private sector</t>
        </is>
      </c>
      <c r="G38" s="31" t="inlineStr">
        <is>
          <t>largecap</t>
        </is>
      </c>
      <c r="H38" s="32" t="n">
        <v>78241.19</v>
      </c>
      <c r="I38" s="32" t="n">
        <v>403.3</v>
      </c>
      <c r="J38" s="32" t="n">
        <v>2.53</v>
      </c>
      <c r="K38" s="32" t="n">
        <v>17227481</v>
      </c>
      <c r="L38" s="31" t="n">
        <v>2</v>
      </c>
      <c r="M38" s="31" t="inlineStr">
        <is>
          <t>Underperforming</t>
        </is>
      </c>
      <c r="N38" s="32">
        <f>IF(M38="Underperforming",-5,IF(L38&gt;=95,15,IF(L38&gt;=90,10,IF(L38&gt;=80,5,0))))</f>
        <v/>
      </c>
      <c r="O38" s="32" t="n">
        <v>54.12</v>
      </c>
      <c r="P38" s="32" t="n">
        <v>20.2</v>
      </c>
      <c r="Q38" s="32" t="n">
        <v>346.41</v>
      </c>
      <c r="R38" s="31" t="inlineStr">
        <is>
          <t>Earnings / Momentum Support</t>
        </is>
      </c>
      <c r="S38" s="31" t="inlineStr">
        <is>
          <t>Nifty Bank</t>
        </is>
      </c>
      <c r="T38" s="32" t="n">
        <v>2.32</v>
      </c>
      <c r="U38" s="32" t="n">
        <v>-4.2</v>
      </c>
      <c r="V38" s="32" t="n">
        <v>-6.37</v>
      </c>
      <c r="W38" s="32" t="n">
        <v>1.64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Headwind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No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less than 2.5x and Growth less than 20%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20 to 40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1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Close to 52 week high or retracement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IF(B39=0,"",RANK(B39,$B$2:$B$43,0))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SBIN</t>
        </is>
      </c>
      <c r="D39" s="31" t="inlineStr">
        <is>
          <t>State Bank Of India Ltd</t>
        </is>
      </c>
      <c r="E39" s="31" t="inlineStr">
        <is>
          <t>bank</t>
        </is>
      </c>
      <c r="F39" s="31" t="inlineStr">
        <is>
          <t>banks - public sector</t>
        </is>
      </c>
      <c r="G39" s="31" t="inlineStr">
        <is>
          <t>largecap</t>
        </is>
      </c>
      <c r="H39" s="32" t="n">
        <v>923707.9</v>
      </c>
      <c r="I39" s="32" t="n">
        <v>1017.15</v>
      </c>
      <c r="J39" s="32" t="n">
        <v>1.64</v>
      </c>
      <c r="K39" s="32" t="n">
        <v>11081119</v>
      </c>
      <c r="L39" s="31" t="n">
        <v>13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52.41</v>
      </c>
      <c r="P39" s="32" t="n">
        <v>9.66</v>
      </c>
      <c r="Q39" s="32" t="n">
        <v>925.21</v>
      </c>
      <c r="R39" s="31" t="inlineStr">
        <is>
          <t>Earnings / Momentum Support</t>
        </is>
      </c>
      <c r="S39" s="31" t="inlineStr">
        <is>
          <t>Nifty Bank</t>
        </is>
      </c>
      <c r="T39" s="32" t="n">
        <v>2.32</v>
      </c>
      <c r="U39" s="32" t="n">
        <v>30.69</v>
      </c>
      <c r="V39" s="32" t="n">
        <v>27.72</v>
      </c>
      <c r="W39" s="32" t="n">
        <v>5.48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No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less than 2.5x and Growth less than 20%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1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Close to 52 week high or retracement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IF(B40=0,"",RANK(B40,$B$2:$B$43,0))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LICHSGFIN</t>
        </is>
      </c>
      <c r="D40" s="33" t="inlineStr">
        <is>
          <t>Lic Housing Finance Limited</t>
        </is>
      </c>
      <c r="E40" s="31" t="inlineStr">
        <is>
          <t>financials</t>
        </is>
      </c>
      <c r="F40" s="31" t="inlineStr">
        <is>
          <t>finance - housing</t>
        </is>
      </c>
      <c r="G40" s="31" t="inlineStr">
        <is>
          <t>largecap</t>
        </is>
      </c>
      <c r="H40" s="32" t="n">
        <v>29477.88</v>
      </c>
      <c r="I40" s="32" t="n">
        <v>559.5</v>
      </c>
      <c r="J40" s="32" t="n">
        <v>4.4</v>
      </c>
      <c r="K40" s="32" t="n">
        <v>2541823</v>
      </c>
      <c r="L40" s="31" t="n">
        <v>3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55.59</v>
      </c>
      <c r="P40" s="32" t="n">
        <v>18.42</v>
      </c>
      <c r="Q40" s="32" t="n">
        <v>489.44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2.32</v>
      </c>
      <c r="U40" s="32" t="n">
        <v>-5.11</v>
      </c>
      <c r="V40" s="32" t="n">
        <v>-7.26</v>
      </c>
      <c r="W40" s="32" t="n">
        <v>1.73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less than 2.5x and Growth less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1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IF(B41=0,"",RANK(B41,$B$2:$B$43,0))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CREST</t>
        </is>
      </c>
      <c r="D41" s="33" t="inlineStr">
        <is>
          <t>Crest Ventures Limited</t>
        </is>
      </c>
      <c r="E41" s="31" t="inlineStr">
        <is>
          <t>financials</t>
        </is>
      </c>
      <c r="F41" s="31" t="inlineStr">
        <is>
          <t>finance &amp; investments</t>
        </is>
      </c>
      <c r="G41" s="31" t="inlineStr">
        <is>
          <t>smallcap</t>
        </is>
      </c>
      <c r="H41" s="32" t="n">
        <v>1049.65</v>
      </c>
      <c r="I41" s="32" t="n">
        <v>378.85</v>
      </c>
      <c r="J41" s="32" t="n">
        <v>2.68</v>
      </c>
      <c r="K41" s="32" t="n">
        <v>18255</v>
      </c>
      <c r="L41" s="31" t="n">
        <v>6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54.76</v>
      </c>
      <c r="P41" s="32" t="n">
        <v>14</v>
      </c>
      <c r="Q41" s="32" t="n">
        <v>292.59</v>
      </c>
      <c r="R41" s="31" t="inlineStr">
        <is>
          <t>Earnings / Momentum Support</t>
        </is>
      </c>
      <c r="S41" s="31" t="inlineStr">
        <is>
          <t>Nifty Bank</t>
        </is>
      </c>
      <c r="T41" s="32" t="n">
        <v>2.32</v>
      </c>
      <c r="U41" s="32" t="n">
        <v>-4.98</v>
      </c>
      <c r="V41" s="32" t="n">
        <v>-7.13</v>
      </c>
      <c r="W41" s="32" t="n">
        <v>3.43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Headwind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No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less than 2.5x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1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Close to 52 week high or retracement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IF(B42=0,"",RANK(B42,$B$2:$B$43,0))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IIFLCAPS</t>
        </is>
      </c>
      <c r="D42" s="31" t="inlineStr">
        <is>
          <t>IIFL Capital Services Ltd</t>
        </is>
      </c>
      <c r="E42" s="31" t="inlineStr">
        <is>
          <t>financials</t>
        </is>
      </c>
      <c r="F42" s="31" t="inlineStr">
        <is>
          <t>finance &amp; investments</t>
        </is>
      </c>
      <c r="G42" s="31" t="inlineStr">
        <is>
          <t>midcap</t>
        </is>
      </c>
      <c r="H42" s="32" t="n">
        <v>10660.41</v>
      </c>
      <c r="I42" s="32" t="n">
        <v>342</v>
      </c>
      <c r="J42" s="32" t="n">
        <v>-0.09</v>
      </c>
      <c r="K42" s="32" t="n">
        <v>1007552</v>
      </c>
      <c r="L42" s="31" t="n">
        <v>12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56.56</v>
      </c>
      <c r="P42" s="32" t="n">
        <v>19.25</v>
      </c>
      <c r="Q42" s="32" t="n">
        <v>273.66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2.32</v>
      </c>
      <c r="U42" s="32" t="n">
        <v>2.84</v>
      </c>
      <c r="V42" s="32" t="n">
        <v>0.51</v>
      </c>
      <c r="W42" s="32" t="n">
        <v>5.42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between 2.5x to 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Negative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IF(B43=0,"",RANK(B43,$B$2:$B$43,0))</f>
        <v/>
      </c>
      <c r="B43" s="32">
        <f>SUM(N43,Y43,AA43,AC43,AE43,AG43,AI43,AK43,AM43,AO43,AQ43,AS43,AU43,AW43,AY43,BA43,BC43,BE43,BG43,BI43,BK43,BM43,BO43,BQ43,BS43,BU43,BW43,BY43,CA43)</f>
        <v/>
      </c>
      <c r="C43" s="33" t="inlineStr">
        <is>
          <t>ICICIBANK</t>
        </is>
      </c>
      <c r="D43" s="33" t="inlineStr">
        <is>
          <t>Icici Bank Limited</t>
        </is>
      </c>
      <c r="E43" s="31" t="inlineStr">
        <is>
          <t>bank</t>
        </is>
      </c>
      <c r="F43" s="31" t="inlineStr">
        <is>
          <t>banks - private sector</t>
        </is>
      </c>
      <c r="G43" s="31" t="inlineStr">
        <is>
          <t>largecap</t>
        </is>
      </c>
      <c r="H43" s="32" t="n">
        <v>942986.83</v>
      </c>
      <c r="I43" s="32" t="n">
        <v>1340.8</v>
      </c>
      <c r="J43" s="32" t="n">
        <v>1.81</v>
      </c>
      <c r="K43" s="32" t="n">
        <v>18339846</v>
      </c>
      <c r="L43" s="31" t="n">
        <v>2</v>
      </c>
      <c r="M43" s="31" t="inlineStr">
        <is>
          <t>Underperforming</t>
        </is>
      </c>
      <c r="N43" s="32">
        <f>IF(M43="Underperforming",-5,IF(L43&gt;=95,15,IF(L43&gt;=90,10,IF(L43&gt;=80,5,0))))</f>
        <v/>
      </c>
      <c r="O43" s="32" t="n">
        <v>53.73</v>
      </c>
      <c r="P43" s="32" t="n">
        <v>16.53</v>
      </c>
      <c r="Q43" s="32" t="n">
        <v>1167.77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2.32</v>
      </c>
      <c r="U43" s="32" t="n">
        <v>-4.59</v>
      </c>
      <c r="V43" s="32" t="n">
        <v>-6.75</v>
      </c>
      <c r="W43" s="32" t="n">
        <v>0.5600000000000001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Headwind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between 2.5x to 5x and Growth less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0 to 20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1</t>
        </is>
      </c>
      <c r="BQ43" s="31">
        <f>IF(BP43="Stage 2",20,IF(BP43="Stage 1",0,IF(BP43="Stage 3",5,IF(BP43="Stage 4",-5,0))))</f>
        <v/>
      </c>
      <c r="BR43" s="31" t="inlineStr">
        <is>
          <t>Positive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</sheetData>
  <autoFilter ref="A1:CA43"/>
  <conditionalFormatting sqref="B2:B4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3">
    <cfRule type="cellIs" priority="34" operator="equal" dxfId="3" stopIfTrue="1">
      <formula>"Underperforming"</formula>
    </cfRule>
  </conditionalFormatting>
  <conditionalFormatting sqref="N2:N43">
    <cfRule type="cellIs" priority="35" operator="equal" dxfId="3" stopIfTrue="1">
      <formula>-5</formula>
    </cfRule>
  </conditionalFormatting>
  <conditionalFormatting sqref="Q2:Q4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3" showDropDown="0" showInputMessage="0" showErrorMessage="0" allowBlank="1" type="list">
      <formula1>"Growing Industry,Stagnant Industry,Cyclical in an Upturn"</formula1>
    </dataValidation>
    <dataValidation sqref="Z2:Z43" showDropDown="0" showInputMessage="0" showErrorMessage="0" allowBlank="1" type="list">
      <formula1>"Fragmented with Low ROE,Fragmented with High ROE,Highly Cyclical"</formula1>
    </dataValidation>
    <dataValidation sqref="AB2:AB43" showDropDown="0" showInputMessage="0" showErrorMessage="0" allowBlank="1" type="list">
      <formula1>"Yes,No"</formula1>
    </dataValidation>
    <dataValidation sqref="AD2:AD43" showDropDown="0" showInputMessage="0" showErrorMessage="0" allowBlank="1" type="list">
      <formula1>"Tailwind,Headwind"</formula1>
    </dataValidation>
    <dataValidation sqref="AF2:AF4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3" showDropDown="0" showInputMessage="0" showErrorMessage="0" allowBlank="1" type="list">
      <formula1>"Yes,No"</formula1>
    </dataValidation>
    <dataValidation sqref="AJ2:AJ43" showDropDown="0" showInputMessage="0" showErrorMessage="0" allowBlank="1" type="list">
      <formula1>"Yes,No,Not Applicable"</formula1>
    </dataValidation>
    <dataValidation sqref="AL2:AL43" showDropDown="0" showInputMessage="0" showErrorMessage="0" allowBlank="1" type="list">
      <formula1>"Yes,No"</formula1>
    </dataValidation>
    <dataValidation sqref="AN2:AN43" showDropDown="0" showInputMessage="0" showErrorMessage="0" allowBlank="1" type="list">
      <formula1>"Yes,No"</formula1>
    </dataValidation>
    <dataValidation sqref="AP2:AP43" showDropDown="0" showInputMessage="0" showErrorMessage="0" allowBlank="1" type="list">
      <formula1>"Yes,No"</formula1>
    </dataValidation>
    <dataValidation sqref="AR2:AR43" showDropDown="0" showInputMessage="0" showErrorMessage="0" allowBlank="1" type="list">
      <formula1>"Yes,No"</formula1>
    </dataValidation>
    <dataValidation sqref="AT2:AT43" showDropDown="0" showInputMessage="0" showErrorMessage="0" allowBlank="1" type="list">
      <formula1>"No,Yes"</formula1>
    </dataValidation>
    <dataValidation sqref="AV2:AV43" showDropDown="0" showInputMessage="0" showErrorMessage="0" allowBlank="1" type="list">
      <formula1>"No,Yes"</formula1>
    </dataValidation>
    <dataValidation sqref="AX2:AX43" showDropDown="0" showInputMessage="0" showErrorMessage="0" allowBlank="1" type="list">
      <formula1>"No,Yes CEO Resignation,Yes CEO Retirement"</formula1>
    </dataValidation>
    <dataValidation sqref="AZ2:AZ43" showDropDown="0" showInputMessage="0" showErrorMessage="0" allowBlank="1" type="list">
      <formula1>"No,Yes"</formula1>
    </dataValidation>
    <dataValidation sqref="BB2:BB43" showDropDown="0" showInputMessage="0" showErrorMessage="0" allowBlank="1" type="list">
      <formula1>"No,Yes"</formula1>
    </dataValidation>
    <dataValidation sqref="BD2:BD43" showDropDown="0" showInputMessage="0" showErrorMessage="0" allowBlank="1" type="list">
      <formula1>"Yes,No"</formula1>
    </dataValidation>
    <dataValidation sqref="BF2:BF43" showDropDown="0" showInputMessage="0" showErrorMessage="0" allowBlank="1" type="list">
      <formula1>"Yes,No"</formula1>
    </dataValidation>
    <dataValidation sqref="BH2:BH43" showDropDown="0" showInputMessage="0" showErrorMessage="0" allowBlank="1" type="list">
      <formula1>"Yes,No"</formula1>
    </dataValidation>
    <dataValidation sqref="BJ2:BJ4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3" showDropDown="0" showInputMessage="0" showErrorMessage="0" allowBlank="1" type="list">
      <formula1>"Above 40,20 to 40,0 to 20"</formula1>
    </dataValidation>
    <dataValidation sqref="BN2:BN43" showDropDown="0" showInputMessage="0" showErrorMessage="0" allowBlank="1" type="list">
      <formula1>"Between 50 to 75,Above 75,Below 45"</formula1>
    </dataValidation>
    <dataValidation sqref="BP2:BP43" showDropDown="0" showInputMessage="0" showErrorMessage="0" allowBlank="1" type="list">
      <formula1>"Stage 1,Stage 2,Stage 3,Stage 4"</formula1>
    </dataValidation>
    <dataValidation sqref="BR2:BR43" showDropDown="0" showInputMessage="0" showErrorMessage="0" allowBlank="1" type="list">
      <formula1>"Positive Trend,Negative Trend"</formula1>
    </dataValidation>
    <dataValidation sqref="BT2:BT43" showDropDown="0" showInputMessage="0" showErrorMessage="0" allowBlank="1" type="list">
      <formula1>"Uptrend,Sideways,Downtrend"</formula1>
    </dataValidation>
    <dataValidation sqref="BV2:BV43" showDropDown="0" showInputMessage="0" showErrorMessage="0" allowBlank="1" type="list">
      <formula1>"Uptrend,Sideways,Downtrend"</formula1>
    </dataValidation>
    <dataValidation sqref="BX2:BX4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6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IF(B2=0,"",RANK(B2,$B$2:$B$16,0))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139.8</v>
      </c>
      <c r="E2" s="32" t="inlineStr">
        <is>
          <t>5%</t>
        </is>
      </c>
      <c r="F2" s="32" t="n">
        <v>50000</v>
      </c>
      <c r="G2" s="32" t="n">
        <v>27</v>
      </c>
      <c r="H2" s="31" t="inlineStr">
        <is>
          <t>VENUSREM</t>
        </is>
      </c>
      <c r="I2" s="31" t="inlineStr">
        <is>
          <t>Venus Remedies Limited</t>
        </is>
      </c>
      <c r="J2" s="31" t="inlineStr">
        <is>
          <t>healthcare</t>
        </is>
      </c>
      <c r="K2" s="31" t="inlineStr">
        <is>
          <t>pharmaceuticals - indian - formulations</t>
        </is>
      </c>
      <c r="L2" s="31" t="inlineStr">
        <is>
          <t>smallcap</t>
        </is>
      </c>
      <c r="M2" s="32" t="n">
        <v>2292.57</v>
      </c>
      <c r="N2" s="32" t="n">
        <v>1797.5</v>
      </c>
      <c r="O2" s="32" t="n">
        <v>4.8</v>
      </c>
      <c r="P2" s="32" t="n">
        <v>246228</v>
      </c>
      <c r="Q2" s="31" t="n">
        <v>97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82.70999999999999</v>
      </c>
      <c r="U2" s="32" t="n">
        <v>50.37</v>
      </c>
      <c r="V2" s="32" t="n">
        <v>1376.61</v>
      </c>
      <c r="W2" s="31" t="inlineStr">
        <is>
          <t>Volume Spike &amp; Near 52W High Breakout</t>
        </is>
      </c>
      <c r="X2" s="31" t="inlineStr">
        <is>
          <t>Nifty Pharma</t>
        </is>
      </c>
      <c r="Y2" s="32" t="n">
        <v>10.89</v>
      </c>
      <c r="Z2" s="32" t="n">
        <v>293.07</v>
      </c>
      <c r="AA2" s="32" t="n">
        <v>254.46</v>
      </c>
      <c r="AB2" s="32" t="n">
        <v>58.33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Above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Above 2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IF(B3=0,"",RANK(B3,$B$2:$B$16,0))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139.3</v>
      </c>
      <c r="E3" s="32" t="inlineStr">
        <is>
          <t>5%</t>
        </is>
      </c>
      <c r="F3" s="32" t="n">
        <v>50000</v>
      </c>
      <c r="G3" s="32" t="n">
        <v>84</v>
      </c>
      <c r="H3" s="31" t="inlineStr">
        <is>
          <t>BAJAJCON</t>
        </is>
      </c>
      <c r="I3" s="31" t="inlineStr">
        <is>
          <t>Bajaj Consumer Care Ltd</t>
        </is>
      </c>
      <c r="J3" s="31" t="inlineStr">
        <is>
          <t>fmcg</t>
        </is>
      </c>
      <c r="K3" s="31" t="inlineStr">
        <is>
          <t>personal care - indian</t>
        </is>
      </c>
      <c r="L3" s="31" t="inlineStr">
        <is>
          <t>midcap</t>
        </is>
      </c>
      <c r="M3" s="32" t="n">
        <v>7396.26</v>
      </c>
      <c r="N3" s="32" t="n">
        <v>591.65</v>
      </c>
      <c r="O3" s="32" t="n">
        <v>4.49</v>
      </c>
      <c r="P3" s="32" t="n">
        <v>544779</v>
      </c>
      <c r="Q3" s="31" t="n">
        <v>94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77.33</v>
      </c>
      <c r="U3" s="32" t="n">
        <v>53.14</v>
      </c>
      <c r="V3" s="32" t="n">
        <v>460.14</v>
      </c>
      <c r="W3" s="31" t="inlineStr">
        <is>
          <t>Near 52W High Breakout</t>
        </is>
      </c>
      <c r="X3" s="31" t="inlineStr">
        <is>
          <t>Nifty FMCG</t>
        </is>
      </c>
      <c r="Y3" s="32" t="n">
        <v>-10.45</v>
      </c>
      <c r="Z3" s="32" t="n">
        <v>233.59</v>
      </c>
      <c r="AA3" s="32" t="n">
        <v>272.53</v>
      </c>
      <c r="AB3" s="32" t="n">
        <v>45.08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B2C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Annuity, Lower One Time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Yes</t>
        </is>
      </c>
      <c r="BX3" s="31">
        <f>IF(BW3="NO",5,0)</f>
        <v/>
      </c>
      <c r="BY3" s="31" t="inlineStr">
        <is>
          <t>Above 2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IF(B4=0,"",RANK(B4,$B$2:$B$16,0))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138.9</v>
      </c>
      <c r="E4" s="32" t="inlineStr">
        <is>
          <t>5%</t>
        </is>
      </c>
      <c r="F4" s="32" t="n">
        <v>50000</v>
      </c>
      <c r="G4" s="32" t="n">
        <v>23</v>
      </c>
      <c r="H4" s="31" t="inlineStr">
        <is>
          <t>SJS</t>
        </is>
      </c>
      <c r="I4" s="31" t="inlineStr">
        <is>
          <t>S J S Enterprises Ltd</t>
        </is>
      </c>
      <c r="J4" s="31" t="inlineStr">
        <is>
          <t>auto</t>
        </is>
      </c>
      <c r="K4" s="31" t="inlineStr">
        <is>
          <t>plastics products</t>
        </is>
      </c>
      <c r="L4" s="31" t="inlineStr">
        <is>
          <t>midcap</t>
        </is>
      </c>
      <c r="M4" s="32" t="n">
        <v>6700.45</v>
      </c>
      <c r="N4" s="32" t="n">
        <v>2115.2</v>
      </c>
      <c r="O4" s="32" t="n">
        <v>1.01</v>
      </c>
      <c r="P4" s="32" t="n">
        <v>76671</v>
      </c>
      <c r="Q4" s="31" t="n">
        <v>69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63.93</v>
      </c>
      <c r="U4" s="32" t="n">
        <v>21.09</v>
      </c>
      <c r="V4" s="32" t="n">
        <v>1639.37</v>
      </c>
      <c r="W4" s="31" t="inlineStr">
        <is>
          <t>Near 52W High Breakout</t>
        </is>
      </c>
      <c r="X4" s="31" t="inlineStr">
        <is>
          <t>Nifty Auto</t>
        </is>
      </c>
      <c r="Y4" s="32" t="n">
        <v>12.72</v>
      </c>
      <c r="Z4" s="32" t="n">
        <v>73.83</v>
      </c>
      <c r="AA4" s="32" t="n">
        <v>54.22</v>
      </c>
      <c r="AB4" s="32" t="n">
        <v>19.96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Less than 1.5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IF(B5=0,"",RANK(B5,$B$2:$B$16,0))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140</v>
      </c>
      <c r="E5" s="32" t="inlineStr">
        <is>
          <t>5%</t>
        </is>
      </c>
      <c r="F5" s="32" t="n">
        <v>50000</v>
      </c>
      <c r="G5" s="32" t="n">
        <v>312</v>
      </c>
      <c r="H5" s="31" t="inlineStr">
        <is>
          <t>CUPID</t>
        </is>
      </c>
      <c r="I5" s="31" t="inlineStr">
        <is>
          <t>Cupid Limited</t>
        </is>
      </c>
      <c r="J5" s="31" t="inlineStr">
        <is>
          <t>fmcg</t>
        </is>
      </c>
      <c r="K5" s="31" t="inlineStr">
        <is>
          <t>personal care - indian</t>
        </is>
      </c>
      <c r="L5" s="31" t="inlineStr">
        <is>
          <t>largecap</t>
        </is>
      </c>
      <c r="M5" s="32" t="n">
        <v>20866.44</v>
      </c>
      <c r="N5" s="32" t="n">
        <v>159.97</v>
      </c>
      <c r="O5" s="32" t="n">
        <v>3.09</v>
      </c>
      <c r="P5" s="32" t="n">
        <v>23033543</v>
      </c>
      <c r="Q5" s="31" t="n">
        <v>98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81.56</v>
      </c>
      <c r="U5" s="32" t="n">
        <v>45.12</v>
      </c>
      <c r="V5" s="32" t="n">
        <v>123.8</v>
      </c>
      <c r="W5" s="31" t="inlineStr">
        <is>
          <t>Volume Spike &amp; Near 52W High Breakout</t>
        </is>
      </c>
      <c r="X5" s="31" t="inlineStr">
        <is>
          <t>Nifty FMCG</t>
        </is>
      </c>
      <c r="Y5" s="32" t="n">
        <v>-10.45</v>
      </c>
      <c r="Z5" s="32" t="n">
        <v>726.97</v>
      </c>
      <c r="AA5" s="32" t="n">
        <v>823.51</v>
      </c>
      <c r="AB5" s="32" t="n">
        <v>84.01000000000001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B2C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Annuity, Lower One Time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Less than 50%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IF(B6=0,"",RANK(B6,$B$2:$B$16,0))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138.1</v>
      </c>
      <c r="E6" s="32" t="inlineStr">
        <is>
          <t>5%</t>
        </is>
      </c>
      <c r="F6" s="32" t="n">
        <v>50000</v>
      </c>
      <c r="G6" s="32" t="n">
        <v>39</v>
      </c>
      <c r="H6" s="31" t="inlineStr">
        <is>
          <t>SYRMA</t>
        </is>
      </c>
      <c r="I6" s="31" t="inlineStr">
        <is>
          <t>Syrma SGS Technology Ltd</t>
        </is>
      </c>
      <c r="J6" s="31" t="inlineStr">
        <is>
          <t>consumer discretionary</t>
        </is>
      </c>
      <c r="K6" s="31" t="inlineStr">
        <is>
          <t>electronics - components</t>
        </is>
      </c>
      <c r="L6" s="31" t="inlineStr">
        <is>
          <t>largecap</t>
        </is>
      </c>
      <c r="M6" s="32" t="n">
        <v>23826.13</v>
      </c>
      <c r="N6" s="32" t="n">
        <v>1266.7</v>
      </c>
      <c r="O6" s="32" t="n">
        <v>2.52</v>
      </c>
      <c r="P6" s="32" t="n">
        <v>844050</v>
      </c>
      <c r="Q6" s="31" t="n">
        <v>92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74.45999999999999</v>
      </c>
      <c r="U6" s="32" t="n">
        <v>33.6</v>
      </c>
      <c r="V6" s="32" t="n">
        <v>979.04</v>
      </c>
      <c r="W6" s="31" t="inlineStr">
        <is>
          <t>Near 52W High Breakout</t>
        </is>
      </c>
      <c r="X6" s="31" t="inlineStr">
        <is>
          <t>Nifty 50</t>
        </is>
      </c>
      <c r="Y6" s="32" t="n">
        <v>-4.43</v>
      </c>
      <c r="Z6" s="32" t="n">
        <v>142.76</v>
      </c>
      <c r="AA6" s="32" t="n">
        <v>154.02</v>
      </c>
      <c r="AB6" s="32" t="n">
        <v>39.06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20 to 40</t>
        </is>
      </c>
      <c r="BD6" s="31">
        <f>IF(BC6="Above 40",20,IF(BC6="20 to 40",10,IF(BC6="0 to 20",-5,0)))</f>
        <v/>
      </c>
      <c r="BE6" s="31" t="inlineStr">
        <is>
          <t>Between 50 to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Between 1.5 to 2</t>
        </is>
      </c>
      <c r="BZ6" s="31">
        <f>IF(BY6="Above 2",0,IF(BY6="Between 1.5 to 2",5,IF(BY6="Less than 1.5",10,0)))</f>
        <v/>
      </c>
      <c r="CA6" s="31" t="inlineStr">
        <is>
          <t>Between 50% to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IF(B7=0,"",RANK(B7,$B$2:$B$16,0))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139.3</v>
      </c>
      <c r="E7" s="32" t="inlineStr">
        <is>
          <t>5%</t>
        </is>
      </c>
      <c r="F7" s="32" t="n">
        <v>50000</v>
      </c>
      <c r="G7" s="32" t="n">
        <v>53</v>
      </c>
      <c r="H7" s="31" t="inlineStr">
        <is>
          <t>GVPIL</t>
        </is>
      </c>
      <c r="I7" s="31" t="inlineStr">
        <is>
          <t>GE Power India Ltd</t>
        </is>
      </c>
      <c r="J7" s="31" t="inlineStr">
        <is>
          <t>realty</t>
        </is>
      </c>
      <c r="K7" s="31" t="inlineStr">
        <is>
          <t>engineering - turnkey services</t>
        </is>
      </c>
      <c r="L7" s="31" t="inlineStr">
        <is>
          <t>midcap</t>
        </is>
      </c>
      <c r="M7" s="32" t="n">
        <v>5951.65</v>
      </c>
      <c r="N7" s="32" t="n">
        <v>929.55</v>
      </c>
      <c r="O7" s="32" t="n">
        <v>5</v>
      </c>
      <c r="P7" s="32" t="n">
        <v>431265</v>
      </c>
      <c r="Q7" s="31" t="n">
        <v>96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88.2</v>
      </c>
      <c r="U7" s="32" t="n">
        <v>56.06</v>
      </c>
      <c r="V7" s="32" t="n">
        <v>711.97</v>
      </c>
      <c r="W7" s="31" t="inlineStr">
        <is>
          <t>Near 52W High Breakout</t>
        </is>
      </c>
      <c r="X7" s="31" t="inlineStr">
        <is>
          <t>Nifty Realty</t>
        </is>
      </c>
      <c r="Y7" s="32" t="n">
        <v>-23.58</v>
      </c>
      <c r="Z7" s="32" t="n">
        <v>194.11</v>
      </c>
      <c r="AA7" s="32" t="n">
        <v>284.86</v>
      </c>
      <c r="AB7" s="32" t="n">
        <v>52.55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Duopoly That Cooperate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Shallow Cyclical (2 to 3 Years Growth)</t>
        </is>
      </c>
      <c r="AL7" s="31">
        <f>IF(AK7="Structural (10 Years Consistency)",10,IF(AK7="Shallow Cyclical (2 to 3 years growth)",5,0))</f>
        <v/>
      </c>
      <c r="AM7" s="31" t="inlineStr">
        <is>
          <t>Yes due to Product Mix change or Operating Leverage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B2C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Fully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only for next 1 to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Close to 52 week high or retracement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Yes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Between 50% to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Between 0.7 to 1.2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IF(B8=0,"",RANK(B8,$B$2:$B$16,0))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139.1</v>
      </c>
      <c r="E8" s="32" t="inlineStr">
        <is>
          <t>5%</t>
        </is>
      </c>
      <c r="F8" s="32" t="n">
        <v>50000</v>
      </c>
      <c r="G8" s="32" t="n">
        <v>89</v>
      </c>
      <c r="H8" s="31" t="inlineStr">
        <is>
          <t>NITINSPIN</t>
        </is>
      </c>
      <c r="I8" s="31" t="inlineStr">
        <is>
          <t>Nitin Spinners Limited</t>
        </is>
      </c>
      <c r="J8" s="31" t="inlineStr">
        <is>
          <t>textiles</t>
        </is>
      </c>
      <c r="K8" s="31" t="inlineStr">
        <is>
          <t>textiles - cotton/blended</t>
        </is>
      </c>
      <c r="L8" s="31" t="inlineStr">
        <is>
          <t>smallcap</t>
        </is>
      </c>
      <c r="M8" s="32" t="n">
        <v>3000.74</v>
      </c>
      <c r="N8" s="32" t="n">
        <v>559.35</v>
      </c>
      <c r="O8" s="32" t="n">
        <v>4.8</v>
      </c>
      <c r="P8" s="32" t="n">
        <v>182362</v>
      </c>
      <c r="Q8" s="31" t="n">
        <v>70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81.09999999999999</v>
      </c>
      <c r="U8" s="32" t="n">
        <v>53.87</v>
      </c>
      <c r="V8" s="32" t="n">
        <v>435.06</v>
      </c>
      <c r="W8" s="31" t="inlineStr">
        <is>
          <t>Near 52W High Breakout</t>
        </is>
      </c>
      <c r="X8" s="31" t="inlineStr">
        <is>
          <t>Nifty 50</t>
        </is>
      </c>
      <c r="Y8" s="32" t="n">
        <v>-4.43</v>
      </c>
      <c r="Z8" s="32" t="n">
        <v>44.42</v>
      </c>
      <c r="AA8" s="32" t="n">
        <v>51.12</v>
      </c>
      <c r="AB8" s="32" t="n">
        <v>21.09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Between 0.7 to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IF(B9=0,"",RANK(B9,$B$2:$B$16,0))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139.5</v>
      </c>
      <c r="E9" s="32" t="inlineStr">
        <is>
          <t>5%</t>
        </is>
      </c>
      <c r="F9" s="32" t="n">
        <v>50000</v>
      </c>
      <c r="G9" s="32" t="n">
        <v>29</v>
      </c>
      <c r="H9" s="31" t="inlineStr">
        <is>
          <t>AVALON</t>
        </is>
      </c>
      <c r="I9" s="31" t="inlineStr">
        <is>
          <t>Avalon Technologies Ltd</t>
        </is>
      </c>
      <c r="J9" s="31" t="inlineStr">
        <is>
          <t>consumer discretionary</t>
        </is>
      </c>
      <c r="K9" s="31" t="inlineStr">
        <is>
          <t>electronics - components</t>
        </is>
      </c>
      <c r="L9" s="31" t="inlineStr">
        <is>
          <t>midcap</t>
        </is>
      </c>
      <c r="M9" s="32" t="n">
        <v>10470.27</v>
      </c>
      <c r="N9" s="32" t="n">
        <v>1687</v>
      </c>
      <c r="O9" s="32" t="n">
        <v>7.58</v>
      </c>
      <c r="P9" s="32" t="n">
        <v>476593</v>
      </c>
      <c r="Q9" s="31" t="n">
        <v>91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76.33</v>
      </c>
      <c r="U9" s="32" t="n">
        <v>32.66</v>
      </c>
      <c r="V9" s="32" t="n">
        <v>1226.84</v>
      </c>
      <c r="W9" s="31" t="inlineStr">
        <is>
          <t>Near 52W High Breakout</t>
        </is>
      </c>
      <c r="X9" s="31" t="inlineStr">
        <is>
          <t>Nifty 50</t>
        </is>
      </c>
      <c r="Y9" s="32" t="n">
        <v>-4.43</v>
      </c>
      <c r="Z9" s="32" t="n">
        <v>102.97</v>
      </c>
      <c r="AA9" s="32" t="n">
        <v>112.39</v>
      </c>
      <c r="AB9" s="32" t="n">
        <v>38.24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20 to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Yes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Less than 50%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IF(B10=0,"",RANK(B10,$B$2:$B$16,0))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138.4</v>
      </c>
      <c r="E10" s="32" t="inlineStr">
        <is>
          <t>5%</t>
        </is>
      </c>
      <c r="F10" s="32" t="n">
        <v>50000</v>
      </c>
      <c r="G10" s="32" t="n">
        <v>75</v>
      </c>
      <c r="H10" s="31" t="inlineStr">
        <is>
          <t>UNIPARTS</t>
        </is>
      </c>
      <c r="I10" s="31" t="inlineStr">
        <is>
          <t>Uniparts India Ltd</t>
        </is>
      </c>
      <c r="J10" s="31" t="inlineStr">
        <is>
          <t>industrials</t>
        </is>
      </c>
      <c r="K10" s="31" t="inlineStr">
        <is>
          <t>engineering</t>
        </is>
      </c>
      <c r="L10" s="31" t="inlineStr">
        <is>
          <t>smallcap</t>
        </is>
      </c>
      <c r="M10" s="32" t="n">
        <v>2876.29</v>
      </c>
      <c r="N10" s="32" t="n">
        <v>659.7</v>
      </c>
      <c r="O10" s="32" t="n">
        <v>3.54</v>
      </c>
      <c r="P10" s="32" t="n">
        <v>198227</v>
      </c>
      <c r="Q10" s="31" t="n">
        <v>77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73.89</v>
      </c>
      <c r="U10" s="32" t="n">
        <v>34.24</v>
      </c>
      <c r="V10" s="32" t="n">
        <v>510.93</v>
      </c>
      <c r="W10" s="31" t="inlineStr">
        <is>
          <t>Near 52W High Breakout</t>
        </is>
      </c>
      <c r="X10" s="31" t="inlineStr">
        <is>
          <t>Nifty 50</t>
        </is>
      </c>
      <c r="Y10" s="32" t="n">
        <v>-4.43</v>
      </c>
      <c r="Z10" s="32" t="n">
        <v>84.56999999999999</v>
      </c>
      <c r="AA10" s="32" t="n">
        <v>93.13</v>
      </c>
      <c r="AB10" s="32" t="n">
        <v>24.75</v>
      </c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IF(B11=0,"",RANK(B11,$B$2:$B$16,0))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139.5</v>
      </c>
      <c r="E11" s="32" t="inlineStr">
        <is>
          <t>5%</t>
        </is>
      </c>
      <c r="F11" s="32" t="n">
        <v>50000</v>
      </c>
      <c r="G11" s="32" t="n">
        <v>38</v>
      </c>
      <c r="H11" s="31" t="inlineStr">
        <is>
          <t>SENORES</t>
        </is>
      </c>
      <c r="I11" s="31" t="inlineStr">
        <is>
          <t>Senores Pharmaceuticals Ltd</t>
        </is>
      </c>
      <c r="J11" s="31" t="inlineStr">
        <is>
          <t>healthcare</t>
        </is>
      </c>
      <c r="K11" s="31" t="inlineStr">
        <is>
          <t>pharmaceuticals - indian - formulations</t>
        </is>
      </c>
      <c r="L11" s="31" t="inlineStr">
        <is>
          <t>midcap</t>
        </is>
      </c>
      <c r="M11" s="32" t="n">
        <v>5345.44</v>
      </c>
      <c r="N11" s="32" t="n">
        <v>1290</v>
      </c>
      <c r="O11" s="32" t="n">
        <v>11.14</v>
      </c>
      <c r="P11" s="32" t="n">
        <v>1348158</v>
      </c>
      <c r="Q11" s="31" t="n">
        <v>89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77.44</v>
      </c>
      <c r="U11" s="32" t="n">
        <v>40.72</v>
      </c>
      <c r="V11" s="32" t="n">
        <v>992.35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10.89</v>
      </c>
      <c r="Z11" s="32" t="n">
        <v>131.62</v>
      </c>
      <c r="AA11" s="32" t="n">
        <v>108.87</v>
      </c>
      <c r="AB11" s="32" t="n">
        <v>37.03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Above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Less than 50%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IF(B12=0,"",RANK(B12,$B$2:$B$16,0))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139.7</v>
      </c>
      <c r="E12" s="32" t="inlineStr">
        <is>
          <t>5%</t>
        </is>
      </c>
      <c r="F12" s="32" t="n">
        <v>50000</v>
      </c>
      <c r="G12" s="32" t="n">
        <v>25</v>
      </c>
      <c r="H12" s="31" t="inlineStr">
        <is>
          <t>KERNEX</t>
        </is>
      </c>
      <c r="I12" s="31" t="inlineStr">
        <is>
          <t>Kernex Microsystems (india) Limited</t>
        </is>
      </c>
      <c r="J12" s="31" t="inlineStr">
        <is>
          <t>consumer discretionary</t>
        </is>
      </c>
      <c r="K12" s="31" t="inlineStr">
        <is>
          <t>electronics - components</t>
        </is>
      </c>
      <c r="L12" s="31" t="inlineStr">
        <is>
          <t>smallcap</t>
        </is>
      </c>
      <c r="M12" s="32" t="n">
        <v>3181.87</v>
      </c>
      <c r="N12" s="32" t="n">
        <v>1993.3</v>
      </c>
      <c r="O12" s="32" t="n">
        <v>5.26</v>
      </c>
      <c r="P12" s="32" t="n">
        <v>310640</v>
      </c>
      <c r="Q12" s="31" t="n">
        <v>88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73.3</v>
      </c>
      <c r="U12" s="32" t="n">
        <v>30.97</v>
      </c>
      <c r="V12" s="32" t="n">
        <v>1471.05</v>
      </c>
      <c r="W12" s="31" t="inlineStr">
        <is>
          <t>Near 52W High Breakout</t>
        </is>
      </c>
      <c r="X12" s="31" t="inlineStr">
        <is>
          <t>Nifty 50</t>
        </is>
      </c>
      <c r="Y12" s="32" t="n">
        <v>-4.43</v>
      </c>
      <c r="Z12" s="32" t="n">
        <v>53.18</v>
      </c>
      <c r="AA12" s="32" t="n">
        <v>60.28</v>
      </c>
      <c r="AB12" s="32" t="n">
        <v>35.86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More than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Negative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IF(B13=0,"",RANK(B13,$B$2:$B$16,0))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138.3</v>
      </c>
      <c r="E13" s="32" t="inlineStr">
        <is>
          <t>5%</t>
        </is>
      </c>
      <c r="F13" s="32" t="n">
        <v>50000</v>
      </c>
      <c r="G13" s="32" t="n">
        <v>42</v>
      </c>
      <c r="H13" s="31" t="inlineStr">
        <is>
          <t>RPEL</t>
        </is>
      </c>
      <c r="I13" s="31" t="inlineStr">
        <is>
          <t>Raghav Productivity Enhancers Ltd</t>
        </is>
      </c>
      <c r="J13" s="31" t="inlineStr">
        <is>
          <t>building materials</t>
        </is>
      </c>
      <c r="K13" s="31" t="inlineStr">
        <is>
          <t>refractories / intermediates</t>
        </is>
      </c>
      <c r="L13" s="31" t="inlineStr">
        <is>
          <t>midcap</t>
        </is>
      </c>
      <c r="M13" s="32" t="n">
        <v>5305.59</v>
      </c>
      <c r="N13" s="32" t="n">
        <v>1189.05</v>
      </c>
      <c r="O13" s="32" t="n">
        <v>2.89</v>
      </c>
      <c r="P13" s="32" t="n">
        <v>159838</v>
      </c>
      <c r="Q13" s="31" t="n">
        <v>87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77.06999999999999</v>
      </c>
      <c r="U13" s="32" t="n">
        <v>30.26</v>
      </c>
      <c r="V13" s="32" t="n">
        <v>910.12</v>
      </c>
      <c r="W13" s="31" t="inlineStr">
        <is>
          <t>Near 52W High Breakout</t>
        </is>
      </c>
      <c r="X13" s="31" t="inlineStr">
        <is>
          <t>Nifty Infra</t>
        </is>
      </c>
      <c r="Y13" s="32" t="n">
        <v>2.95</v>
      </c>
      <c r="Z13" s="32" t="n">
        <v>68.70999999999999</v>
      </c>
      <c r="AA13" s="32" t="n">
        <v>63.88</v>
      </c>
      <c r="AB13" s="32" t="n">
        <v>34.87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Above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Between 1.5 to 2</t>
        </is>
      </c>
      <c r="BZ13" s="31">
        <f>IF(BY13="Above 2",0,IF(BY13="Between 1.5 to 2",5,IF(BY13="Less than 1.5",10,0)))</f>
        <v/>
      </c>
      <c r="CA13" s="31" t="inlineStr">
        <is>
          <t>Less than 50%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IF(B14=0,"",RANK(B14,$B$2:$B$16,0))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140</v>
      </c>
      <c r="E14" s="32" t="inlineStr">
        <is>
          <t>5%</t>
        </is>
      </c>
      <c r="F14" s="32" t="n">
        <v>50000</v>
      </c>
      <c r="G14" s="32" t="n">
        <v>345</v>
      </c>
      <c r="H14" s="31" t="inlineStr">
        <is>
          <t>JAYBARMARU</t>
        </is>
      </c>
      <c r="I14" s="31" t="inlineStr">
        <is>
          <t>Jay Bharat Maruti Limited</t>
        </is>
      </c>
      <c r="J14" s="31" t="inlineStr">
        <is>
          <t>auto</t>
        </is>
      </c>
      <c r="K14" s="31" t="inlineStr">
        <is>
          <t>auto ancillaries</t>
        </is>
      </c>
      <c r="L14" s="31" t="inlineStr">
        <is>
          <t>smallcap</t>
        </is>
      </c>
      <c r="M14" s="32" t="n">
        <v>1423.6</v>
      </c>
      <c r="N14" s="32" t="n">
        <v>144.66</v>
      </c>
      <c r="O14" s="32" t="n">
        <v>10</v>
      </c>
      <c r="P14" s="32" t="n">
        <v>2359452</v>
      </c>
      <c r="Q14" s="31" t="n">
        <v>83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70.31999999999999</v>
      </c>
      <c r="U14" s="32" t="n">
        <v>17.18</v>
      </c>
      <c r="V14" s="32" t="n">
        <v>104.53</v>
      </c>
      <c r="W14" s="31" t="inlineStr">
        <is>
          <t>Volume Spike &amp; Near 52W High Breakout</t>
        </is>
      </c>
      <c r="X14" s="31" t="inlineStr">
        <is>
          <t>Nifty Auto</t>
        </is>
      </c>
      <c r="Y14" s="32" t="n">
        <v>12.72</v>
      </c>
      <c r="Z14" s="32" t="n">
        <v>86.31999999999999</v>
      </c>
      <c r="AA14" s="32" t="n">
        <v>65.3</v>
      </c>
      <c r="AB14" s="32" t="n">
        <v>28.52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0 to 20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No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Between 50% to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Between 0.7 to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IF(B15=0,"",RANK(B15,$B$2:$B$16,0))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137.7</v>
      </c>
      <c r="E15" s="32" t="inlineStr">
        <is>
          <t>5%</t>
        </is>
      </c>
      <c r="F15" s="32" t="n">
        <v>50000</v>
      </c>
      <c r="G15" s="32" t="n">
        <v>17</v>
      </c>
      <c r="H15" s="31" t="inlineStr">
        <is>
          <t>YASHO</t>
        </is>
      </c>
      <c r="I15" s="31" t="inlineStr">
        <is>
          <t>Yasho Industries Ltd</t>
        </is>
      </c>
      <c r="J15" s="31" t="inlineStr">
        <is>
          <t>chemicals</t>
        </is>
      </c>
      <c r="K15" s="31" t="inlineStr">
        <is>
          <t>chemicals</t>
        </is>
      </c>
      <c r="L15" s="31" t="inlineStr">
        <is>
          <t>smallcap</t>
        </is>
      </c>
      <c r="M15" s="32" t="n">
        <v>3078.42</v>
      </c>
      <c r="N15" s="32" t="n">
        <v>2870.4</v>
      </c>
      <c r="O15" s="32" t="n">
        <v>12.42</v>
      </c>
      <c r="P15" s="32" t="n">
        <v>201292</v>
      </c>
      <c r="Q15" s="31" t="n">
        <v>93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83.59</v>
      </c>
      <c r="U15" s="32" t="n">
        <v>22.25</v>
      </c>
      <c r="V15" s="32" t="n">
        <v>2173.43</v>
      </c>
      <c r="W15" s="31" t="inlineStr">
        <is>
          <t>Volume Spike &amp; Near 52W High Breakout</t>
        </is>
      </c>
      <c r="X15" s="31" t="inlineStr">
        <is>
          <t>Nifty IT</t>
        </is>
      </c>
      <c r="Y15" s="32" t="n">
        <v>-27.75</v>
      </c>
      <c r="Z15" s="32" t="n">
        <v>45.35</v>
      </c>
      <c r="AA15" s="32" t="n">
        <v>101.16</v>
      </c>
      <c r="AB15" s="32" t="n">
        <v>40.32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20 to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IF(B16=0,"",RANK(B16,$B$2:$B$16,0))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139.2</v>
      </c>
      <c r="E16" s="32" t="inlineStr">
        <is>
          <t>5%</t>
        </is>
      </c>
      <c r="F16" s="32" t="n">
        <v>50000</v>
      </c>
      <c r="G16" s="32" t="n">
        <v>3</v>
      </c>
      <c r="H16" s="31" t="inlineStr">
        <is>
          <t>APARINDS</t>
        </is>
      </c>
      <c r="I16" s="31" t="inlineStr">
        <is>
          <t>Apar Industries Limited</t>
        </is>
      </c>
      <c r="J16" s="31" t="inlineStr">
        <is>
          <t>industrials</t>
        </is>
      </c>
      <c r="K16" s="31" t="inlineStr">
        <is>
          <t>electric equipment</t>
        </is>
      </c>
      <c r="L16" s="31" t="inlineStr">
        <is>
          <t>largecap</t>
        </is>
      </c>
      <c r="M16" s="32" t="n">
        <v>58448.92</v>
      </c>
      <c r="N16" s="32" t="n">
        <v>15221</v>
      </c>
      <c r="O16" s="32" t="n">
        <v>4.6</v>
      </c>
      <c r="P16" s="32" t="n">
        <v>271159</v>
      </c>
      <c r="Q16" s="31" t="n">
        <v>85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76.68000000000001</v>
      </c>
      <c r="U16" s="32" t="n">
        <v>38.7</v>
      </c>
      <c r="V16" s="32" t="n">
        <v>11795.85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-4.43</v>
      </c>
      <c r="Z16" s="32" t="n">
        <v>93.92</v>
      </c>
      <c r="AA16" s="32" t="n">
        <v>102.92</v>
      </c>
      <c r="AB16" s="32" t="n">
        <v>30.56</v>
      </c>
      <c r="AC16" s="31" t="inlineStr">
        <is>
          <t>Cyclical in an Upturn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Less than 12%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Yes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Between 50% to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Less than 0.7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</sheetData>
  <autoFilter ref="A1:CJ16"/>
  <conditionalFormatting sqref="B2:B1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6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6">
    <cfRule type="cellIs" priority="36" operator="equal" dxfId="3" stopIfTrue="1">
      <formula>"Underperforming"</formula>
    </cfRule>
  </conditionalFormatting>
  <conditionalFormatting sqref="S2:S16">
    <cfRule type="cellIs" priority="37" operator="equal" dxfId="3" stopIfTrue="1">
      <formula>-5</formula>
    </cfRule>
  </conditionalFormatting>
  <conditionalFormatting sqref="V2:V16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6" showDropDown="0" showInputMessage="0" showErrorMessage="0" allowBlank="1" type="list">
      <formula1>"Growing Industry,Stagnant Industry,Cyclical in an Upturn"</formula1>
    </dataValidation>
    <dataValidation sqref="AE2:AE1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6" showDropDown="0" showInputMessage="0" showErrorMessage="0" allowBlank="1" type="list">
      <formula1>"Yes,No"</formula1>
    </dataValidation>
    <dataValidation sqref="AI2:AI16" showDropDown="0" showInputMessage="0" showErrorMessage="0" allowBlank="1" type="list">
      <formula1>"Tailwind,Headwind"</formula1>
    </dataValidation>
    <dataValidation sqref="AK2:AK16" showDropDown="0" showInputMessage="0" showErrorMessage="0" allowBlank="1" type="list">
      <formula1>"Structural (10 Years Consistency),Shallow Cyclical (2 to 3 Years Growth),Cyclical"</formula1>
    </dataValidation>
    <dataValidation sqref="AM2:AM16" showDropDown="0" showInputMessage="0" showErrorMessage="0" allowBlank="1" type="list">
      <formula1>"Yes due to Product Mix change or Operating Leverage,Yes, these are peak margins,No"</formula1>
    </dataValidation>
    <dataValidation sqref="AO2:AO16" showDropDown="0" showInputMessage="0" showErrorMessage="0" allowBlank="1" type="list">
      <formula1>"Stable,Volatile"</formula1>
    </dataValidation>
    <dataValidation sqref="AQ2:AQ16" showDropDown="0" showInputMessage="0" showErrorMessage="0" allowBlank="1" type="list">
      <formula1>"Yes,No"</formula1>
    </dataValidation>
    <dataValidation sqref="AS2:AS16" showDropDown="0" showInputMessage="0" showErrorMessage="0" allowBlank="1" type="list">
      <formula1>"B2C,B2B,B2G"</formula1>
    </dataValidation>
    <dataValidation sqref="AU2:AU16" showDropDown="0" showInputMessage="0" showErrorMessage="0" allowBlank="1" type="list">
      <formula1>"Yes,No"</formula1>
    </dataValidation>
    <dataValidation sqref="AW2:AW16" showDropDown="0" showInputMessage="0" showErrorMessage="0" allowBlank="1" type="list">
      <formula1>"Fully Annuity,Higher Annuity, Lower One time,Higher One Time, Lower Annuity,Fully One Time"</formula1>
    </dataValidation>
    <dataValidation sqref="AY2:AY16" showDropDown="0" showInputMessage="0" showErrorMessage="0" allowBlank="1" type="list">
      <formula1>"Good,Allocated capital in Non-core Areas"</formula1>
    </dataValidation>
    <dataValidation sqref="BA2:BA16" showDropDown="0" showInputMessage="0" showErrorMessage="0" allowBlank="1" type="list">
      <formula1>"Yes for more than 2 years,Yes only for next 1 to 2 years,No"</formula1>
    </dataValidation>
    <dataValidation sqref="BC2:BC16" showDropDown="0" showInputMessage="0" showErrorMessage="0" allowBlank="1" type="list">
      <formula1>"Above 40,20 to 40,0 to 20"</formula1>
    </dataValidation>
    <dataValidation sqref="BE2:BE16" showDropDown="0" showInputMessage="0" showErrorMessage="0" allowBlank="1" type="list">
      <formula1>"Between 50 to 75,Above 75,Below 45"</formula1>
    </dataValidation>
    <dataValidation sqref="BG2:BG16" showDropDown="0" showInputMessage="0" showErrorMessage="0" allowBlank="1" type="list">
      <formula1>"Stage 1,Stage 2,Stage 3,Stage 4"</formula1>
    </dataValidation>
    <dataValidation sqref="BI2:BI16" showDropDown="0" showInputMessage="0" showErrorMessage="0" allowBlank="1" type="list">
      <formula1>"Positive Trend,Negative Trend"</formula1>
    </dataValidation>
    <dataValidation sqref="BK2:BK16" showDropDown="0" showInputMessage="0" showErrorMessage="0" allowBlank="1" type="list">
      <formula1>"Uptrend,Sideways,Downtrend"</formula1>
    </dataValidation>
    <dataValidation sqref="BM2:BM16" showDropDown="0" showInputMessage="0" showErrorMessage="0" allowBlank="1" type="list">
      <formula1>"Uptrend,Sideways,Downtrend"</formula1>
    </dataValidation>
    <dataValidation sqref="BO2:BO1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6" showDropDown="0" showInputMessage="0" showErrorMessage="0" allowBlank="1" type="list">
      <formula1>"Yes,No"</formula1>
    </dataValidation>
    <dataValidation sqref="BS2:BS16" showDropDown="0" showInputMessage="0" showErrorMessage="0" allowBlank="1" type="list">
      <formula1>"More than 20%,Between 12 to 20%,Less than 12%"</formula1>
    </dataValidation>
    <dataValidation sqref="BU2:BU16" showDropDown="0" showInputMessage="0" showErrorMessage="0" allowBlank="1" type="list">
      <formula1>"Yes,No"</formula1>
    </dataValidation>
    <dataValidation sqref="BW2:BW16" showDropDown="0" showInputMessage="0" showErrorMessage="0" allowBlank="1" type="list">
      <formula1>"Yes,No"</formula1>
    </dataValidation>
    <dataValidation sqref="BY2:BY16" showDropDown="0" showInputMessage="0" showErrorMessage="0" allowBlank="1" type="list">
      <formula1>"Above 2,Between 1.5 to 2,Less than 1.5"</formula1>
    </dataValidation>
    <dataValidation sqref="CA2:CA16" showDropDown="0" showInputMessage="0" showErrorMessage="0" allowBlank="1" type="list">
      <formula1>"Above 70%,Between 50% to 70%,Less than 50%,Less than 50% and Borrowings are increasing,Negative"</formula1>
    </dataValidation>
    <dataValidation sqref="CC2:CC16" showDropDown="0" showInputMessage="0" showErrorMessage="0" allowBlank="1" type="list">
      <formula1>"More than 1.2,Between 0.7 to 1.2,Less than 0.7"</formula1>
    </dataValidation>
    <dataValidation sqref="CE2:CE16" showDropDown="0" showInputMessage="0" showErrorMessage="0" allowBlank="1" type="list">
      <formula1>"Yes,No"</formula1>
    </dataValidation>
    <dataValidation sqref="CG2:CG16" showDropDown="0" showInputMessage="0" showErrorMessage="0" allowBlank="1" type="list">
      <formula1>"More than 15%,Less than 15%"</formula1>
    </dataValidation>
    <dataValidation sqref="CI2:CI1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8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IF(B2=0,"",RANK(B2,$B$2:$B$8,0))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139.6</v>
      </c>
      <c r="E2" s="32" t="inlineStr">
        <is>
          <t>5%</t>
        </is>
      </c>
      <c r="F2" s="32" t="n">
        <v>50000</v>
      </c>
      <c r="G2" s="32" t="n">
        <v>572</v>
      </c>
      <c r="H2" s="31" t="inlineStr">
        <is>
          <t>MAHABANK</t>
        </is>
      </c>
      <c r="I2" s="31" t="inlineStr">
        <is>
          <t>Bank Of Maharashtra Ltd</t>
        </is>
      </c>
      <c r="J2" s="31" t="inlineStr">
        <is>
          <t>bank</t>
        </is>
      </c>
      <c r="K2" s="31" t="inlineStr">
        <is>
          <t>banks - public sector</t>
        </is>
      </c>
      <c r="L2" s="31" t="inlineStr">
        <is>
          <t>largecap</t>
        </is>
      </c>
      <c r="M2" s="32" t="n">
        <v>63901.44</v>
      </c>
      <c r="N2" s="32" t="n">
        <v>87.3</v>
      </c>
      <c r="O2" s="32" t="n">
        <v>5.08</v>
      </c>
      <c r="P2" s="32" t="n">
        <v>36284743</v>
      </c>
      <c r="Q2" s="31" t="n">
        <v>67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71.33</v>
      </c>
      <c r="U2" s="32" t="n">
        <v>41.27</v>
      </c>
      <c r="V2" s="32" t="n">
        <v>70.68000000000001</v>
      </c>
      <c r="W2" s="31" t="inlineStr">
        <is>
          <t>Near 52W High Breakout</t>
        </is>
      </c>
      <c r="X2" s="31" t="inlineStr">
        <is>
          <t>Nifty Bank</t>
        </is>
      </c>
      <c r="Y2" s="32" t="n">
        <v>2.32</v>
      </c>
      <c r="Z2" s="32" t="n">
        <v>65.40000000000001</v>
      </c>
      <c r="AA2" s="32" t="n">
        <v>61.65</v>
      </c>
      <c r="AB2" s="32" t="n">
        <v>19.11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Between 50 to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IF(B3=0,"",RANK(B3,$B$2:$B$8,0))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139.3</v>
      </c>
      <c r="E3" s="32" t="inlineStr">
        <is>
          <t>5%</t>
        </is>
      </c>
      <c r="F3" s="32" t="n">
        <v>50000</v>
      </c>
      <c r="G3" s="32" t="n">
        <v>136</v>
      </c>
      <c r="H3" s="31" t="inlineStr">
        <is>
          <t>RBLBANK</t>
        </is>
      </c>
      <c r="I3" s="31" t="inlineStr">
        <is>
          <t>Rbl Bank Limited</t>
        </is>
      </c>
      <c r="J3" s="31" t="inlineStr">
        <is>
          <t>bank</t>
        </is>
      </c>
      <c r="K3" s="31" t="inlineStr">
        <is>
          <t>banks - private sector</t>
        </is>
      </c>
      <c r="L3" s="31" t="inlineStr">
        <is>
          <t>largecap</t>
        </is>
      </c>
      <c r="M3" s="32" t="n">
        <v>22196.38</v>
      </c>
      <c r="N3" s="32" t="n">
        <v>365.85</v>
      </c>
      <c r="O3" s="32" t="n">
        <v>1.88</v>
      </c>
      <c r="P3" s="32" t="n">
        <v>8410483</v>
      </c>
      <c r="Q3" s="31" t="n">
        <v>56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69.25</v>
      </c>
      <c r="U3" s="32" t="n">
        <v>28.74</v>
      </c>
      <c r="V3" s="32" t="n">
        <v>303.28</v>
      </c>
      <c r="W3" s="31" t="inlineStr">
        <is>
          <t>Near 52W High Breakout</t>
        </is>
      </c>
      <c r="X3" s="31" t="inlineStr">
        <is>
          <t>Nifty Bank</t>
        </is>
      </c>
      <c r="Y3" s="32" t="n">
        <v>2.32</v>
      </c>
      <c r="Z3" s="32" t="n">
        <v>66.73</v>
      </c>
      <c r="AA3" s="32" t="n">
        <v>62.95</v>
      </c>
      <c r="AB3" s="32" t="n">
        <v>16.22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more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IF(B4=0,"",RANK(B4,$B$2:$B$8,0))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139.1</v>
      </c>
      <c r="E4" s="32" t="inlineStr">
        <is>
          <t>5%</t>
        </is>
      </c>
      <c r="F4" s="32" t="n">
        <v>50000</v>
      </c>
      <c r="G4" s="32" t="n">
        <v>317</v>
      </c>
      <c r="H4" s="31" t="inlineStr">
        <is>
          <t>J&amp;KBANK</t>
        </is>
      </c>
      <c r="I4" s="31" t="inlineStr">
        <is>
          <t>The Jammu &amp; Kashmir Bank Limited</t>
        </is>
      </c>
      <c r="J4" s="31" t="inlineStr">
        <is>
          <t>bank</t>
        </is>
      </c>
      <c r="K4" s="31" t="inlineStr">
        <is>
          <t>banks - private sector</t>
        </is>
      </c>
      <c r="L4" s="31" t="inlineStr">
        <is>
          <t>midcap</t>
        </is>
      </c>
      <c r="M4" s="32" t="n">
        <v>16855.8</v>
      </c>
      <c r="N4" s="32" t="n">
        <v>157.4</v>
      </c>
      <c r="O4" s="32" t="n">
        <v>2.83</v>
      </c>
      <c r="P4" s="32" t="n">
        <v>3788279</v>
      </c>
      <c r="Q4" s="31" t="n">
        <v>53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73.45</v>
      </c>
      <c r="U4" s="32" t="n">
        <v>49.55</v>
      </c>
      <c r="V4" s="32" t="n">
        <v>125.84</v>
      </c>
      <c r="W4" s="31" t="inlineStr">
        <is>
          <t>Near 52W High Breakout</t>
        </is>
      </c>
      <c r="X4" s="31" t="inlineStr">
        <is>
          <t>Nifty Bank</t>
        </is>
      </c>
      <c r="Y4" s="32" t="n">
        <v>2.32</v>
      </c>
      <c r="Z4" s="32" t="n">
        <v>53.3</v>
      </c>
      <c r="AA4" s="32" t="n">
        <v>49.83</v>
      </c>
      <c r="AB4" s="32" t="n">
        <v>15.66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less than 2.5x and Growth less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Above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IF(B5=0,"",RANK(B5,$B$2:$B$8,0))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139.2</v>
      </c>
      <c r="E5" s="32" t="inlineStr">
        <is>
          <t>5%</t>
        </is>
      </c>
      <c r="F5" s="32" t="n">
        <v>50000</v>
      </c>
      <c r="G5" s="32" t="n">
        <v>158</v>
      </c>
      <c r="H5" s="31" t="inlineStr">
        <is>
          <t>FEDERALBNK</t>
        </is>
      </c>
      <c r="I5" s="31" t="inlineStr">
        <is>
          <t>The Federal Bank  Limited</t>
        </is>
      </c>
      <c r="J5" s="31" t="inlineStr">
        <is>
          <t>bank</t>
        </is>
      </c>
      <c r="K5" s="31" t="inlineStr">
        <is>
          <t>banks - private sector</t>
        </is>
      </c>
      <c r="L5" s="31" t="inlineStr">
        <is>
          <t>largecap</t>
        </is>
      </c>
      <c r="M5" s="32" t="n">
        <v>76331.14999999999</v>
      </c>
      <c r="N5" s="32" t="n">
        <v>315.7</v>
      </c>
      <c r="O5" s="32" t="n">
        <v>1.92</v>
      </c>
      <c r="P5" s="32" t="n">
        <v>9052110</v>
      </c>
      <c r="Q5" s="31" t="n">
        <v>48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67.79000000000001</v>
      </c>
      <c r="U5" s="32" t="n">
        <v>17.8</v>
      </c>
      <c r="V5" s="32" t="n">
        <v>268.5</v>
      </c>
      <c r="W5" s="31" t="inlineStr">
        <is>
          <t>Near 52W High Breakout</t>
        </is>
      </c>
      <c r="X5" s="31" t="inlineStr">
        <is>
          <t>Nifty Bank</t>
        </is>
      </c>
      <c r="Y5" s="32" t="n">
        <v>2.32</v>
      </c>
      <c r="Z5" s="32" t="n">
        <v>54.71</v>
      </c>
      <c r="AA5" s="32" t="n">
        <v>51.2</v>
      </c>
      <c r="AB5" s="32" t="n">
        <v>14.08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Yes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less than 2.5x and Growth more than 20%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0 to 20</t>
        </is>
      </c>
      <c r="BR5" s="31">
        <f>IF(BQ5="Above 40",20,IF(BQ5="20 to 40",10,IF(BQ5="0 to 20",-5,0)))</f>
        <v/>
      </c>
      <c r="BS5" s="31" t="inlineStr">
        <is>
          <t>Between 50 to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  <row r="6">
      <c r="A6" s="31">
        <f>IF(B6=0,"",RANK(B6,$B$2:$B$8,0))</f>
        <v/>
      </c>
      <c r="B6" s="32">
        <f>SUM(S6,AD6,AF6,AH6,AJ6,AL6,AN6,AP6,AR6,AT6,AV6,AX6,AZ6,BB6,BD6,BF6,BH6,BJ6,BL6,BN6,BP6,BR6,BT6,BV6,BX6,BZ6,CB6,CD6,CF6)</f>
        <v/>
      </c>
      <c r="C6" s="31" t="inlineStr">
        <is>
          <t>52W Breakout</t>
        </is>
      </c>
      <c r="D6" s="32" t="n">
        <v>138.2</v>
      </c>
      <c r="E6" s="32" t="inlineStr">
        <is>
          <t>5%</t>
        </is>
      </c>
      <c r="F6" s="32" t="n">
        <v>50000</v>
      </c>
      <c r="G6" s="32" t="n">
        <v>1071</v>
      </c>
      <c r="H6" s="31" t="inlineStr">
        <is>
          <t>SOUTHBANK</t>
        </is>
      </c>
      <c r="I6" s="31" t="inlineStr">
        <is>
          <t>The South Indian Bank Limited</t>
        </is>
      </c>
      <c r="J6" s="31" t="inlineStr">
        <is>
          <t>bank</t>
        </is>
      </c>
      <c r="K6" s="31" t="inlineStr">
        <is>
          <t>banks - private sector</t>
        </is>
      </c>
      <c r="L6" s="31" t="inlineStr">
        <is>
          <t>midcap</t>
        </is>
      </c>
      <c r="M6" s="32" t="n">
        <v>11862.82</v>
      </c>
      <c r="N6" s="32" t="n">
        <v>46.66</v>
      </c>
      <c r="O6" s="32" t="n">
        <v>2.96</v>
      </c>
      <c r="P6" s="32" t="n">
        <v>35993222</v>
      </c>
      <c r="Q6" s="31" t="n">
        <v>51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67.84</v>
      </c>
      <c r="U6" s="32" t="n">
        <v>13.81</v>
      </c>
      <c r="V6" s="32" t="n">
        <v>36.82</v>
      </c>
      <c r="W6" s="31" t="inlineStr">
        <is>
          <t>Volume Spike &amp; Near 52W High Breakout</t>
        </is>
      </c>
      <c r="X6" s="31" t="inlineStr">
        <is>
          <t>Nifty Bank</t>
        </is>
      </c>
      <c r="Y6" s="32" t="n">
        <v>2.32</v>
      </c>
      <c r="Z6" s="32" t="n">
        <v>56.81</v>
      </c>
      <c r="AA6" s="32" t="n">
        <v>53.26</v>
      </c>
      <c r="AB6" s="32" t="n">
        <v>15.2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Fragmented with High ROE</t>
        </is>
      </c>
      <c r="AF6" s="31">
        <f>IF(AE6="Fragmented with Low ROE",-5,IF(AE6="Fragmented with High ROE",10,IF(AE6= "highly cyclical",5,0)))</f>
        <v/>
      </c>
      <c r="AG6" s="31" t="inlineStr">
        <is>
          <t>Yes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Consistency)",15,IF(AK6="Shallow Cyclical (2 to 3 years growth)",10,IF(AK6 = "Cyclical in an Uptick",5,IF(AK6 = "Cyclical in an Downtick",-10,0))))</f>
        <v/>
      </c>
      <c r="AM6" s="31" t="inlineStr">
        <is>
          <t>Yes</t>
        </is>
      </c>
      <c r="AN6" s="31">
        <f>IF(AM6="Yes",10,0)</f>
        <v/>
      </c>
      <c r="AO6" s="31" t="inlineStr">
        <is>
          <t>Yes</t>
        </is>
      </c>
      <c r="AP6" s="31">
        <f>IF(AO6="Yes",10,0)</f>
        <v/>
      </c>
      <c r="AQ6" s="31" t="n"/>
      <c r="AR6" s="31">
        <f>IF(AQ6="No",10,0)</f>
        <v/>
      </c>
      <c r="AS6" s="31" t="inlineStr">
        <is>
          <t>Yes</t>
        </is>
      </c>
      <c r="AT6" s="31">
        <f>IF(AS6="Yes",10,0)</f>
        <v/>
      </c>
      <c r="AU6" s="31" t="inlineStr">
        <is>
          <t>Yes</t>
        </is>
      </c>
      <c r="AV6" s="31">
        <f>IF(AU6="Yes",10,0)</f>
        <v/>
      </c>
      <c r="AW6" s="31" t="inlineStr">
        <is>
          <t>Yes</t>
        </is>
      </c>
      <c r="AX6" s="31">
        <f>IF(AW6="Yes",5,0)</f>
        <v/>
      </c>
      <c r="AY6" s="31" t="inlineStr">
        <is>
          <t>No</t>
        </is>
      </c>
      <c r="AZ6" s="31">
        <f>IF(AY6="No",10,IF(AY6="Yes",-10,0))</f>
        <v/>
      </c>
      <c r="BA6" s="31" t="inlineStr">
        <is>
          <t>No</t>
        </is>
      </c>
      <c r="BB6" s="31">
        <f>IF(BA6="No",10,0)</f>
        <v/>
      </c>
      <c r="BC6" s="31" t="inlineStr">
        <is>
          <t>No</t>
        </is>
      </c>
      <c r="BD6" s="31">
        <f>IF(BC6="No",10,IF(BC6= "Yes CEO Resignation",-5,0))</f>
        <v/>
      </c>
      <c r="BE6" s="31" t="inlineStr">
        <is>
          <t>No</t>
        </is>
      </c>
      <c r="BF6" s="31">
        <f>IF(BE6="No",10,IF(BE6="Yes",-5,0))</f>
        <v/>
      </c>
      <c r="BG6" s="31" t="inlineStr">
        <is>
          <t>No</t>
        </is>
      </c>
      <c r="BH6" s="31">
        <f>IF(BG6="No",5,IF(BG6="Yes",-5,0))</f>
        <v/>
      </c>
      <c r="BI6" s="31" t="inlineStr">
        <is>
          <t>Yes</t>
        </is>
      </c>
      <c r="BJ6" s="31">
        <f>IF(BI6="Yes",10,0)</f>
        <v/>
      </c>
      <c r="BK6" s="31" t="inlineStr">
        <is>
          <t>Yes</t>
        </is>
      </c>
      <c r="BL6" s="31">
        <f>IF(BK6="Yes",10,0)</f>
        <v/>
      </c>
      <c r="BM6" s="31" t="inlineStr">
        <is>
          <t>Yes</t>
        </is>
      </c>
      <c r="BN6" s="31">
        <f>IF(BM6="Yes",10,0)</f>
        <v/>
      </c>
      <c r="BO6" s="31" t="inlineStr">
        <is>
          <t>P/BV less than 2.5x and Growth less than 20%</t>
        </is>
      </c>
      <c r="BP6" s="31">
        <f>IF(BO6="P/BV less than 2.5x and Growth more than 20%",20,IF(BO6 = "P/BV less than 2.5x and Growth less than 20%",5,IF(BO6="P/BV between 2.5x to 5x and Growth more than 20%",10,IF(BO6= "P/BV between 2.5x to 5x and Growth less than 20%",-5,IF(BO6= "P/BV above 5x",-5,0)))))</f>
        <v/>
      </c>
      <c r="BQ6" s="31" t="inlineStr">
        <is>
          <t>0 to 20</t>
        </is>
      </c>
      <c r="BR6" s="31">
        <f>IF(BQ6="Above 40",20,IF(BQ6="20 to 40",10,IF(BQ6="0 to 20",-5,0)))</f>
        <v/>
      </c>
      <c r="BS6" s="31" t="inlineStr">
        <is>
          <t>Between 50 to 75</t>
        </is>
      </c>
      <c r="BT6" s="31">
        <f>IF(BS6="Between 50 to 75",10,IF(BS6="Above 75",0,0))</f>
        <v/>
      </c>
      <c r="BU6" s="31" t="inlineStr">
        <is>
          <t>Stage 2</t>
        </is>
      </c>
      <c r="BV6" s="31">
        <f>IF(BU6="Stage 2",20,IF(BU6="Stage 1",0,IF(BU6="Stage 3",5,IF(BU6="Stage 4",-5,0))))</f>
        <v/>
      </c>
      <c r="BW6" s="31" t="inlineStr">
        <is>
          <t>Positive Trend</t>
        </is>
      </c>
      <c r="BX6" s="31">
        <f>IF(BW6="Positive Trend",20,IF(BW6="Negative Trend",-10,0))</f>
        <v/>
      </c>
      <c r="BY6" s="31" t="inlineStr">
        <is>
          <t>Uptrend</t>
        </is>
      </c>
      <c r="BZ6" s="31">
        <f>IF(BY6="Uptrend",10,IF(BY6="Sideways",5,0))</f>
        <v/>
      </c>
      <c r="CA6" s="31" t="inlineStr">
        <is>
          <t>Uptrend</t>
        </is>
      </c>
      <c r="CB6" s="31">
        <f>IF(CA6="Uptrend",10,IF(CA6="Sideways",5,0))</f>
        <v/>
      </c>
      <c r="CC6" s="31" t="inlineStr">
        <is>
          <t>Blue sky scenario</t>
        </is>
      </c>
      <c r="CD6" s="31">
        <f>IF(CC6="Overhead supply in last 2 years in last 2 years",-5,IF(CC6="Close to 52 week high or retracement",5,IF(CC6="Blue sky scenario",10,IF(CC6="Long term Downtrend",-10,0))))</f>
        <v/>
      </c>
      <c r="CE6" s="31" t="inlineStr">
        <is>
          <t>Yes</t>
        </is>
      </c>
      <c r="CF6" s="31">
        <f>IF(CE6="Yes",10,0)</f>
        <v/>
      </c>
    </row>
    <row r="7">
      <c r="A7" s="31">
        <f>IF(B7=0,"",RANK(B7,$B$2:$B$8,0))</f>
        <v/>
      </c>
      <c r="B7" s="32">
        <f>SUM(S7,AD7,AF7,AH7,AJ7,AL7,AN7,AP7,AR7,AT7,AV7,AX7,AZ7,BB7,BD7,BF7,BH7,BJ7,BL7,BN7,BP7,BR7,BT7,BV7,BX7,BZ7,CB7,CD7,CF7)</f>
        <v/>
      </c>
      <c r="C7" s="31" t="inlineStr">
        <is>
          <t>EMA Crossover</t>
        </is>
      </c>
      <c r="D7" s="32" t="n">
        <v>147.7</v>
      </c>
      <c r="E7" s="32" t="inlineStr">
        <is>
          <t>7%</t>
        </is>
      </c>
      <c r="F7" s="32" t="n">
        <v>70000</v>
      </c>
      <c r="G7" s="32" t="n">
        <v>173</v>
      </c>
      <c r="H7" s="33" t="inlineStr">
        <is>
          <t>KOTAKBANK</t>
        </is>
      </c>
      <c r="I7" s="33" t="inlineStr">
        <is>
          <t>Kotak Mahindra Bank Limited</t>
        </is>
      </c>
      <c r="J7" s="31" t="inlineStr">
        <is>
          <t>bank</t>
        </is>
      </c>
      <c r="K7" s="31" t="inlineStr">
        <is>
          <t>banks - private sector</t>
        </is>
      </c>
      <c r="L7" s="31" t="inlineStr">
        <is>
          <t>largecap</t>
        </is>
      </c>
      <c r="M7" s="32" t="n">
        <v>78241.19</v>
      </c>
      <c r="N7" s="32" t="n">
        <v>403.3</v>
      </c>
      <c r="O7" s="32" t="n">
        <v>2.53</v>
      </c>
      <c r="P7" s="32" t="n">
        <v>17227481</v>
      </c>
      <c r="Q7" s="31" t="n">
        <v>2</v>
      </c>
      <c r="R7" s="31" t="inlineStr">
        <is>
          <t>Underperforming</t>
        </is>
      </c>
      <c r="S7" s="32">
        <f>IF(R7="Underperforming",-5,IF(Q7&gt;=95,15,IF(Q7&gt;=90,10,IF(Q7&gt;=80,5,0))))</f>
        <v/>
      </c>
      <c r="T7" s="32" t="n">
        <v>54.12</v>
      </c>
      <c r="U7" s="32" t="n">
        <v>20.2</v>
      </c>
      <c r="V7" s="32" t="n">
        <v>346.41</v>
      </c>
      <c r="W7" s="31" t="inlineStr">
        <is>
          <t>Earnings / Momentum Support</t>
        </is>
      </c>
      <c r="X7" s="31" t="inlineStr">
        <is>
          <t>Nifty Bank</t>
        </is>
      </c>
      <c r="Y7" s="32" t="n">
        <v>2.32</v>
      </c>
      <c r="Z7" s="32" t="n">
        <v>-4.2</v>
      </c>
      <c r="AA7" s="32" t="n">
        <v>-6.37</v>
      </c>
      <c r="AB7" s="32" t="n">
        <v>1.64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Fragmented with High ROE</t>
        </is>
      </c>
      <c r="AF7" s="31">
        <f>IF(AE7="Fragmented with Low ROE",-5,IF(AE7="Fragmented with High ROE",10,IF(AE7= "highly cyclical",5,0)))</f>
        <v/>
      </c>
      <c r="AG7" s="31" t="inlineStr">
        <is>
          <t>Yes</t>
        </is>
      </c>
      <c r="AH7" s="31">
        <f>IF(AG7="No",5,0)</f>
        <v/>
      </c>
      <c r="AI7" s="31" t="inlineStr">
        <is>
          <t>Headwind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Consistency)",15,IF(AK7="Shallow Cyclical (2 to 3 years growth)",10,IF(AK7 = "Cyclical in an Uptick",5,IF(AK7 = "Cyclical in an Downtick",-10,0))))</f>
        <v/>
      </c>
      <c r="AM7" s="31" t="inlineStr">
        <is>
          <t>Yes</t>
        </is>
      </c>
      <c r="AN7" s="31">
        <f>IF(AM7="Yes",10,0)</f>
        <v/>
      </c>
      <c r="AO7" s="31" t="inlineStr">
        <is>
          <t>Yes</t>
        </is>
      </c>
      <c r="AP7" s="31">
        <f>IF(AO7="Yes",10,0)</f>
        <v/>
      </c>
      <c r="AQ7" s="31" t="n"/>
      <c r="AR7" s="31">
        <f>IF(AQ7="No",10,0)</f>
        <v/>
      </c>
      <c r="AS7" s="31" t="inlineStr">
        <is>
          <t>Yes</t>
        </is>
      </c>
      <c r="AT7" s="31">
        <f>IF(AS7="Yes",10,0)</f>
        <v/>
      </c>
      <c r="AU7" s="31" t="inlineStr">
        <is>
          <t>No</t>
        </is>
      </c>
      <c r="AV7" s="31">
        <f>IF(AU7="Yes",10,0)</f>
        <v/>
      </c>
      <c r="AW7" s="31" t="inlineStr">
        <is>
          <t>Yes</t>
        </is>
      </c>
      <c r="AX7" s="31">
        <f>IF(AW7="Yes",5,0)</f>
        <v/>
      </c>
      <c r="AY7" s="31" t="inlineStr">
        <is>
          <t>No</t>
        </is>
      </c>
      <c r="AZ7" s="31">
        <f>IF(AY7="No",10,IF(AY7="Yes",-10,0))</f>
        <v/>
      </c>
      <c r="BA7" s="31" t="inlineStr">
        <is>
          <t>No</t>
        </is>
      </c>
      <c r="BB7" s="31">
        <f>IF(BA7="No",10,0)</f>
        <v/>
      </c>
      <c r="BC7" s="31" t="inlineStr">
        <is>
          <t>No</t>
        </is>
      </c>
      <c r="BD7" s="31">
        <f>IF(BC7="No",10,IF(BC7= "Yes CEO Resignation",-5,0))</f>
        <v/>
      </c>
      <c r="BE7" s="31" t="inlineStr">
        <is>
          <t>No</t>
        </is>
      </c>
      <c r="BF7" s="31">
        <f>IF(BE7="No",10,IF(BE7="Yes",-5,0))</f>
        <v/>
      </c>
      <c r="BG7" s="31" t="inlineStr">
        <is>
          <t>No</t>
        </is>
      </c>
      <c r="BH7" s="31">
        <f>IF(BG7="No",5,IF(BG7="Yes",-5,0))</f>
        <v/>
      </c>
      <c r="BI7" s="31" t="inlineStr">
        <is>
          <t>Yes</t>
        </is>
      </c>
      <c r="BJ7" s="31">
        <f>IF(BI7="Yes",10,0)</f>
        <v/>
      </c>
      <c r="BK7" s="31" t="inlineStr">
        <is>
          <t>Yes</t>
        </is>
      </c>
      <c r="BL7" s="31">
        <f>IF(BK7="Yes",10,0)</f>
        <v/>
      </c>
      <c r="BM7" s="31" t="inlineStr">
        <is>
          <t>Yes</t>
        </is>
      </c>
      <c r="BN7" s="31">
        <f>IF(BM7="Yes",10,0)</f>
        <v/>
      </c>
      <c r="BO7" s="31" t="inlineStr">
        <is>
          <t>P/BV less than 2.5x and Growth less than 20%</t>
        </is>
      </c>
      <c r="BP7" s="31">
        <f>IF(BO7="P/BV less than 2.5x and Growth more than 20%",20,IF(BO7 = "P/BV less than 2.5x and Growth less than 20%",5,IF(BO7="P/BV between 2.5x to 5x and Growth more than 20%",10,IF(BO7= "P/BV between 2.5x to 5x and Growth less than 20%",-5,IF(BO7= "P/BV above 5x",-5,0)))))</f>
        <v/>
      </c>
      <c r="BQ7" s="31" t="inlineStr">
        <is>
          <t>20 to 40</t>
        </is>
      </c>
      <c r="BR7" s="31">
        <f>IF(BQ7="Above 40",20,IF(BQ7="20 to 40",10,IF(BQ7="0 to 20",-5,0)))</f>
        <v/>
      </c>
      <c r="BS7" s="31" t="inlineStr">
        <is>
          <t>Between 50 to 75</t>
        </is>
      </c>
      <c r="BT7" s="31">
        <f>IF(BS7="Between 50 to 75",10,IF(BS7="Above 75",0,0))</f>
        <v/>
      </c>
      <c r="BU7" s="31" t="inlineStr">
        <is>
          <t>Stage 1</t>
        </is>
      </c>
      <c r="BV7" s="31">
        <f>IF(BU7="Stage 2",20,IF(BU7="Stage 1",0,IF(BU7="Stage 3",5,IF(BU7="Stage 4",-5,0))))</f>
        <v/>
      </c>
      <c r="BW7" s="31" t="inlineStr">
        <is>
          <t>Positive Trend</t>
        </is>
      </c>
      <c r="BX7" s="31">
        <f>IF(BW7="Positive Trend",20,IF(BW7="Negative Trend",-10,0))</f>
        <v/>
      </c>
      <c r="BY7" s="31" t="inlineStr">
        <is>
          <t>Uptrend</t>
        </is>
      </c>
      <c r="BZ7" s="31">
        <f>IF(BY7="Uptrend",10,IF(BY7="Sideways",5,0))</f>
        <v/>
      </c>
      <c r="CA7" s="31" t="inlineStr">
        <is>
          <t>Uptrend</t>
        </is>
      </c>
      <c r="CB7" s="31">
        <f>IF(CA7="Uptrend",10,IF(CA7="Sideways",5,0))</f>
        <v/>
      </c>
      <c r="CC7" s="31" t="inlineStr">
        <is>
          <t>Close to 52 week high or retracement</t>
        </is>
      </c>
      <c r="CD7" s="31">
        <f>IF(CC7="Overhead supply in last 2 years in last 2 years",-5,IF(CC7="Close to 52 week high or retracement",5,IF(CC7="Blue sky scenario",10,IF(CC7="Long term Downtrend",-10,0))))</f>
        <v/>
      </c>
      <c r="CE7" s="31" t="inlineStr">
        <is>
          <t>Yes</t>
        </is>
      </c>
      <c r="CF7" s="31">
        <f>IF(CE7="Yes",10,0)</f>
        <v/>
      </c>
    </row>
    <row r="8">
      <c r="A8" s="31">
        <f>IF(B8=0,"",RANK(B8,$B$2:$B$8,0))</f>
        <v/>
      </c>
      <c r="B8" s="32">
        <f>SUM(S8,AD8,AF8,AH8,AJ8,AL8,AN8,AP8,AR8,AT8,AV8,AX8,AZ8,BB8,BD8,BF8,BH8,BJ8,BL8,BN8,BP8,BR8,BT8,BV8,BX8,BZ8,CB8,CD8,CF8)</f>
        <v/>
      </c>
      <c r="C8" s="31" t="inlineStr">
        <is>
          <t>EMA Crossover</t>
        </is>
      </c>
      <c r="D8" s="32" t="n">
        <v>150.1</v>
      </c>
      <c r="E8" s="32" t="inlineStr">
        <is>
          <t>7%</t>
        </is>
      </c>
      <c r="F8" s="32" t="n">
        <v>70000</v>
      </c>
      <c r="G8" s="32" t="n">
        <v>52</v>
      </c>
      <c r="H8" s="33" t="inlineStr">
        <is>
          <t>ICICIBANK</t>
        </is>
      </c>
      <c r="I8" s="33" t="inlineStr">
        <is>
          <t>Icici Bank Limited</t>
        </is>
      </c>
      <c r="J8" s="31" t="inlineStr">
        <is>
          <t>bank</t>
        </is>
      </c>
      <c r="K8" s="31" t="inlineStr">
        <is>
          <t>banks - private sector</t>
        </is>
      </c>
      <c r="L8" s="31" t="inlineStr">
        <is>
          <t>largecap</t>
        </is>
      </c>
      <c r="M8" s="32" t="n">
        <v>942986.83</v>
      </c>
      <c r="N8" s="32" t="n">
        <v>1340.8</v>
      </c>
      <c r="O8" s="32" t="n">
        <v>1.81</v>
      </c>
      <c r="P8" s="32" t="n">
        <v>18339846</v>
      </c>
      <c r="Q8" s="31" t="n">
        <v>2</v>
      </c>
      <c r="R8" s="31" t="inlineStr">
        <is>
          <t>Underperforming</t>
        </is>
      </c>
      <c r="S8" s="32">
        <f>IF(R8="Underperforming",-5,IF(Q8&gt;=95,15,IF(Q8&gt;=90,10,IF(Q8&gt;=80,5,0))))</f>
        <v/>
      </c>
      <c r="T8" s="32" t="n">
        <v>53.73</v>
      </c>
      <c r="U8" s="32" t="n">
        <v>16.53</v>
      </c>
      <c r="V8" s="32" t="n">
        <v>1167.77</v>
      </c>
      <c r="W8" s="31" t="inlineStr">
        <is>
          <t>Earnings / Momentum Support</t>
        </is>
      </c>
      <c r="X8" s="31" t="inlineStr">
        <is>
          <t>Nifty Bank</t>
        </is>
      </c>
      <c r="Y8" s="32" t="n">
        <v>2.32</v>
      </c>
      <c r="Z8" s="32" t="n">
        <v>-4.59</v>
      </c>
      <c r="AA8" s="32" t="n">
        <v>-6.75</v>
      </c>
      <c r="AB8" s="32" t="n">
        <v>0.5600000000000001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Fragmented with High ROE</t>
        </is>
      </c>
      <c r="AF8" s="31">
        <f>IF(AE8="Fragmented with Low ROE",-5,IF(AE8="Fragmented with High ROE",10,IF(AE8= "highly cyclical",5,0)))</f>
        <v/>
      </c>
      <c r="AG8" s="31" t="inlineStr">
        <is>
          <t>Yes</t>
        </is>
      </c>
      <c r="AH8" s="31">
        <f>IF(AG8="No",5,0)</f>
        <v/>
      </c>
      <c r="AI8" s="31" t="inlineStr">
        <is>
          <t>Headwind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Consistency)",15,IF(AK8="Shallow Cyclical (2 to 3 years growth)",10,IF(AK8 = "Cyclical in an Uptick",5,IF(AK8 = "Cyclical in an Downtick",-10,0))))</f>
        <v/>
      </c>
      <c r="AM8" s="31" t="inlineStr">
        <is>
          <t>Yes</t>
        </is>
      </c>
      <c r="AN8" s="31">
        <f>IF(AM8="Yes",10,0)</f>
        <v/>
      </c>
      <c r="AO8" s="31" t="inlineStr">
        <is>
          <t>Yes</t>
        </is>
      </c>
      <c r="AP8" s="31">
        <f>IF(AO8="Yes",10,0)</f>
        <v/>
      </c>
      <c r="AQ8" s="31" t="n"/>
      <c r="AR8" s="31">
        <f>IF(AQ8="No",10,0)</f>
        <v/>
      </c>
      <c r="AS8" s="31" t="inlineStr">
        <is>
          <t>Yes</t>
        </is>
      </c>
      <c r="AT8" s="31">
        <f>IF(AS8="Yes",10,0)</f>
        <v/>
      </c>
      <c r="AU8" s="31" t="inlineStr">
        <is>
          <t>No</t>
        </is>
      </c>
      <c r="AV8" s="31">
        <f>IF(AU8="Yes",10,0)</f>
        <v/>
      </c>
      <c r="AW8" s="31" t="inlineStr">
        <is>
          <t>Yes</t>
        </is>
      </c>
      <c r="AX8" s="31">
        <f>IF(AW8="Yes",5,0)</f>
        <v/>
      </c>
      <c r="AY8" s="31" t="inlineStr">
        <is>
          <t>No</t>
        </is>
      </c>
      <c r="AZ8" s="31">
        <f>IF(AY8="No",10,IF(AY8="Yes",-10,0))</f>
        <v/>
      </c>
      <c r="BA8" s="31" t="inlineStr">
        <is>
          <t>No</t>
        </is>
      </c>
      <c r="BB8" s="31">
        <f>IF(BA8="No",10,0)</f>
        <v/>
      </c>
      <c r="BC8" s="31" t="inlineStr">
        <is>
          <t>No</t>
        </is>
      </c>
      <c r="BD8" s="31">
        <f>IF(BC8="No",10,IF(BC8= "Yes CEO Resignation",-5,0))</f>
        <v/>
      </c>
      <c r="BE8" s="31" t="inlineStr">
        <is>
          <t>No</t>
        </is>
      </c>
      <c r="BF8" s="31">
        <f>IF(BE8="No",10,IF(BE8="Yes",-5,0))</f>
        <v/>
      </c>
      <c r="BG8" s="31" t="inlineStr">
        <is>
          <t>No</t>
        </is>
      </c>
      <c r="BH8" s="31">
        <f>IF(BG8="No",5,IF(BG8="Yes",-5,0))</f>
        <v/>
      </c>
      <c r="BI8" s="31" t="inlineStr">
        <is>
          <t>Yes</t>
        </is>
      </c>
      <c r="BJ8" s="31">
        <f>IF(BI8="Yes",10,0)</f>
        <v/>
      </c>
      <c r="BK8" s="31" t="inlineStr">
        <is>
          <t>Yes</t>
        </is>
      </c>
      <c r="BL8" s="31">
        <f>IF(BK8="Yes",10,0)</f>
        <v/>
      </c>
      <c r="BM8" s="31" t="inlineStr">
        <is>
          <t>Yes</t>
        </is>
      </c>
      <c r="BN8" s="31">
        <f>IF(BM8="Yes",10,0)</f>
        <v/>
      </c>
      <c r="BO8" s="31" t="inlineStr">
        <is>
          <t>P/BV between 2.5x to 5x and Growth less than 20%</t>
        </is>
      </c>
      <c r="BP8" s="31">
        <f>IF(BO8="P/BV less than 2.5x and Growth more than 20%",20,IF(BO8 = "P/BV less than 2.5x and Growth less than 20%",5,IF(BO8="P/BV between 2.5x to 5x and Growth more than 20%",10,IF(BO8= "P/BV between 2.5x to 5x and Growth less than 20%",-5,IF(BO8= "P/BV above 5x",-5,0)))))</f>
        <v/>
      </c>
      <c r="BQ8" s="31" t="inlineStr">
        <is>
          <t>0 to 20</t>
        </is>
      </c>
      <c r="BR8" s="31">
        <f>IF(BQ8="Above 40",20,IF(BQ8="20 to 40",10,IF(BQ8="0 to 20",-5,0)))</f>
        <v/>
      </c>
      <c r="BS8" s="31" t="inlineStr">
        <is>
          <t>Between 50 to 75</t>
        </is>
      </c>
      <c r="BT8" s="31">
        <f>IF(BS8="Between 50 to 75",10,IF(BS8="Above 75",0,0))</f>
        <v/>
      </c>
      <c r="BU8" s="31" t="inlineStr">
        <is>
          <t>Stage 1</t>
        </is>
      </c>
      <c r="BV8" s="31">
        <f>IF(BU8="Stage 2",20,IF(BU8="Stage 1",0,IF(BU8="Stage 3",5,IF(BU8="Stage 4",-5,0))))</f>
        <v/>
      </c>
      <c r="BW8" s="31" t="inlineStr">
        <is>
          <t>Positive Trend</t>
        </is>
      </c>
      <c r="BX8" s="31">
        <f>IF(BW8="Positive Trend",20,IF(BW8="Negative Trend",-10,0))</f>
        <v/>
      </c>
      <c r="BY8" s="31" t="inlineStr">
        <is>
          <t>Uptrend</t>
        </is>
      </c>
      <c r="BZ8" s="31">
        <f>IF(BY8="Uptrend",10,IF(BY8="Sideways",5,0))</f>
        <v/>
      </c>
      <c r="CA8" s="31" t="inlineStr">
        <is>
          <t>Uptrend</t>
        </is>
      </c>
      <c r="CB8" s="31">
        <f>IF(CA8="Uptrend",10,IF(CA8="Sideways",5,0))</f>
        <v/>
      </c>
      <c r="CC8" s="31" t="inlineStr">
        <is>
          <t>Close to 52 week high or retracement</t>
        </is>
      </c>
      <c r="CD8" s="31">
        <f>IF(CC8="Overhead supply in last 2 years in last 2 years",-5,IF(CC8="Close to 52 week high or retracement",5,IF(CC8="Blue sky scenario",10,IF(CC8="Long term Downtrend",-10,0))))</f>
        <v/>
      </c>
      <c r="CE8" s="31" t="inlineStr">
        <is>
          <t>Yes</t>
        </is>
      </c>
      <c r="CF8" s="31">
        <f>IF(CE8="Yes",10,0)</f>
        <v/>
      </c>
    </row>
  </sheetData>
  <autoFilter ref="A1:CF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8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8">
    <cfRule type="cellIs" priority="34" operator="equal" dxfId="3" stopIfTrue="1">
      <formula>"Underperforming"</formula>
    </cfRule>
  </conditionalFormatting>
  <conditionalFormatting sqref="S2:S8">
    <cfRule type="cellIs" priority="35" operator="equal" dxfId="3" stopIfTrue="1">
      <formula>-5</formula>
    </cfRule>
  </conditionalFormatting>
  <conditionalFormatting sqref="V2:V8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8" showDropDown="0" showInputMessage="0" showErrorMessage="0" allowBlank="1" type="list">
      <formula1>"Growing Industry,Stagnant Industry,Cyclical in an Upturn"</formula1>
    </dataValidation>
    <dataValidation sqref="AE2:AE8" showDropDown="0" showInputMessage="0" showErrorMessage="0" allowBlank="1" type="list">
      <formula1>"Fragmented with Low ROE,Fragmented with High ROE,Highly Cyclical"</formula1>
    </dataValidation>
    <dataValidation sqref="AG2:AG8" showDropDown="0" showInputMessage="0" showErrorMessage="0" allowBlank="1" type="list">
      <formula1>"Yes,No"</formula1>
    </dataValidation>
    <dataValidation sqref="AI2:AI8" showDropDown="0" showInputMessage="0" showErrorMessage="0" allowBlank="1" type="list">
      <formula1>"Tailwind,Headwind"</formula1>
    </dataValidation>
    <dataValidation sqref="AK2:AK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8" showDropDown="0" showInputMessage="0" showErrorMessage="0" allowBlank="1" type="list">
      <formula1>"Yes,No"</formula1>
    </dataValidation>
    <dataValidation sqref="AO2:AO8" showDropDown="0" showInputMessage="0" showErrorMessage="0" allowBlank="1" type="list">
      <formula1>"Yes,No,Not Applicable"</formula1>
    </dataValidation>
    <dataValidation sqref="AQ2:AQ8" showDropDown="0" showInputMessage="0" showErrorMessage="0" allowBlank="1" type="list">
      <formula1>"Yes,No"</formula1>
    </dataValidation>
    <dataValidation sqref="AS2:AS8" showDropDown="0" showInputMessage="0" showErrorMessage="0" allowBlank="1" type="list">
      <formula1>"Yes,No"</formula1>
    </dataValidation>
    <dataValidation sqref="AU2:AU8" showDropDown="0" showInputMessage="0" showErrorMessage="0" allowBlank="1" type="list">
      <formula1>"Yes,No"</formula1>
    </dataValidation>
    <dataValidation sqref="AW2:AW8" showDropDown="0" showInputMessage="0" showErrorMessage="0" allowBlank="1" type="list">
      <formula1>"Yes,No"</formula1>
    </dataValidation>
    <dataValidation sqref="AY2:AY8" showDropDown="0" showInputMessage="0" showErrorMessage="0" allowBlank="1" type="list">
      <formula1>"No,Yes"</formula1>
    </dataValidation>
    <dataValidation sqref="BA2:BA8" showDropDown="0" showInputMessage="0" showErrorMessage="0" allowBlank="1" type="list">
      <formula1>"No,Yes"</formula1>
    </dataValidation>
    <dataValidation sqref="BC2:BC8" showDropDown="0" showInputMessage="0" showErrorMessage="0" allowBlank="1" type="list">
      <formula1>"No,Yes CEO Resignation,Yes CEO Retirement"</formula1>
    </dataValidation>
    <dataValidation sqref="BE2:BE8" showDropDown="0" showInputMessage="0" showErrorMessage="0" allowBlank="1" type="list">
      <formula1>"No,Yes"</formula1>
    </dataValidation>
    <dataValidation sqref="BG2:BG8" showDropDown="0" showInputMessage="0" showErrorMessage="0" allowBlank="1" type="list">
      <formula1>"No,Yes"</formula1>
    </dataValidation>
    <dataValidation sqref="BI2:BI8" showDropDown="0" showInputMessage="0" showErrorMessage="0" allowBlank="1" type="list">
      <formula1>"Yes,No"</formula1>
    </dataValidation>
    <dataValidation sqref="BK2:BK8" showDropDown="0" showInputMessage="0" showErrorMessage="0" allowBlank="1" type="list">
      <formula1>"Yes,No"</formula1>
    </dataValidation>
    <dataValidation sqref="BM2:BM8" showDropDown="0" showInputMessage="0" showErrorMessage="0" allowBlank="1" type="list">
      <formula1>"Yes,No"</formula1>
    </dataValidation>
    <dataValidation sqref="BO2:BO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8" showDropDown="0" showInputMessage="0" showErrorMessage="0" allowBlank="1" type="list">
      <formula1>"Above 40,20 to 40,0 to 20"</formula1>
    </dataValidation>
    <dataValidation sqref="BS2:BS8" showDropDown="0" showInputMessage="0" showErrorMessage="0" allowBlank="1" type="list">
      <formula1>"Between 50 to 75,Above 75,Below 45"</formula1>
    </dataValidation>
    <dataValidation sqref="BU2:BU8" showDropDown="0" showInputMessage="0" showErrorMessage="0" allowBlank="1" type="list">
      <formula1>"Stage 1,Stage 2,Stage 3,Stage 4"</formula1>
    </dataValidation>
    <dataValidation sqref="BW2:BW8" showDropDown="0" showInputMessage="0" showErrorMessage="0" allowBlank="1" type="list">
      <formula1>"Positive Trend,Negative Trend"</formula1>
    </dataValidation>
    <dataValidation sqref="BY2:BY8" showDropDown="0" showInputMessage="0" showErrorMessage="0" allowBlank="1" type="list">
      <formula1>"Uptrend,Sideways,Downtrend"</formula1>
    </dataValidation>
    <dataValidation sqref="CA2:CA8" showDropDown="0" showInputMessage="0" showErrorMessage="0" allowBlank="1" type="list">
      <formula1>"Uptrend,Sideways,Downtrend"</formula1>
    </dataValidation>
    <dataValidation sqref="CC2:CC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40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IF(B2=0,"",RANK(B2,$B$2:$B$94,0))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VMARCIND</t>
        </is>
      </c>
      <c r="D2" s="31" t="inlineStr">
        <is>
          <t>V-Marc India Ltd</t>
        </is>
      </c>
      <c r="E2" s="31" t="inlineStr">
        <is>
          <t>unknown</t>
        </is>
      </c>
      <c r="F2" s="31" t="inlineStr">
        <is>
          <t>Cables - Power</t>
        </is>
      </c>
      <c r="G2" s="31" t="inlineStr">
        <is>
          <t>smallcap</t>
        </is>
      </c>
      <c r="H2" s="32" t="n">
        <v>3418.04</v>
      </c>
      <c r="I2" s="32" t="n">
        <v>1399.65</v>
      </c>
      <c r="J2" s="32" t="n">
        <v>2.69</v>
      </c>
      <c r="K2" s="32" t="n">
        <v>0</v>
      </c>
      <c r="L2" s="31" t="n">
        <v>97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74.79000000000001</v>
      </c>
      <c r="P2" s="32" t="n">
        <v>40.87</v>
      </c>
      <c r="Q2" s="32" t="n">
        <v>1123.25</v>
      </c>
      <c r="R2" s="31" t="inlineStr">
        <is>
          <t>Earnings / Momentum Support</t>
        </is>
      </c>
      <c r="S2" s="31" t="inlineStr">
        <is>
          <t>Nifty 50</t>
        </is>
      </c>
      <c r="T2" s="32" t="n">
        <v>-4.43</v>
      </c>
      <c r="U2" s="32" t="n">
        <v>341.1</v>
      </c>
      <c r="V2" s="32" t="n">
        <v>361.56</v>
      </c>
      <c r="W2" s="32" t="n">
        <v>58.29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No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Close to 52 week high or retracement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21</t>
        </is>
      </c>
      <c r="CG2" s="31">
        <f>IF(CF2&gt;20,10,IF(CF2&gt;=10,5,2))</f>
        <v/>
      </c>
    </row>
    <row r="3">
      <c r="A3" s="31">
        <f>IF(B3=0,"",RANK(B3,$B$2:$B$94,0))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IBULLSLTD</t>
        </is>
      </c>
      <c r="D3" s="31" t="inlineStr">
        <is>
          <t>Indiabulls Limited</t>
        </is>
      </c>
      <c r="E3" s="31" t="inlineStr">
        <is>
          <t>miscellaneous</t>
        </is>
      </c>
      <c r="F3" s="31" t="inlineStr">
        <is>
          <t>Diversified</t>
        </is>
      </c>
      <c r="G3" s="31" t="inlineStr">
        <is>
          <t>midcap</t>
        </is>
      </c>
      <c r="H3" s="32" t="n">
        <v>5476.76</v>
      </c>
      <c r="I3" s="32" t="n">
        <v>23.51</v>
      </c>
      <c r="J3" s="32" t="n">
        <v>0.13</v>
      </c>
      <c r="K3" s="32" t="n">
        <v>0</v>
      </c>
      <c r="L3" s="31" t="n">
        <v>95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72.06999999999999</v>
      </c>
      <c r="P3" s="32" t="n">
        <v>35.6</v>
      </c>
      <c r="Q3" s="32" t="n">
        <v>16.28</v>
      </c>
      <c r="R3" s="31" t="inlineStr">
        <is>
          <t>Near 52W High Breakout</t>
        </is>
      </c>
      <c r="S3" s="31" t="inlineStr">
        <is>
          <t>Nifty 50</t>
        </is>
      </c>
      <c r="T3" s="32" t="n">
        <v>-4.43</v>
      </c>
      <c r="U3" s="32" t="n">
        <v>27.43</v>
      </c>
      <c r="V3" s="32" t="n">
        <v>33.34</v>
      </c>
      <c r="W3" s="32" t="n">
        <v>47.45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20 to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Between 50% to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21</t>
        </is>
      </c>
      <c r="CG3" s="31">
        <f>IF(CF3&gt;20,10,IF(CF3&gt;=10,5,2))</f>
        <v/>
      </c>
    </row>
    <row r="4">
      <c r="A4" s="31">
        <f>IF(B4=0,"",RANK(B4,$B$2:$B$94,0))</f>
        <v/>
      </c>
      <c r="B4" s="32">
        <f>SUM(N4,Y4,AA4,AC4,AE4,AG4,AI4,AK4,AM4,AO4,AQ4,AS4,AU4,AW4,AY4,BA4,BC4,BE4,BG4,BI4,BK4,BM4,BO4,BQ4,BS4,BU4,BW4,BY4,CA4,CC4,CE4,CG4)</f>
        <v/>
      </c>
      <c r="C4" s="31" t="inlineStr">
        <is>
          <t>VENUSREM</t>
        </is>
      </c>
      <c r="D4" s="31" t="inlineStr">
        <is>
          <t>Venus Remedies Ltd</t>
        </is>
      </c>
      <c r="E4" s="31" t="inlineStr">
        <is>
          <t>healthcare</t>
        </is>
      </c>
      <c r="F4" s="31" t="inlineStr">
        <is>
          <t>Pharmaceuticals - I V Fluids</t>
        </is>
      </c>
      <c r="G4" s="31" t="inlineStr">
        <is>
          <t>smallcap</t>
        </is>
      </c>
      <c r="H4" s="32" t="n">
        <v>2402.72</v>
      </c>
      <c r="I4" s="32" t="n">
        <v>1797.5</v>
      </c>
      <c r="J4" s="32" t="n">
        <v>4.8</v>
      </c>
      <c r="K4" s="32" t="n">
        <v>0</v>
      </c>
      <c r="L4" s="31" t="n">
        <v>97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82.70999999999999</v>
      </c>
      <c r="P4" s="32" t="n">
        <v>50.37</v>
      </c>
      <c r="Q4" s="32" t="n">
        <v>1376.61</v>
      </c>
      <c r="R4" s="31" t="inlineStr">
        <is>
          <t>Volume Spike &amp; Near 52W High Breakout</t>
        </is>
      </c>
      <c r="S4" s="31" t="inlineStr">
        <is>
          <t>Nifty Pharma</t>
        </is>
      </c>
      <c r="T4" s="32" t="n">
        <v>10.89</v>
      </c>
      <c r="U4" s="32" t="n">
        <v>293.07</v>
      </c>
      <c r="V4" s="32" t="n">
        <v>254.46</v>
      </c>
      <c r="W4" s="32" t="n">
        <v>58.33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Above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Above 2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26</t>
        </is>
      </c>
      <c r="CG4" s="31">
        <f>IF(CF4&gt;20,10,IF(CF4&gt;=10,5,2))</f>
        <v/>
      </c>
    </row>
    <row r="5">
      <c r="A5" s="31">
        <f>IF(B5=0,"",RANK(B5,$B$2:$B$94,0))</f>
        <v/>
      </c>
      <c r="B5" s="32">
        <f>SUM(N5,Y5,AA5,AC5,AE5,AG5,AI5,AK5,AM5,AO5,AQ5,AS5,AU5,AW5,AY5,BA5,BC5,BE5,BG5,BI5,BK5,BM5,BO5,BQ5,BS5,BU5,BW5,BY5,CA5,CC5,CE5,CG5)</f>
        <v/>
      </c>
      <c r="C5" s="31" t="inlineStr">
        <is>
          <t>BAJAJCON</t>
        </is>
      </c>
      <c r="D5" s="31" t="inlineStr">
        <is>
          <t>Bajaj Consumer Care Ltd</t>
        </is>
      </c>
      <c r="E5" s="31" t="inlineStr">
        <is>
          <t>fmcg</t>
        </is>
      </c>
      <c r="F5" s="31" t="inlineStr">
        <is>
          <t>FMCG - Personal Care</t>
        </is>
      </c>
      <c r="G5" s="31" t="inlineStr">
        <is>
          <t>midcap</t>
        </is>
      </c>
      <c r="H5" s="32" t="n">
        <v>7728.03</v>
      </c>
      <c r="I5" s="32" t="n">
        <v>591.65</v>
      </c>
      <c r="J5" s="32" t="n">
        <v>4.49</v>
      </c>
      <c r="K5" s="32" t="n">
        <v>0</v>
      </c>
      <c r="L5" s="31" t="n">
        <v>94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77.33</v>
      </c>
      <c r="P5" s="32" t="n">
        <v>53.14</v>
      </c>
      <c r="Q5" s="32" t="n">
        <v>460.14</v>
      </c>
      <c r="R5" s="31" t="inlineStr">
        <is>
          <t>Near 52W High Breakout</t>
        </is>
      </c>
      <c r="S5" s="31" t="inlineStr">
        <is>
          <t>Nifty FMCG</t>
        </is>
      </c>
      <c r="T5" s="32" t="n">
        <v>-10.45</v>
      </c>
      <c r="U5" s="32" t="n">
        <v>233.59</v>
      </c>
      <c r="V5" s="32" t="n">
        <v>272.53</v>
      </c>
      <c r="W5" s="32" t="n">
        <v>45.08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Above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Yes</t>
        </is>
      </c>
      <c r="BS5" s="31">
        <f>IF(BR5="NO",5,0)</f>
        <v/>
      </c>
      <c r="BT5" s="31" t="inlineStr">
        <is>
          <t>Above 2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25</t>
        </is>
      </c>
      <c r="CG5" s="31">
        <f>IF(CF5&gt;20,10,IF(CF5&gt;=10,5,2))</f>
        <v/>
      </c>
    </row>
    <row r="6">
      <c r="A6" s="31">
        <f>IF(B6=0,"",RANK(B6,$B$2:$B$94,0))</f>
        <v/>
      </c>
      <c r="B6" s="32">
        <f>SUM(N6,Y6,AA6,AC6,AE6,AG6,AI6,AK6,AM6,AO6,AQ6,AS6,AU6,AW6,AY6,BA6,BC6,BE6,BG6,BI6,BK6,BM6,BO6,BQ6,BS6,BU6,BW6,BY6,CA6,CC6,CE6,CG6)</f>
        <v/>
      </c>
      <c r="C6" s="31" t="inlineStr">
        <is>
          <t>BLISSGVS</t>
        </is>
      </c>
      <c r="D6" s="31" t="inlineStr">
        <is>
          <t>Bliss GVS Pharma Ltd</t>
        </is>
      </c>
      <c r="E6" s="31" t="inlineStr">
        <is>
          <t>healthcare</t>
        </is>
      </c>
      <c r="F6" s="31" t="inlineStr">
        <is>
          <t>Pharma - Formulators</t>
        </is>
      </c>
      <c r="G6" s="31" t="inlineStr">
        <is>
          <t>smallcap</t>
        </is>
      </c>
      <c r="H6" s="32" t="n">
        <v>4631.97</v>
      </c>
      <c r="I6" s="32" t="n">
        <v>437.85</v>
      </c>
      <c r="J6" s="32" t="n">
        <v>0.3</v>
      </c>
      <c r="K6" s="32" t="n">
        <v>0</v>
      </c>
      <c r="L6" s="31" t="n">
        <v>96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88.26000000000001</v>
      </c>
      <c r="P6" s="32" t="n">
        <v>60.22</v>
      </c>
      <c r="Q6" s="32" t="n">
        <v>332.7</v>
      </c>
      <c r="R6" s="31" t="inlineStr">
        <is>
          <t>Near 52W High Breakout</t>
        </is>
      </c>
      <c r="S6" s="31" t="inlineStr">
        <is>
          <t>Nifty Pharma</t>
        </is>
      </c>
      <c r="T6" s="32" t="n">
        <v>10.89</v>
      </c>
      <c r="U6" s="32" t="n">
        <v>194.84</v>
      </c>
      <c r="V6" s="32" t="n">
        <v>165.88</v>
      </c>
      <c r="W6" s="32" t="n">
        <v>53.79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Annuity, Lower One Time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Above 2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22</t>
        </is>
      </c>
      <c r="CG6" s="31">
        <f>IF(CF6&gt;20,10,IF(CF6&gt;=10,5,2))</f>
        <v/>
      </c>
    </row>
    <row r="7">
      <c r="A7" s="31">
        <f>IF(B7=0,"",RANK(B7,$B$2:$B$94,0))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IOLCP</t>
        </is>
      </c>
      <c r="D7" s="31" t="inlineStr">
        <is>
          <t>IOL Chemicals &amp; Pharmaceuticals Ltd</t>
        </is>
      </c>
      <c r="E7" s="31" t="inlineStr">
        <is>
          <t>healthcare</t>
        </is>
      </c>
      <c r="F7" s="31" t="inlineStr">
        <is>
          <t>Pharma - API &amp; CRAMS</t>
        </is>
      </c>
      <c r="G7" s="31" t="inlineStr">
        <is>
          <t>smallcap</t>
        </is>
      </c>
      <c r="H7" s="32" t="n">
        <v>3940.31</v>
      </c>
      <c r="I7" s="32" t="n">
        <v>134.24</v>
      </c>
      <c r="J7" s="32" t="n">
        <v>5.01</v>
      </c>
      <c r="K7" s="32" t="n">
        <v>0</v>
      </c>
      <c r="L7" s="31" t="n">
        <v>88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80.98999999999999</v>
      </c>
      <c r="P7" s="32" t="n">
        <v>40.13</v>
      </c>
      <c r="Q7" s="32" t="n">
        <v>101.3</v>
      </c>
      <c r="R7" s="31" t="inlineStr">
        <is>
          <t>Near 52W High Breakout</t>
        </is>
      </c>
      <c r="S7" s="31" t="inlineStr">
        <is>
          <t>Nifty Pharma</t>
        </is>
      </c>
      <c r="T7" s="32" t="n">
        <v>10.89</v>
      </c>
      <c r="U7" s="32" t="n">
        <v>53.31</v>
      </c>
      <c r="V7" s="32" t="n">
        <v>38.25</v>
      </c>
      <c r="W7" s="32" t="n">
        <v>35.26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Annuity, Lower One Time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Above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17</t>
        </is>
      </c>
      <c r="CG7" s="31">
        <f>IF(CF7&gt;20,10,IF(CF7&gt;=10,5,2))</f>
        <v/>
      </c>
    </row>
    <row r="8">
      <c r="A8" s="31">
        <f>IF(B8=0,"",RANK(B8,$B$2:$B$94,0))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AEGISLOG</t>
        </is>
      </c>
      <c r="D8" s="34" t="inlineStr">
        <is>
          <t>Aegis Logistics Ltd</t>
        </is>
      </c>
      <c r="E8" s="31" t="inlineStr">
        <is>
          <t>services</t>
        </is>
      </c>
      <c r="F8" s="31" t="inlineStr">
        <is>
          <t>Logistics</t>
        </is>
      </c>
      <c r="G8" s="31" t="inlineStr">
        <is>
          <t>largecap</t>
        </is>
      </c>
      <c r="H8" s="32" t="n">
        <v>33148.44</v>
      </c>
      <c r="I8" s="32" t="n">
        <v>944.4</v>
      </c>
      <c r="J8" s="32" t="n">
        <v>2</v>
      </c>
      <c r="K8" s="32" t="n">
        <v>0</v>
      </c>
      <c r="L8" s="31" t="n">
        <v>63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72.37</v>
      </c>
      <c r="P8" s="32" t="n">
        <v>20.1</v>
      </c>
      <c r="Q8" s="32" t="n">
        <v>724.67</v>
      </c>
      <c r="R8" s="31" t="inlineStr">
        <is>
          <t>Volume Spike &amp; Near 52W High Breakout</t>
        </is>
      </c>
      <c r="S8" s="31" t="inlineStr">
        <is>
          <t>Nifty 50</t>
        </is>
      </c>
      <c r="T8" s="32" t="n">
        <v>-4.43</v>
      </c>
      <c r="U8" s="32" t="n">
        <v>20.77</v>
      </c>
      <c r="V8" s="32" t="n">
        <v>26.37</v>
      </c>
      <c r="W8" s="32" t="n">
        <v>18.14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20 to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29</t>
        </is>
      </c>
      <c r="CG8" s="31">
        <f>IF(CF8&gt;20,10,IF(CF8&gt;=10,5,2))</f>
        <v/>
      </c>
    </row>
    <row r="9">
      <c r="A9" s="31">
        <f>IF(B9=0,"",RANK(B9,$B$2:$B$94,0))</f>
        <v/>
      </c>
      <c r="B9" s="32">
        <f>SUM(N9,Y9,AA9,AC9,AE9,AG9,AI9,AK9,AM9,AO9,AQ9,AS9,AU9,AW9,AY9,BA9,BC9,BE9,BG9,BI9,BK9,BM9,BO9,BQ9,BS9,BU9,BW9,BY9,CA9,CC9,CE9,CG9)</f>
        <v/>
      </c>
      <c r="C9" s="31" t="inlineStr">
        <is>
          <t>ACCENTMIC</t>
        </is>
      </c>
      <c r="D9" s="31" t="inlineStr">
        <is>
          <t>Accent Microcell Ltd</t>
        </is>
      </c>
      <c r="E9" s="31" t="inlineStr">
        <is>
          <t>unknown</t>
        </is>
      </c>
      <c r="F9" s="31" t="inlineStr">
        <is>
          <t>Pharma - Formulators</t>
        </is>
      </c>
      <c r="G9" s="31" t="inlineStr">
        <is>
          <t>smallcap</t>
        </is>
      </c>
      <c r="H9" s="32" t="n">
        <v>1102.06</v>
      </c>
      <c r="I9" s="32" t="n">
        <v>459.4</v>
      </c>
      <c r="J9" s="32" t="n">
        <v>2.11</v>
      </c>
      <c r="K9" s="32" t="n">
        <v>0</v>
      </c>
      <c r="L9" s="31" t="n">
        <v>71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64.22</v>
      </c>
      <c r="P9" s="32" t="n">
        <v>52.91</v>
      </c>
      <c r="Q9" s="32" t="n">
        <v>367.3</v>
      </c>
      <c r="R9" s="31" t="inlineStr">
        <is>
          <t>Volume Spike / Accumulation</t>
        </is>
      </c>
      <c r="S9" s="31" t="inlineStr">
        <is>
          <t>Nifty 50</t>
        </is>
      </c>
      <c r="T9" s="32" t="n">
        <v>-4.43</v>
      </c>
      <c r="U9" s="32" t="n">
        <v>96.92</v>
      </c>
      <c r="V9" s="32" t="n">
        <v>106.06</v>
      </c>
      <c r="W9" s="32" t="n">
        <v>21.28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One Time, Lower Annuity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Close to 52 week high or retracement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21</t>
        </is>
      </c>
      <c r="CG9" s="31">
        <f>IF(CF9&gt;20,10,IF(CF9&gt;=10,5,2))</f>
        <v/>
      </c>
    </row>
    <row r="10">
      <c r="A10" s="31">
        <f>IF(B10=0,"",RANK(B10,$B$2:$B$94,0))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GVT&amp;D</t>
        </is>
      </c>
      <c r="D10" s="31" t="inlineStr">
        <is>
          <t>GE Vernova T&amp;D India Ltd</t>
        </is>
      </c>
      <c r="E10" s="31" t="inlineStr">
        <is>
          <t>industrials</t>
        </is>
      </c>
      <c r="F10" s="31" t="inlineStr">
        <is>
          <t>Electrical Equipments/HVDC</t>
        </is>
      </c>
      <c r="G10" s="31" t="inlineStr">
        <is>
          <t>largecap</t>
        </is>
      </c>
      <c r="H10" s="32" t="n">
        <v>126551</v>
      </c>
      <c r="I10" s="32" t="n">
        <v>4942.5</v>
      </c>
      <c r="J10" s="32" t="n">
        <v>4.38</v>
      </c>
      <c r="K10" s="32" t="n">
        <v>0</v>
      </c>
      <c r="L10" s="31" t="n">
        <v>76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69.40000000000001</v>
      </c>
      <c r="P10" s="32" t="n">
        <v>49.62</v>
      </c>
      <c r="Q10" s="32" t="n">
        <v>3910.4</v>
      </c>
      <c r="R10" s="31" t="inlineStr">
        <is>
          <t>Near 52W High Breakout</t>
        </is>
      </c>
      <c r="S10" s="31" t="inlineStr">
        <is>
          <t>Nifty 500</t>
        </is>
      </c>
      <c r="T10" s="32" t="n">
        <v>-1.34</v>
      </c>
      <c r="U10" s="32" t="n">
        <v>113.2</v>
      </c>
      <c r="V10" s="32" t="n">
        <v>116.09</v>
      </c>
      <c r="W10" s="32" t="n">
        <v>24.42</v>
      </c>
      <c r="X10" s="31" t="inlineStr">
        <is>
          <t>Cyclical in an Upturn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Between 50 to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20</t>
        </is>
      </c>
      <c r="CG10" s="31">
        <f>IF(CF10&gt;20,10,IF(CF10&gt;=10,5,2))</f>
        <v/>
      </c>
    </row>
    <row r="11">
      <c r="A11" s="31">
        <f>IF(B11=0,"",RANK(B11,$B$2:$B$94,0))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4" t="inlineStr">
        <is>
          <t>NETWEB</t>
        </is>
      </c>
      <c r="D11" s="34" t="inlineStr">
        <is>
          <t>Netweb Technologies India Ltd</t>
        </is>
      </c>
      <c r="E11" s="31" t="inlineStr">
        <is>
          <t>i.t</t>
        </is>
      </c>
      <c r="F11" s="31" t="inlineStr">
        <is>
          <t>Data Centre</t>
        </is>
      </c>
      <c r="G11" s="31" t="inlineStr">
        <is>
          <t>largecap</t>
        </is>
      </c>
      <c r="H11" s="32" t="n">
        <v>26120.97</v>
      </c>
      <c r="I11" s="32" t="n">
        <v>4587.4</v>
      </c>
      <c r="J11" s="32" t="n">
        <v>9.449999999999999</v>
      </c>
      <c r="K11" s="32" t="n">
        <v>0</v>
      </c>
      <c r="L11" s="31" t="n">
        <v>86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64.53</v>
      </c>
      <c r="P11" s="32" t="n">
        <v>43.92</v>
      </c>
      <c r="Q11" s="32" t="n">
        <v>3228.99</v>
      </c>
      <c r="R11" s="31" t="inlineStr">
        <is>
          <t>Near 52W High Breakout</t>
        </is>
      </c>
      <c r="S11" s="31" t="inlineStr">
        <is>
          <t>Nifty IT</t>
        </is>
      </c>
      <c r="T11" s="32" t="n">
        <v>-27.75</v>
      </c>
      <c r="U11" s="32" t="n">
        <v>157.77</v>
      </c>
      <c r="V11" s="32" t="n">
        <v>256.75</v>
      </c>
      <c r="W11" s="32" t="n">
        <v>32.3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Yes</t>
        </is>
      </c>
      <c r="BS11" s="31">
        <f>IF(BR11="NO",5,0)</f>
        <v/>
      </c>
      <c r="BT11" s="31" t="inlineStr">
        <is>
          <t>Between 1.5 to 2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18</t>
        </is>
      </c>
      <c r="CG11" s="31">
        <f>IF(CF11&gt;20,10,IF(CF11&gt;=10,5,2))</f>
        <v/>
      </c>
    </row>
    <row r="12">
      <c r="A12" s="31">
        <f>IF(B12=0,"",RANK(B12,$B$2:$B$94,0))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4" t="inlineStr">
        <is>
          <t>INDOBORAX</t>
        </is>
      </c>
      <c r="D12" s="34" t="inlineStr">
        <is>
          <t>Indo Borax &amp; Chemicals Ltd</t>
        </is>
      </c>
      <c r="E12" s="31" t="inlineStr">
        <is>
          <t>chemicals</t>
        </is>
      </c>
      <c r="F12" s="31" t="inlineStr">
        <is>
          <t>Chemicals - Inorganic</t>
        </is>
      </c>
      <c r="G12" s="31" t="inlineStr">
        <is>
          <t>smallcap</t>
        </is>
      </c>
      <c r="H12" s="32" t="n">
        <v>1198.4</v>
      </c>
      <c r="I12" s="32" t="n">
        <v>373.45</v>
      </c>
      <c r="J12" s="32" t="n">
        <v>4.04</v>
      </c>
      <c r="K12" s="32" t="n">
        <v>0</v>
      </c>
      <c r="L12" s="31" t="n">
        <v>79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82.43000000000001</v>
      </c>
      <c r="P12" s="32" t="n">
        <v>49.18</v>
      </c>
      <c r="Q12" s="32" t="n">
        <v>295.76</v>
      </c>
      <c r="R12" s="31" t="inlineStr">
        <is>
          <t>Near 52W High Breakout</t>
        </is>
      </c>
      <c r="S12" s="31" t="inlineStr">
        <is>
          <t>Nifty 50</t>
        </is>
      </c>
      <c r="T12" s="32" t="n">
        <v>-4.43</v>
      </c>
      <c r="U12" s="32" t="n">
        <v>83.33</v>
      </c>
      <c r="V12" s="32" t="n">
        <v>91.83</v>
      </c>
      <c r="W12" s="32" t="n">
        <v>25.44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Above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Less than 1.5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17</t>
        </is>
      </c>
      <c r="CG12" s="31">
        <f>IF(CF12&gt;20,10,IF(CF12&gt;=10,5,2))</f>
        <v/>
      </c>
    </row>
    <row r="13">
      <c r="A13" s="31">
        <f>IF(B13=0,"",RANK(B13,$B$2:$B$94,0))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ATHERENERG</t>
        </is>
      </c>
      <c r="D13" s="31" t="inlineStr">
        <is>
          <t>Ather Energy Ltd</t>
        </is>
      </c>
      <c r="E13" s="31" t="inlineStr">
        <is>
          <t>auto</t>
        </is>
      </c>
      <c r="F13" s="31" t="inlineStr">
        <is>
          <t>Auto - 2 &amp; 3 Wheelers</t>
        </is>
      </c>
      <c r="G13" s="31" t="inlineStr">
        <is>
          <t>largecap</t>
        </is>
      </c>
      <c r="H13" s="32" t="n">
        <v>39411.65</v>
      </c>
      <c r="I13" s="32" t="n">
        <v>1028.7</v>
      </c>
      <c r="J13" s="32" t="n">
        <v>0.13</v>
      </c>
      <c r="K13" s="32" t="n">
        <v>0</v>
      </c>
      <c r="L13" s="31" t="n">
        <v>91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73.01000000000001</v>
      </c>
      <c r="P13" s="32" t="n">
        <v>47.45</v>
      </c>
      <c r="Q13" s="32" t="n">
        <v>782.79</v>
      </c>
      <c r="R13" s="31" t="inlineStr">
        <is>
          <t>Near 52W High Breakout</t>
        </is>
      </c>
      <c r="S13" s="31" t="inlineStr">
        <is>
          <t>Nifty Auto</t>
        </is>
      </c>
      <c r="T13" s="32" t="n">
        <v>12.72</v>
      </c>
      <c r="U13" s="32" t="n">
        <v>227.61</v>
      </c>
      <c r="V13" s="32" t="n">
        <v>190.65</v>
      </c>
      <c r="W13" s="32" t="n">
        <v>38.56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Negative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17</t>
        </is>
      </c>
      <c r="CG13" s="31">
        <f>IF(CF13&gt;20,10,IF(CF13&gt;=10,5,2))</f>
        <v/>
      </c>
    </row>
    <row r="14">
      <c r="A14" s="31">
        <f>IF(B14=0,"",RANK(B14,$B$2:$B$94,0))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CUPID</t>
        </is>
      </c>
      <c r="D14" s="31" t="inlineStr">
        <is>
          <t>Cupid Ltd</t>
        </is>
      </c>
      <c r="E14" s="31" t="inlineStr">
        <is>
          <t>fmcg</t>
        </is>
      </c>
      <c r="F14" s="31" t="inlineStr">
        <is>
          <t>Contraceptives/Protectives</t>
        </is>
      </c>
      <c r="G14" s="31" t="inlineStr">
        <is>
          <t>largecap</t>
        </is>
      </c>
      <c r="H14" s="32" t="n">
        <v>21510.54</v>
      </c>
      <c r="I14" s="32" t="n">
        <v>159.97</v>
      </c>
      <c r="J14" s="32" t="n">
        <v>3.09</v>
      </c>
      <c r="K14" s="32" t="n">
        <v>0</v>
      </c>
      <c r="L14" s="31" t="n">
        <v>98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81.56</v>
      </c>
      <c r="P14" s="32" t="n">
        <v>45.12</v>
      </c>
      <c r="Q14" s="32" t="n">
        <v>123.8</v>
      </c>
      <c r="R14" s="31" t="inlineStr">
        <is>
          <t>Volume Spike &amp; Near 52W High Breakout</t>
        </is>
      </c>
      <c r="S14" s="31" t="inlineStr">
        <is>
          <t>Nifty FMCG</t>
        </is>
      </c>
      <c r="T14" s="32" t="n">
        <v>-10.45</v>
      </c>
      <c r="U14" s="32" t="n">
        <v>726.97</v>
      </c>
      <c r="V14" s="32" t="n">
        <v>823.51</v>
      </c>
      <c r="W14" s="32" t="n">
        <v>84.01000000000001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B2C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Above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Less than 50%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22</t>
        </is>
      </c>
      <c r="CG14" s="31">
        <f>IF(CF14&gt;20,10,IF(CF14&gt;=10,5,2))</f>
        <v/>
      </c>
    </row>
    <row r="15">
      <c r="A15" s="31">
        <f>IF(B15=0,"",RANK(B15,$B$2:$B$94,0))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WHEELS</t>
        </is>
      </c>
      <c r="D15" s="31" t="inlineStr">
        <is>
          <t>Wheels India Ltd</t>
        </is>
      </c>
      <c r="E15" s="31" t="inlineStr">
        <is>
          <t>auto</t>
        </is>
      </c>
      <c r="F15" s="31" t="inlineStr">
        <is>
          <t>Auto Ancillaries - Wheels</t>
        </is>
      </c>
      <c r="G15" s="31" t="inlineStr">
        <is>
          <t>smallcap</t>
        </is>
      </c>
      <c r="H15" s="32" t="n">
        <v>3994.06</v>
      </c>
      <c r="I15" s="32" t="n">
        <v>1634.7</v>
      </c>
      <c r="J15" s="32" t="n">
        <v>0.77</v>
      </c>
      <c r="K15" s="32" t="n">
        <v>0</v>
      </c>
      <c r="L15" s="31" t="n">
        <v>89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73.42</v>
      </c>
      <c r="P15" s="32" t="n">
        <v>50.52</v>
      </c>
      <c r="Q15" s="32" t="n">
        <v>1280.03</v>
      </c>
      <c r="R15" s="31" t="inlineStr">
        <is>
          <t>Near 52W High Breakout</t>
        </is>
      </c>
      <c r="S15" s="31" t="inlineStr">
        <is>
          <t>Nifty Auto</t>
        </is>
      </c>
      <c r="T15" s="32" t="n">
        <v>12.72</v>
      </c>
      <c r="U15" s="32" t="n">
        <v>121.54</v>
      </c>
      <c r="V15" s="32" t="n">
        <v>96.55</v>
      </c>
      <c r="W15" s="32" t="n">
        <v>36.92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Less than 12%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24</t>
        </is>
      </c>
      <c r="CG15" s="31">
        <f>IF(CF15&gt;20,10,IF(CF15&gt;=10,5,2))</f>
        <v/>
      </c>
    </row>
    <row r="16">
      <c r="A16" s="31">
        <f>IF(B16=0,"",RANK(B16,$B$2:$B$94,0))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SEKURITIND</t>
        </is>
      </c>
      <c r="D16" s="31" t="inlineStr">
        <is>
          <t>Saint-Gobain Sekurit India Ltd</t>
        </is>
      </c>
      <c r="E16" s="31" t="inlineStr">
        <is>
          <t>Consumer Cyclical</t>
        </is>
      </c>
      <c r="F16" s="31" t="inlineStr">
        <is>
          <t>Glass &amp; Glass Products</t>
        </is>
      </c>
      <c r="G16" s="31" t="inlineStr">
        <is>
          <t>smallcap</t>
        </is>
      </c>
      <c r="H16" s="32" t="n">
        <v>1146.11</v>
      </c>
      <c r="I16" s="32" t="n">
        <v>125.8</v>
      </c>
      <c r="J16" s="32" t="n">
        <v>2.9</v>
      </c>
      <c r="K16" s="32" t="n">
        <v>0</v>
      </c>
      <c r="L16" s="31" t="n">
        <v>38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67.05</v>
      </c>
      <c r="P16" s="32" t="n">
        <v>30.75</v>
      </c>
      <c r="Q16" s="32" t="n">
        <v>106.12</v>
      </c>
      <c r="R16" s="31" t="inlineStr">
        <is>
          <t>Volume Spike / Accumulation</t>
        </is>
      </c>
      <c r="S16" s="31" t="inlineStr">
        <is>
          <t>Nifty Auto</t>
        </is>
      </c>
      <c r="T16" s="32" t="n">
        <v>12.72</v>
      </c>
      <c r="U16" s="32" t="n">
        <v>14.43</v>
      </c>
      <c r="V16" s="32" t="n">
        <v>1.52</v>
      </c>
      <c r="W16" s="32" t="n">
        <v>10.9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Close to 52 week high or retracement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Between 50% to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23</t>
        </is>
      </c>
      <c r="CG16" s="31">
        <f>IF(CF16&gt;20,10,IF(CF16&gt;=10,5,2))</f>
        <v/>
      </c>
    </row>
    <row r="17">
      <c r="A17" s="31">
        <f>IF(B17=0,"",RANK(B17,$B$2:$B$94,0))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TIMEX</t>
        </is>
      </c>
      <c r="D17" s="31" t="inlineStr">
        <is>
          <t>Timex Group India Ltd</t>
        </is>
      </c>
      <c r="E17" s="31" t="inlineStr">
        <is>
          <t>Consumer Cyclical</t>
        </is>
      </c>
      <c r="F17" s="31" t="inlineStr">
        <is>
          <t>Watches</t>
        </is>
      </c>
      <c r="G17" s="31" t="inlineStr">
        <is>
          <t>smallcap</t>
        </is>
      </c>
      <c r="H17" s="32" t="n">
        <v>4983.4</v>
      </c>
      <c r="I17" s="32" t="n">
        <v>493.65</v>
      </c>
      <c r="J17" s="32" t="n">
        <v>8.359999999999999</v>
      </c>
      <c r="K17" s="32" t="n">
        <v>0</v>
      </c>
      <c r="L17" s="31" t="n">
        <v>85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74.62</v>
      </c>
      <c r="P17" s="32" t="n">
        <v>27.59</v>
      </c>
      <c r="Q17" s="32" t="n">
        <v>370.8</v>
      </c>
      <c r="R17" s="31" t="inlineStr">
        <is>
          <t>Near 52W High Breakout</t>
        </is>
      </c>
      <c r="S17" s="31" t="inlineStr">
        <is>
          <t>Nifty 50</t>
        </is>
      </c>
      <c r="T17" s="32" t="n">
        <v>-4.43</v>
      </c>
      <c r="U17" s="32" t="n">
        <v>80.66</v>
      </c>
      <c r="V17" s="32" t="n">
        <v>89.04000000000001</v>
      </c>
      <c r="W17" s="32" t="n">
        <v>31.92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22</t>
        </is>
      </c>
      <c r="CG17" s="31">
        <f>IF(CF17&gt;20,10,IF(CF17&gt;=10,5,2))</f>
        <v/>
      </c>
    </row>
    <row r="18">
      <c r="A18" s="31">
        <f>IF(B18=0,"",RANK(B18,$B$2:$B$94,0))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GAYAPROJ</t>
        </is>
      </c>
      <c r="D18" s="34" t="inlineStr">
        <is>
          <t>Gayatri Projects Ltd</t>
        </is>
      </c>
      <c r="E18" s="31" t="inlineStr">
        <is>
          <t>realty</t>
        </is>
      </c>
      <c r="F18" s="31" t="inlineStr">
        <is>
          <t>Construction - Civil/Turnkey</t>
        </is>
      </c>
      <c r="G18" s="31" t="inlineStr">
        <is>
          <t>smallcap</t>
        </is>
      </c>
      <c r="H18" s="32" t="n">
        <v>1014.96</v>
      </c>
      <c r="I18" s="32" t="n">
        <v>21.86</v>
      </c>
      <c r="J18" s="32" t="n">
        <v>4.19</v>
      </c>
      <c r="K18" s="32" t="n">
        <v>0</v>
      </c>
      <c r="L18" s="31" t="n">
        <v>88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75.64</v>
      </c>
      <c r="P18" s="32" t="n">
        <v>61.31</v>
      </c>
      <c r="Q18" s="32" t="n">
        <v>17.45</v>
      </c>
      <c r="R18" s="31" t="inlineStr">
        <is>
          <t>Near 52W High Breakout</t>
        </is>
      </c>
      <c r="S18" s="31" t="inlineStr">
        <is>
          <t>Nifty Realty</t>
        </is>
      </c>
      <c r="T18" s="32" t="n">
        <v>-23.58</v>
      </c>
      <c r="U18" s="32" t="n">
        <v>146.45</v>
      </c>
      <c r="V18" s="32" t="n">
        <v>222.49</v>
      </c>
      <c r="W18" s="32" t="n">
        <v>36.49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21</t>
        </is>
      </c>
      <c r="CG18" s="31">
        <f>IF(CF18&gt;20,10,IF(CF18&gt;=10,5,2))</f>
        <v/>
      </c>
    </row>
    <row r="19">
      <c r="A19" s="31">
        <f>IF(B19=0,"",RANK(B19,$B$2:$B$94,0))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1" t="inlineStr">
        <is>
          <t>SYRMA</t>
        </is>
      </c>
      <c r="D19" s="31" t="inlineStr">
        <is>
          <t>Syrma SGS Technology Ltd</t>
        </is>
      </c>
      <c r="E19" s="31" t="inlineStr">
        <is>
          <t>consumer discretionary</t>
        </is>
      </c>
      <c r="F19" s="31" t="inlineStr">
        <is>
          <t>Consumer Electronics - EMS</t>
        </is>
      </c>
      <c r="G19" s="31" t="inlineStr">
        <is>
          <t>largecap</t>
        </is>
      </c>
      <c r="H19" s="32" t="n">
        <v>24425.84</v>
      </c>
      <c r="I19" s="32" t="n">
        <v>1266.7</v>
      </c>
      <c r="J19" s="32" t="n">
        <v>2.52</v>
      </c>
      <c r="K19" s="32" t="n">
        <v>0</v>
      </c>
      <c r="L19" s="31" t="n">
        <v>92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74.45999999999999</v>
      </c>
      <c r="P19" s="32" t="n">
        <v>33.6</v>
      </c>
      <c r="Q19" s="32" t="n">
        <v>979.04</v>
      </c>
      <c r="R19" s="31" t="inlineStr">
        <is>
          <t>Near 52W High Breakout</t>
        </is>
      </c>
      <c r="S19" s="31" t="inlineStr">
        <is>
          <t>Nifty 50</t>
        </is>
      </c>
      <c r="T19" s="32" t="n">
        <v>-4.43</v>
      </c>
      <c r="U19" s="32" t="n">
        <v>142.76</v>
      </c>
      <c r="V19" s="32" t="n">
        <v>154.02</v>
      </c>
      <c r="W19" s="32" t="n">
        <v>39.06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20 to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Yes</t>
        </is>
      </c>
      <c r="BS19" s="31">
        <f>IF(BR19="NO",5,0)</f>
        <v/>
      </c>
      <c r="BT19" s="31" t="inlineStr">
        <is>
          <t>Between 1.5 to 2</t>
        </is>
      </c>
      <c r="BU19" s="31">
        <f>IF(BT19="Above 2",0,IF(BT19="Between 1.5 to 2",5,IF(BT19="Less than 1.5",10,0)))</f>
        <v/>
      </c>
      <c r="BV19" s="31" t="inlineStr">
        <is>
          <t>Between 50% to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21</t>
        </is>
      </c>
      <c r="CG19" s="31">
        <f>IF(CF19&gt;20,10,IF(CF19&gt;=10,5,2))</f>
        <v/>
      </c>
    </row>
    <row r="20">
      <c r="A20" s="31">
        <f>IF(B20=0,"",RANK(B20,$B$2:$B$94,0))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RPTECH</t>
        </is>
      </c>
      <c r="D20" s="31" t="inlineStr">
        <is>
          <t>Rashi Peripherals Ltd</t>
        </is>
      </c>
      <c r="E20" s="31" t="inlineStr">
        <is>
          <t>services</t>
        </is>
      </c>
      <c r="F20" s="31" t="inlineStr">
        <is>
          <t>Trading</t>
        </is>
      </c>
      <c r="G20" s="31" t="inlineStr">
        <is>
          <t>smallcap</t>
        </is>
      </c>
      <c r="H20" s="32" t="n">
        <v>3679.84</v>
      </c>
      <c r="I20" s="32" t="n">
        <v>558.4</v>
      </c>
      <c r="J20" s="32" t="n">
        <v>5.13</v>
      </c>
      <c r="K20" s="32" t="n">
        <v>0</v>
      </c>
      <c r="L20" s="31" t="n">
        <v>80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78.41</v>
      </c>
      <c r="P20" s="32" t="n">
        <v>48.6</v>
      </c>
      <c r="Q20" s="32" t="n">
        <v>429.57</v>
      </c>
      <c r="R20" s="31" t="inlineStr">
        <is>
          <t>Near 52W High Breakout</t>
        </is>
      </c>
      <c r="S20" s="31" t="inlineStr">
        <is>
          <t>Nifty 50</t>
        </is>
      </c>
      <c r="T20" s="32" t="n">
        <v>-4.43</v>
      </c>
      <c r="U20" s="32" t="n">
        <v>80.52</v>
      </c>
      <c r="V20" s="32" t="n">
        <v>88.89</v>
      </c>
      <c r="W20" s="32" t="n">
        <v>27.42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Less than 50%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21</t>
        </is>
      </c>
      <c r="CG20" s="31">
        <f>IF(CF20&gt;20,10,IF(CF20&gt;=10,5,2))</f>
        <v/>
      </c>
    </row>
    <row r="21">
      <c r="A21" s="31">
        <f>IF(B21=0,"",RANK(B21,$B$2:$B$94,0))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1" t="inlineStr">
        <is>
          <t>SEAMECLTD</t>
        </is>
      </c>
      <c r="D21" s="31" t="inlineStr">
        <is>
          <t>SEAMEC Ltd</t>
        </is>
      </c>
      <c r="E21" s="31" t="inlineStr">
        <is>
          <t>Industrials</t>
        </is>
      </c>
      <c r="F21" s="31" t="inlineStr">
        <is>
          <t>Shipping</t>
        </is>
      </c>
      <c r="G21" s="31" t="inlineStr">
        <is>
          <t>smallcap</t>
        </is>
      </c>
      <c r="H21" s="32" t="n">
        <v>4026.05</v>
      </c>
      <c r="I21" s="32" t="n">
        <v>1583.5</v>
      </c>
      <c r="J21" s="32" t="n">
        <v>-0.31</v>
      </c>
      <c r="K21" s="32" t="n">
        <v>0</v>
      </c>
      <c r="L21" s="31" t="n">
        <v>60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69.36</v>
      </c>
      <c r="P21" s="32" t="n">
        <v>55.68</v>
      </c>
      <c r="Q21" s="32" t="n">
        <v>1249.61</v>
      </c>
      <c r="R21" s="31" t="inlineStr">
        <is>
          <t>Near 52W High Breakout</t>
        </is>
      </c>
      <c r="S21" s="31" t="inlineStr">
        <is>
          <t>Nifty 50</t>
        </is>
      </c>
      <c r="T21" s="32" t="n">
        <v>-4.43</v>
      </c>
      <c r="U21" s="32" t="n">
        <v>84.15000000000001</v>
      </c>
      <c r="V21" s="32" t="n">
        <v>92.69</v>
      </c>
      <c r="W21" s="32" t="n">
        <v>17.35</v>
      </c>
      <c r="X21" s="31" t="inlineStr">
        <is>
          <t>Cyclical in an Upturn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19</t>
        </is>
      </c>
      <c r="CG21" s="31">
        <f>IF(CF21&gt;20,10,IF(CF21&gt;=10,5,2))</f>
        <v/>
      </c>
    </row>
    <row r="22">
      <c r="A22" s="31">
        <f>IF(B22=0,"",RANK(B22,$B$2:$B$94,0))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KPL</t>
        </is>
      </c>
      <c r="D22" s="31" t="inlineStr">
        <is>
          <t>Kwality Pharmaceuticals Ltd</t>
        </is>
      </c>
      <c r="E22" s="31" t="inlineStr">
        <is>
          <t>Healthcare</t>
        </is>
      </c>
      <c r="F22" s="31" t="inlineStr">
        <is>
          <t>Pharma - Formulators</t>
        </is>
      </c>
      <c r="G22" s="31" t="inlineStr">
        <is>
          <t>smallcap</t>
        </is>
      </c>
      <c r="H22" s="32" t="n">
        <v>2568.84</v>
      </c>
      <c r="I22" s="32" t="n">
        <v>2475.7</v>
      </c>
      <c r="J22" s="32" t="n">
        <v>4.34</v>
      </c>
      <c r="K22" s="32" t="n">
        <v>0</v>
      </c>
      <c r="L22" s="31" t="n">
        <v>87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80.06999999999999</v>
      </c>
      <c r="P22" s="32" t="n">
        <v>52.89</v>
      </c>
      <c r="Q22" s="32" t="n">
        <v>1820.29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10.89</v>
      </c>
      <c r="U22" s="32" t="n">
        <v>142.72</v>
      </c>
      <c r="V22" s="32" t="n">
        <v>118.88</v>
      </c>
      <c r="W22" s="32" t="n">
        <v>34.68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No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27</t>
        </is>
      </c>
      <c r="CG22" s="31">
        <f>IF(CF22&gt;20,10,IF(CF22&gt;=10,5,2))</f>
        <v/>
      </c>
    </row>
    <row r="23">
      <c r="A23" s="31">
        <f>IF(B23=0,"",RANK(B23,$B$2:$B$94,0))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GVPIL</t>
        </is>
      </c>
      <c r="D23" s="31" t="inlineStr">
        <is>
          <t>GE Power India Ltd</t>
        </is>
      </c>
      <c r="E23" s="31" t="inlineStr">
        <is>
          <t>realty</t>
        </is>
      </c>
      <c r="F23" s="31" t="inlineStr">
        <is>
          <t>Infra - General</t>
        </is>
      </c>
      <c r="G23" s="31" t="inlineStr">
        <is>
          <t>midcap</t>
        </is>
      </c>
      <c r="H23" s="32" t="n">
        <v>6249.13</v>
      </c>
      <c r="I23" s="32" t="n">
        <v>929.55</v>
      </c>
      <c r="J23" s="32" t="n">
        <v>5</v>
      </c>
      <c r="K23" s="32" t="n">
        <v>0</v>
      </c>
      <c r="L23" s="31" t="n">
        <v>96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88.2</v>
      </c>
      <c r="P23" s="32" t="n">
        <v>56.06</v>
      </c>
      <c r="Q23" s="32" t="n">
        <v>711.97</v>
      </c>
      <c r="R23" s="31" t="inlineStr">
        <is>
          <t>Near 52W High Breakout</t>
        </is>
      </c>
      <c r="S23" s="31" t="inlineStr">
        <is>
          <t>Nifty Realty</t>
        </is>
      </c>
      <c r="T23" s="32" t="n">
        <v>-23.58</v>
      </c>
      <c r="U23" s="32" t="n">
        <v>194.11</v>
      </c>
      <c r="V23" s="32" t="n">
        <v>284.86</v>
      </c>
      <c r="W23" s="32" t="n">
        <v>52.55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Duopoly That Cooperate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Shallow Cyclical (2 to 3 Years Growth)</t>
        </is>
      </c>
      <c r="AG23" s="31">
        <f>IF(AF23="Structural (10 Years Consistency)",10,IF(AF23="Shallow Cyclical (2 to 3 years growth)",5,0))</f>
        <v/>
      </c>
      <c r="AH23" s="31" t="inlineStr">
        <is>
          <t>Yes due to Product Mix change or Operating Leverage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Fully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only for next 1 to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Yes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Between 0.7 to 1.2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21</t>
        </is>
      </c>
      <c r="CG23" s="31">
        <f>IF(CF23&gt;20,10,IF(CF23&gt;=10,5,2))</f>
        <v/>
      </c>
    </row>
    <row r="24">
      <c r="A24" s="31">
        <f>IF(B24=0,"",RANK(B24,$B$2:$B$94,0))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4" t="inlineStr">
        <is>
          <t>MODINSU</t>
        </is>
      </c>
      <c r="D24" s="34" t="inlineStr">
        <is>
          <t>Modern Insulators Ltd</t>
        </is>
      </c>
      <c r="E24" s="31" t="inlineStr">
        <is>
          <t>Technology</t>
        </is>
      </c>
      <c r="F24" s="31" t="inlineStr">
        <is>
          <t>Capital Goods - Electric General</t>
        </is>
      </c>
      <c r="G24" s="31" t="inlineStr">
        <is>
          <t>smallcap</t>
        </is>
      </c>
      <c r="H24" s="32" t="n">
        <v>1946.57</v>
      </c>
      <c r="I24" s="32" t="n">
        <v>412.9</v>
      </c>
      <c r="J24" s="32" t="n">
        <v>5</v>
      </c>
      <c r="K24" s="32" t="n">
        <v>0</v>
      </c>
      <c r="L24" s="31" t="n">
        <v>95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68.77</v>
      </c>
      <c r="P24" s="32" t="n">
        <v>42.58</v>
      </c>
      <c r="Q24" s="32" t="n">
        <v>320.72</v>
      </c>
      <c r="R24" s="31" t="inlineStr">
        <is>
          <t>Earnings / Momentum Support</t>
        </is>
      </c>
      <c r="S24" s="31" t="inlineStr">
        <is>
          <t>Nifty 50</t>
        </is>
      </c>
      <c r="T24" s="32" t="n">
        <v>-4.43</v>
      </c>
      <c r="U24" s="32" t="n">
        <v>299.37</v>
      </c>
      <c r="V24" s="32" t="n">
        <v>317.9</v>
      </c>
      <c r="W24" s="32" t="n">
        <v>50.08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No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Less than 50%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20</t>
        </is>
      </c>
      <c r="CG24" s="31">
        <f>IF(CF24&gt;20,10,IF(CF24&gt;=10,5,2))</f>
        <v/>
      </c>
    </row>
    <row r="25">
      <c r="A25" s="31">
        <f>IF(B25=0,"",RANK(B25,$B$2:$B$94,0))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4" t="inlineStr">
        <is>
          <t>SAKAR</t>
        </is>
      </c>
      <c r="D25" s="34" t="inlineStr">
        <is>
          <t>Sakar Healthcare Ltd</t>
        </is>
      </c>
      <c r="E25" s="31" t="inlineStr">
        <is>
          <t>healthcare</t>
        </is>
      </c>
      <c r="F25" s="31" t="inlineStr">
        <is>
          <t>Hospitals</t>
        </is>
      </c>
      <c r="G25" s="31" t="inlineStr">
        <is>
          <t>smallcap</t>
        </is>
      </c>
      <c r="H25" s="32" t="n">
        <v>1833.62</v>
      </c>
      <c r="I25" s="32" t="n">
        <v>824.1</v>
      </c>
      <c r="J25" s="32" t="n">
        <v>2.62</v>
      </c>
      <c r="K25" s="32" t="n">
        <v>0</v>
      </c>
      <c r="L25" s="31" t="n">
        <v>87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76.52</v>
      </c>
      <c r="P25" s="32" t="n">
        <v>53.29</v>
      </c>
      <c r="Q25" s="32" t="n">
        <v>581.5700000000001</v>
      </c>
      <c r="R25" s="31" t="inlineStr">
        <is>
          <t>Near 52W High Breakout</t>
        </is>
      </c>
      <c r="S25" s="31" t="inlineStr">
        <is>
          <t>Nifty Pharma</t>
        </is>
      </c>
      <c r="T25" s="32" t="n">
        <v>10.89</v>
      </c>
      <c r="U25" s="32" t="n">
        <v>163.04</v>
      </c>
      <c r="V25" s="32" t="n">
        <v>137.2</v>
      </c>
      <c r="W25" s="32" t="n">
        <v>34.72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18</t>
        </is>
      </c>
      <c r="CG25" s="31">
        <f>IF(CF25&gt;20,10,IF(CF25&gt;=10,5,2))</f>
        <v/>
      </c>
    </row>
    <row r="26">
      <c r="A26" s="31">
        <f>IF(B26=0,"",RANK(B26,$B$2:$B$94,0))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1" t="inlineStr">
        <is>
          <t>THANGAMAYL</t>
        </is>
      </c>
      <c r="D26" s="31" t="inlineStr">
        <is>
          <t>Thangamayil Jewellery Ltd</t>
        </is>
      </c>
      <c r="E26" s="31" t="inlineStr">
        <is>
          <t>consumer discretionary</t>
        </is>
      </c>
      <c r="F26" s="31" t="inlineStr">
        <is>
          <t>Diamond, Gems &amp; Jewellery</t>
        </is>
      </c>
      <c r="G26" s="31" t="inlineStr">
        <is>
          <t>midcap</t>
        </is>
      </c>
      <c r="H26" s="32" t="n">
        <v>17028.91</v>
      </c>
      <c r="I26" s="32" t="n">
        <v>5478.7</v>
      </c>
      <c r="J26" s="32" t="n">
        <v>1.17</v>
      </c>
      <c r="K26" s="32" t="n">
        <v>0</v>
      </c>
      <c r="L26" s="31" t="n">
        <v>90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71.19</v>
      </c>
      <c r="P26" s="32" t="n">
        <v>39.43</v>
      </c>
      <c r="Q26" s="32" t="n">
        <v>3955.88</v>
      </c>
      <c r="R26" s="31" t="inlineStr">
        <is>
          <t>Near 52W High Breakout</t>
        </is>
      </c>
      <c r="S26" s="31" t="inlineStr">
        <is>
          <t>Nifty 50</t>
        </is>
      </c>
      <c r="T26" s="32" t="n">
        <v>-4.43</v>
      </c>
      <c r="U26" s="32" t="n">
        <v>197.76</v>
      </c>
      <c r="V26" s="32" t="n">
        <v>211.57</v>
      </c>
      <c r="W26" s="32" t="n">
        <v>37.47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Between 50% to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33</t>
        </is>
      </c>
      <c r="CG26" s="31">
        <f>IF(CF26&gt;20,10,IF(CF26&gt;=10,5,2))</f>
        <v/>
      </c>
    </row>
    <row r="27">
      <c r="A27" s="31">
        <f>IF(B27=0,"",RANK(B27,$B$2:$B$94,0))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RATEGAIN</t>
        </is>
      </c>
      <c r="D27" s="31" t="inlineStr">
        <is>
          <t>Rategain Travel Technologies Ltd</t>
        </is>
      </c>
      <c r="E27" s="31" t="inlineStr">
        <is>
          <t>i.t</t>
        </is>
      </c>
      <c r="F27" s="31" t="inlineStr">
        <is>
          <t>IT Product Companies</t>
        </is>
      </c>
      <c r="G27" s="31" t="inlineStr">
        <is>
          <t>midcap</t>
        </is>
      </c>
      <c r="H27" s="32" t="n">
        <v>9252.940000000001</v>
      </c>
      <c r="I27" s="32" t="n">
        <v>783.05</v>
      </c>
      <c r="J27" s="32" t="n">
        <v>1.33</v>
      </c>
      <c r="K27" s="32" t="n">
        <v>0</v>
      </c>
      <c r="L27" s="31" t="n">
        <v>82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72.40000000000001</v>
      </c>
      <c r="P27" s="32" t="n">
        <v>25.67</v>
      </c>
      <c r="Q27" s="32" t="n">
        <v>600.11</v>
      </c>
      <c r="R27" s="31" t="inlineStr">
        <is>
          <t>Near 52W High Breakout</t>
        </is>
      </c>
      <c r="S27" s="31" t="inlineStr">
        <is>
          <t>Nifty IT</t>
        </is>
      </c>
      <c r="T27" s="32" t="n">
        <v>-27.75</v>
      </c>
      <c r="U27" s="32" t="n">
        <v>76.95999999999999</v>
      </c>
      <c r="V27" s="32" t="n">
        <v>144.91</v>
      </c>
      <c r="W27" s="32" t="n">
        <v>27.88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20 to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Between 1.5 to 2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22</t>
        </is>
      </c>
      <c r="CG27" s="31">
        <f>IF(CF27&gt;20,10,IF(CF27&gt;=10,5,2))</f>
        <v/>
      </c>
    </row>
    <row r="28">
      <c r="A28" s="31">
        <f>IF(B28=0,"",RANK(B28,$B$2:$B$94,0))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NGLFINE</t>
        </is>
      </c>
      <c r="D28" s="31" t="inlineStr">
        <is>
          <t>NGL Fine Chem Ltd</t>
        </is>
      </c>
      <c r="E28" s="31" t="inlineStr">
        <is>
          <t>healthcare</t>
        </is>
      </c>
      <c r="F28" s="31" t="inlineStr">
        <is>
          <t>Pharma - Animal</t>
        </is>
      </c>
      <c r="G28" s="31" t="inlineStr">
        <is>
          <t>smallcap</t>
        </is>
      </c>
      <c r="H28" s="32" t="n">
        <v>1883.56</v>
      </c>
      <c r="I28" s="32" t="n">
        <v>3048.8</v>
      </c>
      <c r="J28" s="32" t="n">
        <v>12.23</v>
      </c>
      <c r="K28" s="32" t="n">
        <v>0</v>
      </c>
      <c r="L28" s="31" t="n">
        <v>88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79.56999999999999</v>
      </c>
      <c r="P28" s="32" t="n">
        <v>65.64</v>
      </c>
      <c r="Q28" s="32" t="n">
        <v>2028.57</v>
      </c>
      <c r="R28" s="31" t="inlineStr">
        <is>
          <t>Volume Spike &amp; Near 52W High Breakout</t>
        </is>
      </c>
      <c r="S28" s="31" t="inlineStr">
        <is>
          <t>Nifty Pharma</t>
        </is>
      </c>
      <c r="T28" s="32" t="n">
        <v>10.89</v>
      </c>
      <c r="U28" s="32" t="n">
        <v>190.78</v>
      </c>
      <c r="V28" s="32" t="n">
        <v>162.22</v>
      </c>
      <c r="W28" s="32" t="n">
        <v>35.07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Annuity, Lower One Time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Above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Between 50% to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25</t>
        </is>
      </c>
      <c r="CG28" s="31">
        <f>IF(CF28&gt;20,10,IF(CF28&gt;=10,5,2))</f>
        <v/>
      </c>
    </row>
    <row r="29">
      <c r="A29" s="31">
        <f>IF(B29=0,"",RANK(B29,$B$2:$B$94,0))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3" t="inlineStr">
        <is>
          <t>MARKSANS</t>
        </is>
      </c>
      <c r="D29" s="33" t="inlineStr">
        <is>
          <t>Marksans Pharma Ltd</t>
        </is>
      </c>
      <c r="E29" s="31" t="inlineStr">
        <is>
          <t>healthcare</t>
        </is>
      </c>
      <c r="F29" s="31" t="inlineStr">
        <is>
          <t>Pharma - Formulators</t>
        </is>
      </c>
      <c r="G29" s="31" t="inlineStr">
        <is>
          <t>midcap</t>
        </is>
      </c>
      <c r="H29" s="32" t="n">
        <v>11436.49</v>
      </c>
      <c r="I29" s="32" t="n">
        <v>252.37</v>
      </c>
      <c r="J29" s="32" t="n">
        <v>1.02</v>
      </c>
      <c r="K29" s="32" t="n">
        <v>0</v>
      </c>
      <c r="L29" s="31" t="n">
        <v>47</v>
      </c>
      <c r="M29" s="31" t="inlineStr">
        <is>
          <t>Underperforming</t>
        </is>
      </c>
      <c r="N29" s="32">
        <f>IF(M29="Underperforming",-5,IF(L29&gt;=95,15,IF(L29&gt;=90,10,IF(L29&gt;=80,5,0))))</f>
        <v/>
      </c>
      <c r="O29" s="32" t="n">
        <v>71.88</v>
      </c>
      <c r="P29" s="32" t="n">
        <v>28.87</v>
      </c>
      <c r="Q29" s="32" t="n">
        <v>193.59</v>
      </c>
      <c r="R29" s="31" t="inlineStr">
        <is>
          <t>Near 52W High Breakout</t>
        </is>
      </c>
      <c r="S29" s="31" t="inlineStr">
        <is>
          <t>Nifty Pharma</t>
        </is>
      </c>
      <c r="T29" s="32" t="n">
        <v>10.89</v>
      </c>
      <c r="U29" s="32" t="n">
        <v>-2.31</v>
      </c>
      <c r="V29" s="32" t="n">
        <v>-11.91</v>
      </c>
      <c r="W29" s="32" t="n">
        <v>13.48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Yes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Annuity, Lower One Time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19</t>
        </is>
      </c>
      <c r="CG29" s="31">
        <f>IF(CF29&gt;20,10,IF(CF29&gt;=10,5,2))</f>
        <v/>
      </c>
    </row>
    <row r="30">
      <c r="A30" s="31">
        <f>IF(B30=0,"",RANK(B30,$B$2:$B$94,0))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GOLDIAM</t>
        </is>
      </c>
      <c r="D30" s="34" t="inlineStr">
        <is>
          <t>Goldiam International Ltd</t>
        </is>
      </c>
      <c r="E30" s="31" t="inlineStr">
        <is>
          <t>consumer discretionary</t>
        </is>
      </c>
      <c r="F30" s="31" t="inlineStr">
        <is>
          <t>Lab Grown Diamonds</t>
        </is>
      </c>
      <c r="G30" s="31" t="inlineStr">
        <is>
          <t>midcap</t>
        </is>
      </c>
      <c r="H30" s="32" t="n">
        <v>5406.51</v>
      </c>
      <c r="I30" s="32" t="n">
        <v>478.8</v>
      </c>
      <c r="J30" s="32" t="n">
        <v>12.98</v>
      </c>
      <c r="K30" s="32" t="n">
        <v>0</v>
      </c>
      <c r="L30" s="31" t="n">
        <v>71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64.98</v>
      </c>
      <c r="P30" s="32" t="n">
        <v>25.29</v>
      </c>
      <c r="Q30" s="32" t="n">
        <v>342.17</v>
      </c>
      <c r="R30" s="31" t="inlineStr">
        <is>
          <t>Volume Spike &amp; Near 52W High Breakout</t>
        </is>
      </c>
      <c r="S30" s="31" t="inlineStr">
        <is>
          <t>Nifty 50</t>
        </is>
      </c>
      <c r="T30" s="32" t="n">
        <v>-4.43</v>
      </c>
      <c r="U30" s="32" t="n">
        <v>34.65</v>
      </c>
      <c r="V30" s="32" t="n">
        <v>40.89</v>
      </c>
      <c r="W30" s="32" t="n">
        <v>21.56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Close to 52 week high or retracement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Less than 1.5</t>
        </is>
      </c>
      <c r="BU30" s="31">
        <f>IF(BT30="Above 2",0,IF(BT30="Between 1.5 to 2",5,IF(BT30="Less than 1.5",10,0)))</f>
        <v/>
      </c>
      <c r="BV30" s="31" t="inlineStr">
        <is>
          <t>Less than 50%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23</t>
        </is>
      </c>
      <c r="CG30" s="31">
        <f>IF(CF30&gt;20,10,IF(CF30&gt;=10,5,2))</f>
        <v/>
      </c>
    </row>
    <row r="31">
      <c r="A31" s="31">
        <f>IF(B31=0,"",RANK(B31,$B$2:$B$94,0))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UNIPARTS</t>
        </is>
      </c>
      <c r="D31" s="31" t="inlineStr">
        <is>
          <t>Uniparts India Ltd</t>
        </is>
      </c>
      <c r="E31" s="31" t="inlineStr">
        <is>
          <t>industrials</t>
        </is>
      </c>
      <c r="F31" s="31" t="inlineStr">
        <is>
          <t>Castings, Forgings &amp; Fastners</t>
        </is>
      </c>
      <c r="G31" s="31" t="inlineStr">
        <is>
          <t>smallcap</t>
        </is>
      </c>
      <c r="H31" s="32" t="n">
        <v>2978.09</v>
      </c>
      <c r="I31" s="32" t="n">
        <v>659.7</v>
      </c>
      <c r="J31" s="32" t="n">
        <v>3.54</v>
      </c>
      <c r="K31" s="32" t="n">
        <v>0</v>
      </c>
      <c r="L31" s="31" t="n">
        <v>77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73.89</v>
      </c>
      <c r="P31" s="32" t="n">
        <v>34.24</v>
      </c>
      <c r="Q31" s="32" t="n">
        <v>510.93</v>
      </c>
      <c r="R31" s="31" t="inlineStr">
        <is>
          <t>Near 52W High Breakout</t>
        </is>
      </c>
      <c r="S31" s="31" t="inlineStr">
        <is>
          <t>Nifty 50</t>
        </is>
      </c>
      <c r="T31" s="32" t="n">
        <v>-4.43</v>
      </c>
      <c r="U31" s="32" t="n">
        <v>84.56999999999999</v>
      </c>
      <c r="V31" s="32" t="n">
        <v>93.13</v>
      </c>
      <c r="W31" s="32" t="n">
        <v>24.75</v>
      </c>
      <c r="X31" s="31" t="inlineStr">
        <is>
          <t>Cyclical in an Upturn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23</t>
        </is>
      </c>
      <c r="CG31" s="31">
        <f>IF(CF31&gt;20,10,IF(CF31&gt;=10,5,2))</f>
        <v/>
      </c>
    </row>
    <row r="32">
      <c r="A32" s="31">
        <f>IF(B32=0,"",RANK(B32,$B$2:$B$94,0))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COCKERILL</t>
        </is>
      </c>
      <c r="D32" s="31" t="inlineStr">
        <is>
          <t>John Cockerill India Ltd</t>
        </is>
      </c>
      <c r="E32" s="31" t="inlineStr">
        <is>
          <t>Industrials</t>
        </is>
      </c>
      <c r="F32" s="31" t="inlineStr">
        <is>
          <t>Capital Goods - Engineering Heavy</t>
        </is>
      </c>
      <c r="G32" s="31" t="inlineStr">
        <is>
          <t>smallcap</t>
        </is>
      </c>
      <c r="H32" s="32" t="n">
        <v>4952.16</v>
      </c>
      <c r="I32" s="32" t="n">
        <v>10029.05</v>
      </c>
      <c r="J32" s="32" t="n">
        <v>3.82</v>
      </c>
      <c r="K32" s="32" t="n">
        <v>0</v>
      </c>
      <c r="L32" s="31" t="n">
        <v>96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83.75</v>
      </c>
      <c r="P32" s="32" t="n">
        <v>32.2</v>
      </c>
      <c r="Q32" s="32" t="n">
        <v>7568.22</v>
      </c>
      <c r="R32" s="31" t="inlineStr">
        <is>
          <t>Volume Spike &amp; Near 52W High Breakout</t>
        </is>
      </c>
      <c r="S32" s="31" t="inlineStr">
        <is>
          <t>Nifty Metal</t>
        </is>
      </c>
      <c r="T32" s="32" t="n">
        <v>38.84</v>
      </c>
      <c r="U32" s="32" t="n">
        <v>182.88</v>
      </c>
      <c r="V32" s="32" t="n">
        <v>103.75</v>
      </c>
      <c r="W32" s="32" t="n">
        <v>51.82</v>
      </c>
      <c r="X32" s="31" t="inlineStr">
        <is>
          <t>Cyclical in an Upturn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Blue sky scenario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Yes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22</t>
        </is>
      </c>
      <c r="CG32" s="31">
        <f>IF(CF32&gt;20,10,IF(CF32&gt;=10,5,2))</f>
        <v/>
      </c>
    </row>
    <row r="33">
      <c r="A33" s="31">
        <f>IF(B33=0,"",RANK(B33,$B$2:$B$94,0))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1" t="inlineStr">
        <is>
          <t>AVALON</t>
        </is>
      </c>
      <c r="D33" s="31" t="inlineStr">
        <is>
          <t>Avalon Technologies Ltd</t>
        </is>
      </c>
      <c r="E33" s="31" t="inlineStr">
        <is>
          <t>consumer discretionary</t>
        </is>
      </c>
      <c r="F33" s="31" t="inlineStr">
        <is>
          <t>Consumer Electronics - EMS</t>
        </is>
      </c>
      <c r="G33" s="31" t="inlineStr">
        <is>
          <t>midcap</t>
        </is>
      </c>
      <c r="H33" s="32" t="n">
        <v>11267.08</v>
      </c>
      <c r="I33" s="32" t="n">
        <v>1687</v>
      </c>
      <c r="J33" s="32" t="n">
        <v>7.58</v>
      </c>
      <c r="K33" s="32" t="n">
        <v>0</v>
      </c>
      <c r="L33" s="31" t="n">
        <v>91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76.33</v>
      </c>
      <c r="P33" s="32" t="n">
        <v>32.66</v>
      </c>
      <c r="Q33" s="32" t="n">
        <v>1226.84</v>
      </c>
      <c r="R33" s="31" t="inlineStr">
        <is>
          <t>Near 52W High Breakout</t>
        </is>
      </c>
      <c r="S33" s="31" t="inlineStr">
        <is>
          <t>Nifty 50</t>
        </is>
      </c>
      <c r="T33" s="32" t="n">
        <v>-4.43</v>
      </c>
      <c r="U33" s="32" t="n">
        <v>102.97</v>
      </c>
      <c r="V33" s="32" t="n">
        <v>112.39</v>
      </c>
      <c r="W33" s="32" t="n">
        <v>38.24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Less than 50%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22</t>
        </is>
      </c>
      <c r="CG33" s="31">
        <f>IF(CF33&gt;20,10,IF(CF33&gt;=10,5,2))</f>
        <v/>
      </c>
    </row>
    <row r="34">
      <c r="A34" s="31">
        <f>IF(B34=0,"",RANK(B34,$B$2:$B$94,0))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CEIGALL</t>
        </is>
      </c>
      <c r="D34" s="31" t="inlineStr">
        <is>
          <t>Ceigall India Ltd</t>
        </is>
      </c>
      <c r="E34" s="31" t="inlineStr">
        <is>
          <t>realty</t>
        </is>
      </c>
      <c r="F34" s="31" t="inlineStr">
        <is>
          <t>Construction - Civil/Turnkey</t>
        </is>
      </c>
      <c r="G34" s="31" t="inlineStr">
        <is>
          <t>midcap</t>
        </is>
      </c>
      <c r="H34" s="32" t="n">
        <v>6533.55</v>
      </c>
      <c r="I34" s="32" t="n">
        <v>375.05</v>
      </c>
      <c r="J34" s="32" t="n">
        <v>1.38</v>
      </c>
      <c r="K34" s="32" t="n">
        <v>0</v>
      </c>
      <c r="L34" s="31" t="n">
        <v>63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72.03</v>
      </c>
      <c r="P34" s="32" t="n">
        <v>44</v>
      </c>
      <c r="Q34" s="32" t="n">
        <v>295.46</v>
      </c>
      <c r="R34" s="31" t="inlineStr">
        <is>
          <t>Near 52W High Breakout</t>
        </is>
      </c>
      <c r="S34" s="31" t="inlineStr">
        <is>
          <t>Nifty Realty</t>
        </is>
      </c>
      <c r="T34" s="32" t="n">
        <v>-23.58</v>
      </c>
      <c r="U34" s="32" t="n">
        <v>50.75</v>
      </c>
      <c r="V34" s="32" t="n">
        <v>97.26000000000001</v>
      </c>
      <c r="W34" s="32" t="n">
        <v>18.13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Above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Negative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20</t>
        </is>
      </c>
      <c r="CG34" s="31">
        <f>IF(CF34&gt;20,10,IF(CF34&gt;=10,5,2))</f>
        <v/>
      </c>
    </row>
    <row r="35">
      <c r="A35" s="31">
        <f>IF(B35=0,"",RANK(B35,$B$2:$B$94,0))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4" t="inlineStr">
        <is>
          <t>MAYURUNIQ</t>
        </is>
      </c>
      <c r="D35" s="34" t="inlineStr">
        <is>
          <t>Mayur Uniquoters Ltd</t>
        </is>
      </c>
      <c r="E35" s="31" t="inlineStr">
        <is>
          <t>consumer discretionary</t>
        </is>
      </c>
      <c r="F35" s="31" t="inlineStr">
        <is>
          <t>Plastics - Plastic &amp; Plastic Products</t>
        </is>
      </c>
      <c r="G35" s="31" t="inlineStr">
        <is>
          <t>smallcap</t>
        </is>
      </c>
      <c r="H35" s="32" t="n">
        <v>3446.66</v>
      </c>
      <c r="I35" s="32" t="n">
        <v>793.2</v>
      </c>
      <c r="J35" s="32" t="n">
        <v>0.01</v>
      </c>
      <c r="K35" s="32" t="n">
        <v>0</v>
      </c>
      <c r="L35" s="31" t="n">
        <v>69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77.55</v>
      </c>
      <c r="P35" s="32" t="n">
        <v>35.68</v>
      </c>
      <c r="Q35" s="32" t="n">
        <v>613.42</v>
      </c>
      <c r="R35" s="31" t="inlineStr">
        <is>
          <t>Volume Spike &amp; Near 52W High Breakout</t>
        </is>
      </c>
      <c r="S35" s="31" t="inlineStr">
        <is>
          <t>Nifty 50</t>
        </is>
      </c>
      <c r="T35" s="32" t="n">
        <v>-4.43</v>
      </c>
      <c r="U35" s="32" t="n">
        <v>38.37</v>
      </c>
      <c r="V35" s="32" t="n">
        <v>44.79</v>
      </c>
      <c r="W35" s="32" t="n">
        <v>20.53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18</t>
        </is>
      </c>
      <c r="CG35" s="31">
        <f>IF(CF35&gt;20,10,IF(CF35&gt;=10,5,2))</f>
        <v/>
      </c>
    </row>
    <row r="36">
      <c r="A36" s="31">
        <f>IF(B36=0,"",RANK(B36,$B$2:$B$94,0))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4" t="inlineStr">
        <is>
          <t>SANSERA</t>
        </is>
      </c>
      <c r="D36" s="34" t="inlineStr">
        <is>
          <t>Sansera Engineering Ltd</t>
        </is>
      </c>
      <c r="E36" s="31" t="inlineStr">
        <is>
          <t>auto</t>
        </is>
      </c>
      <c r="F36" s="31" t="inlineStr">
        <is>
          <t>Auto Ancillaries - Diversified</t>
        </is>
      </c>
      <c r="G36" s="31" t="inlineStr">
        <is>
          <t>midcap</t>
        </is>
      </c>
      <c r="H36" s="32" t="n">
        <v>18164.81</v>
      </c>
      <c r="I36" s="32" t="n">
        <v>2914.2</v>
      </c>
      <c r="J36" s="32" t="n">
        <v>1.84</v>
      </c>
      <c r="K36" s="32" t="n">
        <v>0</v>
      </c>
      <c r="L36" s="31" t="n">
        <v>82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73.15000000000001</v>
      </c>
      <c r="P36" s="32" t="n">
        <v>39.85</v>
      </c>
      <c r="Q36" s="32" t="n">
        <v>2288.97</v>
      </c>
      <c r="R36" s="31" t="inlineStr">
        <is>
          <t>Near 52W High Breakout</t>
        </is>
      </c>
      <c r="S36" s="31" t="inlineStr">
        <is>
          <t>Nifty Auto</t>
        </is>
      </c>
      <c r="T36" s="32" t="n">
        <v>12.72</v>
      </c>
      <c r="U36" s="32" t="n">
        <v>122.25</v>
      </c>
      <c r="V36" s="32" t="n">
        <v>97.18000000000001</v>
      </c>
      <c r="W36" s="32" t="n">
        <v>28.27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20 to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Between 50% to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17</t>
        </is>
      </c>
      <c r="CG36" s="31">
        <f>IF(CF36&gt;20,10,IF(CF36&gt;=10,5,2))</f>
        <v/>
      </c>
    </row>
    <row r="37">
      <c r="A37" s="31">
        <f>IF(B37=0,"",RANK(B37,$B$2:$B$94,0))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KMCSHIL</t>
        </is>
      </c>
      <c r="D37" s="31" t="inlineStr">
        <is>
          <t>KMC Speciality Hospitals (India) Ltd</t>
        </is>
      </c>
      <c r="E37" s="31" t="inlineStr">
        <is>
          <t>Healthcare</t>
        </is>
      </c>
      <c r="F37" s="31" t="inlineStr">
        <is>
          <t>Hospitals</t>
        </is>
      </c>
      <c r="G37" s="31" t="inlineStr">
        <is>
          <t>smallcap</t>
        </is>
      </c>
      <c r="H37" s="32" t="n">
        <v>1945.6</v>
      </c>
      <c r="I37" s="32" t="n">
        <v>119.3</v>
      </c>
      <c r="J37" s="32" t="n">
        <v>-0.54</v>
      </c>
      <c r="K37" s="32" t="n">
        <v>0</v>
      </c>
      <c r="L37" s="31" t="n">
        <v>71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83.73</v>
      </c>
      <c r="P37" s="32" t="n">
        <v>52.18</v>
      </c>
      <c r="Q37" s="32" t="n">
        <v>93.88</v>
      </c>
      <c r="R37" s="31" t="inlineStr">
        <is>
          <t>Near 52W High Breakout</t>
        </is>
      </c>
      <c r="S37" s="31" t="inlineStr">
        <is>
          <t>Nifty Pharma</t>
        </is>
      </c>
      <c r="T37" s="32" t="n">
        <v>10.89</v>
      </c>
      <c r="U37" s="32" t="n">
        <v>75.08</v>
      </c>
      <c r="V37" s="32" t="n">
        <v>57.89</v>
      </c>
      <c r="W37" s="32" t="n">
        <v>21.59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Annuity, Lower One Time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Blue sky scenario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Yes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26</t>
        </is>
      </c>
      <c r="CG37" s="31">
        <f>IF(CF37&gt;20,10,IF(CF37&gt;=10,5,2))</f>
        <v/>
      </c>
    </row>
    <row r="38">
      <c r="A38" s="31">
        <f>IF(B38=0,"",RANK(B38,$B$2:$B$94,0))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1" t="inlineStr">
        <is>
          <t>SUPRIYA</t>
        </is>
      </c>
      <c r="D38" s="31" t="inlineStr">
        <is>
          <t>Supriya Lifescience Ltd</t>
        </is>
      </c>
      <c r="E38" s="31" t="inlineStr">
        <is>
          <t>healthcare</t>
        </is>
      </c>
      <c r="F38" s="31" t="inlineStr">
        <is>
          <t>Pharma - API &amp; CRAMS</t>
        </is>
      </c>
      <c r="G38" s="31" t="inlineStr">
        <is>
          <t>midcap</t>
        </is>
      </c>
      <c r="H38" s="32" t="n">
        <v>7864.38</v>
      </c>
      <c r="I38" s="32" t="n">
        <v>977.15</v>
      </c>
      <c r="J38" s="32" t="n">
        <v>4.28</v>
      </c>
      <c r="K38" s="32" t="n">
        <v>0</v>
      </c>
      <c r="L38" s="31" t="n">
        <v>78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77.11</v>
      </c>
      <c r="P38" s="32" t="n">
        <v>33.96</v>
      </c>
      <c r="Q38" s="32" t="n">
        <v>741.1</v>
      </c>
      <c r="R38" s="31" t="inlineStr">
        <is>
          <t>Near 52W High Breakout</t>
        </is>
      </c>
      <c r="S38" s="31" t="inlineStr">
        <is>
          <t>Nifty Pharma</t>
        </is>
      </c>
      <c r="T38" s="32" t="n">
        <v>10.89</v>
      </c>
      <c r="U38" s="32" t="n">
        <v>41.92</v>
      </c>
      <c r="V38" s="32" t="n">
        <v>27.98</v>
      </c>
      <c r="W38" s="32" t="n">
        <v>25.05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Annuity, Lower One Time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Less than 1.5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23</t>
        </is>
      </c>
      <c r="CG38" s="31">
        <f>IF(CF38&gt;20,10,IF(CF38&gt;=10,5,2))</f>
        <v/>
      </c>
    </row>
    <row r="39">
      <c r="A39" s="31">
        <f>IF(B39=0,"",RANK(B39,$B$2:$B$94,0))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4" t="inlineStr">
        <is>
          <t>INNOVACAP</t>
        </is>
      </c>
      <c r="D39" s="34" t="inlineStr">
        <is>
          <t>Innova Captab Ltd</t>
        </is>
      </c>
      <c r="E39" s="31" t="inlineStr">
        <is>
          <t>healthcare</t>
        </is>
      </c>
      <c r="F39" s="31" t="inlineStr">
        <is>
          <t>Pharma - API</t>
        </is>
      </c>
      <c r="G39" s="31" t="inlineStr">
        <is>
          <t>midcap</t>
        </is>
      </c>
      <c r="H39" s="32" t="n">
        <v>5393.16</v>
      </c>
      <c r="I39" s="32" t="n">
        <v>942.45</v>
      </c>
      <c r="J39" s="32" t="n">
        <v>-0.87</v>
      </c>
      <c r="K39" s="32" t="n">
        <v>0</v>
      </c>
      <c r="L39" s="31" t="n">
        <v>25</v>
      </c>
      <c r="M39" s="31" t="inlineStr">
        <is>
          <t>Underperforming</t>
        </is>
      </c>
      <c r="N39" s="32">
        <f>IF(M39="Underperforming",-5,IF(L39&gt;=95,15,IF(L39&gt;=90,10,IF(L39&gt;=80,5,0))))</f>
        <v/>
      </c>
      <c r="O39" s="32" t="n">
        <v>71.45999999999999</v>
      </c>
      <c r="P39" s="32" t="n">
        <v>27.54</v>
      </c>
      <c r="Q39" s="32" t="n">
        <v>736.88</v>
      </c>
      <c r="R39" s="31" t="inlineStr">
        <is>
          <t>Volume Spike &amp; Near 52W High Breakout</t>
        </is>
      </c>
      <c r="S39" s="31" t="inlineStr">
        <is>
          <t>Nifty Pharma</t>
        </is>
      </c>
      <c r="T39" s="32" t="n">
        <v>10.89</v>
      </c>
      <c r="U39" s="32" t="n">
        <v>4.18</v>
      </c>
      <c r="V39" s="32" t="n">
        <v>-6.05</v>
      </c>
      <c r="W39" s="32" t="n">
        <v>8.41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Between 50% to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19</t>
        </is>
      </c>
      <c r="CG39" s="31">
        <f>IF(CF39&gt;20,10,IF(CF39&gt;=10,5,2))</f>
        <v/>
      </c>
    </row>
    <row r="40">
      <c r="A40" s="31">
        <f>IF(B40=0,"",RANK(B40,$B$2:$B$94,0))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1" t="inlineStr">
        <is>
          <t>SHILPAMED</t>
        </is>
      </c>
      <c r="D40" s="31" t="inlineStr">
        <is>
          <t>Shilpa Medicare Ltd</t>
        </is>
      </c>
      <c r="E40" s="31" t="inlineStr">
        <is>
          <t>healthcare</t>
        </is>
      </c>
      <c r="F40" s="31" t="inlineStr">
        <is>
          <t>Pharma - API &amp; CRAMS</t>
        </is>
      </c>
      <c r="G40" s="31" t="inlineStr">
        <is>
          <t>midcap</t>
        </is>
      </c>
      <c r="H40" s="32" t="n">
        <v>10693.44</v>
      </c>
      <c r="I40" s="32" t="n">
        <v>546.75</v>
      </c>
      <c r="J40" s="32" t="n">
        <v>1.47</v>
      </c>
      <c r="K40" s="32" t="n">
        <v>0</v>
      </c>
      <c r="L40" s="31" t="n">
        <v>72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79.55</v>
      </c>
      <c r="P40" s="32" t="n">
        <v>44.75</v>
      </c>
      <c r="Q40" s="32" t="n">
        <v>423.93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10.89</v>
      </c>
      <c r="U40" s="32" t="n">
        <v>11.06</v>
      </c>
      <c r="V40" s="32" t="n">
        <v>0.15</v>
      </c>
      <c r="W40" s="32" t="n">
        <v>21.62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18</t>
        </is>
      </c>
      <c r="CG40" s="31">
        <f>IF(CF40&gt;20,10,IF(CF40&gt;=10,5,2))</f>
        <v/>
      </c>
    </row>
    <row r="41">
      <c r="A41" s="31">
        <f>IF(B41=0,"",RANK(B41,$B$2:$B$94,0))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SKIPPER</t>
        </is>
      </c>
      <c r="D41" s="31" t="inlineStr">
        <is>
          <t>Skipper Ltd</t>
        </is>
      </c>
      <c r="E41" s="31" t="inlineStr">
        <is>
          <t>industrials</t>
        </is>
      </c>
      <c r="F41" s="31" t="inlineStr">
        <is>
          <t>Electrical Equipments/HVDC</t>
        </is>
      </c>
      <c r="G41" s="31" t="inlineStr">
        <is>
          <t>midcap</t>
        </is>
      </c>
      <c r="H41" s="32" t="n">
        <v>6151.13</v>
      </c>
      <c r="I41" s="32" t="n">
        <v>544.65</v>
      </c>
      <c r="J41" s="32" t="n">
        <v>4.58</v>
      </c>
      <c r="K41" s="32" t="n">
        <v>0</v>
      </c>
      <c r="L41" s="31" t="n">
        <v>55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67.94</v>
      </c>
      <c r="P41" s="32" t="n">
        <v>33.02</v>
      </c>
      <c r="Q41" s="32" t="n">
        <v>416.12</v>
      </c>
      <c r="R41" s="31" t="inlineStr">
        <is>
          <t>Near 52W High Breakout</t>
        </is>
      </c>
      <c r="S41" s="31" t="inlineStr">
        <is>
          <t>Nifty 50</t>
        </is>
      </c>
      <c r="T41" s="32" t="n">
        <v>-4.43</v>
      </c>
      <c r="U41" s="32" t="n">
        <v>6.68</v>
      </c>
      <c r="V41" s="32" t="n">
        <v>11.63</v>
      </c>
      <c r="W41" s="32" t="n">
        <v>16</v>
      </c>
      <c r="X41" s="31" t="inlineStr">
        <is>
          <t>Cyclical in an Upturn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20 to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26</t>
        </is>
      </c>
      <c r="CG41" s="31">
        <f>IF(CF41&gt;20,10,IF(CF41&gt;=10,5,2))</f>
        <v/>
      </c>
    </row>
    <row r="42">
      <c r="A42" s="31">
        <f>IF(B42=0,"",RANK(B42,$B$2:$B$94,0))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PARAS</t>
        </is>
      </c>
      <c r="D42" s="31" t="inlineStr">
        <is>
          <t>Paras Defence and Space Technologies Ltd</t>
        </is>
      </c>
      <c r="E42" s="31" t="inlineStr">
        <is>
          <t>aerospace &amp; defence</t>
        </is>
      </c>
      <c r="F42" s="31" t="inlineStr">
        <is>
          <t>Aerospace &amp; Defence - Equipments</t>
        </is>
      </c>
      <c r="G42" s="31" t="inlineStr">
        <is>
          <t>midcap</t>
        </is>
      </c>
      <c r="H42" s="32" t="n">
        <v>8841.639999999999</v>
      </c>
      <c r="I42" s="32" t="n">
        <v>1097.15</v>
      </c>
      <c r="J42" s="32" t="n">
        <v>10.92</v>
      </c>
      <c r="K42" s="32" t="n">
        <v>0</v>
      </c>
      <c r="L42" s="31" t="n">
        <v>75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73.03</v>
      </c>
      <c r="P42" s="32" t="n">
        <v>38.2</v>
      </c>
      <c r="Q42" s="32" t="n">
        <v>814.83</v>
      </c>
      <c r="R42" s="31" t="inlineStr">
        <is>
          <t>Volume Spike &amp; Near 52W High Breakout</t>
        </is>
      </c>
      <c r="S42" s="31" t="inlineStr">
        <is>
          <t>Nifty 50</t>
        </is>
      </c>
      <c r="T42" s="32" t="n">
        <v>-4.43</v>
      </c>
      <c r="U42" s="32" t="n">
        <v>35.11</v>
      </c>
      <c r="V42" s="32" t="n">
        <v>41.38</v>
      </c>
      <c r="W42" s="32" t="n">
        <v>24.16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23</t>
        </is>
      </c>
      <c r="CG42" s="31">
        <f>IF(CF42&gt;20,10,IF(CF42&gt;=10,5,2))</f>
        <v/>
      </c>
    </row>
    <row r="43">
      <c r="A43" s="31">
        <f>IF(B43=0,"",RANK(B43,$B$2:$B$94,0))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NRBBEARING</t>
        </is>
      </c>
      <c r="D43" s="31" t="inlineStr">
        <is>
          <t>NRB Bearings Ltd</t>
        </is>
      </c>
      <c r="E43" s="31" t="inlineStr">
        <is>
          <t>industrials</t>
        </is>
      </c>
      <c r="F43" s="31" t="inlineStr">
        <is>
          <t>Bearings</t>
        </is>
      </c>
      <c r="G43" s="31" t="inlineStr">
        <is>
          <t>smallcap</t>
        </is>
      </c>
      <c r="H43" s="32" t="n">
        <v>4127.45</v>
      </c>
      <c r="I43" s="32" t="n">
        <v>425.85</v>
      </c>
      <c r="J43" s="32" t="n">
        <v>-2.26</v>
      </c>
      <c r="K43" s="32" t="n">
        <v>0</v>
      </c>
      <c r="L43" s="31" t="n">
        <v>83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78.98999999999999</v>
      </c>
      <c r="P43" s="32" t="n">
        <v>29.49</v>
      </c>
      <c r="Q43" s="32" t="n">
        <v>330.88</v>
      </c>
      <c r="R43" s="31" t="inlineStr">
        <is>
          <t>Volume Spike &amp; Near 52W High Breakout</t>
        </is>
      </c>
      <c r="S43" s="31" t="inlineStr">
        <is>
          <t>Nifty 50</t>
        </is>
      </c>
      <c r="T43" s="32" t="n">
        <v>-4.43</v>
      </c>
      <c r="U43" s="32" t="n">
        <v>74.05</v>
      </c>
      <c r="V43" s="32" t="n">
        <v>82.12</v>
      </c>
      <c r="W43" s="32" t="n">
        <v>28.39</v>
      </c>
      <c r="X43" s="31" t="inlineStr">
        <is>
          <t>Cyclical in an Upturn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21</t>
        </is>
      </c>
      <c r="CG43" s="31">
        <f>IF(CF43&gt;20,10,IF(CF43&gt;=10,5,2))</f>
        <v/>
      </c>
    </row>
    <row r="44">
      <c r="A44" s="31">
        <f>IF(B44=0,"",RANK(B44,$B$2:$B$94,0))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4" t="inlineStr">
        <is>
          <t>PSPPROJECT</t>
        </is>
      </c>
      <c r="D44" s="34" t="inlineStr">
        <is>
          <t>PSP Projects Ltd</t>
        </is>
      </c>
      <c r="E44" s="31" t="inlineStr">
        <is>
          <t>realty</t>
        </is>
      </c>
      <c r="F44" s="31" t="inlineStr">
        <is>
          <t>Construction &amp; Contracting</t>
        </is>
      </c>
      <c r="G44" s="31" t="inlineStr">
        <is>
          <t>smallcap</t>
        </is>
      </c>
      <c r="H44" s="32" t="n">
        <v>3635.95</v>
      </c>
      <c r="I44" s="32" t="n">
        <v>917.2</v>
      </c>
      <c r="J44" s="32" t="n">
        <v>4.48</v>
      </c>
      <c r="K44" s="32" t="n">
        <v>0</v>
      </c>
      <c r="L44" s="31" t="n">
        <v>53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63.54</v>
      </c>
      <c r="P44" s="32" t="n">
        <v>23.51</v>
      </c>
      <c r="Q44" s="32" t="n">
        <v>671.26</v>
      </c>
      <c r="R44" s="31" t="inlineStr">
        <is>
          <t>Volume Spike / Accumulation</t>
        </is>
      </c>
      <c r="S44" s="31" t="inlineStr">
        <is>
          <t>Nifty Realty</t>
        </is>
      </c>
      <c r="T44" s="32" t="n">
        <v>-23.58</v>
      </c>
      <c r="U44" s="32" t="n">
        <v>31.28</v>
      </c>
      <c r="V44" s="32" t="n">
        <v>71.79000000000001</v>
      </c>
      <c r="W44" s="32" t="n">
        <v>15.71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Close to 52 week high or retracement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20</t>
        </is>
      </c>
      <c r="CG44" s="31">
        <f>IF(CF44&gt;20,10,IF(CF44&gt;=10,5,2))</f>
        <v/>
      </c>
    </row>
    <row r="45">
      <c r="A45" s="31">
        <f>IF(B45=0,"",RANK(B45,$B$2:$B$94,0))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4" t="inlineStr">
        <is>
          <t>AEROFLEX</t>
        </is>
      </c>
      <c r="D45" s="34" t="inlineStr">
        <is>
          <t>Aeroflex Industries Ltd</t>
        </is>
      </c>
      <c r="E45" s="31" t="inlineStr">
        <is>
          <t>metals &amp; mining</t>
        </is>
      </c>
      <c r="F45" s="31" t="inlineStr">
        <is>
          <t>Stainless Steel</t>
        </is>
      </c>
      <c r="G45" s="31" t="inlineStr">
        <is>
          <t>midcap</t>
        </is>
      </c>
      <c r="H45" s="32" t="n">
        <v>5929.74</v>
      </c>
      <c r="I45" s="32" t="n">
        <v>448.1</v>
      </c>
      <c r="J45" s="32" t="n">
        <v>9.68</v>
      </c>
      <c r="K45" s="32" t="n">
        <v>0</v>
      </c>
      <c r="L45" s="31" t="n">
        <v>93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73.31</v>
      </c>
      <c r="P45" s="32" t="n">
        <v>56.97</v>
      </c>
      <c r="Q45" s="32" t="n">
        <v>310.91</v>
      </c>
      <c r="R45" s="31" t="inlineStr">
        <is>
          <t>Near 52W High Breakout</t>
        </is>
      </c>
      <c r="S45" s="31" t="inlineStr">
        <is>
          <t>Nifty Metal</t>
        </is>
      </c>
      <c r="T45" s="32" t="n">
        <v>38.84</v>
      </c>
      <c r="U45" s="32" t="n">
        <v>162.4</v>
      </c>
      <c r="V45" s="32" t="n">
        <v>89</v>
      </c>
      <c r="W45" s="32" t="n">
        <v>43.76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Cyclical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Volatile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Between 1.5 to 2</t>
        </is>
      </c>
      <c r="BU45" s="31">
        <f>IF(BT45="Above 2",0,IF(BT45="Between 1.5 to 2",5,IF(BT45="Less than 1.5",10,0)))</f>
        <v/>
      </c>
      <c r="BV45" s="31" t="inlineStr">
        <is>
          <t>Between 50% to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20</t>
        </is>
      </c>
      <c r="CG45" s="31">
        <f>IF(CF45&gt;20,10,IF(CF45&gt;=10,5,2))</f>
        <v/>
      </c>
    </row>
    <row r="46">
      <c r="A46" s="31">
        <f>IF(B46=0,"",RANK(B46,$B$2:$B$94,0))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1" t="inlineStr">
        <is>
          <t>HSCL</t>
        </is>
      </c>
      <c r="D46" s="31" t="inlineStr">
        <is>
          <t>Himadri Speciality Chemical Ltd</t>
        </is>
      </c>
      <c r="E46" s="31" t="inlineStr">
        <is>
          <t>chemicals</t>
        </is>
      </c>
      <c r="F46" s="31" t="inlineStr">
        <is>
          <t>Carbon Black</t>
        </is>
      </c>
      <c r="G46" s="31" t="inlineStr">
        <is>
          <t>largecap</t>
        </is>
      </c>
      <c r="H46" s="32" t="n">
        <v>34334.06</v>
      </c>
      <c r="I46" s="32" t="n">
        <v>680.5</v>
      </c>
      <c r="J46" s="32" t="n">
        <v>0.07000000000000001</v>
      </c>
      <c r="K46" s="32" t="n">
        <v>0</v>
      </c>
      <c r="L46" s="31" t="n">
        <v>69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73</v>
      </c>
      <c r="P46" s="32" t="n">
        <v>30.36</v>
      </c>
      <c r="Q46" s="32" t="n">
        <v>521.61</v>
      </c>
      <c r="R46" s="31" t="inlineStr">
        <is>
          <t>Volume Spike &amp; Near 52W High Breakout</t>
        </is>
      </c>
      <c r="S46" s="31" t="inlineStr">
        <is>
          <t>Nifty 50</t>
        </is>
      </c>
      <c r="T46" s="32" t="n">
        <v>-4.43</v>
      </c>
      <c r="U46" s="32" t="n">
        <v>45.15</v>
      </c>
      <c r="V46" s="32" t="n">
        <v>51.89</v>
      </c>
      <c r="W46" s="32" t="n">
        <v>20.8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Between 1.5 to 2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18</t>
        </is>
      </c>
      <c r="CG46" s="31">
        <f>IF(CF46&gt;20,10,IF(CF46&gt;=10,5,2))</f>
        <v/>
      </c>
    </row>
    <row r="47">
      <c r="A47" s="31">
        <f>IF(B47=0,"",RANK(B47,$B$2:$B$94,0))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SKMEGGPROD</t>
        </is>
      </c>
      <c r="D47" s="31" t="inlineStr">
        <is>
          <t>SKM Egg Products Export (India) Ltd</t>
        </is>
      </c>
      <c r="E47" s="31" t="inlineStr">
        <is>
          <t>fmcg</t>
        </is>
      </c>
      <c r="F47" s="31" t="inlineStr">
        <is>
          <t>FMCG - Animal/Polutry</t>
        </is>
      </c>
      <c r="G47" s="31" t="inlineStr">
        <is>
          <t>smallcap</t>
        </is>
      </c>
      <c r="H47" s="32" t="n">
        <v>1267.1</v>
      </c>
      <c r="I47" s="32" t="n">
        <v>240.62</v>
      </c>
      <c r="J47" s="32" t="n">
        <v>5.29</v>
      </c>
      <c r="K47" s="32" t="n">
        <v>0</v>
      </c>
      <c r="L47" s="31" t="n">
        <v>84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69.06999999999999</v>
      </c>
      <c r="P47" s="32" t="n">
        <v>19.27</v>
      </c>
      <c r="Q47" s="32" t="n">
        <v>169.35</v>
      </c>
      <c r="R47" s="31" t="inlineStr">
        <is>
          <t>Near 52W High Breakout</t>
        </is>
      </c>
      <c r="S47" s="31" t="inlineStr">
        <is>
          <t>Nifty FMCG</t>
        </is>
      </c>
      <c r="T47" s="32" t="n">
        <v>-10.45</v>
      </c>
      <c r="U47" s="32" t="n">
        <v>87.43000000000001</v>
      </c>
      <c r="V47" s="32" t="n">
        <v>109.31</v>
      </c>
      <c r="W47" s="32" t="n">
        <v>29.13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B2C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0 to 20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Less than 50%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28</t>
        </is>
      </c>
      <c r="CG47" s="31">
        <f>IF(CF47&gt;20,10,IF(CF47&gt;=10,5,2))</f>
        <v/>
      </c>
    </row>
    <row r="48">
      <c r="A48" s="31">
        <f>IF(B48=0,"",RANK(B48,$B$2:$B$94,0))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4" t="inlineStr">
        <is>
          <t>SENORES</t>
        </is>
      </c>
      <c r="D48" s="34" t="inlineStr">
        <is>
          <t>Senores Pharmaceuticals Ltd</t>
        </is>
      </c>
      <c r="E48" s="31" t="inlineStr">
        <is>
          <t>healthcare</t>
        </is>
      </c>
      <c r="F48" s="31" t="inlineStr">
        <is>
          <t>Pharma - API</t>
        </is>
      </c>
      <c r="G48" s="31" t="inlineStr">
        <is>
          <t>midcap</t>
        </is>
      </c>
      <c r="H48" s="32" t="n">
        <v>5940.91</v>
      </c>
      <c r="I48" s="32" t="n">
        <v>1290</v>
      </c>
      <c r="J48" s="32" t="n">
        <v>11.14</v>
      </c>
      <c r="K48" s="32" t="n">
        <v>0</v>
      </c>
      <c r="L48" s="31" t="n">
        <v>89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77.44</v>
      </c>
      <c r="P48" s="32" t="n">
        <v>40.72</v>
      </c>
      <c r="Q48" s="32" t="n">
        <v>992.35</v>
      </c>
      <c r="R48" s="31" t="inlineStr">
        <is>
          <t>Near 52W High Breakout</t>
        </is>
      </c>
      <c r="S48" s="31" t="inlineStr">
        <is>
          <t>Nifty Pharma</t>
        </is>
      </c>
      <c r="T48" s="32" t="n">
        <v>10.89</v>
      </c>
      <c r="U48" s="32" t="n">
        <v>131.62</v>
      </c>
      <c r="V48" s="32" t="n">
        <v>108.87</v>
      </c>
      <c r="W48" s="32" t="n">
        <v>37.03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Yes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Above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Less than 50%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27</t>
        </is>
      </c>
      <c r="CG48" s="31">
        <f>IF(CF48&gt;20,10,IF(CF48&gt;=10,5,2))</f>
        <v/>
      </c>
    </row>
    <row r="49">
      <c r="A49" s="31">
        <f>IF(B49=0,"",RANK(B49,$B$2:$B$94,0))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ACUTAAS</t>
        </is>
      </c>
      <c r="D49" s="31" t="inlineStr">
        <is>
          <t>Acutaas Chemicals Ltd</t>
        </is>
      </c>
      <c r="E49" s="31" t="inlineStr">
        <is>
          <t>healthcare</t>
        </is>
      </c>
      <c r="F49" s="31" t="inlineStr">
        <is>
          <t>Pharma - API &amp; CRAMS</t>
        </is>
      </c>
      <c r="G49" s="31" t="inlineStr">
        <is>
          <t>largecap</t>
        </is>
      </c>
      <c r="H49" s="32" t="n">
        <v>25750.92</v>
      </c>
      <c r="I49" s="32" t="n">
        <v>3145.3</v>
      </c>
      <c r="J49" s="32" t="n">
        <v>0.55</v>
      </c>
      <c r="K49" s="32" t="n">
        <v>0</v>
      </c>
      <c r="L49" s="31" t="n">
        <v>86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71.73</v>
      </c>
      <c r="P49" s="32" t="n">
        <v>65.37</v>
      </c>
      <c r="Q49" s="32" t="n">
        <v>2575.11</v>
      </c>
      <c r="R49" s="31" t="inlineStr">
        <is>
          <t>Earnings / Momentum Support</t>
        </is>
      </c>
      <c r="S49" s="31" t="inlineStr">
        <is>
          <t>Nifty Pharma</t>
        </is>
      </c>
      <c r="T49" s="32" t="n">
        <v>10.89</v>
      </c>
      <c r="U49" s="32" t="n">
        <v>185.01</v>
      </c>
      <c r="V49" s="32" t="n">
        <v>157.01</v>
      </c>
      <c r="W49" s="32" t="n">
        <v>34.63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No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25</t>
        </is>
      </c>
      <c r="CG49" s="31">
        <f>IF(CF49&gt;20,10,IF(CF49&gt;=10,5,2))</f>
        <v/>
      </c>
    </row>
    <row r="50">
      <c r="A50" s="31">
        <f>IF(B50=0,"",RANK(B50,$B$2:$B$94,0))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4" t="inlineStr">
        <is>
          <t>SPARC</t>
        </is>
      </c>
      <c r="D50" s="34" t="inlineStr">
        <is>
          <t>Sun Pharma Advanced Research Company Ltd</t>
        </is>
      </c>
      <c r="E50" s="31" t="inlineStr">
        <is>
          <t>healthcare</t>
        </is>
      </c>
      <c r="F50" s="31" t="inlineStr">
        <is>
          <t>Pharma - Others</t>
        </is>
      </c>
      <c r="G50" s="31" t="inlineStr">
        <is>
          <t>midcap</t>
        </is>
      </c>
      <c r="H50" s="32" t="n">
        <v>7261.5</v>
      </c>
      <c r="I50" s="32" t="n">
        <v>223.76</v>
      </c>
      <c r="J50" s="32" t="n">
        <v>9.630000000000001</v>
      </c>
      <c r="K50" s="32" t="n">
        <v>0</v>
      </c>
      <c r="L50" s="31" t="n">
        <v>84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76.31999999999999</v>
      </c>
      <c r="P50" s="32" t="n">
        <v>46.2</v>
      </c>
      <c r="Q50" s="32" t="n">
        <v>156.1</v>
      </c>
      <c r="R50" s="31" t="inlineStr">
        <is>
          <t>Near 52W High Breakout</t>
        </is>
      </c>
      <c r="S50" s="31" t="inlineStr">
        <is>
          <t>Nifty Pharma</t>
        </is>
      </c>
      <c r="T50" s="32" t="n">
        <v>10.89</v>
      </c>
      <c r="U50" s="32" t="n">
        <v>34.88</v>
      </c>
      <c r="V50" s="32" t="n">
        <v>21.63</v>
      </c>
      <c r="W50" s="32" t="n">
        <v>30.06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Yes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Annuity, Lower One Time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Close to 52 week high or retracement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Less than 1.5</t>
        </is>
      </c>
      <c r="BU50" s="31">
        <f>IF(BT50="Above 2",0,IF(BT50="Between 1.5 to 2",5,IF(BT50="Less than 1.5",10,0)))</f>
        <v/>
      </c>
      <c r="BV50" s="31" t="inlineStr">
        <is>
          <t>Negative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18</t>
        </is>
      </c>
      <c r="CG50" s="31">
        <f>IF(CF50&gt;20,10,IF(CF50&gt;=10,5,2))</f>
        <v/>
      </c>
    </row>
    <row r="51">
      <c r="A51" s="31">
        <f>IF(B51=0,"",RANK(B51,$B$2:$B$94,0))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SIGMAADV</t>
        </is>
      </c>
      <c r="D51" s="31" t="inlineStr">
        <is>
          <t>Sigma Advanced System Ltd</t>
        </is>
      </c>
      <c r="E51" s="31" t="inlineStr">
        <is>
          <t>aerospace &amp; defence</t>
        </is>
      </c>
      <c r="F51" s="31" t="inlineStr">
        <is>
          <t>Aerospace &amp; Defence - Equipments</t>
        </is>
      </c>
      <c r="G51" s="31" t="inlineStr">
        <is>
          <t>midcap</t>
        </is>
      </c>
      <c r="H51" s="32" t="n">
        <v>8450.690000000001</v>
      </c>
      <c r="I51" s="32" t="n">
        <v>479.5</v>
      </c>
      <c r="J51" s="32" t="n">
        <v>-0.57</v>
      </c>
      <c r="K51" s="32" t="n">
        <v>0</v>
      </c>
      <c r="L51" s="31" t="n">
        <v>99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86.11</v>
      </c>
      <c r="P51" s="32" t="n">
        <v>38.96</v>
      </c>
      <c r="Q51" s="32" t="n">
        <v>360.22</v>
      </c>
      <c r="R51" s="31" t="inlineStr">
        <is>
          <t>Near 52W High Breakout</t>
        </is>
      </c>
      <c r="S51" s="31" t="inlineStr">
        <is>
          <t>Nifty 50</t>
        </is>
      </c>
      <c r="T51" s="32" t="n">
        <v>-4.43</v>
      </c>
      <c r="U51" s="32" t="n">
        <v>384.44</v>
      </c>
      <c r="V51" s="32" t="n">
        <v>406.91</v>
      </c>
      <c r="W51" s="32" t="n">
        <v>102.99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Negative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Between 0.7 to 1.2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30</t>
        </is>
      </c>
      <c r="CG51" s="31">
        <f>IF(CF51&gt;20,10,IF(CF51&gt;=10,5,2))</f>
        <v/>
      </c>
    </row>
    <row r="52">
      <c r="A52" s="31">
        <f>IF(B52=0,"",RANK(B52,$B$2:$B$94,0))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RPEL</t>
        </is>
      </c>
      <c r="D52" s="31" t="inlineStr">
        <is>
          <t>Raghav Productivity Enhancers Ltd</t>
        </is>
      </c>
      <c r="E52" s="31" t="inlineStr">
        <is>
          <t>building materials</t>
        </is>
      </c>
      <c r="F52" s="31" t="inlineStr">
        <is>
          <t>Steel Products</t>
        </is>
      </c>
      <c r="G52" s="31" t="inlineStr">
        <is>
          <t>midcap</t>
        </is>
      </c>
      <c r="H52" s="32" t="n">
        <v>5475.96</v>
      </c>
      <c r="I52" s="32" t="n">
        <v>1192.45</v>
      </c>
      <c r="J52" s="32" t="n">
        <v>2.55</v>
      </c>
      <c r="K52" s="32" t="n">
        <v>0</v>
      </c>
      <c r="L52" s="31" t="n">
        <v>87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77.06999999999999</v>
      </c>
      <c r="P52" s="32" t="n">
        <v>30.26</v>
      </c>
      <c r="Q52" s="32" t="n">
        <v>910.12</v>
      </c>
      <c r="R52" s="31" t="inlineStr">
        <is>
          <t>Near 52W High Breakout</t>
        </is>
      </c>
      <c r="S52" s="31" t="inlineStr">
        <is>
          <t>Nifty Infra</t>
        </is>
      </c>
      <c r="T52" s="32" t="n">
        <v>2.95</v>
      </c>
      <c r="U52" s="32" t="n">
        <v>68.70999999999999</v>
      </c>
      <c r="V52" s="32" t="n">
        <v>63.88</v>
      </c>
      <c r="W52" s="32" t="n">
        <v>34.87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Yes</t>
        </is>
      </c>
      <c r="BS52" s="31">
        <f>IF(BR52="NO",5,0)</f>
        <v/>
      </c>
      <c r="BT52" s="31" t="inlineStr">
        <is>
          <t>Between 1.5 to 2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24</t>
        </is>
      </c>
      <c r="CG52" s="31">
        <f>IF(CF52&gt;20,10,IF(CF52&gt;=10,5,2))</f>
        <v/>
      </c>
    </row>
    <row r="53">
      <c r="A53" s="31">
        <f>IF(B53=0,"",RANK(B53,$B$2:$B$94,0))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KERNEX</t>
        </is>
      </c>
      <c r="D53" s="31" t="inlineStr">
        <is>
          <t>Kernex Microsystems (India) Ltd</t>
        </is>
      </c>
      <c r="E53" s="31" t="inlineStr">
        <is>
          <t>consumer discretionary</t>
        </is>
      </c>
      <c r="F53" s="31" t="inlineStr">
        <is>
          <t>Railways - Kavach/Springs</t>
        </is>
      </c>
      <c r="G53" s="31" t="inlineStr">
        <is>
          <t>smallcap</t>
        </is>
      </c>
      <c r="H53" s="32" t="n">
        <v>3349.23</v>
      </c>
      <c r="I53" s="32" t="n">
        <v>1993.3</v>
      </c>
      <c r="J53" s="32" t="n">
        <v>5.26</v>
      </c>
      <c r="K53" s="32" t="n">
        <v>0</v>
      </c>
      <c r="L53" s="31" t="n">
        <v>88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73.3</v>
      </c>
      <c r="P53" s="32" t="n">
        <v>30.97</v>
      </c>
      <c r="Q53" s="32" t="n">
        <v>1471.05</v>
      </c>
      <c r="R53" s="31" t="inlineStr">
        <is>
          <t>Near 52W High Breakout</t>
        </is>
      </c>
      <c r="S53" s="31" t="inlineStr">
        <is>
          <t>Nifty 50</t>
        </is>
      </c>
      <c r="T53" s="32" t="n">
        <v>-4.43</v>
      </c>
      <c r="U53" s="32" t="n">
        <v>53.18</v>
      </c>
      <c r="V53" s="32" t="n">
        <v>60.28</v>
      </c>
      <c r="W53" s="32" t="n">
        <v>35.86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24</t>
        </is>
      </c>
      <c r="CG53" s="31">
        <f>IF(CF53&gt;20,10,IF(CF53&gt;=10,5,2))</f>
        <v/>
      </c>
    </row>
    <row r="54">
      <c r="A54" s="31">
        <f>IF(B54=0,"",RANK(B54,$B$2:$B$94,0))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RRKABEL</t>
        </is>
      </c>
      <c r="D54" s="31" t="inlineStr">
        <is>
          <t>R R Kabel Ltd</t>
        </is>
      </c>
      <c r="E54" s="31" t="inlineStr">
        <is>
          <t>industrials</t>
        </is>
      </c>
      <c r="F54" s="31" t="inlineStr">
        <is>
          <t>Cables - Power</t>
        </is>
      </c>
      <c r="G54" s="31" t="inlineStr">
        <is>
          <t>largecap</t>
        </is>
      </c>
      <c r="H54" s="32" t="n">
        <v>24523.54</v>
      </c>
      <c r="I54" s="32" t="n">
        <v>2168.2</v>
      </c>
      <c r="J54" s="32" t="n">
        <v>1.88</v>
      </c>
      <c r="K54" s="32" t="n">
        <v>0</v>
      </c>
      <c r="L54" s="31" t="n">
        <v>77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74.78</v>
      </c>
      <c r="P54" s="32" t="n">
        <v>35.45</v>
      </c>
      <c r="Q54" s="32" t="n">
        <v>1757.49</v>
      </c>
      <c r="R54" s="31" t="inlineStr">
        <is>
          <t>Near 52W High Breakout</t>
        </is>
      </c>
      <c r="S54" s="31" t="inlineStr">
        <is>
          <t>Nifty Energy</t>
        </is>
      </c>
      <c r="T54" s="32" t="n">
        <v>9.800000000000001</v>
      </c>
      <c r="U54" s="32" t="n">
        <v>60.1</v>
      </c>
      <c r="V54" s="32" t="n">
        <v>45.81</v>
      </c>
      <c r="W54" s="32" t="n">
        <v>24.71</v>
      </c>
      <c r="X54" s="31" t="inlineStr">
        <is>
          <t>Cyclical in an Upturn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Between 1.5 to 2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22</t>
        </is>
      </c>
      <c r="CG54" s="31">
        <f>IF(CF54&gt;20,10,IF(CF54&gt;=10,5,2))</f>
        <v/>
      </c>
    </row>
    <row r="55">
      <c r="A55" s="31">
        <f>IF(B55=0,"",RANK(B55,$B$2:$B$94,0))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SIS</t>
        </is>
      </c>
      <c r="D55" s="31" t="inlineStr">
        <is>
          <t>SIS Ltd</t>
        </is>
      </c>
      <c r="E55" s="31" t="inlineStr">
        <is>
          <t>miscellaneous</t>
        </is>
      </c>
      <c r="F55" s="31" t="inlineStr">
        <is>
          <t>Facility Management</t>
        </is>
      </c>
      <c r="G55" s="31" t="inlineStr">
        <is>
          <t>midcap</t>
        </is>
      </c>
      <c r="H55" s="32" t="n">
        <v>5950.65</v>
      </c>
      <c r="I55" s="32" t="n">
        <v>421.15</v>
      </c>
      <c r="J55" s="32" t="n">
        <v>-1.75</v>
      </c>
      <c r="K55" s="32" t="n">
        <v>0</v>
      </c>
      <c r="L55" s="31" t="n">
        <v>52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76.01000000000001</v>
      </c>
      <c r="P55" s="32" t="n">
        <v>38.55</v>
      </c>
      <c r="Q55" s="32" t="n">
        <v>333.48</v>
      </c>
      <c r="R55" s="31" t="inlineStr">
        <is>
          <t>Near 52W High Breakout</t>
        </is>
      </c>
      <c r="S55" s="31" t="inlineStr">
        <is>
          <t>Nifty 50</t>
        </is>
      </c>
      <c r="T55" s="32" t="n">
        <v>-4.43</v>
      </c>
      <c r="U55" s="32" t="n">
        <v>16.08</v>
      </c>
      <c r="V55" s="32" t="n">
        <v>21.46</v>
      </c>
      <c r="W55" s="32" t="n">
        <v>15.32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Above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Blue sky scenario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Less than 1.5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Between 0.7 to 1.2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21</t>
        </is>
      </c>
      <c r="CG55" s="31">
        <f>IF(CF55&gt;20,10,IF(CF55&gt;=10,5,2))</f>
        <v/>
      </c>
    </row>
    <row r="56">
      <c r="A56" s="31">
        <f>IF(B56=0,"",RANK(B56,$B$2:$B$94,0))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1" t="inlineStr">
        <is>
          <t>FCL</t>
        </is>
      </c>
      <c r="D56" s="31" t="inlineStr">
        <is>
          <t>Fineotex Chemical Ltd</t>
        </is>
      </c>
      <c r="E56" s="31" t="inlineStr">
        <is>
          <t>chemicals</t>
        </is>
      </c>
      <c r="F56" s="31" t="inlineStr">
        <is>
          <t>Speciality Chemicals</t>
        </is>
      </c>
      <c r="G56" s="31" t="inlineStr">
        <is>
          <t>smallcap</t>
        </is>
      </c>
      <c r="H56" s="32" t="n">
        <v>4561.35</v>
      </c>
      <c r="I56" s="32" t="n">
        <v>39.17</v>
      </c>
      <c r="J56" s="32" t="n">
        <v>5.78</v>
      </c>
      <c r="K56" s="32" t="n">
        <v>0</v>
      </c>
      <c r="L56" s="31" t="n">
        <v>81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72.41</v>
      </c>
      <c r="P56" s="32" t="n">
        <v>30.44</v>
      </c>
      <c r="Q56" s="32" t="n">
        <v>29.76</v>
      </c>
      <c r="R56" s="31" t="inlineStr">
        <is>
          <t>Near 52W High Breakout</t>
        </is>
      </c>
      <c r="S56" s="31" t="inlineStr">
        <is>
          <t>Nifty 50</t>
        </is>
      </c>
      <c r="T56" s="32" t="n">
        <v>-4.43</v>
      </c>
      <c r="U56" s="32" t="n">
        <v>48.01</v>
      </c>
      <c r="V56" s="32" t="n">
        <v>54.88</v>
      </c>
      <c r="W56" s="32" t="n">
        <v>27.77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Blue sky scenario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Negative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20</t>
        </is>
      </c>
      <c r="CG56" s="31">
        <f>IF(CF56&gt;20,10,IF(CF56&gt;=10,5,2))</f>
        <v/>
      </c>
    </row>
    <row r="57">
      <c r="A57" s="31">
        <f>IF(B57=0,"",RANK(B57,$B$2:$B$94,0))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POWERINDIA</t>
        </is>
      </c>
      <c r="D57" s="31" t="inlineStr">
        <is>
          <t>Hitachi Energy India Ltd</t>
        </is>
      </c>
      <c r="E57" s="31" t="inlineStr">
        <is>
          <t>Industrials</t>
        </is>
      </c>
      <c r="F57" s="31" t="inlineStr">
        <is>
          <t>Electrical Equipments/HVDC</t>
        </is>
      </c>
      <c r="G57" s="31" t="inlineStr">
        <is>
          <t>largecap</t>
        </is>
      </c>
      <c r="H57" s="32" t="n">
        <v>152994.64</v>
      </c>
      <c r="I57" s="32" t="n">
        <v>34325</v>
      </c>
      <c r="J57" s="32" t="n">
        <v>3.23</v>
      </c>
      <c r="K57" s="32" t="n">
        <v>0</v>
      </c>
      <c r="L57" s="31" t="n">
        <v>75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65.79000000000001</v>
      </c>
      <c r="P57" s="32" t="n">
        <v>59.06</v>
      </c>
      <c r="Q57" s="32" t="n">
        <v>30434.55</v>
      </c>
      <c r="R57" s="31" t="inlineStr">
        <is>
          <t>Earnings / Momentum Support</t>
        </is>
      </c>
      <c r="S57" s="31" t="inlineStr">
        <is>
          <t>Nifty 50</t>
        </is>
      </c>
      <c r="T57" s="32" t="n">
        <v>-4.43</v>
      </c>
      <c r="U57" s="32" t="n">
        <v>93.11</v>
      </c>
      <c r="V57" s="32" t="n">
        <v>102.07</v>
      </c>
      <c r="W57" s="32" t="n">
        <v>23.58</v>
      </c>
      <c r="X57" s="31" t="inlineStr">
        <is>
          <t>Cyclical in an Upturn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No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17</t>
        </is>
      </c>
      <c r="CG57" s="31">
        <f>IF(CF57&gt;20,10,IF(CF57&gt;=10,5,2))</f>
        <v/>
      </c>
    </row>
    <row r="58">
      <c r="A58" s="31">
        <f>IF(B58=0,"",RANK(B58,$B$2:$B$94,0))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VADILALIND</t>
        </is>
      </c>
      <c r="D58" s="31" t="inlineStr">
        <is>
          <t>Vadilal Industries Ltd</t>
        </is>
      </c>
      <c r="E58" s="31" t="inlineStr">
        <is>
          <t>fmcg</t>
        </is>
      </c>
      <c r="F58" s="31" t="inlineStr">
        <is>
          <t>FMCG - Dairy Products</t>
        </is>
      </c>
      <c r="G58" s="31" t="inlineStr">
        <is>
          <t>smallcap</t>
        </is>
      </c>
      <c r="H58" s="32" t="n">
        <v>4319.38</v>
      </c>
      <c r="I58" s="32" t="n">
        <v>6009.3</v>
      </c>
      <c r="J58" s="32" t="n">
        <v>1.15</v>
      </c>
      <c r="K58" s="32" t="n">
        <v>0</v>
      </c>
      <c r="L58" s="31" t="n">
        <v>27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66.33</v>
      </c>
      <c r="P58" s="32" t="n">
        <v>12.84</v>
      </c>
      <c r="Q58" s="32" t="n">
        <v>4599.01</v>
      </c>
      <c r="R58" s="31" t="inlineStr">
        <is>
          <t>Near 52W High Breakout</t>
        </is>
      </c>
      <c r="S58" s="31" t="inlineStr">
        <is>
          <t>Nifty FMCG</t>
        </is>
      </c>
      <c r="T58" s="32" t="n">
        <v>-10.45</v>
      </c>
      <c r="U58" s="32" t="n">
        <v>13.05</v>
      </c>
      <c r="V58" s="32" t="n">
        <v>26.25</v>
      </c>
      <c r="W58" s="32" t="n">
        <v>8.98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B2C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0 to 20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No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Between 50% to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29</t>
        </is>
      </c>
      <c r="CG58" s="31">
        <f>IF(CF58&gt;20,10,IF(CF58&gt;=10,5,2))</f>
        <v/>
      </c>
    </row>
    <row r="59">
      <c r="A59" s="31">
        <f>IF(B59=0,"",RANK(B59,$B$2:$B$94,0))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APOLLO</t>
        </is>
      </c>
      <c r="D59" s="31" t="inlineStr">
        <is>
          <t>Apollo Micro Systems Ltd</t>
        </is>
      </c>
      <c r="E59" s="31" t="inlineStr">
        <is>
          <t>aerospace &amp; defence</t>
        </is>
      </c>
      <c r="F59" s="31" t="inlineStr">
        <is>
          <t>Aerospace &amp; Defence - Equipments</t>
        </is>
      </c>
      <c r="G59" s="31" t="inlineStr">
        <is>
          <t>midcap</t>
        </is>
      </c>
      <c r="H59" s="32" t="n">
        <v>14766.68</v>
      </c>
      <c r="I59" s="32" t="n">
        <v>409.4</v>
      </c>
      <c r="J59" s="32" t="n">
        <v>7.24</v>
      </c>
      <c r="K59" s="32" t="n">
        <v>0</v>
      </c>
      <c r="L59" s="31" t="n">
        <v>94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71.8</v>
      </c>
      <c r="P59" s="32" t="n">
        <v>33.81</v>
      </c>
      <c r="Q59" s="32" t="n">
        <v>298.51</v>
      </c>
      <c r="R59" s="31" t="inlineStr">
        <is>
          <t>Near 52W High Breakout</t>
        </is>
      </c>
      <c r="S59" s="31" t="inlineStr">
        <is>
          <t>Nifty 50</t>
        </is>
      </c>
      <c r="T59" s="32" t="n">
        <v>-4.43</v>
      </c>
      <c r="U59" s="32" t="n">
        <v>111.18</v>
      </c>
      <c r="V59" s="32" t="n">
        <v>120.98</v>
      </c>
      <c r="W59" s="32" t="n">
        <v>46.5</v>
      </c>
      <c r="X59" s="31" t="inlineStr">
        <is>
          <t>Cyclical in an Upturn</t>
        </is>
      </c>
      <c r="Y59" s="31">
        <f>IF(X59="Growing Industry",10,IF(X59="Cyclical in an Upturn",5,0))</f>
        <v/>
      </c>
      <c r="Z59" s="31" t="inlineStr">
        <is>
          <t>Oligopoly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Cyclical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Fully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Above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Yes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Between 1.5 to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23</t>
        </is>
      </c>
      <c r="CG59" s="31">
        <f>IF(CF59&gt;20,10,IF(CF59&gt;=10,5,2))</f>
        <v/>
      </c>
    </row>
    <row r="60">
      <c r="A60" s="31">
        <f>IF(B60=0,"",RANK(B60,$B$2:$B$94,0))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4" t="inlineStr">
        <is>
          <t>CAPLIPOINT</t>
        </is>
      </c>
      <c r="D60" s="34" t="inlineStr">
        <is>
          <t>Caplin Point Laboratories Ltd</t>
        </is>
      </c>
      <c r="E60" s="31" t="inlineStr">
        <is>
          <t>healthcare</t>
        </is>
      </c>
      <c r="F60" s="31" t="inlineStr">
        <is>
          <t>Pharma - Formulators</t>
        </is>
      </c>
      <c r="G60" s="31" t="inlineStr">
        <is>
          <t>midcap</t>
        </is>
      </c>
      <c r="H60" s="32" t="n">
        <v>18302.1</v>
      </c>
      <c r="I60" s="32" t="n">
        <v>2407.8</v>
      </c>
      <c r="J60" s="32" t="n">
        <v>3.29</v>
      </c>
      <c r="K60" s="32" t="n">
        <v>0</v>
      </c>
      <c r="L60" s="31" t="n">
        <v>47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76.51000000000001</v>
      </c>
      <c r="P60" s="32" t="n">
        <v>24.2</v>
      </c>
      <c r="Q60" s="32" t="n">
        <v>1976.39</v>
      </c>
      <c r="R60" s="31" t="inlineStr">
        <is>
          <t>Volume Spike &amp; Near 52W High Breakout</t>
        </is>
      </c>
      <c r="S60" s="31" t="inlineStr">
        <is>
          <t>Nifty Pharma</t>
        </is>
      </c>
      <c r="T60" s="32" t="n">
        <v>10.89</v>
      </c>
      <c r="U60" s="32" t="n">
        <v>12.87</v>
      </c>
      <c r="V60" s="32" t="n">
        <v>1.78</v>
      </c>
      <c r="W60" s="32" t="n">
        <v>13.48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Yes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Between 12 to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21</t>
        </is>
      </c>
      <c r="CG60" s="31">
        <f>IF(CF60&gt;20,10,IF(CF60&gt;=10,5,2))</f>
        <v/>
      </c>
    </row>
    <row r="61">
      <c r="A61" s="31">
        <f>IF(B61=0,"",RANK(B61,$B$2:$B$94,0))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1" t="inlineStr">
        <is>
          <t>VIYASH</t>
        </is>
      </c>
      <c r="D61" s="31" t="inlineStr">
        <is>
          <t>Viyash Scientific Ltd</t>
        </is>
      </c>
      <c r="E61" s="31" t="inlineStr">
        <is>
          <t>healthcare</t>
        </is>
      </c>
      <c r="F61" s="31" t="inlineStr">
        <is>
          <t>Pharma - Animal</t>
        </is>
      </c>
      <c r="G61" s="31" t="inlineStr">
        <is>
          <t>midcap</t>
        </is>
      </c>
      <c r="H61" s="32" t="n">
        <v>10919.7</v>
      </c>
      <c r="I61" s="32" t="n">
        <v>249.95</v>
      </c>
      <c r="J61" s="32" t="n">
        <v>0.3</v>
      </c>
      <c r="K61" s="32" t="n">
        <v>0</v>
      </c>
      <c r="L61" s="31" t="n">
        <v>38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65.18000000000001</v>
      </c>
      <c r="P61" s="32" t="n">
        <v>30.46</v>
      </c>
      <c r="Q61" s="32" t="n">
        <v>197.5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10.89</v>
      </c>
      <c r="U61" s="32" t="n">
        <v>26.71</v>
      </c>
      <c r="V61" s="32" t="n">
        <v>14.26</v>
      </c>
      <c r="W61" s="32" t="n">
        <v>10.98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More than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18</t>
        </is>
      </c>
      <c r="CG61" s="31">
        <f>IF(CF61&gt;20,10,IF(CF61&gt;=10,5,2))</f>
        <v/>
      </c>
    </row>
    <row r="62">
      <c r="A62" s="31">
        <f>IF(B62=0,"",RANK(B62,$B$2:$B$94,0))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1" t="inlineStr">
        <is>
          <t>MINDACORP</t>
        </is>
      </c>
      <c r="D62" s="31" t="inlineStr">
        <is>
          <t>Minda Corporation Ltd</t>
        </is>
      </c>
      <c r="E62" s="31" t="inlineStr">
        <is>
          <t>auto</t>
        </is>
      </c>
      <c r="F62" s="31" t="inlineStr">
        <is>
          <t>Auto Ancillaries - Diversified</t>
        </is>
      </c>
      <c r="G62" s="31" t="inlineStr">
        <is>
          <t>midcap</t>
        </is>
      </c>
      <c r="H62" s="32" t="n">
        <v>15234.14</v>
      </c>
      <c r="I62" s="32" t="n">
        <v>637.2</v>
      </c>
      <c r="J62" s="32" t="n">
        <v>0.68</v>
      </c>
      <c r="K62" s="32" t="n">
        <v>0</v>
      </c>
      <c r="L62" s="31" t="n">
        <v>38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64.19</v>
      </c>
      <c r="P62" s="32" t="n">
        <v>19.81</v>
      </c>
      <c r="Q62" s="32" t="n">
        <v>513.37</v>
      </c>
      <c r="R62" s="31" t="inlineStr">
        <is>
          <t>Near 52W High Breakout</t>
        </is>
      </c>
      <c r="S62" s="31" t="inlineStr">
        <is>
          <t>Nifty Auto</t>
        </is>
      </c>
      <c r="T62" s="32" t="n">
        <v>12.72</v>
      </c>
      <c r="U62" s="32" t="n">
        <v>16.8</v>
      </c>
      <c r="V62" s="32" t="n">
        <v>3.62</v>
      </c>
      <c r="W62" s="32" t="n">
        <v>11.07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0 to 20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23</t>
        </is>
      </c>
      <c r="CG62" s="31">
        <f>IF(CF62&gt;20,10,IF(CF62&gt;=10,5,2))</f>
        <v/>
      </c>
    </row>
    <row r="63">
      <c r="A63" s="31">
        <f>IF(B63=0,"",RANK(B63,$B$2:$B$94,0))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4" t="inlineStr">
        <is>
          <t>ADVAIT</t>
        </is>
      </c>
      <c r="D63" s="34" t="inlineStr">
        <is>
          <t>Advait Energy Transitions Limited</t>
        </is>
      </c>
      <c r="E63" s="31" t="inlineStr">
        <is>
          <t>Industrials</t>
        </is>
      </c>
      <c r="F63" s="31" t="inlineStr">
        <is>
          <t>EPC</t>
        </is>
      </c>
      <c r="G63" s="31" t="inlineStr">
        <is>
          <t>smallcap</t>
        </is>
      </c>
      <c r="H63" s="32" t="n">
        <v>2529.81</v>
      </c>
      <c r="I63" s="32" t="n">
        <v>2311.8</v>
      </c>
      <c r="J63" s="32" t="n">
        <v>4.27</v>
      </c>
      <c r="K63" s="32" t="n">
        <v>0</v>
      </c>
      <c r="L63" s="31" t="n">
        <v>53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69.73</v>
      </c>
      <c r="P63" s="32" t="n">
        <v>28.18</v>
      </c>
      <c r="Q63" s="32" t="n">
        <v>1641.52</v>
      </c>
      <c r="R63" s="31" t="inlineStr">
        <is>
          <t>Near 52W High Breakout</t>
        </is>
      </c>
      <c r="S63" s="31" t="inlineStr">
        <is>
          <t>Nifty 50</t>
        </is>
      </c>
      <c r="T63" s="32" t="n">
        <v>-4.43</v>
      </c>
      <c r="U63" s="32" t="n">
        <v>13.54</v>
      </c>
      <c r="V63" s="32" t="n">
        <v>18.81</v>
      </c>
      <c r="W63" s="32" t="n">
        <v>15.59</v>
      </c>
      <c r="X63" s="31" t="inlineStr">
        <is>
          <t>Cyclical in an Upturn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Negative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Less than 0.7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21</t>
        </is>
      </c>
      <c r="CG63" s="31">
        <f>IF(CF63&gt;20,10,IF(CF63&gt;=10,5,2))</f>
        <v/>
      </c>
    </row>
    <row r="64">
      <c r="A64" s="31">
        <f>IF(B64=0,"",RANK(B64,$B$2:$B$94,0))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1" t="inlineStr">
        <is>
          <t>CRAFTSMAN</t>
        </is>
      </c>
      <c r="D64" s="31" t="inlineStr">
        <is>
          <t>Craftsman Automation Ltd</t>
        </is>
      </c>
      <c r="E64" s="31" t="inlineStr">
        <is>
          <t>auto</t>
        </is>
      </c>
      <c r="F64" s="31" t="inlineStr">
        <is>
          <t>Auto &amp; Auto Ancl - CV</t>
        </is>
      </c>
      <c r="G64" s="31" t="inlineStr">
        <is>
          <t>largecap</t>
        </is>
      </c>
      <c r="H64" s="32" t="n">
        <v>21273.22</v>
      </c>
      <c r="I64" s="32" t="n">
        <v>8917.5</v>
      </c>
      <c r="J64" s="32" t="n">
        <v>1.42</v>
      </c>
      <c r="K64" s="32" t="n">
        <v>0</v>
      </c>
      <c r="L64" s="31" t="n">
        <v>65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64.2</v>
      </c>
      <c r="P64" s="32" t="n">
        <v>32.61</v>
      </c>
      <c r="Q64" s="32" t="n">
        <v>7056.85</v>
      </c>
      <c r="R64" s="31" t="inlineStr">
        <is>
          <t>Near 52W High Breakout</t>
        </is>
      </c>
      <c r="S64" s="31" t="inlineStr">
        <is>
          <t>Nifty Auto</t>
        </is>
      </c>
      <c r="T64" s="32" t="n">
        <v>12.72</v>
      </c>
      <c r="U64" s="32" t="n">
        <v>68.34999999999999</v>
      </c>
      <c r="V64" s="32" t="n">
        <v>49.36</v>
      </c>
      <c r="W64" s="32" t="n">
        <v>18.71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Less than 50% and Borrowings are increasing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Between 0.7 to 1.2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IF(B65=0,"",RANK(B65,$B$2:$B$94,0))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4" t="inlineStr">
        <is>
          <t>VINCOFE</t>
        </is>
      </c>
      <c r="D65" s="34" t="inlineStr">
        <is>
          <t>Vintage Coffee &amp; Beverages Ltd</t>
        </is>
      </c>
      <c r="E65" s="31" t="inlineStr">
        <is>
          <t>consumer discretionary</t>
        </is>
      </c>
      <c r="F65" s="31" t="inlineStr">
        <is>
          <t>FMCG - Coffee</t>
        </is>
      </c>
      <c r="G65" s="31" t="inlineStr">
        <is>
          <t>smallcap</t>
        </is>
      </c>
      <c r="H65" s="32" t="n">
        <v>2322.27</v>
      </c>
      <c r="I65" s="32" t="n">
        <v>159.4</v>
      </c>
      <c r="J65" s="32" t="n">
        <v>0.03</v>
      </c>
      <c r="K65" s="32" t="n">
        <v>0</v>
      </c>
      <c r="L65" s="31" t="n">
        <v>44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60.74</v>
      </c>
      <c r="P65" s="32" t="n">
        <v>12.75</v>
      </c>
      <c r="Q65" s="32" t="n">
        <v>118.44</v>
      </c>
      <c r="R65" s="31" t="inlineStr">
        <is>
          <t>Volume Spike / Accumulation</t>
        </is>
      </c>
      <c r="S65" s="31" t="inlineStr">
        <is>
          <t>Nifty 50</t>
        </is>
      </c>
      <c r="T65" s="32" t="n">
        <v>-4.43</v>
      </c>
      <c r="U65" s="32" t="n">
        <v>27.58</v>
      </c>
      <c r="V65" s="32" t="n">
        <v>33.5</v>
      </c>
      <c r="W65" s="32" t="n">
        <v>12.82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B2C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0 to 20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Between 12 to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Between 1.5 to 2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23</t>
        </is>
      </c>
      <c r="CG65" s="31">
        <f>IF(CF65&gt;20,10,IF(CF65&gt;=10,5,2))</f>
        <v/>
      </c>
    </row>
    <row r="66">
      <c r="A66" s="31">
        <f>IF(B66=0,"",RANK(B66,$B$2:$B$94,0))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AKUMS</t>
        </is>
      </c>
      <c r="D66" s="34" t="inlineStr">
        <is>
          <t>Akums Drugs &amp; Pharmaceuticals Ltd</t>
        </is>
      </c>
      <c r="E66" s="31" t="inlineStr">
        <is>
          <t>healthcare</t>
        </is>
      </c>
      <c r="F66" s="31" t="inlineStr">
        <is>
          <t>Pharma - Formulators</t>
        </is>
      </c>
      <c r="G66" s="31" t="inlineStr">
        <is>
          <t>midcap</t>
        </is>
      </c>
      <c r="H66" s="32" t="n">
        <v>9804.07</v>
      </c>
      <c r="I66" s="32" t="n">
        <v>622.9</v>
      </c>
      <c r="J66" s="32" t="n">
        <v>2.27</v>
      </c>
      <c r="K66" s="32" t="n">
        <v>0</v>
      </c>
      <c r="L66" s="31" t="n">
        <v>32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71.76000000000001</v>
      </c>
      <c r="P66" s="32" t="n">
        <v>37.15</v>
      </c>
      <c r="Q66" s="32" t="n">
        <v>498.26</v>
      </c>
      <c r="R66" s="31" t="inlineStr">
        <is>
          <t>Volume Spike &amp; Near 52W High Breakout</t>
        </is>
      </c>
      <c r="S66" s="31" t="inlineStr">
        <is>
          <t>Nifty Pharma</t>
        </is>
      </c>
      <c r="T66" s="32" t="n">
        <v>10.89</v>
      </c>
      <c r="U66" s="32" t="n">
        <v>8.84</v>
      </c>
      <c r="V66" s="32" t="n">
        <v>-1.85</v>
      </c>
      <c r="W66" s="32" t="n">
        <v>9.67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Yes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Less than 12%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No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17</t>
        </is>
      </c>
      <c r="CG66" s="31">
        <f>IF(CF66&gt;20,10,IF(CF66&gt;=10,5,2))</f>
        <v/>
      </c>
    </row>
    <row r="67">
      <c r="A67" s="31">
        <f>IF(B67=0,"",RANK(B67,$B$2:$B$94,0))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1" t="inlineStr">
        <is>
          <t>JAYBARMARU</t>
        </is>
      </c>
      <c r="D67" s="31" t="inlineStr">
        <is>
          <t>Jay Bharat Maruti Ltd</t>
        </is>
      </c>
      <c r="E67" s="31" t="inlineStr">
        <is>
          <t>auto</t>
        </is>
      </c>
      <c r="F67" s="31" t="inlineStr">
        <is>
          <t>Auto Ancillaries - Diversified</t>
        </is>
      </c>
      <c r="G67" s="31" t="inlineStr">
        <is>
          <t>smallcap</t>
        </is>
      </c>
      <c r="H67" s="32" t="n">
        <v>1565.94</v>
      </c>
      <c r="I67" s="32" t="n">
        <v>144.66</v>
      </c>
      <c r="J67" s="32" t="n">
        <v>10</v>
      </c>
      <c r="K67" s="32" t="n">
        <v>0</v>
      </c>
      <c r="L67" s="31" t="n">
        <v>83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70.31999999999999</v>
      </c>
      <c r="P67" s="32" t="n">
        <v>17.18</v>
      </c>
      <c r="Q67" s="32" t="n">
        <v>104.53</v>
      </c>
      <c r="R67" s="31" t="inlineStr">
        <is>
          <t>Volume Spike &amp; Near 52W High Breakout</t>
        </is>
      </c>
      <c r="S67" s="31" t="inlineStr">
        <is>
          <t>Nifty Auto</t>
        </is>
      </c>
      <c r="T67" s="32" t="n">
        <v>12.72</v>
      </c>
      <c r="U67" s="32" t="n">
        <v>86.31999999999999</v>
      </c>
      <c r="V67" s="32" t="n">
        <v>65.3</v>
      </c>
      <c r="W67" s="32" t="n">
        <v>28.52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0 to 20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Blue sky scenario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Between 0.7 to 1.2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25</t>
        </is>
      </c>
      <c r="CG67" s="31">
        <f>IF(CF67&gt;20,10,IF(CF67&gt;=10,5,2))</f>
        <v/>
      </c>
    </row>
    <row r="68">
      <c r="A68" s="31">
        <f>IF(B68=0,"",RANK(B68,$B$2:$B$94,0))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4" t="inlineStr">
        <is>
          <t>SFL</t>
        </is>
      </c>
      <c r="D68" s="34" t="inlineStr">
        <is>
          <t>Sheela Foam Ltd</t>
        </is>
      </c>
      <c r="E68" s="31" t="inlineStr">
        <is>
          <t>consumer discretionary</t>
        </is>
      </c>
      <c r="F68" s="31" t="inlineStr">
        <is>
          <t>Mattress</t>
        </is>
      </c>
      <c r="G68" s="31" t="inlineStr">
        <is>
          <t>midcap</t>
        </is>
      </c>
      <c r="H68" s="32" t="n">
        <v>7682.69</v>
      </c>
      <c r="I68" s="32" t="n">
        <v>703.55</v>
      </c>
      <c r="J68" s="32" t="n">
        <v>3.41</v>
      </c>
      <c r="K68" s="32" t="n">
        <v>0</v>
      </c>
      <c r="L68" s="31" t="n">
        <v>36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66.06</v>
      </c>
      <c r="P68" s="32" t="n">
        <v>19.55</v>
      </c>
      <c r="Q68" s="32" t="n">
        <v>535.58</v>
      </c>
      <c r="R68" s="31" t="inlineStr">
        <is>
          <t>Volume Spike / Accumulation</t>
        </is>
      </c>
      <c r="S68" s="31" t="inlineStr">
        <is>
          <t>Nifty 50</t>
        </is>
      </c>
      <c r="T68" s="32" t="n">
        <v>-4.43</v>
      </c>
      <c r="U68" s="32" t="n">
        <v>5.45</v>
      </c>
      <c r="V68" s="32" t="n">
        <v>10.34</v>
      </c>
      <c r="W68" s="32" t="n">
        <v>10.23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0 to 20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22</t>
        </is>
      </c>
      <c r="CG68" s="31">
        <f>IF(CF68&gt;20,10,IF(CF68&gt;=10,5,2))</f>
        <v/>
      </c>
    </row>
    <row r="69">
      <c r="A69" s="31">
        <f>IF(B69=0,"",RANK(B69,$B$2:$B$94,0))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4" t="inlineStr">
        <is>
          <t>DIFFNKG</t>
        </is>
      </c>
      <c r="D69" s="34" t="inlineStr">
        <is>
          <t>Diffusion Engineers Ltd</t>
        </is>
      </c>
      <c r="E69" s="31" t="inlineStr">
        <is>
          <t>industrials</t>
        </is>
      </c>
      <c r="F69" s="31" t="inlineStr">
        <is>
          <t>Welding Equipments</t>
        </is>
      </c>
      <c r="G69" s="31" t="inlineStr">
        <is>
          <t>smallcap</t>
        </is>
      </c>
      <c r="H69" s="32" t="n">
        <v>1353.89</v>
      </c>
      <c r="I69" s="32" t="n">
        <v>361.75</v>
      </c>
      <c r="J69" s="32" t="n">
        <v>-0.18</v>
      </c>
      <c r="K69" s="32" t="n">
        <v>0</v>
      </c>
      <c r="L69" s="31" t="n">
        <v>63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65.13</v>
      </c>
      <c r="P69" s="32" t="n">
        <v>14.56</v>
      </c>
      <c r="Q69" s="32" t="n">
        <v>264.44</v>
      </c>
      <c r="R69" s="31" t="inlineStr">
        <is>
          <t>Volume Spike / Accumulation</t>
        </is>
      </c>
      <c r="S69" s="31" t="inlineStr">
        <is>
          <t>Nifty Infra</t>
        </is>
      </c>
      <c r="T69" s="32" t="n">
        <v>2.95</v>
      </c>
      <c r="U69" s="32" t="n">
        <v>20.52</v>
      </c>
      <c r="V69" s="32" t="n">
        <v>17.06</v>
      </c>
      <c r="W69" s="32" t="n">
        <v>18.1</v>
      </c>
      <c r="X69" s="31" t="inlineStr">
        <is>
          <t>Cyclical in an Upturn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0 to 20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20</t>
        </is>
      </c>
      <c r="CG69" s="31">
        <f>IF(CF69&gt;20,10,IF(CF69&gt;=10,5,2))</f>
        <v/>
      </c>
    </row>
    <row r="70">
      <c r="A70" s="31">
        <f>IF(B70=0,"",RANK(B70,$B$2:$B$94,0))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4" t="inlineStr">
        <is>
          <t>SUNSHIEL</t>
        </is>
      </c>
      <c r="D70" s="34" t="inlineStr">
        <is>
          <t>Sunshield Chemicals Ltd</t>
        </is>
      </c>
      <c r="E70" s="31" t="inlineStr">
        <is>
          <t>Basic Materials</t>
        </is>
      </c>
      <c r="F70" s="31" t="inlineStr">
        <is>
          <t>Speciality Chemicals</t>
        </is>
      </c>
      <c r="G70" s="31" t="inlineStr">
        <is>
          <t>smallcap</t>
        </is>
      </c>
      <c r="H70" s="32" t="n">
        <v>1050.89</v>
      </c>
      <c r="I70" s="32" t="n">
        <v>1194.9</v>
      </c>
      <c r="J70" s="32" t="n">
        <v>-1.9</v>
      </c>
      <c r="K70" s="32" t="n">
        <v>0</v>
      </c>
      <c r="L70" s="31" t="n">
        <v>73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72.95999999999999</v>
      </c>
      <c r="P70" s="32" t="n">
        <v>23.17</v>
      </c>
      <c r="Q70" s="32" t="n">
        <v>845.5700000000001</v>
      </c>
      <c r="R70" s="31" t="inlineStr">
        <is>
          <t>Volume Spike &amp; Near 52W High Breakout</t>
        </is>
      </c>
      <c r="S70" s="31" t="inlineStr">
        <is>
          <t>Nifty 50</t>
        </is>
      </c>
      <c r="T70" s="32" t="n">
        <v>-4.43</v>
      </c>
      <c r="U70" s="32" t="n">
        <v>56.44</v>
      </c>
      <c r="V70" s="32" t="n">
        <v>63.7</v>
      </c>
      <c r="W70" s="32" t="n">
        <v>23.08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20</t>
        </is>
      </c>
      <c r="CG70" s="31">
        <f>IF(CF70&gt;20,10,IF(CF70&gt;=10,5,2))</f>
        <v/>
      </c>
    </row>
    <row r="71">
      <c r="A71" s="31">
        <f>IF(B71=0,"",RANK(B71,$B$2:$B$94,0))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1" t="inlineStr">
        <is>
          <t>SANDHAR</t>
        </is>
      </c>
      <c r="D71" s="31" t="inlineStr">
        <is>
          <t>Sandhar Technologies Limited</t>
        </is>
      </c>
      <c r="E71" s="31" t="inlineStr">
        <is>
          <t>auto</t>
        </is>
      </c>
      <c r="F71" s="31" t="inlineStr">
        <is>
          <t>Auto Ancillaries - 2&amp;3 Wheelers</t>
        </is>
      </c>
      <c r="G71" s="31" t="inlineStr">
        <is>
          <t>smallcap</t>
        </is>
      </c>
      <c r="H71" s="32" t="n">
        <v>4285.58</v>
      </c>
      <c r="I71" s="32" t="n">
        <v>712</v>
      </c>
      <c r="J71" s="32" t="n">
        <v>-3.08</v>
      </c>
      <c r="K71" s="32" t="n">
        <v>0</v>
      </c>
      <c r="L71" s="31" t="n">
        <v>61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72</v>
      </c>
      <c r="P71" s="32" t="n">
        <v>19.46</v>
      </c>
      <c r="Q71" s="32" t="n">
        <v>527.35</v>
      </c>
      <c r="R71" s="31" t="inlineStr">
        <is>
          <t>Near 52W High Breakout</t>
        </is>
      </c>
      <c r="S71" s="31" t="inlineStr">
        <is>
          <t>Nifty Auto</t>
        </is>
      </c>
      <c r="T71" s="32" t="n">
        <v>12.72</v>
      </c>
      <c r="U71" s="32" t="n">
        <v>34.17</v>
      </c>
      <c r="V71" s="32" t="n">
        <v>19.04</v>
      </c>
      <c r="W71" s="32" t="n">
        <v>17.84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0 to 20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Blue sky scenario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20</t>
        </is>
      </c>
      <c r="CG71" s="31">
        <f>IF(CF71&gt;20,10,IF(CF71&gt;=10,5,2))</f>
        <v/>
      </c>
    </row>
    <row r="72">
      <c r="A72" s="31">
        <f>IF(B72=0,"",RANK(B72,$B$2:$B$94,0))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YASHO</t>
        </is>
      </c>
      <c r="D72" s="34" t="inlineStr">
        <is>
          <t>Yasho Industries Ltd</t>
        </is>
      </c>
      <c r="E72" s="31" t="inlineStr">
        <is>
          <t>chemicals</t>
        </is>
      </c>
      <c r="F72" s="31" t="inlineStr">
        <is>
          <t>Speciality Chemicals</t>
        </is>
      </c>
      <c r="G72" s="31" t="inlineStr">
        <is>
          <t>smallcap</t>
        </is>
      </c>
      <c r="H72" s="32" t="n">
        <v>3460.87</v>
      </c>
      <c r="I72" s="32" t="n">
        <v>2870.4</v>
      </c>
      <c r="J72" s="32" t="n">
        <v>12.42</v>
      </c>
      <c r="K72" s="32" t="n">
        <v>0</v>
      </c>
      <c r="L72" s="31" t="n">
        <v>93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83.59</v>
      </c>
      <c r="P72" s="32" t="n">
        <v>22.25</v>
      </c>
      <c r="Q72" s="32" t="n">
        <v>2173.43</v>
      </c>
      <c r="R72" s="31" t="inlineStr">
        <is>
          <t>Volume Spike &amp; Near 52W High Breakout</t>
        </is>
      </c>
      <c r="S72" s="31" t="inlineStr">
        <is>
          <t>Nifty IT</t>
        </is>
      </c>
      <c r="T72" s="32" t="n">
        <v>-27.75</v>
      </c>
      <c r="U72" s="32" t="n">
        <v>45.35</v>
      </c>
      <c r="V72" s="32" t="n">
        <v>101.16</v>
      </c>
      <c r="W72" s="32" t="n">
        <v>40.32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More than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19</t>
        </is>
      </c>
      <c r="CG72" s="31">
        <f>IF(CF72&gt;20,10,IF(CF72&gt;=10,5,2))</f>
        <v/>
      </c>
    </row>
    <row r="73">
      <c r="A73" s="31">
        <f>IF(B73=0,"",RANK(B73,$B$2:$B$94,0))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1" t="inlineStr">
        <is>
          <t>CNCRD</t>
        </is>
      </c>
      <c r="D73" s="31" t="inlineStr">
        <is>
          <t>Concord Control Systems Ltd</t>
        </is>
      </c>
      <c r="E73" s="31" t="inlineStr">
        <is>
          <t>Industrials</t>
        </is>
      </c>
      <c r="F73" s="31" t="inlineStr">
        <is>
          <t>Capital Goods - Engineering Heavy</t>
        </is>
      </c>
      <c r="G73" s="31" t="inlineStr">
        <is>
          <t>smallcap</t>
        </is>
      </c>
      <c r="H73" s="32" t="n">
        <v>3062.07</v>
      </c>
      <c r="I73" s="32" t="n">
        <v>2949</v>
      </c>
      <c r="J73" s="32" t="n">
        <v>8.48</v>
      </c>
      <c r="K73" s="32" t="n">
        <v>0</v>
      </c>
      <c r="L73" s="31" t="n">
        <v>86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62.6</v>
      </c>
      <c r="P73" s="32" t="n">
        <v>25.74</v>
      </c>
      <c r="Q73" s="32" t="n">
        <v>2038.64</v>
      </c>
      <c r="R73" s="31" t="inlineStr">
        <is>
          <t>Near 52W High Breakout</t>
        </is>
      </c>
      <c r="S73" s="31" t="inlineStr">
        <is>
          <t>Nifty 50</t>
        </is>
      </c>
      <c r="T73" s="32" t="n">
        <v>-4.43</v>
      </c>
      <c r="U73" s="32" t="n">
        <v>164.51</v>
      </c>
      <c r="V73" s="32" t="n">
        <v>176.78</v>
      </c>
      <c r="W73" s="32" t="n">
        <v>32.43</v>
      </c>
      <c r="X73" s="31" t="inlineStr">
        <is>
          <t>Cyclical in an Upturn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18</t>
        </is>
      </c>
      <c r="CG73" s="31">
        <f>IF(CF73&gt;20,10,IF(CF73&gt;=10,5,2))</f>
        <v/>
      </c>
    </row>
    <row r="74">
      <c r="A74" s="31">
        <f>IF(B74=0,"",RANK(B74,$B$2:$B$94,0))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1" t="inlineStr">
        <is>
          <t>FIEMIND</t>
        </is>
      </c>
      <c r="D74" s="31" t="inlineStr">
        <is>
          <t>Fiem Industries Ltd</t>
        </is>
      </c>
      <c r="E74" s="31" t="inlineStr">
        <is>
          <t>auto</t>
        </is>
      </c>
      <c r="F74" s="31" t="inlineStr">
        <is>
          <t>Auto Ancillaries - 2&amp;3 Wheelers</t>
        </is>
      </c>
      <c r="G74" s="31" t="inlineStr">
        <is>
          <t>midcap</t>
        </is>
      </c>
      <c r="H74" s="32" t="n">
        <v>6076.42</v>
      </c>
      <c r="I74" s="32" t="n">
        <v>2308.7</v>
      </c>
      <c r="J74" s="32" t="n">
        <v>2.75</v>
      </c>
      <c r="K74" s="32" t="n">
        <v>0</v>
      </c>
      <c r="L74" s="31" t="n">
        <v>21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58.72</v>
      </c>
      <c r="P74" s="32" t="n">
        <v>14.97</v>
      </c>
      <c r="Q74" s="32" t="n">
        <v>1844.66</v>
      </c>
      <c r="R74" s="31" t="inlineStr">
        <is>
          <t>Near 52W High Breakout</t>
        </is>
      </c>
      <c r="S74" s="31" t="inlineStr">
        <is>
          <t>Nifty Auto</t>
        </is>
      </c>
      <c r="T74" s="32" t="n">
        <v>12.72</v>
      </c>
      <c r="U74" s="32" t="n">
        <v>23.85</v>
      </c>
      <c r="V74" s="32" t="n">
        <v>9.880000000000001</v>
      </c>
      <c r="W74" s="32" t="n">
        <v>7.36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Headwind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Less than 50%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18</t>
        </is>
      </c>
      <c r="CG74" s="31">
        <f>IF(CF74&gt;20,10,IF(CF74&gt;=10,5,2))</f>
        <v/>
      </c>
    </row>
    <row r="75">
      <c r="A75" s="31">
        <f>IF(B75=0,"",RANK(B75,$B$2:$B$94,0))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4" t="inlineStr">
        <is>
          <t>STLTECH</t>
        </is>
      </c>
      <c r="D75" s="34" t="inlineStr">
        <is>
          <t>Sterlite Technologies Ltd</t>
        </is>
      </c>
      <c r="E75" s="31" t="inlineStr">
        <is>
          <t>industrials</t>
        </is>
      </c>
      <c r="F75" s="31" t="inlineStr">
        <is>
          <t>Cables - Telecom</t>
        </is>
      </c>
      <c r="G75" s="31" t="inlineStr">
        <is>
          <t>largecap</t>
        </is>
      </c>
      <c r="H75" s="32" t="n">
        <v>28491.9</v>
      </c>
      <c r="I75" s="32" t="n">
        <v>583.65</v>
      </c>
      <c r="J75" s="32" t="n">
        <v>2.68</v>
      </c>
      <c r="K75" s="32" t="n">
        <v>0</v>
      </c>
      <c r="L75" s="31" t="n">
        <v>99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87.84999999999999</v>
      </c>
      <c r="P75" s="32" t="n">
        <v>79.36</v>
      </c>
      <c r="Q75" s="32" t="n">
        <v>479.73</v>
      </c>
      <c r="R75" s="31" t="inlineStr">
        <is>
          <t>Earnings / Momentum Support</t>
        </is>
      </c>
      <c r="S75" s="31" t="inlineStr">
        <is>
          <t>Nifty Infra</t>
        </is>
      </c>
      <c r="T75" s="32" t="n">
        <v>2.95</v>
      </c>
      <c r="U75" s="32" t="n">
        <v>600.41</v>
      </c>
      <c r="V75" s="32" t="n">
        <v>580.33</v>
      </c>
      <c r="W75" s="32" t="n">
        <v>107.58</v>
      </c>
      <c r="X75" s="31" t="inlineStr">
        <is>
          <t>Cyclical in an Upturn</t>
        </is>
      </c>
      <c r="Y75" s="31">
        <f>IF(X75="Growing Industry",10,IF(X75="Cyclical in an Upturn",5,0))</f>
        <v/>
      </c>
      <c r="Z75" s="31" t="inlineStr">
        <is>
          <t>Oligopoly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Yes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Between 0.7 to 1.2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17</t>
        </is>
      </c>
      <c r="CG75" s="31">
        <f>IF(CF75&gt;20,10,IF(CF75&gt;=10,5,2))</f>
        <v/>
      </c>
    </row>
    <row r="76">
      <c r="A76" s="31">
        <f>IF(B76=0,"",RANK(B76,$B$2:$B$94,0))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3" t="inlineStr">
        <is>
          <t>GUFICBIO</t>
        </is>
      </c>
      <c r="D76" s="33" t="inlineStr">
        <is>
          <t>Gufic BioSciences Ltd</t>
        </is>
      </c>
      <c r="E76" s="31" t="inlineStr">
        <is>
          <t>healthcare</t>
        </is>
      </c>
      <c r="F76" s="31" t="inlineStr">
        <is>
          <t>Pharma - Formulators</t>
        </is>
      </c>
      <c r="G76" s="31" t="inlineStr">
        <is>
          <t>smallcap</t>
        </is>
      </c>
      <c r="H76" s="32" t="n">
        <v>3722.99</v>
      </c>
      <c r="I76" s="32" t="n">
        <v>371.25</v>
      </c>
      <c r="J76" s="32" t="n">
        <v>5.11</v>
      </c>
      <c r="K76" s="32" t="n">
        <v>0</v>
      </c>
      <c r="L76" s="31" t="n">
        <v>19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65.48999999999999</v>
      </c>
      <c r="P76" s="32" t="n">
        <v>22.26</v>
      </c>
      <c r="Q76" s="32" t="n">
        <v>285.62</v>
      </c>
      <c r="R76" s="31" t="inlineStr">
        <is>
          <t>Volume Spike &amp; Near 52W High Breakout</t>
        </is>
      </c>
      <c r="S76" s="31" t="inlineStr">
        <is>
          <t>Nifty Pharma</t>
        </is>
      </c>
      <c r="T76" s="32" t="n">
        <v>10.89</v>
      </c>
      <c r="U76" s="32" t="n">
        <v>0.19</v>
      </c>
      <c r="V76" s="32" t="n">
        <v>-9.65</v>
      </c>
      <c r="W76" s="32" t="n">
        <v>6.96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Yes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Annuity, Lower One Time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20 to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Yes</t>
        </is>
      </c>
      <c r="BS76" s="31">
        <f>IF(BR76="NO",5,0)</f>
        <v/>
      </c>
      <c r="BT76" s="31" t="inlineStr">
        <is>
          <t>Above 2</t>
        </is>
      </c>
      <c r="BU76" s="31">
        <f>IF(BT76="Above 2",0,IF(BT76="Between 1.5 to 2",5,IF(BT76="Less than 1.5",10,0)))</f>
        <v/>
      </c>
      <c r="BV76" s="31" t="inlineStr">
        <is>
          <t>Less than 50%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17</t>
        </is>
      </c>
      <c r="CG76" s="31">
        <f>IF(CF76&gt;20,10,IF(CF76&gt;=10,5,2))</f>
        <v/>
      </c>
    </row>
    <row r="77">
      <c r="A77" s="31">
        <f>IF(B77=0,"",RANK(B77,$B$2:$B$94,0))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1" t="inlineStr">
        <is>
          <t>JNKINDIA</t>
        </is>
      </c>
      <c r="D77" s="31" t="inlineStr">
        <is>
          <t>JNK India Ltd</t>
        </is>
      </c>
      <c r="E77" s="31" t="inlineStr">
        <is>
          <t>realty</t>
        </is>
      </c>
      <c r="F77" s="31" t="inlineStr">
        <is>
          <t>Capital Goods - Engineering Heavy</t>
        </is>
      </c>
      <c r="G77" s="31" t="inlineStr">
        <is>
          <t>smallcap</t>
        </is>
      </c>
      <c r="H77" s="32" t="n">
        <v>2820.36</v>
      </c>
      <c r="I77" s="32" t="n">
        <v>504.05</v>
      </c>
      <c r="J77" s="32" t="n">
        <v>7.24</v>
      </c>
      <c r="K77" s="32" t="n">
        <v>0</v>
      </c>
      <c r="L77" s="31" t="n">
        <v>91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77.48</v>
      </c>
      <c r="P77" s="32" t="n">
        <v>29.06</v>
      </c>
      <c r="Q77" s="32" t="n">
        <v>356.08</v>
      </c>
      <c r="R77" s="31" t="inlineStr">
        <is>
          <t>Volume Spike &amp; Near 52W High Breakout</t>
        </is>
      </c>
      <c r="S77" s="31" t="inlineStr">
        <is>
          <t>Nifty Realty</t>
        </is>
      </c>
      <c r="T77" s="32" t="n">
        <v>-23.58</v>
      </c>
      <c r="U77" s="32" t="n">
        <v>39.11</v>
      </c>
      <c r="V77" s="32" t="n">
        <v>82.03</v>
      </c>
      <c r="W77" s="32" t="n">
        <v>38.41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Above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Negative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33</t>
        </is>
      </c>
      <c r="CG77" s="31">
        <f>IF(CF77&gt;20,10,IF(CF77&gt;=10,5,2))</f>
        <v/>
      </c>
    </row>
    <row r="78">
      <c r="A78" s="31">
        <f>IF(B78=0,"",RANK(B78,$B$2:$B$94,0))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3" t="inlineStr">
        <is>
          <t>BMW</t>
        </is>
      </c>
      <c r="D78" s="33" t="inlineStr">
        <is>
          <t>BMW Industries Ltd</t>
        </is>
      </c>
      <c r="E78" s="31" t="inlineStr">
        <is>
          <t>Basic Materials</t>
        </is>
      </c>
      <c r="F78" s="31" t="inlineStr">
        <is>
          <t>Steel Products</t>
        </is>
      </c>
      <c r="G78" s="31" t="inlineStr">
        <is>
          <t>smallcap</t>
        </is>
      </c>
      <c r="H78" s="32" t="n">
        <v>1369.88</v>
      </c>
      <c r="I78" s="32" t="n">
        <v>60.86</v>
      </c>
      <c r="J78" s="32" t="n">
        <v>-2.17</v>
      </c>
      <c r="K78" s="32" t="n">
        <v>0</v>
      </c>
      <c r="L78" s="31" t="n">
        <v>77</v>
      </c>
      <c r="M78" s="31" t="inlineStr">
        <is>
          <t>Underperforming</t>
        </is>
      </c>
      <c r="N78" s="32">
        <f>IF(M78="Underperforming",-5,IF(L78&gt;=95,15,IF(L78&gt;=90,10,IF(L78&gt;=80,5,0))))</f>
        <v/>
      </c>
      <c r="O78" s="32" t="n">
        <v>72.91</v>
      </c>
      <c r="P78" s="32" t="n">
        <v>35.59</v>
      </c>
      <c r="Q78" s="32" t="n">
        <v>44.05</v>
      </c>
      <c r="R78" s="31" t="inlineStr">
        <is>
          <t>Near 52W High Breakout</t>
        </is>
      </c>
      <c r="S78" s="31" t="inlineStr">
        <is>
          <t>Nifty Metal</t>
        </is>
      </c>
      <c r="T78" s="32" t="n">
        <v>38.84</v>
      </c>
      <c r="U78" s="32" t="n">
        <v>8.91</v>
      </c>
      <c r="V78" s="32" t="n">
        <v>-21.55</v>
      </c>
      <c r="W78" s="32" t="n">
        <v>24.88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Cyclical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Volatile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Close to 52 week high or retracement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21</t>
        </is>
      </c>
      <c r="CG78" s="31">
        <f>IF(CF78&gt;20,10,IF(CF78&gt;=10,5,2))</f>
        <v/>
      </c>
    </row>
    <row r="79">
      <c r="A79" s="31">
        <f>IF(B79=0,"",RANK(B79,$B$2:$B$94,0))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INDNIPPON</t>
        </is>
      </c>
      <c r="D79" s="31" t="inlineStr">
        <is>
          <t>India Nippon Electricals Ltd</t>
        </is>
      </c>
      <c r="E79" s="31" t="inlineStr">
        <is>
          <t>auto</t>
        </is>
      </c>
      <c r="F79" s="31" t="inlineStr">
        <is>
          <t>Auto Ancillaries - Engine Parts</t>
        </is>
      </c>
      <c r="G79" s="31" t="inlineStr">
        <is>
          <t>smallcap</t>
        </is>
      </c>
      <c r="H79" s="32" t="n">
        <v>2013.87</v>
      </c>
      <c r="I79" s="32" t="n">
        <v>890.25</v>
      </c>
      <c r="J79" s="32" t="n">
        <v>3.4</v>
      </c>
      <c r="K79" s="32" t="n">
        <v>0</v>
      </c>
      <c r="L79" s="31" t="n">
        <v>29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59.05</v>
      </c>
      <c r="P79" s="32" t="n">
        <v>11.69</v>
      </c>
      <c r="Q79" s="32" t="n">
        <v>716.97</v>
      </c>
      <c r="R79" s="31" t="inlineStr">
        <is>
          <t>Earnings / Momentum Support</t>
        </is>
      </c>
      <c r="S79" s="31" t="inlineStr">
        <is>
          <t>Nifty Auto</t>
        </is>
      </c>
      <c r="T79" s="32" t="n">
        <v>12.72</v>
      </c>
      <c r="U79" s="32" t="n">
        <v>24.84</v>
      </c>
      <c r="V79" s="32" t="n">
        <v>10.76</v>
      </c>
      <c r="W79" s="32" t="n">
        <v>9.07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No</t>
        </is>
      </c>
      <c r="BS79" s="31">
        <f>IF(BR79="NO",5,0)</f>
        <v/>
      </c>
      <c r="BT79" s="31" t="inlineStr">
        <is>
          <t>Less than 1.5</t>
        </is>
      </c>
      <c r="BU79" s="31">
        <f>IF(BT79="Above 2",0,IF(BT79="Between 1.5 to 2",5,IF(BT79="Less than 1.5",10,0)))</f>
        <v/>
      </c>
      <c r="BV79" s="31" t="inlineStr">
        <is>
          <t>Less than 50%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18</t>
        </is>
      </c>
      <c r="CG79" s="31">
        <f>IF(CF79&gt;20,10,IF(CF79&gt;=10,5,2))</f>
        <v/>
      </c>
    </row>
    <row r="80">
      <c r="A80" s="31">
        <f>IF(B80=0,"",RANK(B80,$B$2:$B$94,0))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MTARTECH</t>
        </is>
      </c>
      <c r="D80" s="31" t="inlineStr">
        <is>
          <t>MTAR Technologies Ltd</t>
        </is>
      </c>
      <c r="E80" s="31" t="inlineStr">
        <is>
          <t>Industrials</t>
        </is>
      </c>
      <c r="F80" s="31" t="inlineStr">
        <is>
          <t>Aerospace &amp; Defence - Equipments</t>
        </is>
      </c>
      <c r="G80" s="31" t="inlineStr">
        <is>
          <t>largecap</t>
        </is>
      </c>
      <c r="H80" s="32" t="n">
        <v>22022.33</v>
      </c>
      <c r="I80" s="32" t="n">
        <v>7159.5</v>
      </c>
      <c r="J80" s="32" t="n">
        <v>13.53</v>
      </c>
      <c r="K80" s="32" t="n">
        <v>0</v>
      </c>
      <c r="L80" s="31" t="n">
        <v>98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75.43000000000001</v>
      </c>
      <c r="P80" s="32" t="n">
        <v>63.18</v>
      </c>
      <c r="Q80" s="32" t="n">
        <v>5793.2</v>
      </c>
      <c r="R80" s="31" t="inlineStr">
        <is>
          <t>Volume Spike / Accumulation</t>
        </is>
      </c>
      <c r="S80" s="31" t="inlineStr">
        <is>
          <t>Nifty 50</t>
        </is>
      </c>
      <c r="T80" s="32" t="n">
        <v>-4.43</v>
      </c>
      <c r="U80" s="32" t="n">
        <v>325.22</v>
      </c>
      <c r="V80" s="32" t="n">
        <v>344.95</v>
      </c>
      <c r="W80" s="32" t="n">
        <v>61.3</v>
      </c>
      <c r="X80" s="31" t="inlineStr">
        <is>
          <t>Cyclical in an Upturn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Negative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17</t>
        </is>
      </c>
      <c r="CG80" s="31">
        <f>IF(CF80&gt;20,10,IF(CF80&gt;=10,5,2))</f>
        <v/>
      </c>
    </row>
    <row r="81">
      <c r="A81" s="31">
        <f>IF(B81=0,"",RANK(B81,$B$2:$B$94,0))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ROBU</t>
        </is>
      </c>
      <c r="D81" s="31" t="inlineStr">
        <is>
          <t>Macfos Ltd</t>
        </is>
      </c>
      <c r="E81" s="31" t="inlineStr">
        <is>
          <t>Technology</t>
        </is>
      </c>
      <c r="F81" s="31" t="inlineStr">
        <is>
          <t>E-Commerce - Platform - Utility</t>
        </is>
      </c>
      <c r="G81" s="31" t="inlineStr">
        <is>
          <t>smallcap</t>
        </is>
      </c>
      <c r="H81" s="32" t="n">
        <v>1201.64</v>
      </c>
      <c r="I81" s="32" t="n">
        <v>1160.05</v>
      </c>
      <c r="J81" s="32" t="n">
        <v>1.34</v>
      </c>
      <c r="K81" s="32" t="n">
        <v>0</v>
      </c>
      <c r="L81" s="31" t="n">
        <v>67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71.08</v>
      </c>
      <c r="P81" s="32" t="n">
        <v>67.97</v>
      </c>
      <c r="Q81" s="32" t="n">
        <v>888.75</v>
      </c>
      <c r="R81" s="31" t="inlineStr">
        <is>
          <t>Earnings / Momentum Support</t>
        </is>
      </c>
      <c r="S81" s="31" t="inlineStr">
        <is>
          <t>Nifty 50</t>
        </is>
      </c>
      <c r="T81" s="32" t="n">
        <v>-4.43</v>
      </c>
      <c r="U81" s="32" t="n">
        <v>60.16</v>
      </c>
      <c r="V81" s="32" t="n">
        <v>67.59</v>
      </c>
      <c r="W81" s="32" t="n">
        <v>19.13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Oligopoly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Yes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20</t>
        </is>
      </c>
      <c r="CG81" s="31">
        <f>IF(CF81&gt;20,10,IF(CF81&gt;=10,5,2))</f>
        <v/>
      </c>
    </row>
    <row r="82">
      <c r="A82" s="31">
        <f>IF(B82=0,"",RANK(B82,$B$2:$B$94,0))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1" t="inlineStr">
        <is>
          <t>DIACABS</t>
        </is>
      </c>
      <c r="D82" s="31" t="inlineStr">
        <is>
          <t>Diamond Power Infrastructure Ltd</t>
        </is>
      </c>
      <c r="E82" s="31" t="inlineStr">
        <is>
          <t>industrials</t>
        </is>
      </c>
      <c r="F82" s="31" t="inlineStr">
        <is>
          <t>Cables - Power</t>
        </is>
      </c>
      <c r="G82" s="31" t="inlineStr">
        <is>
          <t>midcap</t>
        </is>
      </c>
      <c r="H82" s="32" t="n">
        <v>10640.07</v>
      </c>
      <c r="I82" s="32" t="n">
        <v>201.91</v>
      </c>
      <c r="J82" s="32" t="n">
        <v>4.22</v>
      </c>
      <c r="K82" s="32" t="n">
        <v>0</v>
      </c>
      <c r="L82" s="31" t="n">
        <v>84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75.15000000000001</v>
      </c>
      <c r="P82" s="32" t="n">
        <v>32.74</v>
      </c>
      <c r="Q82" s="32" t="n">
        <v>150.81</v>
      </c>
      <c r="R82" s="31" t="inlineStr">
        <is>
          <t>Near 52W High Breakout</t>
        </is>
      </c>
      <c r="S82" s="31" t="inlineStr">
        <is>
          <t>Nifty Energy</t>
        </is>
      </c>
      <c r="T82" s="32" t="n">
        <v>9.800000000000001</v>
      </c>
      <c r="U82" s="32" t="n">
        <v>100.77</v>
      </c>
      <c r="V82" s="32" t="n">
        <v>82.84</v>
      </c>
      <c r="W82" s="32" t="n">
        <v>29.58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Above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Blue sky scenario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Negative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19</t>
        </is>
      </c>
      <c r="CG82" s="31">
        <f>IF(CF82&gt;20,10,IF(CF82&gt;=10,5,2))</f>
        <v/>
      </c>
    </row>
    <row r="83">
      <c r="A83" s="31">
        <f>IF(B83=0,"",RANK(B83,$B$2:$B$94,0))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3" t="inlineStr">
        <is>
          <t>SHYAMMETL</t>
        </is>
      </c>
      <c r="D83" s="33" t="inlineStr">
        <is>
          <t>Shyam Metalics &amp; Energy Ltd</t>
        </is>
      </c>
      <c r="E83" s="31" t="inlineStr">
        <is>
          <t>metals &amp; mining</t>
        </is>
      </c>
      <c r="F83" s="31" t="inlineStr">
        <is>
          <t>Steel Products</t>
        </is>
      </c>
      <c r="G83" s="31" t="inlineStr">
        <is>
          <t>largecap</t>
        </is>
      </c>
      <c r="H83" s="32" t="n">
        <v>27459.6</v>
      </c>
      <c r="I83" s="32" t="n">
        <v>983.75</v>
      </c>
      <c r="J83" s="32" t="n">
        <v>1.48</v>
      </c>
      <c r="K83" s="32" t="n">
        <v>0</v>
      </c>
      <c r="L83" s="31" t="n">
        <v>33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63.13</v>
      </c>
      <c r="P83" s="32" t="n">
        <v>15.26</v>
      </c>
      <c r="Q83" s="32" t="n">
        <v>812.23</v>
      </c>
      <c r="R83" s="31" t="inlineStr">
        <is>
          <t>Near 52W High Breakout</t>
        </is>
      </c>
      <c r="S83" s="31" t="inlineStr">
        <is>
          <t>Nifty Metal</t>
        </is>
      </c>
      <c r="T83" s="32" t="n">
        <v>38.84</v>
      </c>
      <c r="U83" s="32" t="n">
        <v>18.11</v>
      </c>
      <c r="V83" s="32" t="n">
        <v>-14.93</v>
      </c>
      <c r="W83" s="32" t="n">
        <v>9.83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0 to 20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Less than 1.5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18</t>
        </is>
      </c>
      <c r="CG83" s="31">
        <f>IF(CF83&gt;20,10,IF(CF83&gt;=10,5,2))</f>
        <v/>
      </c>
    </row>
    <row r="84">
      <c r="A84" s="31">
        <f>IF(B84=0,"",RANK(B84,$B$2:$B$94,0))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ANTELOPUS</t>
        </is>
      </c>
      <c r="D84" s="31" t="inlineStr">
        <is>
          <t>Antelopus Selan Energy Ltd</t>
        </is>
      </c>
      <c r="E84" s="31" t="inlineStr">
        <is>
          <t>energy</t>
        </is>
      </c>
      <c r="F84" s="31" t="inlineStr">
        <is>
          <t>Oil Drilling &amp; Exploration</t>
        </is>
      </c>
      <c r="G84" s="31" t="inlineStr">
        <is>
          <t>smallcap</t>
        </is>
      </c>
      <c r="H84" s="32" t="n">
        <v>2941.51</v>
      </c>
      <c r="I84" s="32" t="n">
        <v>836.55</v>
      </c>
      <c r="J84" s="32" t="n">
        <v>-2.69</v>
      </c>
      <c r="K84" s="32" t="n">
        <v>0</v>
      </c>
      <c r="L84" s="31" t="n">
        <v>64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65.28</v>
      </c>
      <c r="P84" s="32" t="n">
        <v>43.53</v>
      </c>
      <c r="Q84" s="32" t="n">
        <v>621.86</v>
      </c>
      <c r="R84" s="31" t="inlineStr">
        <is>
          <t>Earnings / Momentum Support</t>
        </is>
      </c>
      <c r="S84" s="31" t="inlineStr">
        <is>
          <t>Nifty Energy</t>
        </is>
      </c>
      <c r="T84" s="32" t="n">
        <v>9.800000000000001</v>
      </c>
      <c r="U84" s="32" t="n">
        <v>14.38</v>
      </c>
      <c r="V84" s="32" t="n">
        <v>4.16</v>
      </c>
      <c r="W84" s="32" t="n">
        <v>18.49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Oligopoly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Yes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Cyclical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Volatile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17</t>
        </is>
      </c>
      <c r="CG84" s="31">
        <f>IF(CF84&gt;20,10,IF(CF84&gt;=10,5,2))</f>
        <v/>
      </c>
    </row>
    <row r="85">
      <c r="A85" s="31">
        <f>IF(B85=0,"",RANK(B85,$B$2:$B$94,0))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1" t="inlineStr">
        <is>
          <t>SOTL</t>
        </is>
      </c>
      <c r="D85" s="31" t="inlineStr">
        <is>
          <t>Savita Oil Technologies Ltd</t>
        </is>
      </c>
      <c r="E85" s="31" t="inlineStr">
        <is>
          <t>energy</t>
        </is>
      </c>
      <c r="F85" s="31" t="inlineStr">
        <is>
          <t>Petrochem - Others</t>
        </is>
      </c>
      <c r="G85" s="31" t="inlineStr">
        <is>
          <t>smallcap</t>
        </is>
      </c>
      <c r="H85" s="32" t="n">
        <v>3910.34</v>
      </c>
      <c r="I85" s="32" t="n">
        <v>570.35</v>
      </c>
      <c r="J85" s="32" t="n">
        <v>4.92</v>
      </c>
      <c r="K85" s="32" t="n">
        <v>0</v>
      </c>
      <c r="L85" s="31" t="n">
        <v>78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75.31</v>
      </c>
      <c r="P85" s="32" t="n">
        <v>27.95</v>
      </c>
      <c r="Q85" s="32" t="n">
        <v>430.36</v>
      </c>
      <c r="R85" s="31" t="inlineStr">
        <is>
          <t>Near 52W High Breakout</t>
        </is>
      </c>
      <c r="S85" s="31" t="inlineStr">
        <is>
          <t>Nifty Energy</t>
        </is>
      </c>
      <c r="T85" s="32" t="n">
        <v>9.800000000000001</v>
      </c>
      <c r="U85" s="32" t="n">
        <v>36.77</v>
      </c>
      <c r="V85" s="32" t="n">
        <v>24.56</v>
      </c>
      <c r="W85" s="32" t="n">
        <v>25.01</v>
      </c>
      <c r="X85" s="31" t="inlineStr">
        <is>
          <t>Cyclical in an Upturn</t>
        </is>
      </c>
      <c r="Y85" s="31">
        <f>IF(X85="Growing Industry",10,IF(X85="Cyclical in an Upturn",5,0))</f>
        <v/>
      </c>
      <c r="Z85" s="31" t="inlineStr">
        <is>
          <t>Oligopoly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Yes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Cyclical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Volatile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Above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25</t>
        </is>
      </c>
      <c r="CG85" s="31">
        <f>IF(CF85&gt;20,10,IF(CF85&gt;=10,5,2))</f>
        <v/>
      </c>
    </row>
    <row r="86">
      <c r="A86" s="31">
        <f>IF(B86=0,"",RANK(B86,$B$2:$B$94,0))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4" t="inlineStr">
        <is>
          <t>SKYGOLD</t>
        </is>
      </c>
      <c r="D86" s="34" t="inlineStr">
        <is>
          <t>Sky Gold &amp; Diamonds Ltd</t>
        </is>
      </c>
      <c r="E86" s="31" t="inlineStr">
        <is>
          <t>Consumer Cyclical</t>
        </is>
      </c>
      <c r="F86" s="31" t="inlineStr">
        <is>
          <t>Diamond, Gems &amp; Jewellery</t>
        </is>
      </c>
      <c r="G86" s="31" t="inlineStr">
        <is>
          <t>midcap</t>
        </is>
      </c>
      <c r="H86" s="32" t="n">
        <v>7882.31</v>
      </c>
      <c r="I86" s="32" t="n">
        <v>508.95</v>
      </c>
      <c r="J86" s="32" t="n">
        <v>3.71</v>
      </c>
      <c r="K86" s="32" t="n">
        <v>0</v>
      </c>
      <c r="L86" s="31" t="n">
        <v>67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63.71</v>
      </c>
      <c r="P86" s="32" t="n">
        <v>34.89</v>
      </c>
      <c r="Q86" s="32" t="n">
        <v>386.76</v>
      </c>
      <c r="R86" s="31" t="inlineStr">
        <is>
          <t>Earnings / Momentum Support</t>
        </is>
      </c>
      <c r="S86" s="31" t="inlineStr">
        <is>
          <t>Nifty 50</t>
        </is>
      </c>
      <c r="T86" s="32" t="n">
        <v>-4.43</v>
      </c>
      <c r="U86" s="32" t="n">
        <v>32.11</v>
      </c>
      <c r="V86" s="32" t="n">
        <v>38.24</v>
      </c>
      <c r="W86" s="32" t="n">
        <v>19.11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B2C</t>
        </is>
      </c>
      <c r="AO86" s="31">
        <f>IF(AN86="B2C",10,IF(AN86="B2B",5,0))</f>
        <v/>
      </c>
      <c r="AP86" s="31" t="inlineStr">
        <is>
          <t>No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Close to 52 week high or retracement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No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Negative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Between 0.7 to 1.2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  <c r="CF86" s="31" t="inlineStr">
        <is>
          <t>20</t>
        </is>
      </c>
      <c r="CG86" s="31">
        <f>IF(CF86&gt;20,10,IF(CF86&gt;=10,5,2))</f>
        <v/>
      </c>
    </row>
    <row r="87">
      <c r="A87" s="31">
        <f>IF(B87=0,"",RANK(B87,$B$2:$B$94,0))</f>
        <v/>
      </c>
      <c r="B87" s="32">
        <f>SUM(N87,Y87,AA87,AC87,AE87,AG87,AI87,AK87,AM87,AO87,AQ87,AS87,AU87,AW87,AY87,BA87,BC87,BE87,BG87,BI87,BK87,BM87,BO87,BQ87,BS87,BU87,BW87,BY87,CA87,CC87,CE87,CG87)</f>
        <v/>
      </c>
      <c r="C87" s="31" t="inlineStr">
        <is>
          <t>PTCIL</t>
        </is>
      </c>
      <c r="D87" s="31" t="inlineStr">
        <is>
          <t>PTC Industries Ltd</t>
        </is>
      </c>
      <c r="E87" s="31" t="inlineStr">
        <is>
          <t>industrials</t>
        </is>
      </c>
      <c r="F87" s="31" t="inlineStr">
        <is>
          <t>Castings - Steel/Alloy</t>
        </is>
      </c>
      <c r="G87" s="31" t="inlineStr">
        <is>
          <t>largecap</t>
        </is>
      </c>
      <c r="H87" s="32" t="n">
        <v>27889.14</v>
      </c>
      <c r="I87" s="32" t="n">
        <v>18602</v>
      </c>
      <c r="J87" s="32" t="n">
        <v>2.32</v>
      </c>
      <c r="K87" s="32" t="n">
        <v>0</v>
      </c>
      <c r="L87" s="31" t="n">
        <v>18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60.68</v>
      </c>
      <c r="P87" s="32" t="n">
        <v>14.22</v>
      </c>
      <c r="Q87" s="32" t="n">
        <v>14546.34</v>
      </c>
      <c r="R87" s="31" t="inlineStr">
        <is>
          <t>Near 52W High Breakout</t>
        </is>
      </c>
      <c r="S87" s="31" t="inlineStr">
        <is>
          <t>Nifty 50</t>
        </is>
      </c>
      <c r="T87" s="32" t="n">
        <v>-4.43</v>
      </c>
      <c r="U87" s="32" t="n">
        <v>21.76</v>
      </c>
      <c r="V87" s="32" t="n">
        <v>27.41</v>
      </c>
      <c r="W87" s="32" t="n">
        <v>6.71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0 to 20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Blue sky scenario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More than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Yes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Negative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  <c r="CF87" s="31" t="inlineStr">
        <is>
          <t>23</t>
        </is>
      </c>
      <c r="CG87" s="31">
        <f>IF(CF87&gt;20,10,IF(CF87&gt;=10,5,2))</f>
        <v/>
      </c>
    </row>
    <row r="88">
      <c r="A88" s="31">
        <f>IF(B88=0,"",RANK(B88,$B$2:$B$94,0))</f>
        <v/>
      </c>
      <c r="B88" s="32">
        <f>SUM(N88,Y88,AA88,AC88,AE88,AG88,AI88,AK88,AM88,AO88,AQ88,AS88,AU88,AW88,AY88,BA88,BC88,BE88,BG88,BI88,BK88,BM88,BO88,BQ88,BS88,BU88,BW88,BY88,CA88,CC88,CE88,CG88)</f>
        <v/>
      </c>
      <c r="C88" s="33" t="inlineStr">
        <is>
          <t>PANAMAPET</t>
        </is>
      </c>
      <c r="D88" s="33" t="inlineStr">
        <is>
          <t>Panama Petrochem Ltd</t>
        </is>
      </c>
      <c r="E88" s="31" t="inlineStr">
        <is>
          <t>energy</t>
        </is>
      </c>
      <c r="F88" s="31" t="inlineStr">
        <is>
          <t>Speciality Chemicals</t>
        </is>
      </c>
      <c r="G88" s="31" t="inlineStr">
        <is>
          <t>smallcap</t>
        </is>
      </c>
      <c r="H88" s="32" t="n">
        <v>2282.12</v>
      </c>
      <c r="I88" s="32" t="n">
        <v>377.25</v>
      </c>
      <c r="J88" s="32" t="n">
        <v>0.37</v>
      </c>
      <c r="K88" s="32" t="n">
        <v>0</v>
      </c>
      <c r="L88" s="31" t="n">
        <v>36</v>
      </c>
      <c r="M88" s="31" t="inlineStr">
        <is>
          <t>Underperforming</t>
        </is>
      </c>
      <c r="N88" s="32">
        <f>IF(M88="Underperforming",-5,IF(L88&gt;=95,15,IF(L88&gt;=90,10,IF(L88&gt;=80,5,0))))</f>
        <v/>
      </c>
      <c r="O88" s="32" t="n">
        <v>70.52</v>
      </c>
      <c r="P88" s="32" t="n">
        <v>20.35</v>
      </c>
      <c r="Q88" s="32" t="n">
        <v>279.01</v>
      </c>
      <c r="R88" s="31" t="inlineStr">
        <is>
          <t>Volume Spike &amp; Near 52W High Breakout</t>
        </is>
      </c>
      <c r="S88" s="31" t="inlineStr">
        <is>
          <t>Nifty Energy</t>
        </is>
      </c>
      <c r="T88" s="32" t="n">
        <v>9.800000000000001</v>
      </c>
      <c r="U88" s="32" t="n">
        <v>4.86</v>
      </c>
      <c r="V88" s="32" t="n">
        <v>-4.5</v>
      </c>
      <c r="W88" s="32" t="n">
        <v>10.56</v>
      </c>
      <c r="X88" s="31" t="inlineStr">
        <is>
          <t>Cyclical in an Upturn</t>
        </is>
      </c>
      <c r="Y88" s="31">
        <f>IF(X88="Growing Industry",10,IF(X88="Cyclical in an Upturn",5,0))</f>
        <v/>
      </c>
      <c r="Z88" s="31" t="inlineStr">
        <is>
          <t>Oligopoly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Yes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Cyclical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Volatile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Yes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20 to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Less than 0.7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  <c r="CF88" s="31" t="inlineStr">
        <is>
          <t>25</t>
        </is>
      </c>
      <c r="CG88" s="31">
        <f>IF(CF88&gt;20,10,IF(CF88&gt;=10,5,2))</f>
        <v/>
      </c>
    </row>
    <row r="89">
      <c r="A89" s="31">
        <f>IF(B89=0,"",RANK(B89,$B$2:$B$94,0))</f>
        <v/>
      </c>
      <c r="B89" s="32">
        <f>SUM(N89,Y89,AA89,AC89,AE89,AG89,AI89,AK89,AM89,AO89,AQ89,AS89,AU89,AW89,AY89,BA89,BC89,BE89,BG89,BI89,BK89,BM89,BO89,BQ89,BS89,BU89,BW89,BY89,CA89,CC89,CE89,CG89)</f>
        <v/>
      </c>
      <c r="C89" s="34" t="inlineStr">
        <is>
          <t>MSTCLTD</t>
        </is>
      </c>
      <c r="D89" s="34" t="inlineStr">
        <is>
          <t>MSTC Ltd</t>
        </is>
      </c>
      <c r="E89" s="31" t="inlineStr">
        <is>
          <t>i.t</t>
        </is>
      </c>
      <c r="F89" s="31" t="inlineStr">
        <is>
          <t>E-Commerce - Platform - Utility</t>
        </is>
      </c>
      <c r="G89" s="31" t="inlineStr">
        <is>
          <t>smallcap</t>
        </is>
      </c>
      <c r="H89" s="32" t="n">
        <v>4002.59</v>
      </c>
      <c r="I89" s="32" t="n">
        <v>568.55</v>
      </c>
      <c r="J89" s="32" t="n">
        <v>1.39</v>
      </c>
      <c r="K89" s="32" t="n">
        <v>0</v>
      </c>
      <c r="L89" s="31" t="n">
        <v>37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66.09999999999999</v>
      </c>
      <c r="P89" s="32" t="n">
        <v>18.16</v>
      </c>
      <c r="Q89" s="32" t="n">
        <v>435.55</v>
      </c>
      <c r="R89" s="31" t="inlineStr">
        <is>
          <t>Volume Spike &amp; Near 52W High Breakout</t>
        </is>
      </c>
      <c r="S89" s="31" t="inlineStr">
        <is>
          <t>Nifty IT</t>
        </is>
      </c>
      <c r="T89" s="32" t="n">
        <v>-27.75</v>
      </c>
      <c r="U89" s="32" t="n">
        <v>9.279999999999999</v>
      </c>
      <c r="V89" s="32" t="n">
        <v>51.25</v>
      </c>
      <c r="W89" s="32" t="n">
        <v>10.68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Oligopoly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Yes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0 to 20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No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Negative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  <c r="CF89" s="31" t="inlineStr">
        <is>
          <t>17</t>
        </is>
      </c>
      <c r="CG89" s="31">
        <f>IF(CF89&gt;20,10,IF(CF89&gt;=10,5,2))</f>
        <v/>
      </c>
    </row>
    <row r="90">
      <c r="A90" s="31">
        <f>IF(B90=0,"",RANK(B90,$B$2:$B$94,0))</f>
        <v/>
      </c>
      <c r="B90" s="32">
        <f>SUM(N90,Y90,AA90,AC90,AE90,AG90,AI90,AK90,AM90,AO90,AQ90,AS90,AU90,AW90,AY90,BA90,BC90,BE90,BG90,BI90,BK90,BM90,BO90,BQ90,BS90,BU90,BW90,BY90,CA90,CC90,CE90,CG90)</f>
        <v/>
      </c>
      <c r="C90" s="33" t="inlineStr">
        <is>
          <t>SILVERTUC</t>
        </is>
      </c>
      <c r="D90" s="33" t="inlineStr">
        <is>
          <t>Silver Touch Technologies Ltd</t>
        </is>
      </c>
      <c r="E90" s="31" t="inlineStr">
        <is>
          <t>i.t</t>
        </is>
      </c>
      <c r="F90" s="31" t="inlineStr">
        <is>
          <t>IT - Software</t>
        </is>
      </c>
      <c r="G90" s="31" t="inlineStr">
        <is>
          <t>smallcap</t>
        </is>
      </c>
      <c r="H90" s="32" t="n">
        <v>2520.73</v>
      </c>
      <c r="I90" s="32" t="n">
        <v>198.78</v>
      </c>
      <c r="J90" s="32" t="n">
        <v>4.97</v>
      </c>
      <c r="K90" s="32" t="n">
        <v>0</v>
      </c>
      <c r="L90" s="31" t="n">
        <v>51</v>
      </c>
      <c r="M90" s="31" t="inlineStr">
        <is>
          <t>Underperforming</t>
        </is>
      </c>
      <c r="N90" s="32">
        <f>IF(M90="Underperforming",-5,IF(L90&gt;=95,15,IF(L90&gt;=90,10,IF(L90&gt;=80,5,0))))</f>
        <v/>
      </c>
      <c r="O90" s="32" t="n">
        <v>41.57</v>
      </c>
      <c r="P90" s="32" t="n">
        <v>42.88</v>
      </c>
      <c r="Q90" s="32" t="n">
        <v>78.06999999999999</v>
      </c>
      <c r="R90" s="31" t="inlineStr">
        <is>
          <t>Earnings / Momentum Support</t>
        </is>
      </c>
      <c r="S90" s="31" t="inlineStr">
        <is>
          <t>Nifty IT</t>
        </is>
      </c>
      <c r="T90" s="32" t="n">
        <v>-27.75</v>
      </c>
      <c r="U90" s="32" t="n">
        <v>-74.8</v>
      </c>
      <c r="V90" s="32" t="n">
        <v>-65.12</v>
      </c>
      <c r="W90" s="32" t="n">
        <v>15.14</v>
      </c>
      <c r="X90" s="31" t="inlineStr">
        <is>
          <t>Growing Industry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Headwind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No</t>
        </is>
      </c>
      <c r="AQ90" s="31">
        <f>IF(AP90="Yes",10,0)</f>
        <v/>
      </c>
      <c r="AR90" s="31" t="inlineStr">
        <is>
          <t>Higher Annuity, Lower One Time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Below 45</t>
        </is>
      </c>
      <c r="BA90" s="31">
        <f>IF(AZ90="Between 50 to 75",10,IF(AZ90="Above 75",0,0))</f>
        <v/>
      </c>
      <c r="BB90" s="31" t="inlineStr">
        <is>
          <t>Stage 4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Yes</t>
        </is>
      </c>
      <c r="BS90" s="31">
        <f>IF(BR90="NO",5,0)</f>
        <v/>
      </c>
      <c r="BT90" s="31" t="inlineStr">
        <is>
          <t>Between 1.5 to 2</t>
        </is>
      </c>
      <c r="BU90" s="31">
        <f>IF(BT90="Above 2",0,IF(BT90="Between 1.5 to 2",5,IF(BT90="Less than 1.5",10,0)))</f>
        <v/>
      </c>
      <c r="BV90" s="31" t="inlineStr">
        <is>
          <t>Less than 50%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  <c r="CF90" s="31" t="inlineStr">
        <is>
          <t>20</t>
        </is>
      </c>
      <c r="CG90" s="31">
        <f>IF(CF90&gt;20,10,IF(CF90&gt;=10,5,2))</f>
        <v/>
      </c>
    </row>
    <row r="91">
      <c r="A91" s="31">
        <f>IF(B91=0,"",RANK(B91,$B$2:$B$94,0))</f>
        <v/>
      </c>
      <c r="B91" s="32">
        <f>SUM(N91,Y91,AA91,AC91,AE91,AG91,AI91,AK91,AM91,AO91,AQ91,AS91,AU91,AW91,AY91,BA91,BC91,BE91,BG91,BI91,BK91,BM91,BO91,BQ91,BS91,BU91,BW91,BY91,CA91,CC91,CE91,CG91)</f>
        <v/>
      </c>
      <c r="C91" s="33" t="inlineStr">
        <is>
          <t>LLOYDSME</t>
        </is>
      </c>
      <c r="D91" s="33" t="inlineStr">
        <is>
          <t>Lloyds Metals &amp; Energy Ltd</t>
        </is>
      </c>
      <c r="E91" s="31" t="inlineStr">
        <is>
          <t>Basic Materials</t>
        </is>
      </c>
      <c r="F91" s="31" t="inlineStr">
        <is>
          <t>Mining/Minerals - Iron Ore</t>
        </is>
      </c>
      <c r="G91" s="31" t="inlineStr">
        <is>
          <t>largecap</t>
        </is>
      </c>
      <c r="H91" s="32" t="n">
        <v>99157.10000000001</v>
      </c>
      <c r="I91" s="32" t="n">
        <v>1761.9</v>
      </c>
      <c r="J91" s="32" t="n">
        <v>5.24</v>
      </c>
      <c r="K91" s="32" t="n">
        <v>0</v>
      </c>
      <c r="L91" s="31" t="n">
        <v>58</v>
      </c>
      <c r="M91" s="31" t="inlineStr">
        <is>
          <t>Underperforming</t>
        </is>
      </c>
      <c r="N91" s="32">
        <f>IF(M91="Underperforming",-5,IF(L91&gt;=95,15,IF(L91&gt;=90,10,IF(L91&gt;=80,5,0))))</f>
        <v/>
      </c>
      <c r="O91" s="32" t="n">
        <v>68.95</v>
      </c>
      <c r="P91" s="32" t="n">
        <v>38.12</v>
      </c>
      <c r="Q91" s="32" t="n">
        <v>1450.4</v>
      </c>
      <c r="R91" s="31" t="inlineStr">
        <is>
          <t>Near 52W High Breakout</t>
        </is>
      </c>
      <c r="S91" s="31" t="inlineStr">
        <is>
          <t>Nifty Metal</t>
        </is>
      </c>
      <c r="T91" s="32" t="n">
        <v>38.84</v>
      </c>
      <c r="U91" s="32" t="n">
        <v>18.57</v>
      </c>
      <c r="V91" s="32" t="n">
        <v>-14.6</v>
      </c>
      <c r="W91" s="32" t="n">
        <v>16.84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Cyclical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Volatile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Blue sky scenario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No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Less than 50% and Borrowings are increasing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More than 1.2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  <c r="CF91" s="31" t="inlineStr">
        <is>
          <t>20</t>
        </is>
      </c>
      <c r="CG91" s="31">
        <f>IF(CF91&gt;20,10,IF(CF91&gt;=10,5,2))</f>
        <v/>
      </c>
    </row>
    <row r="92">
      <c r="A92" s="31">
        <f>IF(B92=0,"",RANK(B92,$B$2:$B$94,0))</f>
        <v/>
      </c>
      <c r="B92" s="32">
        <f>SUM(N92,Y92,AA92,AC92,AE92,AG92,AI92,AK92,AM92,AO92,AQ92,AS92,AU92,AW92,AY92,BA92,BC92,BE92,BG92,BI92,BK92,BM92,BO92,BQ92,BS92,BU92,BW92,BY92,CA92,CC92,CE92,CG92)</f>
        <v/>
      </c>
      <c r="C92" s="31" t="inlineStr">
        <is>
          <t>V2RETAIL</t>
        </is>
      </c>
      <c r="D92" s="31" t="inlineStr">
        <is>
          <t>V2 Retail Ltd</t>
        </is>
      </c>
      <c r="E92" s="31" t="inlineStr">
        <is>
          <t>Consumer Cyclical</t>
        </is>
      </c>
      <c r="F92" s="31" t="inlineStr">
        <is>
          <t>Textiles - Readymade Apparel</t>
        </is>
      </c>
      <c r="G92" s="31" t="inlineStr">
        <is>
          <t>midcap</t>
        </is>
      </c>
      <c r="H92" s="32" t="n">
        <v>8148.92</v>
      </c>
      <c r="I92" s="32" t="n">
        <v>223.48</v>
      </c>
      <c r="J92" s="32" t="n">
        <v>3.81</v>
      </c>
      <c r="K92" s="32" t="n">
        <v>0</v>
      </c>
      <c r="L92" s="31" t="n">
        <v>27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54.52</v>
      </c>
      <c r="P92" s="32" t="n">
        <v>28.75</v>
      </c>
      <c r="Q92" s="32" t="n">
        <v>180.23</v>
      </c>
      <c r="R92" s="31" t="inlineStr">
        <is>
          <t>Earnings / Momentum Support</t>
        </is>
      </c>
      <c r="S92" s="31" t="inlineStr">
        <is>
          <t>Nifty 50</t>
        </is>
      </c>
      <c r="T92" s="32" t="n">
        <v>-4.43</v>
      </c>
      <c r="U92" s="32" t="n">
        <v>21.89</v>
      </c>
      <c r="V92" s="32" t="n">
        <v>27.55</v>
      </c>
      <c r="W92" s="32" t="n">
        <v>8.9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B2C</t>
        </is>
      </c>
      <c r="AO92" s="31">
        <f>IF(AN92="B2C",10,IF(AN92="B2B",5,0))</f>
        <v/>
      </c>
      <c r="AP92" s="31" t="inlineStr">
        <is>
          <t>No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Negative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Negative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Between 0.7 to 1.2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  <c r="CF92" s="31" t="inlineStr">
        <is>
          <t>20</t>
        </is>
      </c>
      <c r="CG92" s="31">
        <f>IF(CF92&gt;20,10,IF(CF92&gt;=10,5,2))</f>
        <v/>
      </c>
    </row>
    <row r="93">
      <c r="A93" s="31">
        <f>IF(B93=0,"",RANK(B93,$B$2:$B$94,0))</f>
        <v/>
      </c>
      <c r="B93" s="32">
        <f>SUM(N93,Y93,AA93,AC93,AE93,AG93,AI93,AK93,AM93,AO93,AQ93,AS93,AU93,AW93,AY93,BA93,BC93,BE93,BG93,BI93,BK93,BM93,BO93,BQ93,BS93,BU93,BW93,BY93,CA93,CC93,CE93,CG93)</f>
        <v/>
      </c>
      <c r="C93" s="31" t="inlineStr">
        <is>
          <t>PREMIERENE</t>
        </is>
      </c>
      <c r="D93" s="31" t="inlineStr">
        <is>
          <t>Premier Energies Ltd</t>
        </is>
      </c>
      <c r="E93" s="31" t="inlineStr">
        <is>
          <t>unknown</t>
        </is>
      </c>
      <c r="F93" s="31" t="inlineStr">
        <is>
          <t>Capital Goods - Solar</t>
        </is>
      </c>
      <c r="G93" s="31" t="inlineStr">
        <is>
          <t>largecap</t>
        </is>
      </c>
      <c r="H93" s="32" t="n">
        <v>46965.82</v>
      </c>
      <c r="I93" s="32" t="n">
        <v>1034.6</v>
      </c>
      <c r="J93" s="32" t="n">
        <v>-2.21</v>
      </c>
      <c r="K93" s="32" t="n">
        <v>0</v>
      </c>
      <c r="L93" s="31" t="inlineStr"/>
      <c r="M93" s="31" t="inlineStr"/>
      <c r="N93" s="32">
        <f>IF(M93="Underperforming",-5,IF(L93&gt;=95,15,IF(L93&gt;=90,10,IF(L93&gt;=80,5,0))))</f>
        <v/>
      </c>
      <c r="O93" s="32" t="inlineStr"/>
      <c r="P93" s="32" t="inlineStr"/>
      <c r="Q93" s="32" t="inlineStr"/>
      <c r="R93" s="31" t="inlineStr"/>
      <c r="S93" s="31" t="inlineStr"/>
      <c r="T93" s="32" t="inlineStr"/>
      <c r="U93" s="32" t="inlineStr"/>
      <c r="V93" s="32" t="inlineStr"/>
      <c r="W93" s="32" t="inlineStr"/>
      <c r="X93" s="31" t="n"/>
      <c r="Y93" s="31">
        <f>IF(X93="Growing Industry",10,IF(X93="Cyclical in an Upturn",5,0))</f>
        <v/>
      </c>
      <c r="Z93" s="31" t="n"/>
      <c r="AA93" s="31">
        <f>IF(Z93="Monopoly",10,IF(Z93="Oligopoly",5,IF(Z93="Duopoly that cooperate",10,IF(Z93="Duopoly that compete",5,IF(Z93="Too many players with High ROCE",5,0)))))</f>
        <v/>
      </c>
      <c r="AB93" s="31" t="n"/>
      <c r="AC93" s="31">
        <f>IF(AB93="No",5,0)</f>
        <v/>
      </c>
      <c r="AD93" s="31" t="n"/>
      <c r="AE93" s="31">
        <f>IF(AD93="Tailwind",10,0)</f>
        <v/>
      </c>
      <c r="AF93" s="31" t="n"/>
      <c r="AG93" s="31">
        <f>IF(AF93="Structural (10 Years Consistency)",10,IF(AF93="Shallow Cyclical (2 to 3 years growth)",5,0))</f>
        <v/>
      </c>
      <c r="AH93" s="31" t="n"/>
      <c r="AI93" s="31">
        <f>IF(AH93="Yes due to Product Mix change or Operating Leverage",10,IF(AH93="Yes, these are peak margins",-5,IF(AH93="No",5,0)))</f>
        <v/>
      </c>
      <c r="AJ93" s="31" t="n"/>
      <c r="AK93" s="31">
        <f>IF(AJ93="Stable",10,0)</f>
        <v/>
      </c>
      <c r="AL93" s="31" t="n"/>
      <c r="AM93" s="31">
        <f>IF(AL93="Yes",10,0)</f>
        <v/>
      </c>
      <c r="AN93" s="31" t="n"/>
      <c r="AO93" s="31">
        <f>IF(AN93="B2C",10,IF(AN93="B2B",5,0))</f>
        <v/>
      </c>
      <c r="AP93" s="31" t="n"/>
      <c r="AQ93" s="31">
        <f>IF(AP93="Yes",10,0)</f>
        <v/>
      </c>
      <c r="AR93" s="31" t="n"/>
      <c r="AS93" s="31">
        <f>IF(AR93="Fully Annuity",10,IF(AR93="Higher Annuity, Lower One Time",5,IF(AR93="Higher One Time, Lower Annuity",3,0)))</f>
        <v/>
      </c>
      <c r="AT93" s="31" t="n"/>
      <c r="AU93" s="31">
        <f>IF(AT93="Good",10,0)</f>
        <v/>
      </c>
      <c r="AV93" s="31" t="n"/>
      <c r="AW93" s="31">
        <f>IF(AV93="Yes for more than 2 years",10,IF(AV93="Yes only for next 1 to 2 years",5,0))</f>
        <v/>
      </c>
      <c r="AX93" s="31" t="n"/>
      <c r="AY93" s="31">
        <f>IF(AX93="Above 40",20,IF(AX93="20 to 40",10,IF(AX93="0 to 20",-5,0)))</f>
        <v/>
      </c>
      <c r="AZ93" s="31" t="n"/>
      <c r="BA93" s="31">
        <f>IF(AZ93="Between 50 to 75",10,IF(AZ93="Above 75",0,0))</f>
        <v/>
      </c>
      <c r="BB93" s="31" t="n"/>
      <c r="BC93" s="31">
        <f>IF(BB93="Stage 2",20,IF(BB93="Stage 1",0,IF(BB93="Stage 3",5,IF(BB93="Stage 4",-5,0))))</f>
        <v/>
      </c>
      <c r="BD93" s="31" t="n"/>
      <c r="BE93" s="31">
        <f>IF(BD93="Positive Trend",20,IF(BD93="Negative Trend",-10,0))</f>
        <v/>
      </c>
      <c r="BF93" s="31" t="n"/>
      <c r="BG93" s="31">
        <f>IF(BF93="Uptrend",10,IF(BF93="Sideways",5,0))</f>
        <v/>
      </c>
      <c r="BH93" s="31" t="n"/>
      <c r="BI93" s="31">
        <f>IF(BH93="Uptrend",10,IF(BH93="Sideways",5,0))</f>
        <v/>
      </c>
      <c r="BJ93" s="31" t="n"/>
      <c r="BK93" s="31">
        <f>IF(BJ93="Overhead supply in last 2 years in last 2 years",-5,IF(BJ93="Close to 52 week high or retracement",5,IF(BJ93="Blue sky scenario",10,IF(BJ93="Long term Downtrend",-10,0))))</f>
        <v/>
      </c>
      <c r="BL93" s="31" t="n"/>
      <c r="BM93" s="31">
        <f>IF(BL93="Yes",10,0)</f>
        <v/>
      </c>
      <c r="BN93" s="31" t="n"/>
      <c r="BO93" s="31">
        <f>IF(BN93="More than 20%",10,IF(BN93="Between 12 to 20%",5,IF(BN93="Less than 12%",0,0)))</f>
        <v/>
      </c>
      <c r="BP93" s="31" t="n"/>
      <c r="BQ93" s="31">
        <f>IF(BP93="No",10,0)</f>
        <v/>
      </c>
      <c r="BR93" s="31" t="n"/>
      <c r="BS93" s="31">
        <f>IF(BR93="NO",5,0)</f>
        <v/>
      </c>
      <c r="BT93" s="31" t="n"/>
      <c r="BU93" s="31">
        <f>IF(BT93="Above 2",0,IF(BT93="Between 1.5 to 2",5,IF(BT93="Less than 1.5",10,0)))</f>
        <v/>
      </c>
      <c r="BV93" s="31" t="n"/>
      <c r="BW93" s="31">
        <f>IF(BV93="Above 70%",10,IF(BV93="Between 50% to 70%",5,IF(BV93="Less than 50%",0,IF(BV93="Negative",-10,IF(BV93="Less than 50% and Borrowings are increasing",-5,0)))))</f>
        <v/>
      </c>
      <c r="BX93" s="31" t="n"/>
      <c r="BY93" s="31">
        <f>IF(BX93="More than 1.2",-10,IF(BX93="Between 0.7 to 1.2",0,IF(BX93="Less than 0.7",10,0)))</f>
        <v/>
      </c>
      <c r="BZ93" s="31" t="n"/>
      <c r="CA93" s="31">
        <f>IF(BZ93="Yes",-10,0)</f>
        <v/>
      </c>
      <c r="CB93" s="31" t="n"/>
      <c r="CC93" s="31">
        <f>IF(CB93="More than 15%",-10,IF(CB93="Less than 15%",10,0))</f>
        <v/>
      </c>
      <c r="CD93" s="31" t="n"/>
      <c r="CE93" s="31">
        <f>IF(CD93="Yes, more than 10%",-10,IF(CD93="No",10,0))</f>
        <v/>
      </c>
      <c r="CF93" s="31" t="n"/>
      <c r="CG93" s="31">
        <f>IF(CF93&gt;20,10,IF(CF93&gt;=10,5,2))</f>
        <v/>
      </c>
    </row>
    <row r="94">
      <c r="A94" s="31">
        <f>IF(B94=0,"",RANK(B94,$B$2:$B$94,0))</f>
        <v/>
      </c>
      <c r="B94" s="32">
        <f>SUM(N94,Y94,AA94,AC94,AE94,AG94,AI94,AK94,AM94,AO94,AQ94,AS94,AU94,AW94,AY94,BA94,BC94,BE94,BG94,BI94,BK94,BM94,BO94,BQ94,BS94,BU94,BW94,BY94,CA94,CC94,CE94,CG94)</f>
        <v/>
      </c>
      <c r="C94" s="31" t="inlineStr">
        <is>
          <t>VALIANT</t>
        </is>
      </c>
      <c r="D94" s="31" t="inlineStr">
        <is>
          <t>Valiant Communications Ltd</t>
        </is>
      </c>
      <c r="E94" s="31" t="inlineStr">
        <is>
          <t>unknown</t>
        </is>
      </c>
      <c r="F94" s="31" t="inlineStr">
        <is>
          <t>Telecom Services</t>
        </is>
      </c>
      <c r="G94" s="31" t="inlineStr">
        <is>
          <t>smallcap</t>
        </is>
      </c>
      <c r="H94" s="32" t="n">
        <v>1414.63</v>
      </c>
      <c r="I94" s="32" t="n">
        <v>1209.9</v>
      </c>
      <c r="J94" s="32" t="n">
        <v>1.55</v>
      </c>
      <c r="K94" s="32" t="n">
        <v>0</v>
      </c>
      <c r="L94" s="31" t="inlineStr"/>
      <c r="M94" s="31" t="inlineStr"/>
      <c r="N94" s="32">
        <f>IF(M94="Underperforming",-5,IF(L94&gt;=95,15,IF(L94&gt;=90,10,IF(L94&gt;=80,5,0))))</f>
        <v/>
      </c>
      <c r="O94" s="32" t="inlineStr"/>
      <c r="P94" s="32" t="inlineStr"/>
      <c r="Q94" s="32" t="inlineStr"/>
      <c r="R94" s="31" t="inlineStr"/>
      <c r="S94" s="31" t="inlineStr"/>
      <c r="T94" s="32" t="inlineStr"/>
      <c r="U94" s="32" t="inlineStr"/>
      <c r="V94" s="32" t="inlineStr"/>
      <c r="W94" s="32" t="inlineStr"/>
      <c r="X94" s="31" t="n"/>
      <c r="Y94" s="31">
        <f>IF(X94="Growing Industry",10,IF(X94="Cyclical in an Upturn",5,0))</f>
        <v/>
      </c>
      <c r="Z94" s="31" t="n"/>
      <c r="AA94" s="31">
        <f>IF(Z94="Monopoly",10,IF(Z94="Oligopoly",5,IF(Z94="Duopoly that cooperate",10,IF(Z94="Duopoly that compete",5,IF(Z94="Too many players with High ROCE",5,0)))))</f>
        <v/>
      </c>
      <c r="AB94" s="31" t="n"/>
      <c r="AC94" s="31">
        <f>IF(AB94="No",5,0)</f>
        <v/>
      </c>
      <c r="AD94" s="31" t="n"/>
      <c r="AE94" s="31">
        <f>IF(AD94="Tailwind",10,0)</f>
        <v/>
      </c>
      <c r="AF94" s="31" t="n"/>
      <c r="AG94" s="31">
        <f>IF(AF94="Structural (10 Years Consistency)",10,IF(AF94="Shallow Cyclical (2 to 3 years growth)",5,0))</f>
        <v/>
      </c>
      <c r="AH94" s="31" t="n"/>
      <c r="AI94" s="31">
        <f>IF(AH94="Yes due to Product Mix change or Operating Leverage",10,IF(AH94="Yes, these are peak margins",-5,IF(AH94="No",5,0)))</f>
        <v/>
      </c>
      <c r="AJ94" s="31" t="n"/>
      <c r="AK94" s="31">
        <f>IF(AJ94="Stable",10,0)</f>
        <v/>
      </c>
      <c r="AL94" s="31" t="n"/>
      <c r="AM94" s="31">
        <f>IF(AL94="Yes",10,0)</f>
        <v/>
      </c>
      <c r="AN94" s="31" t="n"/>
      <c r="AO94" s="31">
        <f>IF(AN94="B2C",10,IF(AN94="B2B",5,0))</f>
        <v/>
      </c>
      <c r="AP94" s="31" t="n"/>
      <c r="AQ94" s="31">
        <f>IF(AP94="Yes",10,0)</f>
        <v/>
      </c>
      <c r="AR94" s="31" t="n"/>
      <c r="AS94" s="31">
        <f>IF(AR94="Fully Annuity",10,IF(AR94="Higher Annuity, Lower One Time",5,IF(AR94="Higher One Time, Lower Annuity",3,0)))</f>
        <v/>
      </c>
      <c r="AT94" s="31" t="n"/>
      <c r="AU94" s="31">
        <f>IF(AT94="Good",10,0)</f>
        <v/>
      </c>
      <c r="AV94" s="31" t="n"/>
      <c r="AW94" s="31">
        <f>IF(AV94="Yes for more than 2 years",10,IF(AV94="Yes only for next 1 to 2 years",5,0))</f>
        <v/>
      </c>
      <c r="AX94" s="31" t="n"/>
      <c r="AY94" s="31">
        <f>IF(AX94="Above 40",20,IF(AX94="20 to 40",10,IF(AX94="0 to 20",-5,0)))</f>
        <v/>
      </c>
      <c r="AZ94" s="31" t="n"/>
      <c r="BA94" s="31">
        <f>IF(AZ94="Between 50 to 75",10,IF(AZ94="Above 75",0,0))</f>
        <v/>
      </c>
      <c r="BB94" s="31" t="n"/>
      <c r="BC94" s="31">
        <f>IF(BB94="Stage 2",20,IF(BB94="Stage 1",0,IF(BB94="Stage 3",5,IF(BB94="Stage 4",-5,0))))</f>
        <v/>
      </c>
      <c r="BD94" s="31" t="n"/>
      <c r="BE94" s="31">
        <f>IF(BD94="Positive Trend",20,IF(BD94="Negative Trend",-10,0))</f>
        <v/>
      </c>
      <c r="BF94" s="31" t="n"/>
      <c r="BG94" s="31">
        <f>IF(BF94="Uptrend",10,IF(BF94="Sideways",5,0))</f>
        <v/>
      </c>
      <c r="BH94" s="31" t="n"/>
      <c r="BI94" s="31">
        <f>IF(BH94="Uptrend",10,IF(BH94="Sideways",5,0))</f>
        <v/>
      </c>
      <c r="BJ94" s="31" t="n"/>
      <c r="BK94" s="31">
        <f>IF(BJ94="Overhead supply in last 2 years in last 2 years",-5,IF(BJ94="Close to 52 week high or retracement",5,IF(BJ94="Blue sky scenario",10,IF(BJ94="Long term Downtrend",-10,0))))</f>
        <v/>
      </c>
      <c r="BL94" s="31" t="n"/>
      <c r="BM94" s="31">
        <f>IF(BL94="Yes",10,0)</f>
        <v/>
      </c>
      <c r="BN94" s="31" t="n"/>
      <c r="BO94" s="31">
        <f>IF(BN94="More than 20%",10,IF(BN94="Between 12 to 20%",5,IF(BN94="Less than 12%",0,0)))</f>
        <v/>
      </c>
      <c r="BP94" s="31" t="n"/>
      <c r="BQ94" s="31">
        <f>IF(BP94="No",10,0)</f>
        <v/>
      </c>
      <c r="BR94" s="31" t="n"/>
      <c r="BS94" s="31">
        <f>IF(BR94="NO",5,0)</f>
        <v/>
      </c>
      <c r="BT94" s="31" t="n"/>
      <c r="BU94" s="31">
        <f>IF(BT94="Above 2",0,IF(BT94="Between 1.5 to 2",5,IF(BT94="Less than 1.5",10,0)))</f>
        <v/>
      </c>
      <c r="BV94" s="31" t="n"/>
      <c r="BW94" s="31">
        <f>IF(BV94="Above 70%",10,IF(BV94="Between 50% to 70%",5,IF(BV94="Less than 50%",0,IF(BV94="Negative",-10,IF(BV94="Less than 50% and Borrowings are increasing",-5,0)))))</f>
        <v/>
      </c>
      <c r="BX94" s="31" t="n"/>
      <c r="BY94" s="31">
        <f>IF(BX94="More than 1.2",-10,IF(BX94="Between 0.7 to 1.2",0,IF(BX94="Less than 0.7",10,0)))</f>
        <v/>
      </c>
      <c r="BZ94" s="31" t="n"/>
      <c r="CA94" s="31">
        <f>IF(BZ94="Yes",-10,0)</f>
        <v/>
      </c>
      <c r="CB94" s="31" t="n"/>
      <c r="CC94" s="31">
        <f>IF(CB94="More than 15%",-10,IF(CB94="Less than 15%",10,0))</f>
        <v/>
      </c>
      <c r="CD94" s="31" t="n"/>
      <c r="CE94" s="31">
        <f>IF(CD94="Yes, more than 10%",-10,IF(CD94="No",10,0))</f>
        <v/>
      </c>
      <c r="CF94" s="31" t="n"/>
      <c r="CG94" s="31">
        <f>IF(CF94&gt;20,10,IF(CF94&gt;=10,5,2))</f>
        <v/>
      </c>
    </row>
    <row r="98">
      <c r="A98" s="25" t="inlineStr">
        <is>
          <t>❌ REMOVED SCAN MATCH STOCKS (THIS WEEK)</t>
        </is>
      </c>
    </row>
    <row r="99">
      <c r="A99" s="35" t="inlineStr">
        <is>
          <t>Symbol</t>
        </is>
      </c>
      <c r="B99" s="35" t="inlineStr">
        <is>
          <t>Company Name</t>
        </is>
      </c>
      <c r="C99" s="35" t="inlineStr">
        <is>
          <t>Sector</t>
        </is>
      </c>
      <c r="D99" s="35" t="inlineStr">
        <is>
          <t>Date of Removal</t>
        </is>
      </c>
    </row>
    <row r="100">
      <c r="A100" s="36" t="inlineStr">
        <is>
          <t>ACGL</t>
        </is>
      </c>
      <c r="B100" s="37" t="inlineStr">
        <is>
          <t>ACGL</t>
        </is>
      </c>
      <c r="C100" s="37" t="inlineStr">
        <is>
          <t>unknown</t>
        </is>
      </c>
      <c r="D100" s="38" t="inlineStr">
        <is>
          <t>2026-06-11</t>
        </is>
      </c>
    </row>
    <row r="101">
      <c r="A101" s="36" t="inlineStr">
        <is>
          <t>ASIANENE</t>
        </is>
      </c>
      <c r="B101" s="37" t="inlineStr">
        <is>
          <t>Asian Energy Services Limited</t>
        </is>
      </c>
      <c r="C101" s="37" t="inlineStr">
        <is>
          <t>Energy</t>
        </is>
      </c>
      <c r="D101" s="38" t="inlineStr">
        <is>
          <t>2026-06-11</t>
        </is>
      </c>
    </row>
    <row r="102">
      <c r="A102" s="36" t="inlineStr">
        <is>
          <t>BALAMINES</t>
        </is>
      </c>
      <c r="B102" s="37" t="inlineStr">
        <is>
          <t>Balaji Amines Limited</t>
        </is>
      </c>
      <c r="C102" s="37" t="inlineStr">
        <is>
          <t>Basic Materials</t>
        </is>
      </c>
      <c r="D102" s="38" t="inlineStr">
        <is>
          <t>2026-06-10</t>
        </is>
      </c>
    </row>
    <row r="103">
      <c r="A103" s="36" t="inlineStr">
        <is>
          <t>BHAGYANGR</t>
        </is>
      </c>
      <c r="B103" s="37" t="inlineStr">
        <is>
          <t>Bhagyanagar India Limited</t>
        </is>
      </c>
      <c r="C103" s="37" t="inlineStr">
        <is>
          <t>Basic Materials</t>
        </is>
      </c>
      <c r="D103" s="38" t="inlineStr">
        <is>
          <t>2026-06-11</t>
        </is>
      </c>
    </row>
    <row r="104">
      <c r="A104" s="36" t="inlineStr">
        <is>
          <t>BRRL</t>
        </is>
      </c>
      <c r="B104" s="37" t="inlineStr">
        <is>
          <t>BRRL</t>
        </is>
      </c>
      <c r="C104" s="37" t="inlineStr">
        <is>
          <t>unknown</t>
        </is>
      </c>
      <c r="D104" s="38" t="inlineStr">
        <is>
          <t>2026-06-09</t>
        </is>
      </c>
    </row>
    <row r="105">
      <c r="A105" s="36" t="inlineStr">
        <is>
          <t>CARYSIL</t>
        </is>
      </c>
      <c r="B105" s="37" t="inlineStr">
        <is>
          <t>Carysil Limited</t>
        </is>
      </c>
      <c r="C105" s="37" t="inlineStr">
        <is>
          <t>Consumer Cyclical</t>
        </is>
      </c>
      <c r="D105" s="38" t="inlineStr">
        <is>
          <t>2026-06-12</t>
        </is>
      </c>
    </row>
    <row r="106">
      <c r="A106" s="36" t="inlineStr">
        <is>
          <t>CEMPRO</t>
        </is>
      </c>
      <c r="B106" s="37" t="inlineStr">
        <is>
          <t>Cemindia Projects Limited</t>
        </is>
      </c>
      <c r="C106" s="37" t="inlineStr">
        <is>
          <t>Industrials</t>
        </is>
      </c>
      <c r="D106" s="38" t="inlineStr">
        <is>
          <t>2026-06-12</t>
        </is>
      </c>
    </row>
    <row r="107">
      <c r="A107" s="36" t="inlineStr">
        <is>
          <t>CPPLUS</t>
        </is>
      </c>
      <c r="B107" s="37" t="inlineStr">
        <is>
          <t>CPPLUS</t>
        </is>
      </c>
      <c r="C107" s="37" t="inlineStr">
        <is>
          <t>unknown</t>
        </is>
      </c>
      <c r="D107" s="38" t="inlineStr">
        <is>
          <t>2026-06-10</t>
        </is>
      </c>
    </row>
    <row r="108">
      <c r="A108" s="36" t="inlineStr">
        <is>
          <t>DEEPINDS</t>
        </is>
      </c>
      <c r="B108" s="37" t="inlineStr">
        <is>
          <t>DEEPINDS</t>
        </is>
      </c>
      <c r="C108" s="37" t="inlineStr">
        <is>
          <t>unknown</t>
        </is>
      </c>
      <c r="D108" s="38" t="inlineStr">
        <is>
          <t>2026-06-12</t>
        </is>
      </c>
    </row>
    <row r="109">
      <c r="A109" s="36" t="inlineStr">
        <is>
          <t>DIVGIITTS</t>
        </is>
      </c>
      <c r="B109" s="37" t="inlineStr">
        <is>
          <t>Divgi TorqTransfer Systems Limited</t>
        </is>
      </c>
      <c r="C109" s="37" t="inlineStr">
        <is>
          <t>Consumer Cyclical</t>
        </is>
      </c>
      <c r="D109" s="38" t="inlineStr">
        <is>
          <t>2026-06-10</t>
        </is>
      </c>
    </row>
    <row r="110">
      <c r="A110" s="36" t="inlineStr">
        <is>
          <t>EMMVEE</t>
        </is>
      </c>
      <c r="B110" s="37" t="inlineStr">
        <is>
          <t>EMMVEE</t>
        </is>
      </c>
      <c r="C110" s="37" t="inlineStr">
        <is>
          <t>unknown</t>
        </is>
      </c>
      <c r="D110" s="38" t="inlineStr">
        <is>
          <t>2026-06-11</t>
        </is>
      </c>
    </row>
    <row r="111">
      <c r="A111" s="36" t="inlineStr">
        <is>
          <t>GLAND</t>
        </is>
      </c>
      <c r="B111" s="37" t="inlineStr">
        <is>
          <t>Gland Pharma Limited</t>
        </is>
      </c>
      <c r="C111" s="37" t="inlineStr">
        <is>
          <t>Healthcare</t>
        </is>
      </c>
      <c r="D111" s="38" t="inlineStr">
        <is>
          <t>2026-06-12</t>
        </is>
      </c>
    </row>
    <row r="112">
      <c r="A112" s="36" t="inlineStr">
        <is>
          <t>GUFICBIO</t>
        </is>
      </c>
      <c r="B112" s="37" t="inlineStr">
        <is>
          <t>Gufic Biosciences Limited</t>
        </is>
      </c>
      <c r="C112" s="37" t="inlineStr">
        <is>
          <t>Healthcare</t>
        </is>
      </c>
      <c r="D112" s="38" t="inlineStr">
        <is>
          <t>2026-06-11</t>
        </is>
      </c>
    </row>
    <row r="113">
      <c r="A113" s="36" t="inlineStr">
        <is>
          <t>HFCL</t>
        </is>
      </c>
      <c r="B113" s="37" t="inlineStr">
        <is>
          <t>HFCL Limited</t>
        </is>
      </c>
      <c r="C113" s="37" t="inlineStr">
        <is>
          <t>Technology</t>
        </is>
      </c>
      <c r="D113" s="38" t="inlineStr">
        <is>
          <t>2026-06-12</t>
        </is>
      </c>
    </row>
    <row r="114">
      <c r="A114" s="36" t="inlineStr">
        <is>
          <t>HONASA</t>
        </is>
      </c>
      <c r="B114" s="37" t="inlineStr">
        <is>
          <t>Honasa Consumer Limited</t>
        </is>
      </c>
      <c r="C114" s="37" t="inlineStr">
        <is>
          <t>Consumer Defensive</t>
        </is>
      </c>
      <c r="D114" s="38" t="inlineStr">
        <is>
          <t>2026-06-12</t>
        </is>
      </c>
    </row>
    <row r="115">
      <c r="A115" s="36" t="inlineStr">
        <is>
          <t>IDEAFORGE</t>
        </is>
      </c>
      <c r="B115" s="37" t="inlineStr">
        <is>
          <t>ideaForge Technology Limited</t>
        </is>
      </c>
      <c r="C115" s="37" t="inlineStr">
        <is>
          <t>Technology</t>
        </is>
      </c>
      <c r="D115" s="38" t="inlineStr">
        <is>
          <t>2026-06-11</t>
        </is>
      </c>
    </row>
    <row r="116">
      <c r="A116" s="36" t="inlineStr">
        <is>
          <t>KINGFA</t>
        </is>
      </c>
      <c r="B116" s="37" t="inlineStr">
        <is>
          <t>KINGFA</t>
        </is>
      </c>
      <c r="C116" s="37" t="inlineStr">
        <is>
          <t>unknown</t>
        </is>
      </c>
      <c r="D116" s="38" t="inlineStr">
        <is>
          <t>2026-06-10</t>
        </is>
      </c>
    </row>
    <row r="117">
      <c r="A117" s="36" t="inlineStr">
        <is>
          <t>KIRLPNU</t>
        </is>
      </c>
      <c r="B117" s="37" t="inlineStr">
        <is>
          <t>Kirloskar Pneumatic Company Limited</t>
        </is>
      </c>
      <c r="C117" s="37" t="inlineStr">
        <is>
          <t>Industrials</t>
        </is>
      </c>
      <c r="D117" s="38" t="inlineStr">
        <is>
          <t>2026-06-11</t>
        </is>
      </c>
    </row>
    <row r="118">
      <c r="A118" s="36" t="inlineStr">
        <is>
          <t>META</t>
        </is>
      </c>
      <c r="B118" s="37" t="inlineStr">
        <is>
          <t>META</t>
        </is>
      </c>
      <c r="C118" s="37" t="inlineStr">
        <is>
          <t>unknown</t>
        </is>
      </c>
      <c r="D118" s="38" t="inlineStr">
        <is>
          <t>2026-06-12</t>
        </is>
      </c>
    </row>
    <row r="119">
      <c r="A119" s="36" t="inlineStr">
        <is>
          <t>MOBAVENUE</t>
        </is>
      </c>
      <c r="B119" s="37" t="inlineStr">
        <is>
          <t>MOBAVENUE</t>
        </is>
      </c>
      <c r="C119" s="37" t="inlineStr">
        <is>
          <t>unknown</t>
        </is>
      </c>
      <c r="D119" s="38" t="inlineStr">
        <is>
          <t>2026-06-11</t>
        </is>
      </c>
    </row>
    <row r="120">
      <c r="A120" s="36" t="inlineStr">
        <is>
          <t>MODISONLTD</t>
        </is>
      </c>
      <c r="B120" s="37" t="inlineStr">
        <is>
          <t>Modison Limited</t>
        </is>
      </c>
      <c r="C120" s="37" t="inlineStr">
        <is>
          <t>Industrials</t>
        </is>
      </c>
      <c r="D120" s="38" t="inlineStr">
        <is>
          <t>2026-06-12</t>
        </is>
      </c>
    </row>
    <row r="121">
      <c r="A121" s="36" t="inlineStr">
        <is>
          <t>NAM-INDIA</t>
        </is>
      </c>
      <c r="B121" s="37" t="inlineStr">
        <is>
          <t>NAM-INDIA</t>
        </is>
      </c>
      <c r="C121" s="37" t="inlineStr">
        <is>
          <t>unknown</t>
        </is>
      </c>
      <c r="D121" s="38" t="inlineStr">
        <is>
          <t>2026-06-12</t>
        </is>
      </c>
    </row>
    <row r="122">
      <c r="A122" s="36" t="inlineStr">
        <is>
          <t>OBSCP</t>
        </is>
      </c>
      <c r="B122" s="37" t="inlineStr">
        <is>
          <t>OBSCP</t>
        </is>
      </c>
      <c r="C122" s="37" t="inlineStr">
        <is>
          <t>unknown</t>
        </is>
      </c>
      <c r="D122" s="38" t="inlineStr">
        <is>
          <t>2026-06-12</t>
        </is>
      </c>
    </row>
    <row r="123">
      <c r="A123" s="36" t="inlineStr">
        <is>
          <t>ONIXSOLAR</t>
        </is>
      </c>
      <c r="B123" s="37" t="inlineStr">
        <is>
          <t>ONIXSOLAR</t>
        </is>
      </c>
      <c r="C123" s="37" t="inlineStr">
        <is>
          <t>unknown</t>
        </is>
      </c>
      <c r="D123" s="38" t="inlineStr">
        <is>
          <t>2026-06-12</t>
        </is>
      </c>
    </row>
    <row r="124">
      <c r="A124" s="36" t="inlineStr">
        <is>
          <t>PANACEABIO</t>
        </is>
      </c>
      <c r="B124" s="37" t="inlineStr">
        <is>
          <t>Panacea Biotec Limited</t>
        </is>
      </c>
      <c r="C124" s="37" t="inlineStr">
        <is>
          <t>Healthcare</t>
        </is>
      </c>
      <c r="D124" s="38" t="inlineStr">
        <is>
          <t>2026-06-12</t>
        </is>
      </c>
    </row>
    <row r="125">
      <c r="A125" s="36" t="inlineStr">
        <is>
          <t>PGHL</t>
        </is>
      </c>
      <c r="B125" s="37" t="inlineStr">
        <is>
          <t>Procter &amp; Gamble Health Limited</t>
        </is>
      </c>
      <c r="C125" s="37" t="inlineStr">
        <is>
          <t>Healthcare</t>
        </is>
      </c>
      <c r="D125" s="38" t="inlineStr">
        <is>
          <t>2026-06-11</t>
        </is>
      </c>
    </row>
    <row r="126">
      <c r="A126" s="36" t="inlineStr">
        <is>
          <t>PREMEXPLN</t>
        </is>
      </c>
      <c r="B126" s="37" t="inlineStr">
        <is>
          <t>Premier Explosives Limited</t>
        </is>
      </c>
      <c r="C126" s="37" t="inlineStr">
        <is>
          <t>Basic Materials</t>
        </is>
      </c>
      <c r="D126" s="38" t="inlineStr">
        <is>
          <t>2026-06-11</t>
        </is>
      </c>
    </row>
    <row r="127">
      <c r="A127" s="36" t="inlineStr">
        <is>
          <t>PREMIERENE</t>
        </is>
      </c>
      <c r="B127" s="37" t="inlineStr">
        <is>
          <t>PREMIERENE</t>
        </is>
      </c>
      <c r="C127" s="37" t="inlineStr">
        <is>
          <t>unknown</t>
        </is>
      </c>
      <c r="D127" s="38" t="inlineStr">
        <is>
          <t>2026-06-12</t>
        </is>
      </c>
    </row>
    <row r="128">
      <c r="A128" s="36" t="inlineStr">
        <is>
          <t>RAIN</t>
        </is>
      </c>
      <c r="B128" s="37" t="inlineStr">
        <is>
          <t>Rain Industries Limited</t>
        </is>
      </c>
      <c r="C128" s="37" t="inlineStr">
        <is>
          <t>Basic Materials</t>
        </is>
      </c>
      <c r="D128" s="38" t="inlineStr">
        <is>
          <t>2026-06-12</t>
        </is>
      </c>
    </row>
    <row r="129">
      <c r="A129" s="36" t="inlineStr">
        <is>
          <t>REFEX</t>
        </is>
      </c>
      <c r="B129" s="37" t="inlineStr">
        <is>
          <t>REFEX</t>
        </is>
      </c>
      <c r="C129" s="37" t="inlineStr">
        <is>
          <t>unknown</t>
        </is>
      </c>
      <c r="D129" s="38" t="inlineStr">
        <is>
          <t>2026-06-09</t>
        </is>
      </c>
    </row>
    <row r="130">
      <c r="A130" s="36" t="inlineStr">
        <is>
          <t>RHETAN</t>
        </is>
      </c>
      <c r="B130" s="37" t="inlineStr">
        <is>
          <t>RHETAN</t>
        </is>
      </c>
      <c r="C130" s="37" t="inlineStr">
        <is>
          <t>unknown</t>
        </is>
      </c>
      <c r="D130" s="38" t="inlineStr">
        <is>
          <t>2026-06-12</t>
        </is>
      </c>
    </row>
    <row r="131">
      <c r="A131" s="36" t="inlineStr">
        <is>
          <t>SASKEN</t>
        </is>
      </c>
      <c r="B131" s="37" t="inlineStr">
        <is>
          <t>Sasken Technologies Limited</t>
        </is>
      </c>
      <c r="C131" s="37" t="inlineStr">
        <is>
          <t>Technology</t>
        </is>
      </c>
      <c r="D131" s="38" t="inlineStr">
        <is>
          <t>2026-06-12</t>
        </is>
      </c>
    </row>
    <row r="132">
      <c r="A132" s="36" t="inlineStr">
        <is>
          <t>SHAILY</t>
        </is>
      </c>
      <c r="B132" s="37" t="inlineStr">
        <is>
          <t>Shaily Engineering Plastics Limited</t>
        </is>
      </c>
      <c r="C132" s="37" t="inlineStr">
        <is>
          <t>Basic Materials</t>
        </is>
      </c>
      <c r="D132" s="38" t="inlineStr">
        <is>
          <t>2026-06-09</t>
        </is>
      </c>
    </row>
    <row r="133">
      <c r="A133" s="36" t="inlineStr">
        <is>
          <t>SIGNPOST</t>
        </is>
      </c>
      <c r="B133" s="37" t="inlineStr">
        <is>
          <t>SIGNPOST</t>
        </is>
      </c>
      <c r="C133" s="37" t="inlineStr">
        <is>
          <t>unknown</t>
        </is>
      </c>
      <c r="D133" s="38" t="inlineStr">
        <is>
          <t>2026-06-12</t>
        </is>
      </c>
    </row>
    <row r="134">
      <c r="A134" s="36" t="inlineStr">
        <is>
          <t>SPECTRUM</t>
        </is>
      </c>
      <c r="B134" s="37" t="inlineStr">
        <is>
          <t>SPECTRUM</t>
        </is>
      </c>
      <c r="C134" s="37" t="inlineStr">
        <is>
          <t>Industrials</t>
        </is>
      </c>
      <c r="D134" s="38" t="inlineStr">
        <is>
          <t>2026-06-12</t>
        </is>
      </c>
    </row>
    <row r="135">
      <c r="A135" s="36" t="inlineStr">
        <is>
          <t>THYROCARE</t>
        </is>
      </c>
      <c r="B135" s="37" t="inlineStr">
        <is>
          <t>Thyrocare Technologies Limited</t>
        </is>
      </c>
      <c r="C135" s="37" t="inlineStr">
        <is>
          <t>Healthcare</t>
        </is>
      </c>
      <c r="D135" s="38" t="inlineStr">
        <is>
          <t>2026-06-09</t>
        </is>
      </c>
    </row>
    <row r="136">
      <c r="A136" s="36" t="inlineStr">
        <is>
          <t>TIPSMUSIC</t>
        </is>
      </c>
      <c r="B136" s="37" t="inlineStr">
        <is>
          <t>TIPSMUSIC</t>
        </is>
      </c>
      <c r="C136" s="37" t="inlineStr">
        <is>
          <t>unknown</t>
        </is>
      </c>
      <c r="D136" s="38" t="inlineStr">
        <is>
          <t>2026-06-12</t>
        </is>
      </c>
    </row>
    <row r="137">
      <c r="A137" s="36" t="inlineStr">
        <is>
          <t>USHAMART</t>
        </is>
      </c>
      <c r="B137" s="37" t="inlineStr">
        <is>
          <t>USHAMART</t>
        </is>
      </c>
      <c r="C137" s="37" t="inlineStr">
        <is>
          <t>unknown</t>
        </is>
      </c>
      <c r="D137" s="38" t="inlineStr">
        <is>
          <t>2026-06-10</t>
        </is>
      </c>
    </row>
    <row r="138">
      <c r="A138" s="36" t="inlineStr">
        <is>
          <t>VALIANT</t>
        </is>
      </c>
      <c r="B138" s="37" t="inlineStr">
        <is>
          <t>VALIANT</t>
        </is>
      </c>
      <c r="C138" s="37" t="inlineStr">
        <is>
          <t>unknown</t>
        </is>
      </c>
      <c r="D138" s="38" t="inlineStr">
        <is>
          <t>2026-06-12</t>
        </is>
      </c>
    </row>
    <row r="139">
      <c r="A139" s="36" t="inlineStr">
        <is>
          <t>VIJAYA</t>
        </is>
      </c>
      <c r="B139" s="37" t="inlineStr">
        <is>
          <t>VIJAYA</t>
        </is>
      </c>
      <c r="C139" s="37" t="inlineStr">
        <is>
          <t>unknown</t>
        </is>
      </c>
      <c r="D139" s="38" t="inlineStr">
        <is>
          <t>2026-06-09</t>
        </is>
      </c>
    </row>
    <row r="140">
      <c r="A140" s="36" t="inlineStr">
        <is>
          <t>WELSPLSOL</t>
        </is>
      </c>
      <c r="B140" s="37" t="inlineStr">
        <is>
          <t>WELSPLSOL</t>
        </is>
      </c>
      <c r="C140" s="37" t="inlineStr">
        <is>
          <t>unknown</t>
        </is>
      </c>
      <c r="D140" s="38" t="inlineStr">
        <is>
          <t>2026-06-11</t>
        </is>
      </c>
    </row>
  </sheetData>
  <autoFilter ref="A1:CG94"/>
  <conditionalFormatting sqref="B2:B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9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94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94">
    <cfRule type="cellIs" priority="37" operator="equal" dxfId="3" stopIfTrue="1">
      <formula>"Underperforming"</formula>
    </cfRule>
  </conditionalFormatting>
  <conditionalFormatting sqref="N2:N94">
    <cfRule type="cellIs" priority="38" operator="equal" dxfId="3" stopIfTrue="1">
      <formula>-5</formula>
    </cfRule>
  </conditionalFormatting>
  <conditionalFormatting sqref="Q2:Q94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94" showDropDown="0" showInputMessage="0" showErrorMessage="0" allowBlank="1" type="list">
      <formula1>"Growing Industry,Stagnant Industry,Cyclical in an Upturn"</formula1>
    </dataValidation>
    <dataValidation sqref="Z2:Z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94" showDropDown="0" showInputMessage="0" showErrorMessage="0" allowBlank="1" type="list">
      <formula1>"Yes,No"</formula1>
    </dataValidation>
    <dataValidation sqref="AD2:AD94" showDropDown="0" showInputMessage="0" showErrorMessage="0" allowBlank="1" type="list">
      <formula1>"Tailwind,Headwind"</formula1>
    </dataValidation>
    <dataValidation sqref="AF2:AF94" showDropDown="0" showInputMessage="0" showErrorMessage="0" allowBlank="1" type="list">
      <formula1>"Structural (10 Years Consistency),Shallow Cyclical (2 to 3 Years Growth),Cyclical"</formula1>
    </dataValidation>
    <dataValidation sqref="AH2:AH94" showDropDown="0" showInputMessage="0" showErrorMessage="0" allowBlank="1" type="list">
      <formula1>"Yes due to Product Mix change or Operating Leverage,Yes, these are peak margins,No"</formula1>
    </dataValidation>
    <dataValidation sqref="AJ2:AJ94" showDropDown="0" showInputMessage="0" showErrorMessage="0" allowBlank="1" type="list">
      <formula1>"Stable,Volatile"</formula1>
    </dataValidation>
    <dataValidation sqref="AL2:AL94" showDropDown="0" showInputMessage="0" showErrorMessage="0" allowBlank="1" type="list">
      <formula1>"Yes,No"</formula1>
    </dataValidation>
    <dataValidation sqref="AN2:AN94" showDropDown="0" showInputMessage="0" showErrorMessage="0" allowBlank="1" type="list">
      <formula1>"B2C,B2B,B2G"</formula1>
    </dataValidation>
    <dataValidation sqref="AP2:AP94" showDropDown="0" showInputMessage="0" showErrorMessage="0" allowBlank="1" type="list">
      <formula1>"Yes,No"</formula1>
    </dataValidation>
    <dataValidation sqref="AR2:AR94" showDropDown="0" showInputMessage="0" showErrorMessage="0" allowBlank="1" type="list">
      <formula1>"Fully Annuity,Higher Annuity, Lower One time,Higher One Time, Lower Annuity,Fully One Time"</formula1>
    </dataValidation>
    <dataValidation sqref="AT2:AT94" showDropDown="0" showInputMessage="0" showErrorMessage="0" allowBlank="1" type="list">
      <formula1>"Good,Allocated capital in Non-core Areas"</formula1>
    </dataValidation>
    <dataValidation sqref="AV2:AV94" showDropDown="0" showInputMessage="0" showErrorMessage="0" allowBlank="1" type="list">
      <formula1>"Yes for more than 2 years,Yes only for next 1 to 2 years,No"</formula1>
    </dataValidation>
    <dataValidation sqref="AX2:AX94" showDropDown="0" showInputMessage="0" showErrorMessage="0" allowBlank="1" type="list">
      <formula1>"Above 40,20 to 40,0 to 20"</formula1>
    </dataValidation>
    <dataValidation sqref="AZ2:AZ94" showDropDown="0" showInputMessage="0" showErrorMessage="0" allowBlank="1" type="list">
      <formula1>"Between 50 to 75,Above 75,Below 45"</formula1>
    </dataValidation>
    <dataValidation sqref="BB2:BB94" showDropDown="0" showInputMessage="0" showErrorMessage="0" allowBlank="1" type="list">
      <formula1>"Stage 1,Stage 2,Stage 3,Stage 4"</formula1>
    </dataValidation>
    <dataValidation sqref="BD2:BD94" showDropDown="0" showInputMessage="0" showErrorMessage="0" allowBlank="1" type="list">
      <formula1>"Positive Trend,Negative Trend"</formula1>
    </dataValidation>
    <dataValidation sqref="BF2:BF94" showDropDown="0" showInputMessage="0" showErrorMessage="0" allowBlank="1" type="list">
      <formula1>"Uptrend,Sideways,Downtrend"</formula1>
    </dataValidation>
    <dataValidation sqref="BH2:BH94" showDropDown="0" showInputMessage="0" showErrorMessage="0" allowBlank="1" type="list">
      <formula1>"Uptrend,Sideways,Downtrend"</formula1>
    </dataValidation>
    <dataValidation sqref="BJ2:BJ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94" showDropDown="0" showInputMessage="0" showErrorMessage="0" allowBlank="1" type="list">
      <formula1>"Yes,No"</formula1>
    </dataValidation>
    <dataValidation sqref="BN2:BN94" showDropDown="0" showInputMessage="0" showErrorMessage="0" allowBlank="1" type="list">
      <formula1>"More than 20%,Between 12 to 20%,Less than 12%"</formula1>
    </dataValidation>
    <dataValidation sqref="BP2:BP94" showDropDown="0" showInputMessage="0" showErrorMessage="0" allowBlank="1" type="list">
      <formula1>"Yes,No"</formula1>
    </dataValidation>
    <dataValidation sqref="BR2:BR94" showDropDown="0" showInputMessage="0" showErrorMessage="0" allowBlank="1" type="list">
      <formula1>"Yes,No"</formula1>
    </dataValidation>
    <dataValidation sqref="BT2:BT94" showDropDown="0" showInputMessage="0" showErrorMessage="0" allowBlank="1" type="list">
      <formula1>"Above 2,Between 1.5 to 2,Less than 1.5"</formula1>
    </dataValidation>
    <dataValidation sqref="BV2:BV94" showDropDown="0" showInputMessage="0" showErrorMessage="0" allowBlank="1" type="list">
      <formula1>"Above 70%,Between 50% to 70%,Less than 50%,Less than 50% and Borrowings are increasing,Negative"</formula1>
    </dataValidation>
    <dataValidation sqref="BX2:BX94" showDropDown="0" showInputMessage="0" showErrorMessage="0" allowBlank="1" type="list">
      <formula1>"More than 1.2,Between 0.7 to 1.2,Less than 0.7"</formula1>
    </dataValidation>
    <dataValidation sqref="BZ2:BZ94" showDropDown="0" showInputMessage="0" showErrorMessage="0" allowBlank="1" type="list">
      <formula1>"Yes,No"</formula1>
    </dataValidation>
    <dataValidation sqref="CB2:CB94" showDropDown="0" showInputMessage="0" showErrorMessage="0" allowBlank="1" type="list">
      <formula1>"More than 15%,Less than 15%"</formula1>
    </dataValidation>
    <dataValidation sqref="CD2:CD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IF(B2=0,"",RANK(B2,$B$2:$B$8,0))</f>
        <v/>
      </c>
      <c r="B2" s="32">
        <f>SUM(N2,Y2,AA2,AC2,AE2,AG2,AI2,AK2,AM2,AO2,AQ2,AS2,AU2,AW2,AY2,BA2,BC2,BE2,BG2,BI2,BK2,BM2,BO2,BQ2,BS2,BU2,BW2,BY2,CA2,CC2)</f>
        <v/>
      </c>
      <c r="C2" s="34" t="inlineStr">
        <is>
          <t>SGFIN</t>
        </is>
      </c>
      <c r="D2" s="34" t="inlineStr">
        <is>
          <t>SG Finserve Ltd</t>
        </is>
      </c>
      <c r="E2" s="31" t="inlineStr">
        <is>
          <t>Financial Services</t>
        </is>
      </c>
      <c r="F2" s="31" t="inlineStr">
        <is>
          <t>Finance &amp; Investments - MSME Lending</t>
        </is>
      </c>
      <c r="G2" s="31" t="inlineStr">
        <is>
          <t>smallcap</t>
        </is>
      </c>
      <c r="H2" s="32" t="n">
        <v>4028.49</v>
      </c>
      <c r="I2" s="32" t="n">
        <v>611.35</v>
      </c>
      <c r="J2" s="32" t="n">
        <v>7.33</v>
      </c>
      <c r="K2" s="32" t="n">
        <v>0</v>
      </c>
      <c r="L2" s="31" t="n">
        <v>59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73.87</v>
      </c>
      <c r="P2" s="32" t="n">
        <v>47.67</v>
      </c>
      <c r="Q2" s="32" t="n">
        <v>473.45</v>
      </c>
      <c r="R2" s="31" t="inlineStr">
        <is>
          <t>Near 52W High Breakout</t>
        </is>
      </c>
      <c r="S2" s="31" t="inlineStr">
        <is>
          <t>Nifty Bank</t>
        </is>
      </c>
      <c r="T2" s="32" t="n">
        <v>3.29</v>
      </c>
      <c r="U2" s="32" t="n">
        <v>56.18</v>
      </c>
      <c r="V2" s="32" t="n">
        <v>51.2</v>
      </c>
      <c r="W2" s="32" t="n">
        <v>16.99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21</t>
        </is>
      </c>
      <c r="CC2" s="31">
        <f>IF(CB2&gt;20,10,IF(CB2&gt;=10,5,2))</f>
        <v/>
      </c>
    </row>
    <row r="3">
      <c r="A3" s="31">
        <f>IF(B3=0,"",RANK(B3,$B$2:$B$8,0))</f>
        <v/>
      </c>
      <c r="B3" s="32">
        <f>SUM(N3,Y3,AA3,AC3,AE3,AG3,AI3,AK3,AM3,AO3,AQ3,AS3,AU3,AW3,AY3,BA3,BC3,BE3,BG3,BI3,BK3,BM3,BO3,BQ3,BS3,BU3,BW3,BY3,CA3,CC3)</f>
        <v/>
      </c>
      <c r="C3" s="34" t="inlineStr">
        <is>
          <t>MAHABANK</t>
        </is>
      </c>
      <c r="D3" s="34" t="inlineStr">
        <is>
          <t>Bank of Maharashtra</t>
        </is>
      </c>
      <c r="E3" s="31" t="inlineStr">
        <is>
          <t>bank</t>
        </is>
      </c>
      <c r="F3" s="31" t="inlineStr">
        <is>
          <t>Banks - PSU</t>
        </is>
      </c>
      <c r="G3" s="31" t="inlineStr">
        <is>
          <t>largecap</t>
        </is>
      </c>
      <c r="H3" s="32" t="n">
        <v>67147.27</v>
      </c>
      <c r="I3" s="32" t="n">
        <v>87.3</v>
      </c>
      <c r="J3" s="32" t="n">
        <v>5.08</v>
      </c>
      <c r="K3" s="32" t="n">
        <v>0</v>
      </c>
      <c r="L3" s="31" t="n">
        <v>67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71.33</v>
      </c>
      <c r="P3" s="32" t="n">
        <v>41.27</v>
      </c>
      <c r="Q3" s="32" t="n">
        <v>70.68000000000001</v>
      </c>
      <c r="R3" s="31" t="inlineStr">
        <is>
          <t>Near 52W High Breakout</t>
        </is>
      </c>
      <c r="S3" s="31" t="inlineStr">
        <is>
          <t>Nifty Bank</t>
        </is>
      </c>
      <c r="T3" s="32" t="n">
        <v>2.32</v>
      </c>
      <c r="U3" s="32" t="n">
        <v>65.40000000000001</v>
      </c>
      <c r="V3" s="32" t="n">
        <v>61.65</v>
      </c>
      <c r="W3" s="32" t="n">
        <v>19.11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19</t>
        </is>
      </c>
      <c r="CC3" s="31">
        <f>IF(CB3&gt;20,10,IF(CB3&gt;=10,5,2))</f>
        <v/>
      </c>
    </row>
    <row r="4">
      <c r="A4" s="31">
        <f>IF(B4=0,"",RANK(B4,$B$2:$B$8,0))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SATIN</t>
        </is>
      </c>
      <c r="D4" s="31" t="inlineStr">
        <is>
          <t>Satin Creditcare Network Ltd</t>
        </is>
      </c>
      <c r="E4" s="31" t="inlineStr">
        <is>
          <t>financials</t>
        </is>
      </c>
      <c r="F4" s="31" t="inlineStr">
        <is>
          <t>Finance &amp; Investments - Microfinance</t>
        </is>
      </c>
      <c r="G4" s="31" t="inlineStr">
        <is>
          <t>smallcap</t>
        </is>
      </c>
      <c r="H4" s="32" t="n">
        <v>2500.18</v>
      </c>
      <c r="I4" s="32" t="n">
        <v>226.32</v>
      </c>
      <c r="J4" s="32" t="n">
        <v>3.02</v>
      </c>
      <c r="K4" s="32" t="n">
        <v>0</v>
      </c>
      <c r="L4" s="31" t="n">
        <v>70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68.62</v>
      </c>
      <c r="P4" s="32" t="n">
        <v>41.38</v>
      </c>
      <c r="Q4" s="32" t="n">
        <v>187.06</v>
      </c>
      <c r="R4" s="31" t="inlineStr">
        <is>
          <t>Earnings / Momentum Support</t>
        </is>
      </c>
      <c r="S4" s="31" t="inlineStr">
        <is>
          <t>Nifty Bank</t>
        </is>
      </c>
      <c r="T4" s="32" t="n">
        <v>2.32</v>
      </c>
      <c r="U4" s="32" t="n">
        <v>42.22</v>
      </c>
      <c r="V4" s="32" t="n">
        <v>39</v>
      </c>
      <c r="W4" s="32" t="n">
        <v>20.92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No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Close to 52 week high or retracement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19</t>
        </is>
      </c>
      <c r="CC4" s="31">
        <f>IF(CB4&gt;20,10,IF(CB4&gt;=10,5,2))</f>
        <v/>
      </c>
    </row>
    <row r="5">
      <c r="A5" s="31">
        <f>IF(B5=0,"",RANK(B5,$B$2:$B$8,0))</f>
        <v/>
      </c>
      <c r="B5" s="32">
        <f>SUM(N5,Y5,AA5,AC5,AE5,AG5,AI5,AK5,AM5,AO5,AQ5,AS5,AU5,AW5,AY5,BA5,BC5,BE5,BG5,BI5,BK5,BM5,BO5,BQ5,BS5,BU5,BW5,BY5,CA5,CC5)</f>
        <v/>
      </c>
      <c r="C5" s="34" t="inlineStr">
        <is>
          <t>IFCI</t>
        </is>
      </c>
      <c r="D5" s="34" t="inlineStr">
        <is>
          <t>IFCI Ltd</t>
        </is>
      </c>
      <c r="E5" s="31" t="inlineStr">
        <is>
          <t>financials</t>
        </is>
      </c>
      <c r="F5" s="31" t="inlineStr">
        <is>
          <t>Finance - PSU Lending</t>
        </is>
      </c>
      <c r="G5" s="31" t="inlineStr">
        <is>
          <t>largecap</t>
        </is>
      </c>
      <c r="H5" s="32" t="n">
        <v>22785.82</v>
      </c>
      <c r="I5" s="32" t="n">
        <v>84.56999999999999</v>
      </c>
      <c r="J5" s="32" t="n">
        <v>19.99</v>
      </c>
      <c r="K5" s="32" t="n">
        <v>0</v>
      </c>
      <c r="L5" s="31" t="n">
        <v>64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72.76000000000001</v>
      </c>
      <c r="P5" s="32" t="n">
        <v>23.34</v>
      </c>
      <c r="Q5" s="32" t="n">
        <v>62.36</v>
      </c>
      <c r="R5" s="31" t="inlineStr">
        <is>
          <t>Volume Spike &amp; Near 52W High Breakout</t>
        </is>
      </c>
      <c r="S5" s="31" t="inlineStr">
        <is>
          <t>Nifty Bank</t>
        </is>
      </c>
      <c r="T5" s="32" t="n">
        <v>2.32</v>
      </c>
      <c r="U5" s="32" t="n">
        <v>37.36</v>
      </c>
      <c r="V5" s="32" t="n">
        <v>34.24</v>
      </c>
      <c r="W5" s="32" t="n">
        <v>18.21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less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17</t>
        </is>
      </c>
      <c r="CC5" s="31">
        <f>IF(CB5&gt;20,10,IF(CB5&gt;=10,5,2))</f>
        <v/>
      </c>
    </row>
    <row r="6">
      <c r="A6" s="31">
        <f>IF(B6=0,"",RANK(B6,$B$2:$B$8,0))</f>
        <v/>
      </c>
      <c r="B6" s="32">
        <f>SUM(N6,Y6,AA6,AC6,AE6,AG6,AI6,AK6,AM6,AO6,AQ6,AS6,AU6,AW6,AY6,BA6,BC6,BE6,BG6,BI6,BK6,BM6,BO6,BQ6,BS6,BU6,BW6,BY6,CA6,CC6)</f>
        <v/>
      </c>
      <c r="C6" s="34" t="inlineStr">
        <is>
          <t>BSE</t>
        </is>
      </c>
      <c r="D6" s="34" t="inlineStr">
        <is>
          <t>BSE Ltd</t>
        </is>
      </c>
      <c r="E6" s="31" t="inlineStr">
        <is>
          <t>Financial Services</t>
        </is>
      </c>
      <c r="F6" s="31" t="inlineStr">
        <is>
          <t>Exchanges</t>
        </is>
      </c>
      <c r="G6" s="31" t="inlineStr">
        <is>
          <t>largecap</t>
        </is>
      </c>
      <c r="H6" s="32" t="n">
        <v>164593.63</v>
      </c>
      <c r="I6" s="32" t="n">
        <v>4041.1</v>
      </c>
      <c r="J6" s="32" t="n">
        <v>3.93</v>
      </c>
      <c r="K6" s="32" t="n">
        <v>0</v>
      </c>
      <c r="L6" s="31" t="n">
        <v>67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69.97</v>
      </c>
      <c r="P6" s="32" t="n">
        <v>30.7</v>
      </c>
      <c r="Q6" s="32" t="n">
        <v>3360.99</v>
      </c>
      <c r="R6" s="31" t="inlineStr">
        <is>
          <t>Near 52W High Breakout</t>
        </is>
      </c>
      <c r="S6" s="31" t="inlineStr">
        <is>
          <t>Nifty Bank</t>
        </is>
      </c>
      <c r="T6" s="32" t="n">
        <v>2.32</v>
      </c>
      <c r="U6" s="32" t="n">
        <v>49.05</v>
      </c>
      <c r="V6" s="32" t="n">
        <v>45.67</v>
      </c>
      <c r="W6" s="32" t="n">
        <v>19.33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above 5x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18</t>
        </is>
      </c>
      <c r="CC6" s="31">
        <f>IF(CB6&gt;20,10,IF(CB6&gt;=10,5,2))</f>
        <v/>
      </c>
    </row>
    <row r="7">
      <c r="A7" s="31">
        <f>IF(B7=0,"",RANK(B7,$B$2:$B$8,0))</f>
        <v/>
      </c>
      <c r="B7" s="32">
        <f>SUM(N7,Y7,AA7,AC7,AE7,AG7,AI7,AK7,AM7,AO7,AQ7,AS7,AU7,AW7,AY7,BA7,BC7,BE7,BG7,BI7,BK7,BM7,BO7,BQ7,BS7,BU7,BW7,BY7,CA7,CC7)</f>
        <v/>
      </c>
      <c r="C7" s="34" t="inlineStr">
        <is>
          <t>CGCL</t>
        </is>
      </c>
      <c r="D7" s="34" t="inlineStr">
        <is>
          <t>Capri Global Capital Ltd</t>
        </is>
      </c>
      <c r="E7" s="31" t="inlineStr">
        <is>
          <t>financials</t>
        </is>
      </c>
      <c r="F7" s="31" t="inlineStr">
        <is>
          <t>Finance &amp; Investments - Gold Loan</t>
        </is>
      </c>
      <c r="G7" s="31" t="inlineStr">
        <is>
          <t>largecap</t>
        </is>
      </c>
      <c r="H7" s="32" t="n">
        <v>20058.99</v>
      </c>
      <c r="I7" s="32" t="n">
        <v>208.48</v>
      </c>
      <c r="J7" s="32" t="n">
        <v>4.61</v>
      </c>
      <c r="K7" s="32" t="n">
        <v>0</v>
      </c>
      <c r="L7" s="31" t="n">
        <v>28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65.56999999999999</v>
      </c>
      <c r="P7" s="32" t="n">
        <v>17.23</v>
      </c>
      <c r="Q7" s="32" t="n">
        <v>168.48</v>
      </c>
      <c r="R7" s="31" t="inlineStr">
        <is>
          <t>Near 52W High Breakout</t>
        </is>
      </c>
      <c r="S7" s="31" t="inlineStr">
        <is>
          <t>Nifty Bank</t>
        </is>
      </c>
      <c r="T7" s="32" t="n">
        <v>2.32</v>
      </c>
      <c r="U7" s="32" t="n">
        <v>21.96</v>
      </c>
      <c r="V7" s="32" t="n">
        <v>19.19</v>
      </c>
      <c r="W7" s="32" t="n">
        <v>9.06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between 2.5x to 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0 to 20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19</t>
        </is>
      </c>
      <c r="CC7" s="31">
        <f>IF(CB7&gt;20,10,IF(CB7&gt;=10,5,2))</f>
        <v/>
      </c>
    </row>
    <row r="8">
      <c r="A8" s="31">
        <f>IF(B8=0,"",RANK(B8,$B$2:$B$8,0))</f>
        <v/>
      </c>
      <c r="B8" s="32">
        <f>SUM(N8,Y8,AA8,AC8,AE8,AG8,AI8,AK8,AM8,AO8,AQ8,AS8,AU8,AW8,AY8,BA8,BC8,BE8,BG8,BI8,BK8,BM8,BO8,BQ8,BS8,BU8,BW8,BY8,CA8,CC8)</f>
        <v/>
      </c>
      <c r="C8" s="31" t="inlineStr">
        <is>
          <t>PAISALO</t>
        </is>
      </c>
      <c r="D8" s="31" t="inlineStr">
        <is>
          <t>Paisalo Digital Ltd</t>
        </is>
      </c>
      <c r="E8" s="31" t="inlineStr">
        <is>
          <t>financials</t>
        </is>
      </c>
      <c r="F8" s="31" t="inlineStr">
        <is>
          <t>Finance - Capital Markets - Brokers</t>
        </is>
      </c>
      <c r="G8" s="31" t="inlineStr">
        <is>
          <t>midcap</t>
        </is>
      </c>
      <c r="H8" s="32" t="n">
        <v>5393.46</v>
      </c>
      <c r="I8" s="32" t="n">
        <v>59.3</v>
      </c>
      <c r="J8" s="32" t="n">
        <v>1.35</v>
      </c>
      <c r="K8" s="32" t="n">
        <v>0</v>
      </c>
      <c r="L8" s="31" t="n">
        <v>89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77.36</v>
      </c>
      <c r="P8" s="32" t="n">
        <v>32.77</v>
      </c>
      <c r="Q8" s="32" t="n">
        <v>46.49</v>
      </c>
      <c r="R8" s="31" t="inlineStr">
        <is>
          <t>Near 52W High Breakout</t>
        </is>
      </c>
      <c r="S8" s="31" t="inlineStr">
        <is>
          <t>Nifty Bank</t>
        </is>
      </c>
      <c r="T8" s="32" t="n">
        <v>2.32</v>
      </c>
      <c r="U8" s="32" t="n">
        <v>89.7</v>
      </c>
      <c r="V8" s="32" t="n">
        <v>85.40000000000001</v>
      </c>
      <c r="W8" s="32" t="n">
        <v>37.18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between 2.5x to 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Above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23</t>
        </is>
      </c>
      <c r="CC8" s="31">
        <f>IF(CB8&gt;20,10,IF(CB8&gt;=10,5,2))</f>
        <v/>
      </c>
    </row>
    <row r="12">
      <c r="A12" s="25" t="inlineStr">
        <is>
          <t>❌ REMOVED SCAN MATCH STOCKS (THIS WEEK)</t>
        </is>
      </c>
    </row>
    <row r="13">
      <c r="A13" s="35" t="inlineStr">
        <is>
          <t>Symbol</t>
        </is>
      </c>
      <c r="B13" s="35" t="inlineStr">
        <is>
          <t>Company Name</t>
        </is>
      </c>
      <c r="C13" s="35" t="inlineStr">
        <is>
          <t>Sector</t>
        </is>
      </c>
      <c r="D13" s="35" t="inlineStr">
        <is>
          <t>Date of Removal</t>
        </is>
      </c>
    </row>
    <row r="14">
      <c r="A14" s="36" t="inlineStr">
        <is>
          <t>ANGELONE</t>
        </is>
      </c>
      <c r="B14" s="37" t="inlineStr">
        <is>
          <t>Angel One Limited</t>
        </is>
      </c>
      <c r="C14" s="37" t="inlineStr">
        <is>
          <t>Financial Services</t>
        </is>
      </c>
      <c r="D14" s="38" t="inlineStr">
        <is>
          <t>2026-06-10</t>
        </is>
      </c>
    </row>
    <row r="15">
      <c r="A15" s="36" t="inlineStr">
        <is>
          <t>DHANBANK</t>
        </is>
      </c>
      <c r="B15" s="37" t="inlineStr">
        <is>
          <t>DHANBANK</t>
        </is>
      </c>
      <c r="C15" s="37" t="inlineStr">
        <is>
          <t>unknown</t>
        </is>
      </c>
      <c r="D15" s="38" t="inlineStr">
        <is>
          <t>2026-06-09</t>
        </is>
      </c>
    </row>
    <row r="16">
      <c r="A16" s="36" t="inlineStr">
        <is>
          <t>SURYODAY</t>
        </is>
      </c>
      <c r="B16" s="37" t="inlineStr">
        <is>
          <t>Suryoday Small Finance Bank Limited</t>
        </is>
      </c>
      <c r="C16" s="37" t="inlineStr">
        <is>
          <t>Financial Services</t>
        </is>
      </c>
      <c r="D16" s="38" t="inlineStr">
        <is>
          <t>2026-06-09</t>
        </is>
      </c>
    </row>
    <row r="17">
      <c r="A17" s="36" t="inlineStr">
        <is>
          <t>TMB</t>
        </is>
      </c>
      <c r="B17" s="37" t="inlineStr">
        <is>
          <t>Tamilnad Mercantile Bank Limited</t>
        </is>
      </c>
      <c r="C17" s="37" t="inlineStr">
        <is>
          <t>Financial Services</t>
        </is>
      </c>
      <c r="D17" s="38" t="inlineStr">
        <is>
          <t>2026-06-12</t>
        </is>
      </c>
    </row>
  </sheetData>
  <autoFilter ref="A1:CC8"/>
  <conditionalFormatting sqref="B2:B8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8">
    <cfRule type="cellIs" priority="35" operator="equal" dxfId="3" stopIfTrue="1">
      <formula>"Underperforming"</formula>
    </cfRule>
  </conditionalFormatting>
  <conditionalFormatting sqref="N2:N8">
    <cfRule type="cellIs" priority="36" operator="equal" dxfId="3" stopIfTrue="1">
      <formula>-5</formula>
    </cfRule>
  </conditionalFormatting>
  <conditionalFormatting sqref="Q2:Q8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8" showDropDown="0" showInputMessage="0" showErrorMessage="0" allowBlank="1" type="list">
      <formula1>"Growing Industry,Stagnant Industry,Cyclical in an Upturn"</formula1>
    </dataValidation>
    <dataValidation sqref="Z2:Z8" showDropDown="0" showInputMessage="0" showErrorMessage="0" allowBlank="1" type="list">
      <formula1>"Fragmented with Low ROE,Fragmented with High ROE,Highly Cyclical"</formula1>
    </dataValidation>
    <dataValidation sqref="AB2:AB8" showDropDown="0" showInputMessage="0" showErrorMessage="0" allowBlank="1" type="list">
      <formula1>"Yes,No"</formula1>
    </dataValidation>
    <dataValidation sqref="AD2:AD8" showDropDown="0" showInputMessage="0" showErrorMessage="0" allowBlank="1" type="list">
      <formula1>"Tailwind,Headwind"</formula1>
    </dataValidation>
    <dataValidation sqref="AF2:AF8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8" showDropDown="0" showInputMessage="0" showErrorMessage="0" allowBlank="1" type="list">
      <formula1>"Yes,No"</formula1>
    </dataValidation>
    <dataValidation sqref="AJ2:AJ8" showDropDown="0" showInputMessage="0" showErrorMessage="0" allowBlank="1" type="list">
      <formula1>"Yes,No,Not Applicable"</formula1>
    </dataValidation>
    <dataValidation sqref="AL2:AL8" showDropDown="0" showInputMessage="0" showErrorMessage="0" allowBlank="1" type="list">
      <formula1>"Yes,No"</formula1>
    </dataValidation>
    <dataValidation sqref="AN2:AN8" showDropDown="0" showInputMessage="0" showErrorMessage="0" allowBlank="1" type="list">
      <formula1>"Yes,No"</formula1>
    </dataValidation>
    <dataValidation sqref="AP2:AP8" showDropDown="0" showInputMessage="0" showErrorMessage="0" allowBlank="1" type="list">
      <formula1>"Yes,No"</formula1>
    </dataValidation>
    <dataValidation sqref="AR2:AR8" showDropDown="0" showInputMessage="0" showErrorMessage="0" allowBlank="1" type="list">
      <formula1>"Yes,No"</formula1>
    </dataValidation>
    <dataValidation sqref="AT2:AT8" showDropDown="0" showInputMessage="0" showErrorMessage="0" allowBlank="1" type="list">
      <formula1>"No,Yes"</formula1>
    </dataValidation>
    <dataValidation sqref="AV2:AV8" showDropDown="0" showInputMessage="0" showErrorMessage="0" allowBlank="1" type="list">
      <formula1>"No,Yes"</formula1>
    </dataValidation>
    <dataValidation sqref="AX2:AX8" showDropDown="0" showInputMessage="0" showErrorMessage="0" allowBlank="1" type="list">
      <formula1>"No,Yes CEO Resignation,Yes CEO Retirement"</formula1>
    </dataValidation>
    <dataValidation sqref="AZ2:AZ8" showDropDown="0" showInputMessage="0" showErrorMessage="0" allowBlank="1" type="list">
      <formula1>"No,Yes"</formula1>
    </dataValidation>
    <dataValidation sqref="BB2:BB8" showDropDown="0" showInputMessage="0" showErrorMessage="0" allowBlank="1" type="list">
      <formula1>"No,Yes"</formula1>
    </dataValidation>
    <dataValidation sqref="BD2:BD8" showDropDown="0" showInputMessage="0" showErrorMessage="0" allowBlank="1" type="list">
      <formula1>"Yes,No"</formula1>
    </dataValidation>
    <dataValidation sqref="BF2:BF8" showDropDown="0" showInputMessage="0" showErrorMessage="0" allowBlank="1" type="list">
      <formula1>"Yes,No"</formula1>
    </dataValidation>
    <dataValidation sqref="BH2:BH8" showDropDown="0" showInputMessage="0" showErrorMessage="0" allowBlank="1" type="list">
      <formula1>"Yes,No"</formula1>
    </dataValidation>
    <dataValidation sqref="BJ2:BJ8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8" showDropDown="0" showInputMessage="0" showErrorMessage="0" allowBlank="1" type="list">
      <formula1>"Above 40,20 to 40,0 to 20"</formula1>
    </dataValidation>
    <dataValidation sqref="BN2:BN8" showDropDown="0" showInputMessage="0" showErrorMessage="0" allowBlank="1" type="list">
      <formula1>"Between 50 to 75,Above 75,Below 45"</formula1>
    </dataValidation>
    <dataValidation sqref="BP2:BP8" showDropDown="0" showInputMessage="0" showErrorMessage="0" allowBlank="1" type="list">
      <formula1>"Stage 1,Stage 2,Stage 3,Stage 4"</formula1>
    </dataValidation>
    <dataValidation sqref="BR2:BR8" showDropDown="0" showInputMessage="0" showErrorMessage="0" allowBlank="1" type="list">
      <formula1>"Positive Trend,Negative Trend"</formula1>
    </dataValidation>
    <dataValidation sqref="BT2:BT8" showDropDown="0" showInputMessage="0" showErrorMessage="0" allowBlank="1" type="list">
      <formula1>"Uptrend,Sideways,Downtrend"</formula1>
    </dataValidation>
    <dataValidation sqref="BV2:BV8" showDropDown="0" showInputMessage="0" showErrorMessage="0" allowBlank="1" type="list">
      <formula1>"Uptrend,Sideways,Downtrend"</formula1>
    </dataValidation>
    <dataValidation sqref="BX2:BX8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8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2026-06-12T13:45:44Z</dcterms:created>
  <dcterms:modified xmlns:dcterms="http://purl.org/dc/terms/" xmlns:xsi="http://www.w3.org/2001/XMLSchema-instance" xsi:type="dcterms:W3CDTF">2026-06-12T13:46:27Z</dcterms:modified>
</cp:coreProperties>
</file>