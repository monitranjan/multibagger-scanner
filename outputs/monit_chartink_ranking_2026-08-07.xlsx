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Universe'!$A$1:$J$439</definedName>
    <definedName name="_xlnm._FilterDatabase" localSheetId="3" hidden="1">'Confluence Overlap'!$A$1:$K$94</definedName>
    <definedName name="_xlnm._FilterDatabase" localSheetId="4" hidden="1">'Monit Non Financial'!$A$1:$CE$396</definedName>
    <definedName name="_xlnm._FilterDatabase" localSheetId="5" hidden="1">'Monit Banks NBFC'!$A$1:$CA$44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Financial'!$A$1:$CG$90</definedName>
    <definedName name="_xlnm._FilterDatabase" localSheetId="9" hidden="1">'Scan Match Banks NBFC'!$A$1:$CC$12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07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37" customWidth="1" min="4" max="4"/>
    <col width="25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570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80</v>
      </c>
      <c r="G6" s="19" t="n">
        <v>47999.35</v>
      </c>
      <c r="H6" s="18" t="inlineStr">
        <is>
          <t>Potential Leader</t>
        </is>
      </c>
      <c r="J6" s="18" t="inlineStr">
        <is>
          <t>power &amp; utilities</t>
        </is>
      </c>
      <c r="K6" s="16" t="n">
        <v>13</v>
      </c>
      <c r="L6" s="16" t="n">
        <v>5</v>
      </c>
      <c r="M6" s="20" t="inlineStr">
        <is>
          <t>160.0%</t>
        </is>
      </c>
    </row>
    <row r="7">
      <c r="A7" s="16" t="n">
        <v>2</v>
      </c>
      <c r="B7" s="17" t="n">
        <v>462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62</v>
      </c>
      <c r="G7" s="19" t="n">
        <v>2886.06</v>
      </c>
      <c r="H7" s="18" t="inlineStr">
        <is>
          <t>Potential Leader</t>
        </is>
      </c>
      <c r="J7" s="18" t="inlineStr">
        <is>
          <t>aerospace &amp; defence</t>
        </is>
      </c>
      <c r="K7" s="16" t="n">
        <v>52</v>
      </c>
      <c r="L7" s="16" t="n">
        <v>20</v>
      </c>
      <c r="M7" s="20" t="inlineStr">
        <is>
          <t>160.0%</t>
        </is>
      </c>
    </row>
    <row r="8">
      <c r="A8" s="16" t="n">
        <v>3</v>
      </c>
      <c r="B8" s="17" t="n">
        <v>456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61</v>
      </c>
      <c r="G8" s="19" t="n">
        <v>98865.67</v>
      </c>
      <c r="H8" s="18" t="inlineStr">
        <is>
          <t>Potential Leader</t>
        </is>
      </c>
      <c r="J8" s="18" t="inlineStr">
        <is>
          <t>metals &amp; mining</t>
        </is>
      </c>
      <c r="K8" s="16" t="n">
        <v>123</v>
      </c>
      <c r="L8" s="16" t="n">
        <v>56</v>
      </c>
      <c r="M8" s="20" t="inlineStr">
        <is>
          <t>119.6%</t>
        </is>
      </c>
    </row>
    <row r="9">
      <c r="A9" s="16" t="n">
        <v>4</v>
      </c>
      <c r="B9" s="17" t="n">
        <v>390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50</v>
      </c>
      <c r="G9" s="19" t="n">
        <v>5023.11</v>
      </c>
      <c r="H9" s="18" t="inlineStr">
        <is>
          <t>Potential Leader</t>
        </is>
      </c>
      <c r="J9" s="18" t="inlineStr">
        <is>
          <t>energy</t>
        </is>
      </c>
      <c r="K9" s="16" t="n">
        <v>62</v>
      </c>
      <c r="L9" s="16" t="n">
        <v>33</v>
      </c>
      <c r="M9" s="20" t="inlineStr">
        <is>
          <t>87.9%</t>
        </is>
      </c>
    </row>
    <row r="10">
      <c r="A10" s="16" t="n">
        <v>5</v>
      </c>
      <c r="B10" s="17" t="n">
        <v>384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49</v>
      </c>
      <c r="G10" s="19" t="n">
        <v>35312.13</v>
      </c>
      <c r="H10" s="18" t="inlineStr">
        <is>
          <t>Potential Leader</t>
        </is>
      </c>
      <c r="J10" s="18" t="inlineStr">
        <is>
          <t>realty</t>
        </is>
      </c>
      <c r="K10" s="16" t="n">
        <v>68</v>
      </c>
      <c r="L10" s="16" t="n">
        <v>41</v>
      </c>
      <c r="M10" s="20" t="inlineStr">
        <is>
          <t>65.9%</t>
        </is>
      </c>
    </row>
    <row r="11">
      <c r="A11" s="16" t="n">
        <v>6</v>
      </c>
      <c r="B11" s="17" t="n">
        <v>354</v>
      </c>
      <c r="C11" s="17" t="inlineStr">
        <is>
          <t>SPECTRUM</t>
        </is>
      </c>
      <c r="D11" s="18" t="inlineStr">
        <is>
          <t>Spectrum Electrical Industries Ltd</t>
        </is>
      </c>
      <c r="E11" s="18" t="inlineStr">
        <is>
          <t>industrials</t>
        </is>
      </c>
      <c r="F11" s="16" t="n">
        <v>44</v>
      </c>
      <c r="G11" s="19" t="n">
        <v>4035.31</v>
      </c>
      <c r="H11" s="18" t="inlineStr">
        <is>
          <t>Potential Leader</t>
        </is>
      </c>
      <c r="J11" s="18" t="inlineStr">
        <is>
          <t>i.t</t>
        </is>
      </c>
      <c r="K11" s="16" t="n">
        <v>125</v>
      </c>
      <c r="L11" s="16" t="n">
        <v>77</v>
      </c>
      <c r="M11" s="20" t="inlineStr">
        <is>
          <t>62.3%</t>
        </is>
      </c>
    </row>
    <row r="12">
      <c r="A12" s="16" t="n">
        <v>7</v>
      </c>
      <c r="B12" s="17" t="n">
        <v>324</v>
      </c>
      <c r="C12" s="17" t="inlineStr">
        <is>
          <t>VADILALIND</t>
        </is>
      </c>
      <c r="D12" s="18" t="inlineStr">
        <is>
          <t>Vadilal Industries Limited</t>
        </is>
      </c>
      <c r="E12" s="18" t="inlineStr">
        <is>
          <t>fmcg</t>
        </is>
      </c>
      <c r="F12" s="16" t="n">
        <v>39</v>
      </c>
      <c r="G12" s="19" t="n">
        <v>5266.88</v>
      </c>
      <c r="H12" s="18" t="inlineStr">
        <is>
          <t>Potential Leader</t>
        </is>
      </c>
      <c r="J12" s="18" t="inlineStr">
        <is>
          <t>miscellaneous</t>
        </is>
      </c>
      <c r="K12" s="16" t="n">
        <v>63</v>
      </c>
      <c r="L12" s="16" t="n">
        <v>40</v>
      </c>
      <c r="M12" s="20" t="inlineStr">
        <is>
          <t>57.5%</t>
        </is>
      </c>
    </row>
    <row r="13">
      <c r="A13" s="16" t="n">
        <v>8</v>
      </c>
      <c r="B13" s="17" t="n">
        <v>318</v>
      </c>
      <c r="C13" s="17" t="inlineStr">
        <is>
          <t>FEDERALBNK</t>
        </is>
      </c>
      <c r="D13" s="18" t="inlineStr">
        <is>
          <t>The Federal Bank  Limited</t>
        </is>
      </c>
      <c r="E13" s="18" t="inlineStr">
        <is>
          <t>bank</t>
        </is>
      </c>
      <c r="F13" s="16" t="n">
        <v>38</v>
      </c>
      <c r="G13" s="19" t="n">
        <v>87257.52</v>
      </c>
      <c r="H13" s="18" t="inlineStr">
        <is>
          <t>Potential Leader</t>
        </is>
      </c>
      <c r="J13" s="18" t="inlineStr">
        <is>
          <t>auto</t>
        </is>
      </c>
      <c r="K13" s="16" t="n">
        <v>233</v>
      </c>
      <c r="L13" s="16" t="n">
        <v>149</v>
      </c>
      <c r="M13" s="20" t="inlineStr">
        <is>
          <t>56.4%</t>
        </is>
      </c>
    </row>
    <row r="14">
      <c r="A14" s="16" t="n">
        <v>9</v>
      </c>
      <c r="B14" s="17" t="n">
        <v>306</v>
      </c>
      <c r="C14" s="17" t="inlineStr">
        <is>
          <t>HITECHCORP</t>
        </is>
      </c>
      <c r="D14" s="18" t="inlineStr">
        <is>
          <t>Hitech Corporation</t>
        </is>
      </c>
      <c r="E14" s="18" t="inlineStr">
        <is>
          <t>industrials</t>
        </is>
      </c>
      <c r="F14" s="16" t="n">
        <v>36</v>
      </c>
      <c r="G14" s="19" t="n">
        <v>549.79</v>
      </c>
      <c r="H14" s="18" t="inlineStr">
        <is>
          <t>Potential Leader</t>
        </is>
      </c>
      <c r="J14" s="18" t="inlineStr">
        <is>
          <t>fmcg</t>
        </is>
      </c>
      <c r="K14" s="16" t="n">
        <v>125</v>
      </c>
      <c r="L14" s="16" t="n">
        <v>81</v>
      </c>
      <c r="M14" s="20" t="inlineStr">
        <is>
          <t>54.3%</t>
        </is>
      </c>
    </row>
    <row r="15">
      <c r="A15" s="16" t="n">
        <v>10</v>
      </c>
      <c r="B15" s="17" t="n">
        <v>276</v>
      </c>
      <c r="C15" s="17" t="inlineStr">
        <is>
          <t>SSWL</t>
        </is>
      </c>
      <c r="D15" s="18" t="inlineStr">
        <is>
          <t>Steel Strips Wheels Limited</t>
        </is>
      </c>
      <c r="E15" s="18" t="inlineStr">
        <is>
          <t>auto</t>
        </is>
      </c>
      <c r="F15" s="16" t="n">
        <v>31</v>
      </c>
      <c r="G15" s="19" t="n">
        <v>4860.02</v>
      </c>
      <c r="H15" s="18" t="inlineStr">
        <is>
          <t>Potential Leader</t>
        </is>
      </c>
      <c r="J15" s="18" t="inlineStr">
        <is>
          <t>industrials</t>
        </is>
      </c>
      <c r="K15" s="16" t="n">
        <v>259</v>
      </c>
      <c r="L15" s="16" t="n">
        <v>169</v>
      </c>
      <c r="M15" s="20" t="inlineStr">
        <is>
          <t>53.3%</t>
        </is>
      </c>
    </row>
    <row r="16">
      <c r="A16" s="16" t="n">
        <v>11</v>
      </c>
      <c r="B16" s="17" t="n">
        <v>270</v>
      </c>
      <c r="C16" s="17" t="inlineStr">
        <is>
          <t>BHARATFORG</t>
        </is>
      </c>
      <c r="D16" s="18" t="inlineStr">
        <is>
          <t>Bharat Forge Limited</t>
        </is>
      </c>
      <c r="E16" s="18" t="inlineStr">
        <is>
          <t>industrials</t>
        </is>
      </c>
      <c r="F16" s="16" t="n">
        <v>30</v>
      </c>
      <c r="G16" s="19" t="n">
        <v>105657.59</v>
      </c>
      <c r="H16" s="18" t="inlineStr">
        <is>
          <t>Potential Leader</t>
        </is>
      </c>
      <c r="J16" s="18" t="inlineStr">
        <is>
          <t>textiles</t>
        </is>
      </c>
      <c r="K16" s="16" t="n">
        <v>97</v>
      </c>
      <c r="L16" s="16" t="n">
        <v>68</v>
      </c>
      <c r="M16" s="20" t="inlineStr">
        <is>
          <t>42.6%</t>
        </is>
      </c>
    </row>
    <row r="17">
      <c r="A17" s="16" t="n">
        <v>12</v>
      </c>
      <c r="B17" s="17" t="n">
        <v>255</v>
      </c>
      <c r="C17" s="17" t="inlineStr">
        <is>
          <t>ADOR</t>
        </is>
      </c>
      <c r="D17" s="18" t="inlineStr">
        <is>
          <t>Ador Welding Ltd</t>
        </is>
      </c>
      <c r="E17" s="18" t="inlineStr">
        <is>
          <t>industrials</t>
        </is>
      </c>
      <c r="F17" s="16" t="n">
        <v>28</v>
      </c>
      <c r="G17" s="19" t="n">
        <v>2583.97</v>
      </c>
      <c r="H17" s="18" t="inlineStr">
        <is>
          <t>Potential Leader</t>
        </is>
      </c>
      <c r="J17" s="18" t="inlineStr">
        <is>
          <t>building materials</t>
        </is>
      </c>
      <c r="K17" s="16" t="n">
        <v>72</v>
      </c>
      <c r="L17" s="16" t="n">
        <v>52</v>
      </c>
      <c r="M17" s="20" t="inlineStr">
        <is>
          <t>38.5%</t>
        </is>
      </c>
    </row>
    <row r="18">
      <c r="A18" s="16" t="n">
        <v>13</v>
      </c>
      <c r="B18" s="17" t="n">
        <v>255</v>
      </c>
      <c r="C18" s="17" t="inlineStr">
        <is>
          <t>CENTENKA</t>
        </is>
      </c>
      <c r="D18" s="18" t="inlineStr">
        <is>
          <t>Century Enka Limited</t>
        </is>
      </c>
      <c r="E18" s="18" t="inlineStr">
        <is>
          <t>textiles</t>
        </is>
      </c>
      <c r="F18" s="16" t="n">
        <v>28</v>
      </c>
      <c r="G18" s="19" t="n">
        <v>1316.94</v>
      </c>
      <c r="H18" s="18" t="inlineStr">
        <is>
          <t>Potential Leader</t>
        </is>
      </c>
      <c r="J18" s="18" t="inlineStr">
        <is>
          <t>chemicals</t>
        </is>
      </c>
      <c r="K18" s="16" t="n">
        <v>153</v>
      </c>
      <c r="L18" s="16" t="n">
        <v>114</v>
      </c>
      <c r="M18" s="20" t="inlineStr">
        <is>
          <t>34.2%</t>
        </is>
      </c>
    </row>
    <row r="19">
      <c r="A19" s="16" t="n">
        <v>14</v>
      </c>
      <c r="B19" s="17" t="n">
        <v>255</v>
      </c>
      <c r="C19" s="17" t="inlineStr">
        <is>
          <t>CYIENTDLM</t>
        </is>
      </c>
      <c r="D19" s="18" t="inlineStr">
        <is>
          <t>Cyient DLM Ltd</t>
        </is>
      </c>
      <c r="E19" s="18" t="inlineStr">
        <is>
          <t>consumer discretionary</t>
        </is>
      </c>
      <c r="F19" s="16" t="n">
        <v>28</v>
      </c>
      <c r="G19" s="19" t="n">
        <v>5259.15</v>
      </c>
      <c r="H19" s="18" t="inlineStr">
        <is>
          <t>Potential Leader</t>
        </is>
      </c>
      <c r="J19" s="18" t="inlineStr">
        <is>
          <t>telecom-service</t>
        </is>
      </c>
      <c r="K19" s="16" t="n">
        <v>8</v>
      </c>
      <c r="L19" s="16" t="n">
        <v>6</v>
      </c>
      <c r="M19" s="20" t="inlineStr">
        <is>
          <t>33.3%</t>
        </is>
      </c>
    </row>
    <row r="20">
      <c r="A20" s="16" t="n">
        <v>15</v>
      </c>
      <c r="B20" s="17" t="n">
        <v>252</v>
      </c>
      <c r="C20" s="17" t="inlineStr">
        <is>
          <t>IRISDOREME</t>
        </is>
      </c>
      <c r="D20" s="18" t="inlineStr">
        <is>
          <t>Iris Clothings Ltd</t>
        </is>
      </c>
      <c r="E20" s="18" t="inlineStr">
        <is>
          <t>consumer discretionary</t>
        </is>
      </c>
      <c r="F20" s="16" t="n">
        <v>28</v>
      </c>
      <c r="G20" s="19" t="n">
        <v>1028.17</v>
      </c>
      <c r="H20" s="18" t="inlineStr">
        <is>
          <t>Potential Leader</t>
        </is>
      </c>
      <c r="J20" s="18" t="inlineStr">
        <is>
          <t>bank</t>
        </is>
      </c>
      <c r="K20" s="16" t="n">
        <v>82</v>
      </c>
      <c r="L20" s="16" t="n">
        <v>62</v>
      </c>
      <c r="M20" s="20" t="inlineStr">
        <is>
          <t>32.3%</t>
        </is>
      </c>
    </row>
    <row r="21">
      <c r="A21" s="16" t="n">
        <v>16</v>
      </c>
      <c r="B21" s="17" t="n">
        <v>252</v>
      </c>
      <c r="C21" s="17" t="inlineStr">
        <is>
          <t>KAMDHENU</t>
        </is>
      </c>
      <c r="D21" s="18" t="inlineStr">
        <is>
          <t>Kamdhenu Limited</t>
        </is>
      </c>
      <c r="E21" s="18" t="inlineStr">
        <is>
          <t>metals &amp; mining</t>
        </is>
      </c>
      <c r="F21" s="16" t="n">
        <v>28</v>
      </c>
      <c r="G21" s="19" t="n">
        <v>988</v>
      </c>
      <c r="H21" s="18" t="inlineStr">
        <is>
          <t>Potential Leader</t>
        </is>
      </c>
    </row>
    <row r="22">
      <c r="A22" s="16" t="n">
        <v>17</v>
      </c>
      <c r="B22" s="17" t="n">
        <v>252</v>
      </c>
      <c r="C22" s="17" t="inlineStr">
        <is>
          <t>NYKAA</t>
        </is>
      </c>
      <c r="D22" s="18" t="inlineStr">
        <is>
          <t>FSN E-Commerce Ventures Ltd</t>
        </is>
      </c>
      <c r="E22" s="18" t="inlineStr">
        <is>
          <t>i.t</t>
        </is>
      </c>
      <c r="F22" s="16" t="n">
        <v>28</v>
      </c>
      <c r="G22" s="19" t="n">
        <v>95064.64</v>
      </c>
      <c r="H22" s="18" t="inlineStr">
        <is>
          <t>Potential Leader</t>
        </is>
      </c>
    </row>
    <row r="23">
      <c r="A23" s="16" t="n">
        <v>18</v>
      </c>
      <c r="B23" s="17" t="n">
        <v>252</v>
      </c>
      <c r="C23" s="17" t="inlineStr">
        <is>
          <t>RADICO</t>
        </is>
      </c>
      <c r="D23" s="18" t="inlineStr">
        <is>
          <t>Radico Khaitan Limited</t>
        </is>
      </c>
      <c r="E23" s="18" t="inlineStr">
        <is>
          <t>fmcg</t>
        </is>
      </c>
      <c r="F23" s="16" t="n">
        <v>28</v>
      </c>
      <c r="G23" s="19" t="n">
        <v>59867.31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RPTECH</t>
        </is>
      </c>
      <c r="D24" s="18" t="inlineStr">
        <is>
          <t>Rashi Peripherals Ltd</t>
        </is>
      </c>
      <c r="E24" s="18" t="inlineStr">
        <is>
          <t>services</t>
        </is>
      </c>
      <c r="F24" s="16" t="n">
        <v>28</v>
      </c>
      <c r="G24" s="19" t="n">
        <v>5703.95</v>
      </c>
      <c r="H24" s="18" t="inlineStr">
        <is>
          <t>Potential Leader</t>
        </is>
      </c>
    </row>
    <row r="25">
      <c r="A25" s="16" t="n">
        <v>20</v>
      </c>
      <c r="B25" s="17" t="n">
        <v>252</v>
      </c>
      <c r="C25" s="17" t="inlineStr">
        <is>
          <t>TBZ</t>
        </is>
      </c>
      <c r="D25" s="18" t="inlineStr">
        <is>
          <t>Tribhovandas Bhimji Zaveri Limited</t>
        </is>
      </c>
      <c r="E25" s="18" t="inlineStr">
        <is>
          <t>consumer discretionary</t>
        </is>
      </c>
      <c r="F25" s="16" t="n">
        <v>28</v>
      </c>
      <c r="G25" s="19" t="n">
        <v>1808.4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UNIVPHOTO</t>
        </is>
      </c>
      <c r="B30" s="18" t="inlineStr">
        <is>
          <t>Universus Photo Imagings Ltd</t>
        </is>
      </c>
      <c r="C30" s="18" t="inlineStr">
        <is>
          <t>consumer discretionary</t>
        </is>
      </c>
      <c r="D30" s="16" t="n">
        <v>10</v>
      </c>
      <c r="E30" s="16" t="n">
        <v>2</v>
      </c>
      <c r="F30" s="19" t="n">
        <v>524.29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681.03</v>
      </c>
      <c r="N30" s="16" t="n">
        <v>23</v>
      </c>
    </row>
    <row r="31">
      <c r="A31" s="17" t="inlineStr">
        <is>
          <t>MPSLTD</t>
        </is>
      </c>
      <c r="B31" s="18" t="inlineStr">
        <is>
          <t>Mps Limited</t>
        </is>
      </c>
      <c r="C31" s="18" t="inlineStr">
        <is>
          <t>i.t</t>
        </is>
      </c>
      <c r="D31" s="16" t="n">
        <v>10</v>
      </c>
      <c r="E31" s="16" t="n">
        <v>2</v>
      </c>
      <c r="F31" s="19" t="n">
        <v>4727.88</v>
      </c>
      <c r="J31" s="17" t="inlineStr">
        <is>
          <t>MENONBE</t>
        </is>
      </c>
      <c r="K31" s="18" t="inlineStr">
        <is>
          <t>auto</t>
        </is>
      </c>
      <c r="L31" s="19" t="n">
        <v>295</v>
      </c>
      <c r="M31" s="19" t="n">
        <v>1287.91</v>
      </c>
      <c r="N31" s="16" t="n">
        <v>26</v>
      </c>
    </row>
    <row r="32">
      <c r="A32" s="17" t="inlineStr">
        <is>
          <t>JINDWORLD</t>
        </is>
      </c>
      <c r="B32" s="18" t="inlineStr">
        <is>
          <t>Jindal Worldwide Limited</t>
        </is>
      </c>
      <c r="C32" s="18" t="inlineStr">
        <is>
          <t>textiles</t>
        </is>
      </c>
      <c r="D32" s="16" t="n">
        <v>10</v>
      </c>
      <c r="E32" s="16" t="n">
        <v>2</v>
      </c>
      <c r="F32" s="19" t="n">
        <v>3860.02</v>
      </c>
      <c r="J32" s="17" t="inlineStr">
        <is>
          <t>TINNARUBR</t>
        </is>
      </c>
      <c r="K32" s="18" t="inlineStr">
        <is>
          <t>fmcg</t>
        </is>
      </c>
      <c r="L32" s="19" t="n">
        <v>295</v>
      </c>
      <c r="M32" s="19" t="n">
        <v>1982.81</v>
      </c>
      <c r="N32" s="16" t="n">
        <v>28</v>
      </c>
    </row>
    <row r="33">
      <c r="A33" s="17" t="inlineStr">
        <is>
          <t>ETERNAL</t>
        </is>
      </c>
      <c r="B33" s="18" t="inlineStr">
        <is>
          <t>Eternal Ltd</t>
        </is>
      </c>
      <c r="C33" s="18" t="inlineStr">
        <is>
          <t>i.t</t>
        </is>
      </c>
      <c r="D33" s="16" t="n">
        <v>9</v>
      </c>
      <c r="E33" s="16" t="n">
        <v>0</v>
      </c>
      <c r="F33" s="19" t="n">
        <v>305192.34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11603.28</v>
      </c>
      <c r="N33" s="16" t="n">
        <v>22</v>
      </c>
    </row>
    <row r="34">
      <c r="A34" s="17" t="inlineStr">
        <is>
          <t>VRLLOG</t>
        </is>
      </c>
      <c r="B34" s="18" t="inlineStr">
        <is>
          <t>Vrl Logistics Limited</t>
        </is>
      </c>
      <c r="C34" s="18" t="inlineStr">
        <is>
          <t>transportation</t>
        </is>
      </c>
      <c r="D34" s="16" t="n">
        <v>9</v>
      </c>
      <c r="E34" s="16" t="n">
        <v>1</v>
      </c>
      <c r="F34" s="19" t="n">
        <v>4979.58</v>
      </c>
      <c r="J34" s="17" t="inlineStr">
        <is>
          <t>E2E</t>
        </is>
      </c>
      <c r="K34" s="18" t="inlineStr">
        <is>
          <t>i.t</t>
        </is>
      </c>
      <c r="L34" s="19" t="n">
        <v>290</v>
      </c>
      <c r="M34" s="19" t="n">
        <v>12451.07</v>
      </c>
      <c r="N34" s="16" t="n">
        <v>14</v>
      </c>
    </row>
    <row r="35">
      <c r="A35" s="17" t="inlineStr">
        <is>
          <t>LODHA</t>
        </is>
      </c>
      <c r="B35" s="18" t="inlineStr">
        <is>
          <t>Lodha Developers Ltd</t>
        </is>
      </c>
      <c r="C35" s="18" t="inlineStr">
        <is>
          <t>realty</t>
        </is>
      </c>
      <c r="D35" s="16" t="n">
        <v>9</v>
      </c>
      <c r="E35" s="16" t="n">
        <v>2</v>
      </c>
      <c r="F35" s="19" t="n">
        <v>121290.06</v>
      </c>
      <c r="J35" s="17" t="inlineStr">
        <is>
          <t>CONFIPET</t>
        </is>
      </c>
      <c r="K35" s="18" t="inlineStr">
        <is>
          <t>miscellaneous</t>
        </is>
      </c>
      <c r="L35" s="19" t="n">
        <v>288</v>
      </c>
      <c r="M35" s="19" t="n">
        <v>2637.66</v>
      </c>
      <c r="N35" s="16" t="n">
        <v>24</v>
      </c>
    </row>
    <row r="36">
      <c r="A36" s="17" t="inlineStr">
        <is>
          <t>PNB</t>
        </is>
      </c>
      <c r="B36" s="18" t="inlineStr">
        <is>
          <t>Punjab National Bank Ltd</t>
        </is>
      </c>
      <c r="C36" s="18" t="inlineStr">
        <is>
          <t>bank</t>
        </is>
      </c>
      <c r="D36" s="16" t="n">
        <v>9</v>
      </c>
      <c r="E36" s="16" t="n">
        <v>2</v>
      </c>
      <c r="F36" s="19" t="n">
        <v>131364.34</v>
      </c>
      <c r="J36" s="17" t="inlineStr">
        <is>
          <t>FCL</t>
        </is>
      </c>
      <c r="K36" s="18" t="inlineStr">
        <is>
          <t>chemicals</t>
        </is>
      </c>
      <c r="L36" s="19" t="n">
        <v>288</v>
      </c>
      <c r="M36" s="19" t="n">
        <v>4861.79</v>
      </c>
      <c r="N36" s="16" t="n">
        <v>17</v>
      </c>
    </row>
    <row r="37">
      <c r="A37" s="17" t="inlineStr">
        <is>
          <t>M&amp;M</t>
        </is>
      </c>
      <c r="B37" s="18" t="inlineStr">
        <is>
          <t>Mahindra &amp; Mahindra Limited</t>
        </is>
      </c>
      <c r="C37" s="18" t="inlineStr">
        <is>
          <t>auto</t>
        </is>
      </c>
      <c r="D37" s="16" t="n">
        <v>9</v>
      </c>
      <c r="E37" s="16" t="n">
        <v>2</v>
      </c>
      <c r="F37" s="19" t="n">
        <v>423545.92</v>
      </c>
      <c r="J37" s="17" t="inlineStr">
        <is>
          <t>RACLGEAR</t>
        </is>
      </c>
      <c r="K37" s="18" t="inlineStr">
        <is>
          <t>auto</t>
        </is>
      </c>
      <c r="L37" s="19" t="n">
        <v>288</v>
      </c>
      <c r="M37" s="19" t="n">
        <v>1738.74</v>
      </c>
      <c r="N37" s="16" t="n">
        <v>10</v>
      </c>
    </row>
    <row r="38">
      <c r="A38" s="17" t="inlineStr">
        <is>
          <t>TARSONS</t>
        </is>
      </c>
      <c r="B38" s="18" t="inlineStr">
        <is>
          <t>Tarsons Products Ltd</t>
        </is>
      </c>
      <c r="C38" s="18" t="inlineStr">
        <is>
          <t>healthcare</t>
        </is>
      </c>
      <c r="D38" s="16" t="n">
        <v>8</v>
      </c>
      <c r="E38" s="16" t="n">
        <v>1</v>
      </c>
      <c r="F38" s="19" t="n">
        <v>1689.3</v>
      </c>
      <c r="J38" s="17" t="inlineStr">
        <is>
          <t>UJJIVANSFB</t>
        </is>
      </c>
      <c r="K38" s="18" t="inlineStr">
        <is>
          <t>bank</t>
        </is>
      </c>
      <c r="L38" s="19" t="n">
        <v>287</v>
      </c>
      <c r="M38" s="19" t="n">
        <v>14015.57</v>
      </c>
      <c r="N38" s="16" t="n">
        <v>22</v>
      </c>
    </row>
    <row r="39">
      <c r="A39" s="17" t="inlineStr">
        <is>
          <t>LANDMARK</t>
        </is>
      </c>
      <c r="B39" s="18" t="inlineStr">
        <is>
          <t>Landmark Cars Ltd</t>
        </is>
      </c>
      <c r="C39" s="18" t="inlineStr">
        <is>
          <t>consumer discretionary</t>
        </is>
      </c>
      <c r="D39" s="16" t="n">
        <v>8</v>
      </c>
      <c r="E39" s="16" t="n">
        <v>2</v>
      </c>
      <c r="F39" s="19" t="n">
        <v>2267.72</v>
      </c>
      <c r="J39" s="17" t="inlineStr">
        <is>
          <t>TMB</t>
        </is>
      </c>
      <c r="K39" s="18" t="inlineStr">
        <is>
          <t>bank</t>
        </is>
      </c>
      <c r="L39" s="19" t="n">
        <v>287</v>
      </c>
      <c r="M39" s="19" t="n">
        <v>13830.42</v>
      </c>
      <c r="N39" s="16" t="n">
        <v>25</v>
      </c>
    </row>
    <row r="40">
      <c r="A40" s="17" t="inlineStr">
        <is>
          <t>PERSISTENT</t>
        </is>
      </c>
      <c r="B40" s="18" t="inlineStr">
        <is>
          <t>Persistent Systems Limited</t>
        </is>
      </c>
      <c r="C40" s="18" t="inlineStr">
        <is>
          <t>i.t</t>
        </is>
      </c>
      <c r="D40" s="16" t="n">
        <v>8</v>
      </c>
      <c r="E40" s="16" t="n">
        <v>1</v>
      </c>
      <c r="F40" s="19" t="n">
        <v>86123.61</v>
      </c>
      <c r="J40" s="17" t="inlineStr">
        <is>
          <t>SAKAR</t>
        </is>
      </c>
      <c r="K40" s="18" t="inlineStr">
        <is>
          <t>healthcare</t>
        </is>
      </c>
      <c r="L40" s="19" t="n">
        <v>287</v>
      </c>
      <c r="M40" s="19" t="n">
        <v>2046.32</v>
      </c>
      <c r="N40" s="16" t="n">
        <v>22</v>
      </c>
    </row>
    <row r="41">
      <c r="A41" s="17" t="inlineStr">
        <is>
          <t>GLAXO</t>
        </is>
      </c>
      <c r="B41" s="18" t="inlineStr">
        <is>
          <t>Glaxosmithkline Pharmaceuticals Limited</t>
        </is>
      </c>
      <c r="C41" s="18" t="inlineStr">
        <is>
          <t>healthcare</t>
        </is>
      </c>
      <c r="D41" s="16" t="n">
        <v>8</v>
      </c>
      <c r="E41" s="16" t="n">
        <v>0</v>
      </c>
      <c r="F41" s="19" t="n">
        <v>43698.29</v>
      </c>
      <c r="J41" s="17" t="inlineStr">
        <is>
          <t>RPTECH</t>
        </is>
      </c>
      <c r="K41" s="18" t="inlineStr">
        <is>
          <t>services</t>
        </is>
      </c>
      <c r="L41" s="19" t="n">
        <v>285</v>
      </c>
      <c r="M41" s="19" t="n">
        <v>5703.95</v>
      </c>
      <c r="N41" s="16" t="n">
        <v>28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110.03</v>
      </c>
      <c r="D47" s="27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2090.02</v>
      </c>
    </row>
    <row r="48">
      <c r="A48" s="16" t="n">
        <v>2</v>
      </c>
      <c r="B48" s="26" t="n">
        <v>99</v>
      </c>
      <c r="C48" s="27" t="n">
        <v>91.40000000000001</v>
      </c>
      <c r="D48" s="27" t="n">
        <v>273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32573.31</v>
      </c>
    </row>
    <row r="49">
      <c r="A49" s="16" t="n">
        <v>3</v>
      </c>
      <c r="B49" s="26" t="n">
        <v>99</v>
      </c>
      <c r="C49" s="27" t="n">
        <v>86.77</v>
      </c>
      <c r="D49" s="27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35312.13</v>
      </c>
    </row>
    <row r="50">
      <c r="A50" s="16" t="n">
        <v>4</v>
      </c>
      <c r="B50" s="26" t="n">
        <v>98</v>
      </c>
      <c r="C50" s="27" t="n">
        <v>74.59</v>
      </c>
      <c r="D50" s="27" t="n">
        <v>260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13114.08</v>
      </c>
    </row>
    <row r="51">
      <c r="A51" s="16" t="n">
        <v>5</v>
      </c>
      <c r="B51" s="26" t="n">
        <v>98</v>
      </c>
      <c r="C51" s="27" t="n">
        <v>71.67</v>
      </c>
      <c r="D51" s="27" t="n">
        <v>263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13955.5</v>
      </c>
    </row>
    <row r="52">
      <c r="A52" s="16" t="n">
        <v>6</v>
      </c>
      <c r="B52" s="26" t="n">
        <v>98</v>
      </c>
      <c r="C52" s="27" t="n">
        <v>64.93000000000001</v>
      </c>
      <c r="D52" s="27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5023.11</v>
      </c>
    </row>
    <row r="53">
      <c r="A53" s="16" t="n">
        <v>7</v>
      </c>
      <c r="B53" s="26" t="n">
        <v>98</v>
      </c>
      <c r="C53" s="27" t="n">
        <v>55.72</v>
      </c>
      <c r="D53" s="27" t="n">
        <v>270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3143.72</v>
      </c>
    </row>
    <row r="54">
      <c r="A54" s="16" t="n">
        <v>8</v>
      </c>
      <c r="B54" s="26" t="n">
        <v>98</v>
      </c>
      <c r="C54" s="27" t="n">
        <v>55.39</v>
      </c>
      <c r="D54" s="27" t="n">
        <v>285</v>
      </c>
      <c r="E54" s="17" t="inlineStr">
        <is>
          <t>ATHERENERG</t>
        </is>
      </c>
      <c r="F54" s="18" t="inlineStr">
        <is>
          <t>Ather Energy Ltd</t>
        </is>
      </c>
      <c r="G54" s="18" t="inlineStr">
        <is>
          <t>auto</t>
        </is>
      </c>
      <c r="H54" s="19" t="n">
        <v>57274.29</v>
      </c>
    </row>
    <row r="55">
      <c r="A55" s="16" t="n">
        <v>9</v>
      </c>
      <c r="B55" s="26" t="n">
        <v>97</v>
      </c>
      <c r="C55" s="27" t="n">
        <v>51.07</v>
      </c>
      <c r="D55" s="27" t="n">
        <v>255</v>
      </c>
      <c r="E55" s="17" t="inlineStr">
        <is>
          <t>DIACABS</t>
        </is>
      </c>
      <c r="F55" s="18" t="inlineStr">
        <is>
          <t>Diamond Power Infrastructure Ltd</t>
        </is>
      </c>
      <c r="G55" s="18" t="inlineStr">
        <is>
          <t>industrials</t>
        </is>
      </c>
      <c r="H55" s="19" t="n">
        <v>18380.75</v>
      </c>
    </row>
    <row r="56">
      <c r="A56" s="16" t="n">
        <v>10</v>
      </c>
      <c r="B56" s="26" t="n">
        <v>97</v>
      </c>
      <c r="C56" s="27" t="n">
        <v>49.83</v>
      </c>
      <c r="D56" s="27" t="n">
        <v>235</v>
      </c>
      <c r="E56" s="17" t="inlineStr">
        <is>
          <t>SVRL</t>
        </is>
      </c>
      <c r="F56" s="18" t="inlineStr">
        <is>
          <t>Shri Venkatesh Refineries Limited</t>
        </is>
      </c>
      <c r="G56" s="18" t="inlineStr">
        <is>
          <t>Consumer Defensive</t>
        </is>
      </c>
      <c r="H56" s="19" t="n">
        <v>1118.91</v>
      </c>
    </row>
    <row r="57">
      <c r="A57" s="16" t="n">
        <v>11</v>
      </c>
      <c r="B57" s="26" t="n">
        <v>97</v>
      </c>
      <c r="C57" s="27" t="n">
        <v>47.28</v>
      </c>
      <c r="D57" s="27" t="n">
        <v>273</v>
      </c>
      <c r="E57" s="17" t="inlineStr">
        <is>
          <t>HITECHCORP</t>
        </is>
      </c>
      <c r="F57" s="18" t="inlineStr">
        <is>
          <t>Hitech Corporation</t>
        </is>
      </c>
      <c r="G57" s="18" t="inlineStr">
        <is>
          <t>industrials</t>
        </is>
      </c>
      <c r="H57" s="19" t="n">
        <v>549.79</v>
      </c>
    </row>
    <row r="58">
      <c r="A58" s="16" t="n">
        <v>12</v>
      </c>
      <c r="B58" s="26" t="n">
        <v>97</v>
      </c>
      <c r="C58" s="27" t="n">
        <v>42.71</v>
      </c>
      <c r="D58" s="27" t="n">
        <v>243</v>
      </c>
      <c r="E58" s="17" t="inlineStr">
        <is>
          <t>MTARTECH</t>
        </is>
      </c>
      <c r="F58" s="18" t="inlineStr">
        <is>
          <t>MTAR Technologies Ltd</t>
        </is>
      </c>
      <c r="G58" s="18" t="inlineStr">
        <is>
          <t>aerospace &amp; defence</t>
        </is>
      </c>
      <c r="H58" s="19" t="n">
        <v>21405.6</v>
      </c>
    </row>
    <row r="59">
      <c r="A59" s="16" t="n">
        <v>13</v>
      </c>
      <c r="B59" s="26" t="n">
        <v>97</v>
      </c>
      <c r="C59" s="27" t="n">
        <v>42.09</v>
      </c>
      <c r="D59" s="27" t="n">
        <v>285</v>
      </c>
      <c r="E59" s="17" t="inlineStr">
        <is>
          <t>RPTECH</t>
        </is>
      </c>
      <c r="F59" s="18" t="inlineStr">
        <is>
          <t>Rashi Peripherals Ltd</t>
        </is>
      </c>
      <c r="G59" s="18" t="inlineStr">
        <is>
          <t>services</t>
        </is>
      </c>
      <c r="H59" s="19" t="n">
        <v>5703.95</v>
      </c>
    </row>
    <row r="60">
      <c r="A60" s="16" t="n">
        <v>14</v>
      </c>
      <c r="B60" s="26" t="n">
        <v>96</v>
      </c>
      <c r="C60" s="27" t="n">
        <v>42.06</v>
      </c>
      <c r="D60" s="27" t="n">
        <v>310</v>
      </c>
      <c r="E60" s="17" t="inlineStr">
        <is>
          <t>SCPL</t>
        </is>
      </c>
      <c r="F60" s="18" t="inlineStr">
        <is>
          <t>Sheetal Cool Products Ltd</t>
        </is>
      </c>
      <c r="G60" s="18" t="inlineStr">
        <is>
          <t>fmcg</t>
        </is>
      </c>
      <c r="H60" s="19" t="n">
        <v>681.03</v>
      </c>
    </row>
    <row r="61">
      <c r="A61" s="16" t="n">
        <v>15</v>
      </c>
      <c r="B61" s="26" t="n">
        <v>96</v>
      </c>
      <c r="C61" s="27" t="n">
        <v>41.21</v>
      </c>
      <c r="D61" s="27" t="n">
        <v>265</v>
      </c>
      <c r="E61" s="17" t="inlineStr">
        <is>
          <t>SOTL</t>
        </is>
      </c>
      <c r="F61" s="18" t="inlineStr">
        <is>
          <t>Savita Oil Technologies Limited</t>
        </is>
      </c>
      <c r="G61" s="18" t="inlineStr">
        <is>
          <t>energy</t>
        </is>
      </c>
      <c r="H61" s="19" t="n">
        <v>5361.08</v>
      </c>
    </row>
    <row r="62">
      <c r="A62" s="16" t="n">
        <v>16</v>
      </c>
      <c r="B62" s="26" t="n">
        <v>96</v>
      </c>
      <c r="C62" s="27" t="n">
        <v>41.12</v>
      </c>
      <c r="D62" s="27" t="n">
        <v>290</v>
      </c>
      <c r="E62" s="17" t="inlineStr">
        <is>
          <t>E2E</t>
        </is>
      </c>
      <c r="F62" s="18" t="inlineStr">
        <is>
          <t>E2E Networks Ltd</t>
        </is>
      </c>
      <c r="G62" s="18" t="inlineStr">
        <is>
          <t>i.t</t>
        </is>
      </c>
      <c r="H62" s="19" t="n">
        <v>12451.07</v>
      </c>
    </row>
    <row r="63">
      <c r="A63" s="16" t="n">
        <v>17</v>
      </c>
      <c r="B63" s="26" t="n">
        <v>96</v>
      </c>
      <c r="C63" s="27" t="n">
        <v>40.06</v>
      </c>
      <c r="D63" s="27" t="n">
        <v>273</v>
      </c>
      <c r="E63" s="17" t="inlineStr">
        <is>
          <t>SPECTRUM</t>
        </is>
      </c>
      <c r="F63" s="18" t="inlineStr">
        <is>
          <t>Spectrum Electrical Industries Ltd</t>
        </is>
      </c>
      <c r="G63" s="18" t="inlineStr">
        <is>
          <t>industrials</t>
        </is>
      </c>
      <c r="H63" s="19" t="n">
        <v>4035.31</v>
      </c>
    </row>
    <row r="64">
      <c r="A64" s="16" t="n">
        <v>18</v>
      </c>
      <c r="B64" s="26" t="n">
        <v>95</v>
      </c>
      <c r="C64" s="27" t="n">
        <v>39.4</v>
      </c>
      <c r="D64" s="27" t="n">
        <v>228</v>
      </c>
      <c r="E64" s="17" t="inlineStr">
        <is>
          <t>SALSTEEL</t>
        </is>
      </c>
      <c r="F64" s="18" t="inlineStr">
        <is>
          <t>SAL Steel</t>
        </is>
      </c>
      <c r="G64" s="18" t="inlineStr">
        <is>
          <t>metals &amp; mining</t>
        </is>
      </c>
      <c r="H64" s="19" t="n">
        <v>908.7</v>
      </c>
    </row>
    <row r="65">
      <c r="A65" s="16" t="n">
        <v>19</v>
      </c>
      <c r="B65" s="26" t="n">
        <v>95</v>
      </c>
      <c r="C65" s="27" t="n">
        <v>39.17</v>
      </c>
      <c r="D65" s="27" t="n">
        <v>295</v>
      </c>
      <c r="E65" s="17" t="inlineStr">
        <is>
          <t>MENONBE</t>
        </is>
      </c>
      <c r="F65" s="18" t="inlineStr">
        <is>
          <t>Menon Bearings Limited</t>
        </is>
      </c>
      <c r="G65" s="18" t="inlineStr">
        <is>
          <t>auto</t>
        </is>
      </c>
      <c r="H65" s="19" t="n">
        <v>1287.91</v>
      </c>
    </row>
    <row r="66">
      <c r="A66" s="16" t="n">
        <v>20</v>
      </c>
      <c r="B66" s="26" t="n">
        <v>95</v>
      </c>
      <c r="C66" s="27" t="n">
        <v>38.89</v>
      </c>
      <c r="D66" s="27" t="n">
        <v>287</v>
      </c>
      <c r="E66" s="17" t="inlineStr">
        <is>
          <t>SAKAR</t>
        </is>
      </c>
      <c r="F66" s="18" t="inlineStr">
        <is>
          <t>Sakar Healthcare Ltd</t>
        </is>
      </c>
      <c r="G66" s="18" t="inlineStr">
        <is>
          <t>healthcare</t>
        </is>
      </c>
      <c r="H66" s="19" t="n">
        <v>2046.32</v>
      </c>
    </row>
    <row r="67">
      <c r="A67" s="16" t="n">
        <v>21</v>
      </c>
      <c r="B67" s="26" t="n">
        <v>95</v>
      </c>
      <c r="C67" s="27" t="n">
        <v>38.25</v>
      </c>
      <c r="D67" s="27" t="n">
        <v>257</v>
      </c>
      <c r="E67" s="17" t="inlineStr">
        <is>
          <t>HFCL</t>
        </is>
      </c>
      <c r="F67" s="18" t="inlineStr">
        <is>
          <t>HFCL Limited</t>
        </is>
      </c>
      <c r="G67" s="18" t="inlineStr">
        <is>
          <t>Technology</t>
        </is>
      </c>
      <c r="H67" s="19" t="n">
        <v>31826.42</v>
      </c>
    </row>
    <row r="68">
      <c r="A68" s="16" t="n">
        <v>22</v>
      </c>
      <c r="B68" s="26" t="n">
        <v>95</v>
      </c>
      <c r="C68" s="27" t="n">
        <v>38.18</v>
      </c>
      <c r="D68" s="27" t="n">
        <v>243</v>
      </c>
      <c r="E68" s="17" t="inlineStr">
        <is>
          <t>SETL</t>
        </is>
      </c>
      <c r="F68" s="18" t="inlineStr">
        <is>
          <t>Standard Enginnering Technology Ltd</t>
        </is>
      </c>
      <c r="G68" s="18" t="inlineStr">
        <is>
          <t>industrials</t>
        </is>
      </c>
      <c r="H68" s="19" t="n">
        <v>5479.04</v>
      </c>
    </row>
    <row r="69">
      <c r="A69" s="16" t="n">
        <v>23</v>
      </c>
      <c r="B69" s="28" t="n">
        <v>94</v>
      </c>
      <c r="C69" s="27" t="n">
        <v>37.67</v>
      </c>
      <c r="D69" s="27" t="n">
        <v>270</v>
      </c>
      <c r="E69" s="17" t="inlineStr">
        <is>
          <t>RRKABEL</t>
        </is>
      </c>
      <c r="F69" s="18" t="inlineStr">
        <is>
          <t>R R Kabel Ltd</t>
        </is>
      </c>
      <c r="G69" s="18" t="inlineStr">
        <is>
          <t>industrials</t>
        </is>
      </c>
      <c r="H69" s="19" t="n">
        <v>31266.89</v>
      </c>
    </row>
    <row r="70">
      <c r="A70" s="16" t="n">
        <v>24</v>
      </c>
      <c r="B70" s="28" t="n">
        <v>94</v>
      </c>
      <c r="C70" s="27" t="n">
        <v>36.86</v>
      </c>
      <c r="D70" s="27" t="n">
        <v>275</v>
      </c>
      <c r="E70" s="17" t="inlineStr">
        <is>
          <t>AEGISLOG</t>
        </is>
      </c>
      <c r="F70" s="18" t="inlineStr">
        <is>
          <t>Aegis Logistics Ltd</t>
        </is>
      </c>
      <c r="G70" s="18" t="inlineStr">
        <is>
          <t>services</t>
        </is>
      </c>
      <c r="H70" s="19" t="n">
        <v>49140</v>
      </c>
    </row>
    <row r="71">
      <c r="A71" s="16" t="n">
        <v>25</v>
      </c>
      <c r="B71" s="28" t="n">
        <v>94</v>
      </c>
      <c r="C71" s="27" t="n">
        <v>36.52</v>
      </c>
      <c r="D71" s="27" t="n">
        <v>270</v>
      </c>
      <c r="E71" s="17" t="inlineStr">
        <is>
          <t>IBULLSLTD</t>
        </is>
      </c>
      <c r="F71" s="18" t="inlineStr">
        <is>
          <t>IBULLSLTD</t>
        </is>
      </c>
      <c r="G71" s="18" t="inlineStr">
        <is>
          <t>Real Estate</t>
        </is>
      </c>
      <c r="H71" s="19" t="n">
        <v>6588.03</v>
      </c>
    </row>
    <row r="72">
      <c r="A72" s="16" t="n">
        <v>26</v>
      </c>
      <c r="B72" s="28" t="n">
        <v>94</v>
      </c>
      <c r="C72" s="27" t="n">
        <v>35.88</v>
      </c>
      <c r="D72" s="27" t="n">
        <v>268</v>
      </c>
      <c r="E72" s="17" t="inlineStr">
        <is>
          <t>SANSERA</t>
        </is>
      </c>
      <c r="F72" s="18" t="inlineStr">
        <is>
          <t>Sansera Engineering Ltd</t>
        </is>
      </c>
      <c r="G72" s="18" t="inlineStr">
        <is>
          <t>auto</t>
        </is>
      </c>
      <c r="H72" s="19" t="n">
        <v>23634.1</v>
      </c>
    </row>
    <row r="73">
      <c r="A73" s="16" t="n">
        <v>27</v>
      </c>
      <c r="B73" s="28" t="n">
        <v>94</v>
      </c>
      <c r="C73" s="27" t="n">
        <v>35.02</v>
      </c>
      <c r="D73" s="27" t="n">
        <v>273</v>
      </c>
      <c r="E73" s="17" t="inlineStr">
        <is>
          <t>BHARATSE</t>
        </is>
      </c>
      <c r="F73" s="18" t="inlineStr">
        <is>
          <t>Bharat Seats Ltd</t>
        </is>
      </c>
      <c r="G73" s="18" t="inlineStr">
        <is>
          <t>auto</t>
        </is>
      </c>
      <c r="H73" s="19" t="n">
        <v>1403.39</v>
      </c>
    </row>
    <row r="74">
      <c r="A74" s="16" t="n">
        <v>28</v>
      </c>
      <c r="B74" s="28" t="n">
        <v>93</v>
      </c>
      <c r="C74" s="27" t="n">
        <v>33.76</v>
      </c>
      <c r="D74" s="27" t="n">
        <v>263</v>
      </c>
      <c r="E74" s="17" t="inlineStr">
        <is>
          <t>UNIVASTU</t>
        </is>
      </c>
      <c r="F74" s="18" t="inlineStr">
        <is>
          <t>Univastu India Ltd</t>
        </is>
      </c>
      <c r="G74" s="18" t="inlineStr">
        <is>
          <t>realty</t>
        </is>
      </c>
      <c r="H74" s="19" t="n">
        <v>509.39</v>
      </c>
    </row>
    <row r="75">
      <c r="A75" s="16" t="n">
        <v>29</v>
      </c>
      <c r="B75" s="28" t="n">
        <v>93</v>
      </c>
      <c r="C75" s="27" t="n">
        <v>33.73</v>
      </c>
      <c r="D75" s="27" t="n">
        <v>265</v>
      </c>
      <c r="E75" s="17" t="inlineStr">
        <is>
          <t>NGLFINE</t>
        </is>
      </c>
      <c r="F75" s="18" t="inlineStr">
        <is>
          <t>NGL Fine Chem Ltd</t>
        </is>
      </c>
      <c r="G75" s="18" t="inlineStr">
        <is>
          <t>healthcare</t>
        </is>
      </c>
      <c r="H75" s="19" t="n">
        <v>2118.14</v>
      </c>
    </row>
    <row r="76">
      <c r="A76" s="16" t="n">
        <v>30</v>
      </c>
      <c r="B76" s="28" t="n">
        <v>93</v>
      </c>
      <c r="C76" s="27" t="n">
        <v>33.65</v>
      </c>
      <c r="D76" s="27" t="n">
        <v>268</v>
      </c>
      <c r="E76" s="17" t="inlineStr">
        <is>
          <t>IDEAFORGE</t>
        </is>
      </c>
      <c r="F76" s="18" t="inlineStr">
        <is>
          <t>Ideaforge Technology Ltd</t>
        </is>
      </c>
      <c r="G76" s="18" t="inlineStr">
        <is>
          <t>aerospace &amp; defence</t>
        </is>
      </c>
      <c r="H76" s="19" t="n">
        <v>4551.2</v>
      </c>
    </row>
    <row r="77">
      <c r="A77" s="16" t="n">
        <v>31</v>
      </c>
      <c r="B77" s="28" t="n">
        <v>93</v>
      </c>
      <c r="C77" s="27" t="n">
        <v>33.61</v>
      </c>
      <c r="D77" s="27" t="n">
        <v>205</v>
      </c>
      <c r="E77" s="17" t="inlineStr">
        <is>
          <t>INDSWFTLAB</t>
        </is>
      </c>
      <c r="F77" s="18" t="inlineStr">
        <is>
          <t>Ind-swift Laboratories Limited</t>
        </is>
      </c>
      <c r="G77" s="18" t="inlineStr">
        <is>
          <t>healthcare</t>
        </is>
      </c>
      <c r="H77" s="19" t="n">
        <v>1969.51</v>
      </c>
    </row>
    <row r="78">
      <c r="A78" s="16" t="n">
        <v>32</v>
      </c>
      <c r="B78" s="28" t="n">
        <v>93</v>
      </c>
      <c r="C78" s="27" t="n">
        <v>33</v>
      </c>
      <c r="D78" s="27" t="n">
        <v>230</v>
      </c>
      <c r="E78" s="17" t="inlineStr">
        <is>
          <t>SOBME</t>
        </is>
      </c>
      <c r="F78" s="18" t="inlineStr">
        <is>
          <t>Sobhagya Mercantile Limited</t>
        </is>
      </c>
      <c r="G78" s="18" t="inlineStr">
        <is>
          <t>Basic Materials</t>
        </is>
      </c>
      <c r="H78" s="19" t="n">
        <v>1312.83</v>
      </c>
    </row>
    <row r="79">
      <c r="A79" s="16" t="n">
        <v>33</v>
      </c>
      <c r="B79" s="28" t="n">
        <v>92</v>
      </c>
      <c r="C79" s="27" t="n">
        <v>32.96</v>
      </c>
      <c r="D79" s="27" t="n">
        <v>253</v>
      </c>
      <c r="E79" s="17" t="inlineStr">
        <is>
          <t>INDOTECH</t>
        </is>
      </c>
      <c r="F79" s="18" t="inlineStr">
        <is>
          <t>Indo Tech Transformers Limited</t>
        </is>
      </c>
      <c r="G79" s="18" t="inlineStr">
        <is>
          <t>industrials</t>
        </is>
      </c>
      <c r="H79" s="19" t="n">
        <v>4022.33</v>
      </c>
    </row>
    <row r="80">
      <c r="A80" s="16" t="n">
        <v>34</v>
      </c>
      <c r="B80" s="28" t="n">
        <v>92</v>
      </c>
      <c r="C80" s="27" t="n">
        <v>32.16</v>
      </c>
      <c r="D80" s="27" t="n">
        <v>273</v>
      </c>
      <c r="E80" s="17" t="inlineStr">
        <is>
          <t>FILATEX</t>
        </is>
      </c>
      <c r="F80" s="18" t="inlineStr">
        <is>
          <t>Filatex India Limited</t>
        </is>
      </c>
      <c r="G80" s="18" t="inlineStr">
        <is>
          <t>textiles</t>
        </is>
      </c>
      <c r="H80" s="19" t="n">
        <v>3632.84</v>
      </c>
    </row>
    <row r="81">
      <c r="A81" s="16" t="n">
        <v>35</v>
      </c>
      <c r="B81" s="28" t="n">
        <v>92</v>
      </c>
      <c r="C81" s="27" t="n">
        <v>32.09</v>
      </c>
      <c r="D81" s="27" t="n">
        <v>272</v>
      </c>
      <c r="E81" s="17" t="inlineStr">
        <is>
          <t>SHILPAMED</t>
        </is>
      </c>
      <c r="F81" s="18" t="inlineStr">
        <is>
          <t>Shilpa Medicare Limited</t>
        </is>
      </c>
      <c r="G81" s="18" t="inlineStr">
        <is>
          <t>healthcare</t>
        </is>
      </c>
      <c r="H81" s="19" t="n">
        <v>14449.58</v>
      </c>
    </row>
    <row r="82">
      <c r="A82" s="16" t="n">
        <v>36</v>
      </c>
      <c r="B82" s="28" t="n">
        <v>92</v>
      </c>
      <c r="C82" s="27" t="n">
        <v>32.09</v>
      </c>
      <c r="D82" s="27" t="n">
        <v>250</v>
      </c>
      <c r="E82" s="17" t="inlineStr">
        <is>
          <t>UEL</t>
        </is>
      </c>
      <c r="F82" s="18" t="inlineStr">
        <is>
          <t>Ujaas Energy Ltd</t>
        </is>
      </c>
      <c r="G82" s="18" t="inlineStr">
        <is>
          <t>power &amp; utilities</t>
        </is>
      </c>
      <c r="H82" s="19" t="n">
        <v>3275.18</v>
      </c>
    </row>
    <row r="83">
      <c r="A83" s="16" t="n">
        <v>37</v>
      </c>
      <c r="B83" s="28" t="n">
        <v>92</v>
      </c>
      <c r="C83" s="27" t="n">
        <v>31.72</v>
      </c>
      <c r="D83" s="27" t="n">
        <v>275</v>
      </c>
      <c r="E83" s="17" t="inlineStr">
        <is>
          <t>UNIPARTS</t>
        </is>
      </c>
      <c r="F83" s="18" t="inlineStr">
        <is>
          <t>Uniparts India Ltd</t>
        </is>
      </c>
      <c r="G83" s="18" t="inlineStr">
        <is>
          <t>industrials</t>
        </is>
      </c>
      <c r="H83" s="19" t="n">
        <v>3527.93</v>
      </c>
    </row>
    <row r="84">
      <c r="A84" s="16" t="n">
        <v>38</v>
      </c>
      <c r="B84" s="28" t="n">
        <v>91</v>
      </c>
      <c r="C84" s="27" t="n">
        <v>31.65</v>
      </c>
      <c r="D84" s="27" t="n">
        <v>263</v>
      </c>
      <c r="E84" s="17" t="inlineStr">
        <is>
          <t>UNIVCABLES</t>
        </is>
      </c>
      <c r="F84" s="18" t="inlineStr">
        <is>
          <t>Universal Cables Limited</t>
        </is>
      </c>
      <c r="G84" s="18" t="inlineStr">
        <is>
          <t>industrials</t>
        </is>
      </c>
      <c r="H84" s="19" t="n">
        <v>4913.91</v>
      </c>
    </row>
    <row r="85">
      <c r="A85" s="16" t="n">
        <v>39</v>
      </c>
      <c r="B85" s="28" t="n">
        <v>91</v>
      </c>
      <c r="C85" s="27" t="n">
        <v>31.52</v>
      </c>
      <c r="D85" s="27" t="n">
        <v>265</v>
      </c>
      <c r="E85" s="17" t="inlineStr">
        <is>
          <t>IOLCP</t>
        </is>
      </c>
      <c r="F85" s="18" t="inlineStr">
        <is>
          <t>Iol Chemicals And Pharmaceuticals Limited</t>
        </is>
      </c>
      <c r="G85" s="18" t="inlineStr">
        <is>
          <t>healthcare</t>
        </is>
      </c>
      <c r="H85" s="19" t="n">
        <v>4789.78</v>
      </c>
    </row>
    <row r="86">
      <c r="A86" s="16" t="n">
        <v>40</v>
      </c>
      <c r="B86" s="28" t="n">
        <v>91</v>
      </c>
      <c r="C86" s="27" t="n">
        <v>31.47</v>
      </c>
      <c r="D86" s="27" t="n">
        <v>255</v>
      </c>
      <c r="E86" s="17" t="inlineStr">
        <is>
          <t>KABRAEXTRU</t>
        </is>
      </c>
      <c r="F86" s="18" t="inlineStr">
        <is>
          <t>Kabra Extrusion Technik Limited</t>
        </is>
      </c>
      <c r="G86" s="18" t="inlineStr">
        <is>
          <t>industrials</t>
        </is>
      </c>
      <c r="H86" s="19" t="n">
        <v>1670.3</v>
      </c>
    </row>
    <row r="87">
      <c r="A87" s="16" t="n">
        <v>41</v>
      </c>
      <c r="B87" s="28" t="n">
        <v>91</v>
      </c>
      <c r="C87" s="27" t="n">
        <v>31.47</v>
      </c>
      <c r="D87" s="27" t="n">
        <v>277</v>
      </c>
      <c r="E87" s="17" t="inlineStr">
        <is>
          <t>CNL</t>
        </is>
      </c>
      <c r="F87" s="18" t="inlineStr">
        <is>
          <t>Creative Newtech Limited</t>
        </is>
      </c>
      <c r="G87" s="18" t="inlineStr">
        <is>
          <t>Technology</t>
        </is>
      </c>
      <c r="H87" s="19" t="n">
        <v>1677.14</v>
      </c>
    </row>
    <row r="88">
      <c r="A88" s="16" t="n">
        <v>42</v>
      </c>
      <c r="B88" s="28" t="n">
        <v>91</v>
      </c>
      <c r="C88" s="27" t="n">
        <v>30.85</v>
      </c>
      <c r="D88" s="27" t="n">
        <v>263</v>
      </c>
      <c r="E88" s="17" t="inlineStr">
        <is>
          <t>KMEW</t>
        </is>
      </c>
      <c r="F88" s="18" t="inlineStr">
        <is>
          <t>Knowledge Marine &amp; Engineering Works Ltd</t>
        </is>
      </c>
      <c r="G88" s="18" t="inlineStr">
        <is>
          <t>transportation</t>
        </is>
      </c>
      <c r="H88" s="19" t="n">
        <v>6157.96</v>
      </c>
    </row>
    <row r="89">
      <c r="A89" s="16" t="n">
        <v>43</v>
      </c>
      <c r="B89" s="28" t="n">
        <v>91</v>
      </c>
      <c r="C89" s="27" t="n">
        <v>30.85</v>
      </c>
      <c r="D89" s="27" t="n">
        <v>257</v>
      </c>
      <c r="E89" s="17" t="inlineStr">
        <is>
          <t>MOREPENLAB</t>
        </is>
      </c>
      <c r="F89" s="18" t="inlineStr">
        <is>
          <t>Morepen Laboratories Limited</t>
        </is>
      </c>
      <c r="G89" s="18" t="inlineStr">
        <is>
          <t>healthcare</t>
        </is>
      </c>
      <c r="H89" s="19" t="n">
        <v>4351.85</v>
      </c>
    </row>
    <row r="90">
      <c r="A90" s="16" t="n">
        <v>44</v>
      </c>
      <c r="B90" s="28" t="n">
        <v>90</v>
      </c>
      <c r="C90" s="27" t="n">
        <v>30.7</v>
      </c>
      <c r="D90" s="27" t="n">
        <v>250</v>
      </c>
      <c r="E90" s="17" t="inlineStr">
        <is>
          <t>SKYGOLD</t>
        </is>
      </c>
      <c r="F90" s="18" t="inlineStr">
        <is>
          <t>Sky Gold Ltd</t>
        </is>
      </c>
      <c r="G90" s="18" t="inlineStr">
        <is>
          <t>consumer discretionary</t>
        </is>
      </c>
      <c r="H90" s="19" t="n">
        <v>10704.11</v>
      </c>
    </row>
    <row r="91">
      <c r="A91" s="16" t="n">
        <v>45</v>
      </c>
      <c r="B91" s="28" t="n">
        <v>90</v>
      </c>
      <c r="C91" s="27" t="n">
        <v>30.67</v>
      </c>
      <c r="D91" s="27" t="n">
        <v>265</v>
      </c>
      <c r="E91" s="17" t="inlineStr">
        <is>
          <t>KERNEX</t>
        </is>
      </c>
      <c r="F91" s="18" t="inlineStr">
        <is>
          <t>Kernex Microsystems (india) Limited</t>
        </is>
      </c>
      <c r="G91" s="18" t="inlineStr">
        <is>
          <t>consumer discretionary</t>
        </is>
      </c>
      <c r="H91" s="19" t="n">
        <v>4087.48</v>
      </c>
    </row>
    <row r="92">
      <c r="A92" s="16" t="n">
        <v>46</v>
      </c>
      <c r="B92" s="28" t="n">
        <v>90</v>
      </c>
      <c r="C92" s="27" t="n">
        <v>30.56</v>
      </c>
      <c r="D92" s="27" t="n">
        <v>233</v>
      </c>
      <c r="E92" s="17" t="inlineStr">
        <is>
          <t>MAHASTEEL</t>
        </is>
      </c>
      <c r="F92" s="18" t="inlineStr">
        <is>
          <t>Mahamaya Steel Industries Limited</t>
        </is>
      </c>
      <c r="G92" s="18" t="inlineStr">
        <is>
          <t>metals &amp; mining</t>
        </is>
      </c>
      <c r="H92" s="19" t="n">
        <v>1683.05</v>
      </c>
    </row>
    <row r="9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SBCL</t>
        </is>
      </c>
      <c r="B2" s="30" t="inlineStr">
        <is>
          <t>Shivalik Bimetal Controls Ltd</t>
        </is>
      </c>
      <c r="C2" s="30" t="inlineStr">
        <is>
          <t>metals &amp; mining</t>
        </is>
      </c>
      <c r="D2" s="30" t="inlineStr">
        <is>
          <t>mining / minerals / metals</t>
        </is>
      </c>
      <c r="E2" s="30" t="inlineStr">
        <is>
          <t>smallcap</t>
        </is>
      </c>
      <c r="F2" s="30" t="n">
        <v>4420.83</v>
      </c>
      <c r="G2" s="30" t="n">
        <v>920.9</v>
      </c>
      <c r="H2" s="30" t="n">
        <v>19.99</v>
      </c>
      <c r="I2" s="30" t="n">
        <v>6015282</v>
      </c>
      <c r="J2" s="30" t="inlineStr">
        <is>
          <t>513097</t>
        </is>
      </c>
    </row>
    <row r="3">
      <c r="A3" s="30" t="inlineStr">
        <is>
          <t>VISAKAIND</t>
        </is>
      </c>
      <c r="B3" s="30" t="inlineStr">
        <is>
          <t>Visaka Industries Limited</t>
        </is>
      </c>
      <c r="C3" s="30" t="inlineStr">
        <is>
          <t>building materials</t>
        </is>
      </c>
      <c r="D3" s="30" t="inlineStr">
        <is>
          <t>cement products</t>
        </is>
      </c>
      <c r="E3" s="30" t="inlineStr">
        <is>
          <t>smallcap</t>
        </is>
      </c>
      <c r="F3" s="30" t="n">
        <v>746.45</v>
      </c>
      <c r="G3" s="30" t="n">
        <v>98.72</v>
      </c>
      <c r="H3" s="30" t="n">
        <v>14.27</v>
      </c>
      <c r="I3" s="30" t="n">
        <v>14124593</v>
      </c>
      <c r="J3" s="30" t="inlineStr">
        <is>
          <t>509055</t>
        </is>
      </c>
    </row>
    <row r="4">
      <c r="A4" s="30" t="inlineStr">
        <is>
          <t>ENRIN</t>
        </is>
      </c>
      <c r="B4" s="30" t="inlineStr">
        <is>
          <t>Siemens Energy India Ltd</t>
        </is>
      </c>
      <c r="C4" s="30" t="inlineStr">
        <is>
          <t>power &amp; utilities</t>
        </is>
      </c>
      <c r="D4" s="30" t="inlineStr">
        <is>
          <t>power generation and supply</t>
        </is>
      </c>
      <c r="E4" s="30" t="inlineStr">
        <is>
          <t>largecap</t>
        </is>
      </c>
      <c r="F4" s="30" t="n">
        <v>115817.51</v>
      </c>
      <c r="G4" s="30" t="n">
        <v>3648.8</v>
      </c>
      <c r="H4" s="30" t="n">
        <v>12.19</v>
      </c>
      <c r="I4" s="30" t="n">
        <v>7974018</v>
      </c>
      <c r="J4" s="30" t="n"/>
    </row>
    <row r="5">
      <c r="A5" s="30" t="inlineStr">
        <is>
          <t>PGIL</t>
        </is>
      </c>
      <c r="B5" s="30" t="inlineStr">
        <is>
          <t>Pearl Global Industries Limited</t>
        </is>
      </c>
      <c r="C5" s="30" t="inlineStr">
        <is>
          <t>consumer discretionary</t>
        </is>
      </c>
      <c r="D5" s="30" t="inlineStr">
        <is>
          <t>textiles - products</t>
        </is>
      </c>
      <c r="E5" s="30" t="inlineStr">
        <is>
          <t>midcap</t>
        </is>
      </c>
      <c r="F5" s="30" t="n">
        <v>10259.8</v>
      </c>
      <c r="G5" s="30" t="n">
        <v>2464.1</v>
      </c>
      <c r="H5" s="30" t="n">
        <v>10.92</v>
      </c>
      <c r="I5" s="30" t="n">
        <v>2215967</v>
      </c>
      <c r="J5" s="30" t="inlineStr">
        <is>
          <t>532808</t>
        </is>
      </c>
    </row>
    <row r="6">
      <c r="A6" s="30" t="inlineStr">
        <is>
          <t>AVALON</t>
        </is>
      </c>
      <c r="B6" s="30" t="inlineStr">
        <is>
          <t>Avalon Technologies Ltd</t>
        </is>
      </c>
      <c r="C6" s="30" t="inlineStr">
        <is>
          <t>consumer discretionary</t>
        </is>
      </c>
      <c r="D6" s="30" t="inlineStr">
        <is>
          <t>electronics - components</t>
        </is>
      </c>
      <c r="E6" s="30" t="inlineStr">
        <is>
          <t>midcap</t>
        </is>
      </c>
      <c r="F6" s="30" t="n">
        <v>11855.75</v>
      </c>
      <c r="G6" s="30" t="n">
        <v>1965.3</v>
      </c>
      <c r="H6" s="30" t="n">
        <v>10.75</v>
      </c>
      <c r="I6" s="30" t="n">
        <v>1877232</v>
      </c>
      <c r="J6" s="30" t="inlineStr">
        <is>
          <t>543896</t>
        </is>
      </c>
    </row>
    <row r="7">
      <c r="A7" s="30" t="inlineStr">
        <is>
          <t>EMIL</t>
        </is>
      </c>
      <c r="B7" s="30" t="inlineStr">
        <is>
          <t>Electronics Mart India Ltd</t>
        </is>
      </c>
      <c r="C7" s="30" t="inlineStr">
        <is>
          <t>consumer discretionary</t>
        </is>
      </c>
      <c r="D7" s="30" t="inlineStr">
        <is>
          <t>trading</t>
        </is>
      </c>
      <c r="E7" s="30" t="inlineStr">
        <is>
          <t>midcap</t>
        </is>
      </c>
      <c r="F7" s="30" t="n">
        <v>5762.77</v>
      </c>
      <c r="G7" s="30" t="n">
        <v>165.83</v>
      </c>
      <c r="H7" s="30" t="n">
        <v>10.72</v>
      </c>
      <c r="I7" s="30" t="n">
        <v>51355051</v>
      </c>
      <c r="J7" s="30" t="inlineStr">
        <is>
          <t>543626</t>
        </is>
      </c>
    </row>
    <row r="8">
      <c r="A8" s="30" t="inlineStr">
        <is>
          <t>VARROC</t>
        </is>
      </c>
      <c r="B8" s="30" t="inlineStr">
        <is>
          <t>Varroc Engineering Ltd</t>
        </is>
      </c>
      <c r="C8" s="30" t="inlineStr">
        <is>
          <t>auto</t>
        </is>
      </c>
      <c r="D8" s="30" t="inlineStr">
        <is>
          <t>auto ancillaries</t>
        </is>
      </c>
      <c r="E8" s="30" t="inlineStr">
        <is>
          <t>midcap</t>
        </is>
      </c>
      <c r="F8" s="30" t="n">
        <v>11273.34</v>
      </c>
      <c r="G8" s="30" t="n">
        <v>811.2</v>
      </c>
      <c r="H8" s="30" t="n">
        <v>9.94</v>
      </c>
      <c r="I8" s="30" t="n">
        <v>15190210</v>
      </c>
      <c r="J8" s="30" t="inlineStr">
        <is>
          <t>541578</t>
        </is>
      </c>
    </row>
    <row r="9">
      <c r="A9" s="30" t="inlineStr">
        <is>
          <t>WINDMACHIN</t>
        </is>
      </c>
      <c r="B9" s="30" t="inlineStr">
        <is>
          <t>Windsor Machines Limited</t>
        </is>
      </c>
      <c r="C9" s="30" t="inlineStr">
        <is>
          <t>industrials</t>
        </is>
      </c>
      <c r="D9" s="30" t="inlineStr">
        <is>
          <t>engineering</t>
        </is>
      </c>
      <c r="E9" s="30" t="inlineStr">
        <is>
          <t>smallcap</t>
        </is>
      </c>
      <c r="F9" s="30" t="n">
        <v>2812.75</v>
      </c>
      <c r="G9" s="30" t="n">
        <v>303.55</v>
      </c>
      <c r="H9" s="30" t="n">
        <v>9.779999999999999</v>
      </c>
      <c r="I9" s="30" t="n">
        <v>1605824</v>
      </c>
      <c r="J9" s="30" t="inlineStr">
        <is>
          <t>522029</t>
        </is>
      </c>
    </row>
    <row r="10">
      <c r="A10" s="30" t="inlineStr">
        <is>
          <t>LLOYDSENGG</t>
        </is>
      </c>
      <c r="B10" s="30" t="inlineStr">
        <is>
          <t>Lloyds Engineering Works Ltd</t>
        </is>
      </c>
      <c r="C10" s="30" t="inlineStr">
        <is>
          <t>industrials</t>
        </is>
      </c>
      <c r="D10" s="30" t="inlineStr">
        <is>
          <t>engineering</t>
        </is>
      </c>
      <c r="E10" s="30" t="inlineStr">
        <is>
          <t>midcap</t>
        </is>
      </c>
      <c r="F10" s="30" t="n">
        <v>13094.7</v>
      </c>
      <c r="G10" s="30" t="n">
        <v>96.88</v>
      </c>
      <c r="H10" s="30" t="n">
        <v>9.52</v>
      </c>
      <c r="I10" s="30" t="n">
        <v>64356610</v>
      </c>
      <c r="J10" s="30" t="inlineStr">
        <is>
          <t>539992</t>
        </is>
      </c>
    </row>
    <row r="11">
      <c r="A11" s="30" t="inlineStr">
        <is>
          <t>TATATECH</t>
        </is>
      </c>
      <c r="B11" s="30" t="inlineStr">
        <is>
          <t>Tata Technologies Ltd</t>
        </is>
      </c>
      <c r="C11" s="30" t="inlineStr">
        <is>
          <t>i.t</t>
        </is>
      </c>
      <c r="D11" s="30" t="inlineStr">
        <is>
          <t>computers - software - medium / small</t>
        </is>
      </c>
      <c r="E11" s="30" t="inlineStr">
        <is>
          <t>largecap</t>
        </is>
      </c>
      <c r="F11" s="30" t="n">
        <v>32547.08</v>
      </c>
      <c r="G11" s="30" t="n">
        <v>872.8</v>
      </c>
      <c r="H11" s="30" t="n">
        <v>8.890000000000001</v>
      </c>
      <c r="I11" s="30" t="n">
        <v>16058460</v>
      </c>
      <c r="J11" s="30" t="inlineStr">
        <is>
          <t>544028</t>
        </is>
      </c>
    </row>
    <row r="12">
      <c r="A12" s="30" t="inlineStr">
        <is>
          <t>MOTHERSON</t>
        </is>
      </c>
      <c r="B12" s="30" t="inlineStr">
        <is>
          <t>Samvardhana Motherson International Ltd</t>
        </is>
      </c>
      <c r="C12" s="30" t="inlineStr">
        <is>
          <t>auto</t>
        </is>
      </c>
      <c r="D12" s="30" t="inlineStr">
        <is>
          <t>auto ancillaries</t>
        </is>
      </c>
      <c r="E12" s="30" t="inlineStr">
        <is>
          <t>largecap</t>
        </is>
      </c>
      <c r="F12" s="30" t="n">
        <v>163593.86</v>
      </c>
      <c r="G12" s="30" t="n">
        <v>168.5</v>
      </c>
      <c r="H12" s="30" t="n">
        <v>8.710000000000001</v>
      </c>
      <c r="I12" s="30" t="n">
        <v>230129225</v>
      </c>
      <c r="J12" s="30" t="inlineStr">
        <is>
          <t>517334</t>
        </is>
      </c>
    </row>
    <row r="13">
      <c r="A13" s="30" t="inlineStr">
        <is>
          <t>UNIMECH</t>
        </is>
      </c>
      <c r="B13" s="30" t="inlineStr">
        <is>
          <t>Unimech Aerospace and Manufacturing Ltd</t>
        </is>
      </c>
      <c r="C13" s="30" t="inlineStr">
        <is>
          <t>aerospace &amp; defence</t>
        </is>
      </c>
      <c r="D13" s="30" t="inlineStr">
        <is>
          <t>engineering</t>
        </is>
      </c>
      <c r="E13" s="30" t="inlineStr">
        <is>
          <t>midcap</t>
        </is>
      </c>
      <c r="F13" s="30" t="n">
        <v>6797.02</v>
      </c>
      <c r="G13" s="30" t="n">
        <v>1446.7</v>
      </c>
      <c r="H13" s="30" t="n">
        <v>8.25</v>
      </c>
      <c r="I13" s="30" t="n">
        <v>630827</v>
      </c>
      <c r="J13" s="30" t="inlineStr">
        <is>
          <t>544322</t>
        </is>
      </c>
    </row>
    <row r="14">
      <c r="A14" s="30" t="inlineStr">
        <is>
          <t>ARVSMART</t>
        </is>
      </c>
      <c r="B14" s="30" t="inlineStr">
        <is>
          <t>Arvind Smartspaces Limited</t>
        </is>
      </c>
      <c r="C14" s="30" t="inlineStr">
        <is>
          <t>realty</t>
        </is>
      </c>
      <c r="D14" s="30" t="inlineStr">
        <is>
          <t>construction</t>
        </is>
      </c>
      <c r="E14" s="30" t="inlineStr">
        <is>
          <t>smallcap</t>
        </is>
      </c>
      <c r="F14" s="30" t="n">
        <v>2767.15</v>
      </c>
      <c r="G14" s="30" t="n">
        <v>650.75</v>
      </c>
      <c r="H14" s="30" t="n">
        <v>7.87</v>
      </c>
      <c r="I14" s="30" t="n">
        <v>6910360</v>
      </c>
      <c r="J14" s="30" t="inlineStr">
        <is>
          <t>539301</t>
        </is>
      </c>
    </row>
    <row r="15">
      <c r="A15" s="30" t="inlineStr">
        <is>
          <t>BHARATSE</t>
        </is>
      </c>
      <c r="B15" s="30" t="inlineStr">
        <is>
          <t>Bharat Seats Ltd</t>
        </is>
      </c>
      <c r="C15" s="30" t="inlineStr">
        <is>
          <t>auto</t>
        </is>
      </c>
      <c r="D15" s="30" t="inlineStr">
        <is>
          <t>auto ancillaries</t>
        </is>
      </c>
      <c r="E15" s="30" t="inlineStr">
        <is>
          <t>smallcap</t>
        </is>
      </c>
      <c r="F15" s="30" t="n">
        <v>1403.39</v>
      </c>
      <c r="G15" s="30" t="n">
        <v>240.89</v>
      </c>
      <c r="H15" s="30" t="n">
        <v>7.8</v>
      </c>
      <c r="I15" s="30" t="n">
        <v>751798</v>
      </c>
      <c r="J15" s="30" t="inlineStr">
        <is>
          <t>523229</t>
        </is>
      </c>
    </row>
    <row r="16">
      <c r="A16" s="30" t="inlineStr">
        <is>
          <t>MATRIMONY</t>
        </is>
      </c>
      <c r="B16" s="30" t="inlineStr">
        <is>
          <t>Matrimony.com Ltd</t>
        </is>
      </c>
      <c r="C16" s="30" t="inlineStr">
        <is>
          <t>miscellaneous</t>
        </is>
      </c>
      <c r="D16" s="30" t="inlineStr">
        <is>
          <t>miscellaneous</t>
        </is>
      </c>
      <c r="E16" s="30" t="inlineStr">
        <is>
          <t>smallcap</t>
        </is>
      </c>
      <c r="F16" s="30" t="n">
        <v>925.96</v>
      </c>
      <c r="G16" s="30" t="n">
        <v>480.8</v>
      </c>
      <c r="H16" s="30" t="n">
        <v>7.35</v>
      </c>
      <c r="I16" s="30" t="n">
        <v>193717</v>
      </c>
      <c r="J16" s="30" t="inlineStr">
        <is>
          <t>540704</t>
        </is>
      </c>
    </row>
    <row r="17">
      <c r="A17" s="30" t="inlineStr">
        <is>
          <t>COMSYN</t>
        </is>
      </c>
      <c r="B17" s="30" t="inlineStr">
        <is>
          <t>Commercial Syn Bags Ltd</t>
        </is>
      </c>
      <c r="C17" s="30" t="inlineStr">
        <is>
          <t>industrials</t>
        </is>
      </c>
      <c r="D17" s="30" t="inlineStr">
        <is>
          <t>packaging</t>
        </is>
      </c>
      <c r="E17" s="30" t="inlineStr">
        <is>
          <t>smallcap</t>
        </is>
      </c>
      <c r="F17" s="30" t="n">
        <v>845.4299999999999</v>
      </c>
      <c r="G17" s="30" t="n">
        <v>224.83</v>
      </c>
      <c r="H17" s="30" t="n">
        <v>7.28</v>
      </c>
      <c r="I17" s="30" t="n">
        <v>1308178</v>
      </c>
      <c r="J17" s="30" t="inlineStr">
        <is>
          <t>539986</t>
        </is>
      </c>
    </row>
    <row r="18">
      <c r="A18" s="30" t="inlineStr">
        <is>
          <t>TRAVELFOOD</t>
        </is>
      </c>
      <c r="B18" s="30" t="inlineStr">
        <is>
          <t>Travel Food Services Ltd</t>
        </is>
      </c>
      <c r="C18" s="30" t="inlineStr">
        <is>
          <t>consumer discretionary</t>
        </is>
      </c>
      <c r="D18" s="30" t="inlineStr">
        <is>
          <t>hotels</t>
        </is>
      </c>
      <c r="E18" s="30" t="inlineStr">
        <is>
          <t>midcap</t>
        </is>
      </c>
      <c r="F18" s="30" t="n">
        <v>17608.18</v>
      </c>
      <c r="G18" s="30" t="n">
        <v>1428.6</v>
      </c>
      <c r="H18" s="30" t="n">
        <v>6.84</v>
      </c>
      <c r="I18" s="30" t="n">
        <v>1277146</v>
      </c>
      <c r="J18" s="30" t="inlineStr">
        <is>
          <t>544443</t>
        </is>
      </c>
    </row>
    <row r="19">
      <c r="A19" s="30" t="inlineStr">
        <is>
          <t>GOCLCORP</t>
        </is>
      </c>
      <c r="B19" s="30" t="inlineStr">
        <is>
          <t>Gocl Corporation Limited</t>
        </is>
      </c>
      <c r="C19" s="30" t="inlineStr">
        <is>
          <t>miscellaneous</t>
        </is>
      </c>
      <c r="D19" s="30" t="inlineStr">
        <is>
          <t>diversified - medium / small</t>
        </is>
      </c>
      <c r="E19" s="30" t="inlineStr">
        <is>
          <t>smallcap</t>
        </is>
      </c>
      <c r="F19" s="30" t="n">
        <v>2035.2</v>
      </c>
      <c r="G19" s="30" t="n">
        <v>438.25</v>
      </c>
      <c r="H19" s="30" t="n">
        <v>6.75</v>
      </c>
      <c r="I19" s="30" t="n">
        <v>1950704</v>
      </c>
      <c r="J19" s="30" t="inlineStr">
        <is>
          <t>506480</t>
        </is>
      </c>
    </row>
    <row r="20">
      <c r="A20" s="30" t="inlineStr">
        <is>
          <t>MACPOWER</t>
        </is>
      </c>
      <c r="B20" s="30" t="inlineStr">
        <is>
          <t>Macpower CNC Machines Ltd</t>
        </is>
      </c>
      <c r="C20" s="30" t="inlineStr">
        <is>
          <t>industrials</t>
        </is>
      </c>
      <c r="D20" s="30" t="inlineStr">
        <is>
          <t>engineering</t>
        </is>
      </c>
      <c r="E20" s="30" t="inlineStr">
        <is>
          <t>smallcap</t>
        </is>
      </c>
      <c r="F20" s="30" t="n">
        <v>1581.66</v>
      </c>
      <c r="G20" s="30" t="n">
        <v>1682</v>
      </c>
      <c r="H20" s="30" t="n">
        <v>6.39</v>
      </c>
      <c r="I20" s="30" t="n">
        <v>148338</v>
      </c>
      <c r="J20" s="30" t="inlineStr">
        <is>
          <t>535057</t>
        </is>
      </c>
    </row>
    <row r="21">
      <c r="A21" s="30" t="inlineStr">
        <is>
          <t>ORIENTELEC</t>
        </is>
      </c>
      <c r="B21" s="30" t="inlineStr">
        <is>
          <t>Orient Electric Ltd</t>
        </is>
      </c>
      <c r="C21" s="30" t="inlineStr">
        <is>
          <t>consumer discretionary</t>
        </is>
      </c>
      <c r="D21" s="30" t="inlineStr">
        <is>
          <t>domestic appliances</t>
        </is>
      </c>
      <c r="E21" s="30" t="inlineStr">
        <is>
          <t>smallcap</t>
        </is>
      </c>
      <c r="F21" s="30" t="n">
        <v>3802.82</v>
      </c>
      <c r="G21" s="30" t="n">
        <v>189.18</v>
      </c>
      <c r="H21" s="30" t="n">
        <v>6.14</v>
      </c>
      <c r="I21" s="30" t="n">
        <v>3629172</v>
      </c>
      <c r="J21" s="30" t="inlineStr">
        <is>
          <t>541301</t>
        </is>
      </c>
    </row>
    <row r="22">
      <c r="A22" s="30" t="inlineStr">
        <is>
          <t>NAHARINDUS</t>
        </is>
      </c>
      <c r="B22" s="30" t="inlineStr">
        <is>
          <t>Nahar Industrial Enterprises Limited</t>
        </is>
      </c>
      <c r="C22" s="30" t="inlineStr">
        <is>
          <t>textiles</t>
        </is>
      </c>
      <c r="D22" s="30" t="inlineStr">
        <is>
          <t>textiles - cotton/blended</t>
        </is>
      </c>
      <c r="E22" s="30" t="inlineStr">
        <is>
          <t>smallcap</t>
        </is>
      </c>
      <c r="F22" s="30" t="n">
        <v>523.13</v>
      </c>
      <c r="G22" s="30" t="n">
        <v>128.5</v>
      </c>
      <c r="H22" s="30" t="n">
        <v>6.13</v>
      </c>
      <c r="I22" s="30" t="n">
        <v>73322</v>
      </c>
      <c r="J22" s="30" t="inlineStr">
        <is>
          <t>519136</t>
        </is>
      </c>
    </row>
    <row r="23">
      <c r="A23" s="30" t="inlineStr">
        <is>
          <t>NEULANDLAB</t>
        </is>
      </c>
      <c r="B23" s="30" t="inlineStr">
        <is>
          <t>Neuland Laboratories Limited</t>
        </is>
      </c>
      <c r="C23" s="30" t="inlineStr">
        <is>
          <t>healthcare</t>
        </is>
      </c>
      <c r="D23" s="30" t="inlineStr">
        <is>
          <t>pharmaceuticals - indian - bulk drugs</t>
        </is>
      </c>
      <c r="E23" s="30" t="inlineStr">
        <is>
          <t>largecap</t>
        </is>
      </c>
      <c r="F23" s="30" t="n">
        <v>27639.43</v>
      </c>
      <c r="G23" s="30" t="n">
        <v>22855</v>
      </c>
      <c r="H23" s="30" t="n">
        <v>6.09</v>
      </c>
      <c r="I23" s="30" t="n">
        <v>313887</v>
      </c>
      <c r="J23" s="30" t="inlineStr">
        <is>
          <t>524558</t>
        </is>
      </c>
    </row>
    <row r="24">
      <c r="A24" s="30" t="inlineStr">
        <is>
          <t>MPSLTD</t>
        </is>
      </c>
      <c r="B24" s="30" t="inlineStr">
        <is>
          <t>Mps Limited</t>
        </is>
      </c>
      <c r="C24" s="30" t="inlineStr">
        <is>
          <t>i.t</t>
        </is>
      </c>
      <c r="D24" s="30" t="inlineStr">
        <is>
          <t>computers - software - medium / small</t>
        </is>
      </c>
      <c r="E24" s="30" t="inlineStr">
        <is>
          <t>smallcap</t>
        </is>
      </c>
      <c r="F24" s="30" t="n">
        <v>4727.88</v>
      </c>
      <c r="G24" s="30" t="n">
        <v>2931.2</v>
      </c>
      <c r="H24" s="30" t="n">
        <v>6.05</v>
      </c>
      <c r="I24" s="30" t="n">
        <v>130153</v>
      </c>
      <c r="J24" s="30" t="inlineStr">
        <is>
          <t>532440</t>
        </is>
      </c>
    </row>
    <row r="25">
      <c r="A25" s="30" t="inlineStr">
        <is>
          <t>TFCILTD</t>
        </is>
      </c>
      <c r="B25" s="30" t="inlineStr">
        <is>
          <t>Tourism Finance Corporation Of India Limited</t>
        </is>
      </c>
      <c r="C25" s="30" t="inlineStr">
        <is>
          <t>financials</t>
        </is>
      </c>
      <c r="D25" s="30" t="inlineStr">
        <is>
          <t>finance - term-lending institutions</t>
        </is>
      </c>
      <c r="E25" s="30" t="inlineStr">
        <is>
          <t>midcap</t>
        </is>
      </c>
      <c r="F25" s="30" t="n">
        <v>5130.25</v>
      </c>
      <c r="G25" s="30" t="n">
        <v>117.48</v>
      </c>
      <c r="H25" s="30" t="n">
        <v>6.02</v>
      </c>
      <c r="I25" s="30" t="n">
        <v>23957180</v>
      </c>
      <c r="J25" s="30" t="inlineStr">
        <is>
          <t>526650</t>
        </is>
      </c>
    </row>
    <row r="26">
      <c r="A26" s="30" t="inlineStr">
        <is>
          <t>KENNAMET</t>
        </is>
      </c>
      <c r="B26" s="30" t="inlineStr">
        <is>
          <t>Kennametal India Ltd</t>
        </is>
      </c>
      <c r="C26" s="30" t="inlineStr">
        <is>
          <t>industrials</t>
        </is>
      </c>
      <c r="D26" s="30" t="inlineStr">
        <is>
          <t>castings &amp; forgings</t>
        </is>
      </c>
      <c r="E26" s="30" t="inlineStr">
        <is>
          <t>midcap</t>
        </is>
      </c>
      <c r="F26" s="30" t="n">
        <v>6865.34</v>
      </c>
      <c r="G26" s="30" t="n">
        <v>3309.9</v>
      </c>
      <c r="H26" s="30" t="n">
        <v>5.96</v>
      </c>
      <c r="I26" s="30" t="n">
        <v>37533</v>
      </c>
      <c r="J26" s="30" t="inlineStr">
        <is>
          <t>505890</t>
        </is>
      </c>
    </row>
    <row r="27">
      <c r="A27" s="30" t="inlineStr">
        <is>
          <t>DIVGIITTS</t>
        </is>
      </c>
      <c r="B27" s="30" t="inlineStr">
        <is>
          <t>Divgi Torqtransfer Systems Ltd</t>
        </is>
      </c>
      <c r="C27" s="30" t="inlineStr">
        <is>
          <t>auto</t>
        </is>
      </c>
      <c r="D27" s="30" t="inlineStr">
        <is>
          <t>auto ancillaries</t>
        </is>
      </c>
      <c r="E27" s="30" t="inlineStr">
        <is>
          <t>smallcap</t>
        </is>
      </c>
      <c r="F27" s="30" t="n">
        <v>3023.43</v>
      </c>
      <c r="G27" s="30" t="n">
        <v>1047.25</v>
      </c>
      <c r="H27" s="30" t="n">
        <v>5.93</v>
      </c>
      <c r="I27" s="30" t="n">
        <v>189136</v>
      </c>
      <c r="J27" s="30" t="inlineStr">
        <is>
          <t>543812</t>
        </is>
      </c>
    </row>
    <row r="28">
      <c r="A28" s="30" t="inlineStr">
        <is>
          <t>ONEPOINT</t>
        </is>
      </c>
      <c r="B28" s="30" t="inlineStr">
        <is>
          <t>One Point One Solutions Ltd</t>
        </is>
      </c>
      <c r="C28" s="30" t="inlineStr">
        <is>
          <t>i.t</t>
        </is>
      </c>
      <c r="D28" s="30" t="inlineStr">
        <is>
          <t>computers - software - medium / small</t>
        </is>
      </c>
      <c r="E28" s="30" t="inlineStr">
        <is>
          <t>smallcap</t>
        </is>
      </c>
      <c r="F28" s="30" t="n">
        <v>1501.37</v>
      </c>
      <c r="G28" s="30" t="n">
        <v>60.33</v>
      </c>
      <c r="H28" s="30" t="n">
        <v>5.66</v>
      </c>
      <c r="I28" s="30" t="n">
        <v>6282291</v>
      </c>
      <c r="J28" s="30" t="inlineStr">
        <is>
          <t>535039</t>
        </is>
      </c>
    </row>
    <row r="29">
      <c r="A29" s="30" t="inlineStr">
        <is>
          <t>BHAGCHEM</t>
        </is>
      </c>
      <c r="B29" s="30" t="inlineStr">
        <is>
          <t>Bhagiradha Chemicals &amp; Industries Ltd</t>
        </is>
      </c>
      <c r="C29" s="30" t="inlineStr">
        <is>
          <t>chemicals</t>
        </is>
      </c>
      <c r="D29" s="30" t="inlineStr">
        <is>
          <t>pesticides / agrochemicals - indian</t>
        </is>
      </c>
      <c r="E29" s="30" t="inlineStr">
        <is>
          <t>smallcap</t>
        </is>
      </c>
      <c r="F29" s="30" t="n">
        <v>3571.09</v>
      </c>
      <c r="G29" s="30" t="n">
        <v>290.8</v>
      </c>
      <c r="H29" s="30" t="n">
        <v>5.59</v>
      </c>
      <c r="I29" s="30" t="n">
        <v>242919</v>
      </c>
      <c r="J29" s="30" t="inlineStr">
        <is>
          <t>531719</t>
        </is>
      </c>
    </row>
    <row r="30">
      <c r="A30" s="30" t="inlineStr">
        <is>
          <t>FAZE3Q</t>
        </is>
      </c>
      <c r="B30" s="30" t="inlineStr">
        <is>
          <t>Faze Three Ltd</t>
        </is>
      </c>
      <c r="C30" s="30" t="inlineStr">
        <is>
          <t>textiles</t>
        </is>
      </c>
      <c r="D30" s="30" t="inlineStr">
        <is>
          <t>textiles - processing</t>
        </is>
      </c>
      <c r="E30" s="30" t="inlineStr">
        <is>
          <t>smallcap</t>
        </is>
      </c>
      <c r="F30" s="30" t="n">
        <v>1314.69</v>
      </c>
      <c r="G30" s="30" t="n">
        <v>570.6</v>
      </c>
      <c r="H30" s="30" t="n">
        <v>5.55</v>
      </c>
      <c r="I30" s="30" t="n">
        <v>21897</v>
      </c>
      <c r="J30" s="30" t="inlineStr">
        <is>
          <t>530079</t>
        </is>
      </c>
    </row>
    <row r="31">
      <c r="A31" s="30" t="inlineStr">
        <is>
          <t>AKUMS</t>
        </is>
      </c>
      <c r="B31" s="30" t="inlineStr">
        <is>
          <t>Akums Drugs &amp; Pharmaceuticals Ltd</t>
        </is>
      </c>
      <c r="C31" s="30" t="inlineStr">
        <is>
          <t>healthcare</t>
        </is>
      </c>
      <c r="D31" s="30" t="inlineStr">
        <is>
          <t>pharmaceuticals - indian - bulk drugs &amp; formln</t>
        </is>
      </c>
      <c r="E31" s="30" t="inlineStr">
        <is>
          <t>midcap</t>
        </is>
      </c>
      <c r="F31" s="30" t="n">
        <v>10428.14</v>
      </c>
      <c r="G31" s="30" t="n">
        <v>697.45</v>
      </c>
      <c r="H31" s="30" t="n">
        <v>5.27</v>
      </c>
      <c r="I31" s="30" t="n">
        <v>637076</v>
      </c>
      <c r="J31" s="30" t="inlineStr">
        <is>
          <t>544222</t>
        </is>
      </c>
    </row>
    <row r="32">
      <c r="A32" s="30" t="inlineStr">
        <is>
          <t>DIAMONDYD</t>
        </is>
      </c>
      <c r="B32" s="30" t="inlineStr">
        <is>
          <t>Prataap Snacks Ltd</t>
        </is>
      </c>
      <c r="C32" s="30" t="inlineStr">
        <is>
          <t>fmcg</t>
        </is>
      </c>
      <c r="D32" s="30" t="inlineStr">
        <is>
          <t>food - processing - indian</t>
        </is>
      </c>
      <c r="E32" s="30" t="inlineStr">
        <is>
          <t>smallcap</t>
        </is>
      </c>
      <c r="F32" s="30" t="n">
        <v>2788.45</v>
      </c>
      <c r="G32" s="30" t="n">
        <v>1227.4</v>
      </c>
      <c r="H32" s="30" t="n">
        <v>5.25</v>
      </c>
      <c r="I32" s="30" t="n">
        <v>445511</v>
      </c>
      <c r="J32" s="30" t="inlineStr">
        <is>
          <t>540724</t>
        </is>
      </c>
    </row>
    <row r="33">
      <c r="A33" s="30" t="inlineStr">
        <is>
          <t>RBA</t>
        </is>
      </c>
      <c r="B33" s="30" t="inlineStr">
        <is>
          <t>Restaurant Brands Asia Ltd</t>
        </is>
      </c>
      <c r="C33" s="30" t="inlineStr">
        <is>
          <t>consumer discretionary</t>
        </is>
      </c>
      <c r="D33" s="30" t="inlineStr">
        <is>
          <t>hotels</t>
        </is>
      </c>
      <c r="E33" s="30" t="inlineStr">
        <is>
          <t>midcap</t>
        </is>
      </c>
      <c r="F33" s="30" t="n">
        <v>6423.26</v>
      </c>
      <c r="G33" s="30" t="n">
        <v>94.92</v>
      </c>
      <c r="H33" s="30" t="n">
        <v>5.17</v>
      </c>
      <c r="I33" s="30" t="n">
        <v>30111924</v>
      </c>
      <c r="J33" s="30" t="inlineStr">
        <is>
          <t>543248</t>
        </is>
      </c>
    </row>
    <row r="34">
      <c r="A34" s="30" t="inlineStr">
        <is>
          <t>LLOYDSENT</t>
        </is>
      </c>
      <c r="B34" s="30" t="inlineStr">
        <is>
          <t>Lloyds Enterprises Ltd</t>
        </is>
      </c>
      <c r="C34" s="30" t="inlineStr">
        <is>
          <t>services</t>
        </is>
      </c>
      <c r="D34" s="30" t="inlineStr">
        <is>
          <t>trading</t>
        </is>
      </c>
      <c r="E34" s="30" t="inlineStr">
        <is>
          <t>midcap</t>
        </is>
      </c>
      <c r="F34" s="30" t="n">
        <v>12133.03</v>
      </c>
      <c r="G34" s="30" t="n">
        <v>83.5</v>
      </c>
      <c r="H34" s="30" t="n">
        <v>5.06</v>
      </c>
      <c r="I34" s="30" t="n">
        <v>9148520</v>
      </c>
      <c r="J34" s="30" t="inlineStr">
        <is>
          <t>512463</t>
        </is>
      </c>
    </row>
    <row r="35">
      <c r="A35" s="30" t="inlineStr">
        <is>
          <t>M&amp;MFIN</t>
        </is>
      </c>
      <c r="B35" s="30" t="inlineStr">
        <is>
          <t>Mahindra &amp; Mahindra Financial Services Limited</t>
        </is>
      </c>
      <c r="C35" s="30" t="inlineStr">
        <is>
          <t>financials</t>
        </is>
      </c>
      <c r="D35" s="30" t="inlineStr">
        <is>
          <t>finance &amp; investments</t>
        </is>
      </c>
      <c r="E35" s="30" t="inlineStr">
        <is>
          <t>largecap</t>
        </is>
      </c>
      <c r="F35" s="30" t="n">
        <v>54042.08</v>
      </c>
      <c r="G35" s="30" t="n">
        <v>408.45</v>
      </c>
      <c r="H35" s="30" t="n">
        <v>5.05</v>
      </c>
      <c r="I35" s="30" t="n">
        <v>4875009</v>
      </c>
      <c r="J35" s="30" t="inlineStr">
        <is>
          <t>532720</t>
        </is>
      </c>
    </row>
    <row r="36">
      <c r="A36" s="30" t="inlineStr">
        <is>
          <t>UEL</t>
        </is>
      </c>
      <c r="B36" s="30" t="inlineStr">
        <is>
          <t>Ujaas Energy Ltd</t>
        </is>
      </c>
      <c r="C36" s="30" t="inlineStr">
        <is>
          <t>power &amp; utilities</t>
        </is>
      </c>
      <c r="D36" s="30" t="inlineStr">
        <is>
          <t>power generation and supply</t>
        </is>
      </c>
      <c r="E36" s="30" t="inlineStr">
        <is>
          <t>smallcap</t>
        </is>
      </c>
      <c r="F36" s="30" t="n">
        <v>3275.18</v>
      </c>
      <c r="G36" s="30" t="n">
        <v>257.79</v>
      </c>
      <c r="H36" s="30" t="n">
        <v>5</v>
      </c>
      <c r="I36" s="30" t="n">
        <v>20964</v>
      </c>
      <c r="J36" s="30" t="inlineStr">
        <is>
          <t>533644</t>
        </is>
      </c>
    </row>
    <row r="37">
      <c r="A37" s="30" t="inlineStr">
        <is>
          <t>SADHNANIQ</t>
        </is>
      </c>
      <c r="B37" s="30" t="inlineStr">
        <is>
          <t>Sadhana Nitro Chem Ltd</t>
        </is>
      </c>
      <c r="C37" s="30" t="inlineStr">
        <is>
          <t>chemicals</t>
        </is>
      </c>
      <c r="D37" s="30" t="inlineStr">
        <is>
          <t>chemicals</t>
        </is>
      </c>
      <c r="E37" s="30" t="inlineStr">
        <is>
          <t>smallcap</t>
        </is>
      </c>
      <c r="F37" s="30" t="n">
        <v>853.83</v>
      </c>
      <c r="G37" s="30" t="n">
        <v>3.02</v>
      </c>
      <c r="H37" s="30" t="n">
        <v>4.86</v>
      </c>
      <c r="I37" s="30" t="n">
        <v>4721398</v>
      </c>
      <c r="J37" s="30" t="inlineStr">
        <is>
          <t>506642</t>
        </is>
      </c>
    </row>
    <row r="38">
      <c r="A38" s="30" t="inlineStr">
        <is>
          <t>PVP</t>
        </is>
      </c>
      <c r="B38" s="30" t="inlineStr">
        <is>
          <t>Pvp Ventures Limited</t>
        </is>
      </c>
      <c r="C38" s="30" t="inlineStr">
        <is>
          <t>realty</t>
        </is>
      </c>
      <c r="D38" s="30" t="inlineStr">
        <is>
          <t>construction</t>
        </is>
      </c>
      <c r="E38" s="30" t="inlineStr">
        <is>
          <t>smallcap</t>
        </is>
      </c>
      <c r="F38" s="30" t="n">
        <v>862.98</v>
      </c>
      <c r="G38" s="30" t="n">
        <v>34.74</v>
      </c>
      <c r="H38" s="30" t="n">
        <v>4.83</v>
      </c>
      <c r="I38" s="30" t="n">
        <v>10194426</v>
      </c>
      <c r="J38" s="30" t="inlineStr">
        <is>
          <t>517556</t>
        </is>
      </c>
    </row>
    <row r="39">
      <c r="A39" s="30" t="inlineStr">
        <is>
          <t>PTCIL</t>
        </is>
      </c>
      <c r="B39" s="30" t="inlineStr">
        <is>
          <t>PTC Industries Ltd</t>
        </is>
      </c>
      <c r="C39" s="30" t="inlineStr">
        <is>
          <t>industrials</t>
        </is>
      </c>
      <c r="D39" s="30" t="inlineStr">
        <is>
          <t>castings &amp; forgings</t>
        </is>
      </c>
      <c r="E39" s="30" t="inlineStr">
        <is>
          <t>largecap</t>
        </is>
      </c>
      <c r="F39" s="30" t="n">
        <v>27317.92</v>
      </c>
      <c r="G39" s="30" t="n">
        <v>19100</v>
      </c>
      <c r="H39" s="30" t="n">
        <v>4.82</v>
      </c>
      <c r="I39" s="30" t="n">
        <v>91324</v>
      </c>
      <c r="J39" s="30" t="inlineStr">
        <is>
          <t>539006</t>
        </is>
      </c>
    </row>
    <row r="40">
      <c r="A40" s="30" t="inlineStr">
        <is>
          <t>ARROWGREEN</t>
        </is>
      </c>
      <c r="B40" s="30" t="inlineStr">
        <is>
          <t>Arrow Greentech Limited</t>
        </is>
      </c>
      <c r="C40" s="30" t="inlineStr">
        <is>
          <t>plastic products</t>
        </is>
      </c>
      <c r="D40" s="30" t="inlineStr">
        <is>
          <t>plastics products</t>
        </is>
      </c>
      <c r="E40" s="30" t="inlineStr">
        <is>
          <t>smallcap</t>
        </is>
      </c>
      <c r="F40" s="30" t="n">
        <v>1125.71</v>
      </c>
      <c r="G40" s="30" t="n">
        <v>782</v>
      </c>
      <c r="H40" s="30" t="n">
        <v>4.81</v>
      </c>
      <c r="I40" s="30" t="n">
        <v>57522</v>
      </c>
      <c r="J40" s="30" t="inlineStr">
        <is>
          <t>516064</t>
        </is>
      </c>
    </row>
    <row r="41">
      <c r="A41" s="30" t="inlineStr">
        <is>
          <t>PRIMESECU</t>
        </is>
      </c>
      <c r="B41" s="30" t="inlineStr">
        <is>
          <t>Prime Securities Limited</t>
        </is>
      </c>
      <c r="C41" s="30" t="inlineStr">
        <is>
          <t>financials</t>
        </is>
      </c>
      <c r="D41" s="30" t="inlineStr">
        <is>
          <t>finance &amp; investments</t>
        </is>
      </c>
      <c r="E41" s="30" t="inlineStr">
        <is>
          <t>smallcap</t>
        </is>
      </c>
      <c r="F41" s="30" t="n">
        <v>962.89</v>
      </c>
      <c r="G41" s="30" t="n">
        <v>297</v>
      </c>
      <c r="H41" s="30" t="n">
        <v>4.69</v>
      </c>
      <c r="I41" s="30" t="n">
        <v>81034</v>
      </c>
      <c r="J41" s="30" t="inlineStr">
        <is>
          <t>500337</t>
        </is>
      </c>
    </row>
    <row r="42">
      <c r="A42" s="30" t="inlineStr">
        <is>
          <t>MARINE</t>
        </is>
      </c>
      <c r="B42" s="30" t="inlineStr">
        <is>
          <t>Marine Electricals (India) Ltd</t>
        </is>
      </c>
      <c r="C42" s="30" t="inlineStr">
        <is>
          <t>industrials</t>
        </is>
      </c>
      <c r="D42" s="30" t="inlineStr">
        <is>
          <t>electric equipment</t>
        </is>
      </c>
      <c r="E42" s="30" t="inlineStr">
        <is>
          <t>smallcap</t>
        </is>
      </c>
      <c r="F42" s="30" t="n">
        <v>4504.11</v>
      </c>
      <c r="G42" s="30" t="n">
        <v>336.9</v>
      </c>
      <c r="H42" s="30" t="n">
        <v>4.68</v>
      </c>
      <c r="I42" s="30" t="n">
        <v>3869124</v>
      </c>
      <c r="J42" s="30" t="inlineStr">
        <is>
          <t>535119</t>
        </is>
      </c>
    </row>
    <row r="43">
      <c r="A43" s="30" t="inlineStr">
        <is>
          <t>NRAIL</t>
        </is>
      </c>
      <c r="B43" s="30" t="inlineStr">
        <is>
          <t>N R Agarwal Industries Ltd</t>
        </is>
      </c>
      <c r="C43" s="30" t="inlineStr">
        <is>
          <t>building materials</t>
        </is>
      </c>
      <c r="D43" s="30" t="inlineStr">
        <is>
          <t>paper</t>
        </is>
      </c>
      <c r="E43" s="30" t="inlineStr">
        <is>
          <t>smallcap</t>
        </is>
      </c>
      <c r="F43" s="30" t="n">
        <v>887.8</v>
      </c>
      <c r="G43" s="30" t="n">
        <v>544.55</v>
      </c>
      <c r="H43" s="30" t="n">
        <v>4.39</v>
      </c>
      <c r="I43" s="30" t="n">
        <v>66674</v>
      </c>
      <c r="J43" s="30" t="inlineStr">
        <is>
          <t>516082</t>
        </is>
      </c>
    </row>
    <row r="44">
      <c r="A44" s="30" t="inlineStr">
        <is>
          <t>DIACABS</t>
        </is>
      </c>
      <c r="B44" s="30" t="inlineStr">
        <is>
          <t>Diamond Power Infrastructure Ltd</t>
        </is>
      </c>
      <c r="C44" s="30" t="inlineStr">
        <is>
          <t>industrials</t>
        </is>
      </c>
      <c r="D44" s="30" t="inlineStr">
        <is>
          <t>cables - power</t>
        </is>
      </c>
      <c r="E44" s="30" t="inlineStr">
        <is>
          <t>midcap</t>
        </is>
      </c>
      <c r="F44" s="30" t="n">
        <v>18380.75</v>
      </c>
      <c r="G44" s="30" t="n">
        <v>364.05</v>
      </c>
      <c r="H44" s="30" t="n">
        <v>4.37</v>
      </c>
      <c r="I44" s="30" t="n">
        <v>2214308</v>
      </c>
      <c r="J44" s="30" t="inlineStr">
        <is>
          <t>522163</t>
        </is>
      </c>
    </row>
    <row r="45">
      <c r="A45" s="30" t="inlineStr">
        <is>
          <t>PARACABLES</t>
        </is>
      </c>
      <c r="B45" s="30" t="inlineStr">
        <is>
          <t>Paramount Communications Limited</t>
        </is>
      </c>
      <c r="C45" s="30" t="inlineStr">
        <is>
          <t>industrials</t>
        </is>
      </c>
      <c r="D45" s="30" t="inlineStr">
        <is>
          <t>cables - power</t>
        </is>
      </c>
      <c r="E45" s="30" t="inlineStr">
        <is>
          <t>smallcap</t>
        </is>
      </c>
      <c r="F45" s="30" t="n">
        <v>2161.21</v>
      </c>
      <c r="G45" s="30" t="n">
        <v>68.92</v>
      </c>
      <c r="H45" s="30" t="n">
        <v>4.35</v>
      </c>
      <c r="I45" s="30" t="n">
        <v>3040476</v>
      </c>
      <c r="J45" s="30" t="inlineStr">
        <is>
          <t>530555</t>
        </is>
      </c>
    </row>
    <row r="46">
      <c r="A46" s="30" t="inlineStr">
        <is>
          <t>AUROPHARMA</t>
        </is>
      </c>
      <c r="B46" s="30" t="inlineStr">
        <is>
          <t>Aurobindo Pharma Limited</t>
        </is>
      </c>
      <c r="C46" s="30" t="inlineStr">
        <is>
          <t>healthcare</t>
        </is>
      </c>
      <c r="D46" s="30" t="inlineStr">
        <is>
          <t>pharmaceuticals - indian - bulk drugs &amp; formln</t>
        </is>
      </c>
      <c r="E46" s="30" t="inlineStr">
        <is>
          <t>largecap</t>
        </is>
      </c>
      <c r="F46" s="30" t="n">
        <v>91421.78999999999</v>
      </c>
      <c r="G46" s="30" t="n">
        <v>1658</v>
      </c>
      <c r="H46" s="30" t="n">
        <v>4.35</v>
      </c>
      <c r="I46" s="30" t="n">
        <v>3972345</v>
      </c>
      <c r="J46" s="30" t="inlineStr">
        <is>
          <t>524804</t>
        </is>
      </c>
    </row>
    <row r="47">
      <c r="A47" s="30" t="inlineStr">
        <is>
          <t>ASIANENE</t>
        </is>
      </c>
      <c r="B47" s="30" t="inlineStr">
        <is>
          <t>Asian Energy Services Ltd</t>
        </is>
      </c>
      <c r="C47" s="30" t="inlineStr">
        <is>
          <t>energy</t>
        </is>
      </c>
      <c r="D47" s="30" t="inlineStr">
        <is>
          <t>oil drilling / allied services</t>
        </is>
      </c>
      <c r="E47" s="30" t="inlineStr">
        <is>
          <t>smallcap</t>
        </is>
      </c>
      <c r="F47" s="30" t="n">
        <v>1904.58</v>
      </c>
      <c r="G47" s="30" t="n">
        <v>408.55</v>
      </c>
      <c r="H47" s="30" t="n">
        <v>4.32</v>
      </c>
      <c r="I47" s="30" t="n">
        <v>680128</v>
      </c>
      <c r="J47" s="30" t="inlineStr">
        <is>
          <t>530355</t>
        </is>
      </c>
    </row>
    <row r="48">
      <c r="A48" s="30" t="inlineStr">
        <is>
          <t>AMBIKCO</t>
        </is>
      </c>
      <c r="B48" s="30" t="inlineStr">
        <is>
          <t>Ambika Cotton Mills Limited</t>
        </is>
      </c>
      <c r="C48" s="30" t="inlineStr">
        <is>
          <t>textiles</t>
        </is>
      </c>
      <c r="D48" s="30" t="inlineStr">
        <is>
          <t>textiles - cotton/blended</t>
        </is>
      </c>
      <c r="E48" s="30" t="inlineStr">
        <is>
          <t>smallcap</t>
        </is>
      </c>
      <c r="F48" s="30" t="n">
        <v>1045.39</v>
      </c>
      <c r="G48" s="30" t="n">
        <v>1904.3</v>
      </c>
      <c r="H48" s="30" t="n">
        <v>4.29</v>
      </c>
      <c r="I48" s="30" t="n">
        <v>83658</v>
      </c>
      <c r="J48" s="30" t="inlineStr">
        <is>
          <t>531978</t>
        </is>
      </c>
    </row>
    <row r="49">
      <c r="A49" s="30" t="inlineStr">
        <is>
          <t>UNIPARTS</t>
        </is>
      </c>
      <c r="B49" s="30" t="inlineStr">
        <is>
          <t>Uniparts India Ltd</t>
        </is>
      </c>
      <c r="C49" s="30" t="inlineStr">
        <is>
          <t>industrials</t>
        </is>
      </c>
      <c r="D49" s="30" t="inlineStr">
        <is>
          <t>engineering</t>
        </is>
      </c>
      <c r="E49" s="30" t="inlineStr">
        <is>
          <t>smallcap</t>
        </is>
      </c>
      <c r="F49" s="30" t="n">
        <v>3527.93</v>
      </c>
      <c r="G49" s="30" t="n">
        <v>814.6</v>
      </c>
      <c r="H49" s="30" t="n">
        <v>4.24</v>
      </c>
      <c r="I49" s="30" t="n">
        <v>275162</v>
      </c>
      <c r="J49" s="30" t="inlineStr">
        <is>
          <t>543689</t>
        </is>
      </c>
    </row>
    <row r="50">
      <c r="A50" s="30" t="inlineStr">
        <is>
          <t>MMFL</t>
        </is>
      </c>
      <c r="B50" s="30" t="inlineStr">
        <is>
          <t>Mm Forgings Limited</t>
        </is>
      </c>
      <c r="C50" s="30" t="inlineStr">
        <is>
          <t>industrials</t>
        </is>
      </c>
      <c r="D50" s="30" t="inlineStr">
        <is>
          <t>castings &amp; forgings</t>
        </is>
      </c>
      <c r="E50" s="30" t="inlineStr">
        <is>
          <t>smallcap</t>
        </is>
      </c>
      <c r="F50" s="30" t="n">
        <v>2914.04</v>
      </c>
      <c r="G50" s="30" t="n">
        <v>629.1</v>
      </c>
      <c r="H50" s="30" t="n">
        <v>4.23</v>
      </c>
      <c r="I50" s="30" t="n">
        <v>686458</v>
      </c>
      <c r="J50" s="30" t="inlineStr">
        <is>
          <t>522241</t>
        </is>
      </c>
    </row>
    <row r="51">
      <c r="A51" s="30" t="inlineStr">
        <is>
          <t>GUFICBIO</t>
        </is>
      </c>
      <c r="B51" s="30" t="inlineStr">
        <is>
          <t>Gufic Biosciences Limited</t>
        </is>
      </c>
      <c r="C51" s="30" t="inlineStr">
        <is>
          <t>healthcare</t>
        </is>
      </c>
      <c r="D51" s="30" t="inlineStr">
        <is>
          <t>pharmaceuticals - indian - bulk drugs &amp; formln</t>
        </is>
      </c>
      <c r="E51" s="30" t="inlineStr">
        <is>
          <t>smallcap</t>
        </is>
      </c>
      <c r="F51" s="30" t="n">
        <v>4054.92</v>
      </c>
      <c r="G51" s="30" t="n">
        <v>421.4</v>
      </c>
      <c r="H51" s="30" t="n">
        <v>4.22</v>
      </c>
      <c r="I51" s="30" t="n">
        <v>266330</v>
      </c>
      <c r="J51" s="30" t="inlineStr">
        <is>
          <t>509079</t>
        </is>
      </c>
    </row>
    <row r="52">
      <c r="A52" s="30" t="inlineStr">
        <is>
          <t>GRANULES</t>
        </is>
      </c>
      <c r="B52" s="30" t="inlineStr">
        <is>
          <t>Granules India Limited</t>
        </is>
      </c>
      <c r="C52" s="30" t="inlineStr">
        <is>
          <t>healthcare</t>
        </is>
      </c>
      <c r="D52" s="30" t="inlineStr">
        <is>
          <t>pharmaceuticals - indian - bulk drugs &amp; formln</t>
        </is>
      </c>
      <c r="E52" s="30" t="inlineStr">
        <is>
          <t>largecap</t>
        </is>
      </c>
      <c r="F52" s="30" t="n">
        <v>20781.49</v>
      </c>
      <c r="G52" s="30" t="n">
        <v>873.85</v>
      </c>
      <c r="H52" s="30" t="n">
        <v>4.2</v>
      </c>
      <c r="I52" s="30" t="n">
        <v>1146573</v>
      </c>
      <c r="J52" s="30" t="inlineStr">
        <is>
          <t>532482</t>
        </is>
      </c>
    </row>
    <row r="53">
      <c r="A53" s="30" t="inlineStr">
        <is>
          <t>PANACHE</t>
        </is>
      </c>
      <c r="B53" s="30" t="inlineStr">
        <is>
          <t>Panache Digilife Ltd</t>
        </is>
      </c>
      <c r="C53" s="30" t="inlineStr">
        <is>
          <t>i.t</t>
        </is>
      </c>
      <c r="D53" s="30" t="inlineStr">
        <is>
          <t>computers - hardware</t>
        </is>
      </c>
      <c r="E53" s="30" t="inlineStr">
        <is>
          <t>smallcap</t>
        </is>
      </c>
      <c r="F53" s="30" t="n">
        <v>709.1799999999999</v>
      </c>
      <c r="G53" s="30" t="n">
        <v>461</v>
      </c>
      <c r="H53" s="30" t="n">
        <v>4.1</v>
      </c>
      <c r="I53" s="30" t="n">
        <v>20970</v>
      </c>
      <c r="J53" s="30" t="inlineStr">
        <is>
          <t>538424</t>
        </is>
      </c>
    </row>
    <row r="54">
      <c r="A54" s="30" t="inlineStr">
        <is>
          <t>SKYGOLD</t>
        </is>
      </c>
      <c r="B54" s="30" t="inlineStr">
        <is>
          <t>Sky Gold Ltd</t>
        </is>
      </c>
      <c r="C54" s="30" t="inlineStr">
        <is>
          <t>consumer discretionary</t>
        </is>
      </c>
      <c r="D54" s="30" t="inlineStr">
        <is>
          <t>diamond cutting / jewellery</t>
        </is>
      </c>
      <c r="E54" s="30" t="inlineStr">
        <is>
          <t>midcap</t>
        </is>
      </c>
      <c r="F54" s="30" t="n">
        <v>10704.11</v>
      </c>
      <c r="G54" s="30" t="n">
        <v>719.4</v>
      </c>
      <c r="H54" s="30" t="n">
        <v>4.09</v>
      </c>
      <c r="I54" s="30" t="n">
        <v>2030710</v>
      </c>
      <c r="J54" s="30" t="inlineStr">
        <is>
          <t>541967</t>
        </is>
      </c>
    </row>
    <row r="55">
      <c r="A55" s="30" t="inlineStr">
        <is>
          <t>FIEMIND</t>
        </is>
      </c>
      <c r="B55" s="30" t="inlineStr">
        <is>
          <t>Fiem Industries Limited</t>
        </is>
      </c>
      <c r="C55" s="30" t="inlineStr">
        <is>
          <t>auto</t>
        </is>
      </c>
      <c r="D55" s="30" t="inlineStr">
        <is>
          <t>auto ancillaries</t>
        </is>
      </c>
      <c r="E55" s="30" t="inlineStr">
        <is>
          <t>midcap</t>
        </is>
      </c>
      <c r="F55" s="30" t="n">
        <v>6525.96</v>
      </c>
      <c r="G55" s="30" t="n">
        <v>2580.3</v>
      </c>
      <c r="H55" s="30" t="n">
        <v>4.07</v>
      </c>
      <c r="I55" s="30" t="n">
        <v>195760</v>
      </c>
      <c r="J55" s="30" t="inlineStr">
        <is>
          <t>532768</t>
        </is>
      </c>
    </row>
    <row r="56">
      <c r="A56" s="30" t="inlineStr">
        <is>
          <t>HTMEDIA</t>
        </is>
      </c>
      <c r="B56" s="30" t="inlineStr">
        <is>
          <t>Ht Media Limited</t>
        </is>
      </c>
      <c r="C56" s="30" t="inlineStr">
        <is>
          <t>media</t>
        </is>
      </c>
      <c r="D56" s="30" t="inlineStr">
        <is>
          <t>entertainment / electronic media software</t>
        </is>
      </c>
      <c r="E56" s="30" t="inlineStr">
        <is>
          <t>smallcap</t>
        </is>
      </c>
      <c r="F56" s="30" t="n">
        <v>626.39</v>
      </c>
      <c r="G56" s="30" t="n">
        <v>28</v>
      </c>
      <c r="H56" s="30" t="n">
        <v>4.05</v>
      </c>
      <c r="I56" s="30" t="n">
        <v>331196</v>
      </c>
      <c r="J56" s="30" t="inlineStr">
        <is>
          <t>532662</t>
        </is>
      </c>
    </row>
    <row r="57">
      <c r="A57" s="30" t="inlineStr">
        <is>
          <t>KINGFA</t>
        </is>
      </c>
      <c r="B57" s="30" t="inlineStr">
        <is>
          <t>Kingfa Science &amp; Technology (india) Limited</t>
        </is>
      </c>
      <c r="C57" s="30" t="inlineStr">
        <is>
          <t>plastic products</t>
        </is>
      </c>
      <c r="D57" s="30" t="inlineStr">
        <is>
          <t>plastics products</t>
        </is>
      </c>
      <c r="E57" s="30" t="inlineStr">
        <is>
          <t>midcap</t>
        </is>
      </c>
      <c r="F57" s="30" t="n">
        <v>7241.86</v>
      </c>
      <c r="G57" s="30" t="n">
        <v>5549.5</v>
      </c>
      <c r="H57" s="30" t="n">
        <v>3.85</v>
      </c>
      <c r="I57" s="30" t="n">
        <v>46554</v>
      </c>
      <c r="J57" s="30" t="inlineStr">
        <is>
          <t>524019</t>
        </is>
      </c>
    </row>
    <row r="58">
      <c r="A58" s="30" t="inlineStr">
        <is>
          <t>KDDL</t>
        </is>
      </c>
      <c r="B58" s="30" t="inlineStr">
        <is>
          <t>Kddl Limited</t>
        </is>
      </c>
      <c r="C58" s="30" t="inlineStr">
        <is>
          <t>consumer discretionary</t>
        </is>
      </c>
      <c r="D58" s="30" t="inlineStr">
        <is>
          <t>miscellaneous</t>
        </is>
      </c>
      <c r="E58" s="30" t="inlineStr">
        <is>
          <t>smallcap</t>
        </is>
      </c>
      <c r="F58" s="30" t="n">
        <v>4558.24</v>
      </c>
      <c r="G58" s="30" t="n">
        <v>3843.9</v>
      </c>
      <c r="H58" s="30" t="n">
        <v>3.72</v>
      </c>
      <c r="I58" s="30" t="n">
        <v>53669</v>
      </c>
      <c r="J58" s="30" t="inlineStr">
        <is>
          <t>532054</t>
        </is>
      </c>
    </row>
    <row r="59">
      <c r="A59" s="30" t="inlineStr">
        <is>
          <t>RKFORGE</t>
        </is>
      </c>
      <c r="B59" s="30" t="inlineStr">
        <is>
          <t>Ramkrishna Forgings Limited</t>
        </is>
      </c>
      <c r="C59" s="30" t="inlineStr">
        <is>
          <t>industrials</t>
        </is>
      </c>
      <c r="D59" s="30" t="inlineStr">
        <is>
          <t>castings &amp; forgings</t>
        </is>
      </c>
      <c r="E59" s="30" t="inlineStr">
        <is>
          <t>midcap</t>
        </is>
      </c>
      <c r="F59" s="30" t="n">
        <v>12761.01</v>
      </c>
      <c r="G59" s="30" t="n">
        <v>726.55</v>
      </c>
      <c r="H59" s="30" t="n">
        <v>3.72</v>
      </c>
      <c r="I59" s="30" t="n">
        <v>1750097</v>
      </c>
      <c r="J59" s="30" t="inlineStr">
        <is>
          <t>532527</t>
        </is>
      </c>
    </row>
    <row r="60">
      <c r="A60" s="30" t="inlineStr">
        <is>
          <t>SPORTKING</t>
        </is>
      </c>
      <c r="B60" s="30" t="inlineStr">
        <is>
          <t>Sportking India Ltd</t>
        </is>
      </c>
      <c r="C60" s="30" t="inlineStr">
        <is>
          <t>textiles</t>
        </is>
      </c>
      <c r="D60" s="30" t="inlineStr">
        <is>
          <t>textiles - spinning - synthetic / blended</t>
        </is>
      </c>
      <c r="E60" s="30" t="inlineStr">
        <is>
          <t>smallcap</t>
        </is>
      </c>
      <c r="F60" s="30" t="n">
        <v>2626.07</v>
      </c>
      <c r="G60" s="30" t="n">
        <v>214.34</v>
      </c>
      <c r="H60" s="30" t="n">
        <v>3.72</v>
      </c>
      <c r="I60" s="30" t="n">
        <v>742162</v>
      </c>
      <c r="J60" s="30" t="inlineStr">
        <is>
          <t>539221</t>
        </is>
      </c>
    </row>
    <row r="61">
      <c r="A61" s="30" t="inlineStr">
        <is>
          <t>KOLTEPATIL</t>
        </is>
      </c>
      <c r="B61" s="30" t="inlineStr">
        <is>
          <t>Kolte - Patil Developers Limited</t>
        </is>
      </c>
      <c r="C61" s="30" t="inlineStr">
        <is>
          <t>realty</t>
        </is>
      </c>
      <c r="D61" s="30" t="inlineStr">
        <is>
          <t>construction</t>
        </is>
      </c>
      <c r="E61" s="30" t="inlineStr">
        <is>
          <t>smallcap</t>
        </is>
      </c>
      <c r="F61" s="30" t="n">
        <v>3807.04</v>
      </c>
      <c r="G61" s="30" t="n">
        <v>445.1</v>
      </c>
      <c r="H61" s="30" t="n">
        <v>3.68</v>
      </c>
      <c r="I61" s="30" t="n">
        <v>369103</v>
      </c>
      <c r="J61" s="30" t="inlineStr">
        <is>
          <t>532924</t>
        </is>
      </c>
    </row>
    <row r="62">
      <c r="A62" s="30" t="inlineStr">
        <is>
          <t>SUPRIYA</t>
        </is>
      </c>
      <c r="B62" s="30" t="inlineStr">
        <is>
          <t>Supriya Lifescience Ltd</t>
        </is>
      </c>
      <c r="C62" s="30" t="inlineStr">
        <is>
          <t>healthcare</t>
        </is>
      </c>
      <c r="D62" s="30" t="inlineStr">
        <is>
          <t>pharmaceuticals - indian - bulk drugs &amp; formln</t>
        </is>
      </c>
      <c r="E62" s="30" t="inlineStr">
        <is>
          <t>midcap</t>
        </is>
      </c>
      <c r="F62" s="30" t="n">
        <v>7169.81</v>
      </c>
      <c r="G62" s="30" t="n">
        <v>923.45</v>
      </c>
      <c r="H62" s="30" t="n">
        <v>3.66</v>
      </c>
      <c r="I62" s="30" t="n">
        <v>234139</v>
      </c>
      <c r="J62" s="30" t="inlineStr">
        <is>
          <t>543434</t>
        </is>
      </c>
    </row>
    <row r="63">
      <c r="A63" s="30" t="inlineStr">
        <is>
          <t>THEJO</t>
        </is>
      </c>
      <c r="B63" s="30" t="inlineStr">
        <is>
          <t>Thejo Engineering Ltd</t>
        </is>
      </c>
      <c r="C63" s="30" t="inlineStr">
        <is>
          <t>industrials</t>
        </is>
      </c>
      <c r="D63" s="30" t="inlineStr">
        <is>
          <t>engineering</t>
        </is>
      </c>
      <c r="E63" s="30" t="inlineStr">
        <is>
          <t>smallcap</t>
        </is>
      </c>
      <c r="F63" s="30" t="n">
        <v>2342.08</v>
      </c>
      <c r="G63" s="30" t="n">
        <v>2237.5</v>
      </c>
      <c r="H63" s="30" t="n">
        <v>3.63</v>
      </c>
      <c r="I63" s="30" t="n">
        <v>20237</v>
      </c>
      <c r="J63" s="30" t="inlineStr">
        <is>
          <t>500492</t>
        </is>
      </c>
    </row>
    <row r="64">
      <c r="A64" s="30" t="inlineStr">
        <is>
          <t>NRBBEARING</t>
        </is>
      </c>
      <c r="B64" s="30" t="inlineStr">
        <is>
          <t>Nrb Bearing Limited</t>
        </is>
      </c>
      <c r="C64" s="30" t="inlineStr">
        <is>
          <t>industrials</t>
        </is>
      </c>
      <c r="D64" s="30" t="inlineStr">
        <is>
          <t>bearings</t>
        </is>
      </c>
      <c r="E64" s="30" t="inlineStr">
        <is>
          <t>smallcap</t>
        </is>
      </c>
      <c r="F64" s="30" t="n">
        <v>4318.87</v>
      </c>
      <c r="G64" s="30" t="n">
        <v>461.5</v>
      </c>
      <c r="H64" s="30" t="n">
        <v>3.57</v>
      </c>
      <c r="I64" s="30" t="n">
        <v>662113</v>
      </c>
      <c r="J64" s="30" t="inlineStr">
        <is>
          <t>530367</t>
        </is>
      </c>
    </row>
    <row r="65">
      <c r="A65" s="30" t="inlineStr">
        <is>
          <t>CYIENTDLM</t>
        </is>
      </c>
      <c r="B65" s="30" t="inlineStr">
        <is>
          <t>Cyient DLM Ltd</t>
        </is>
      </c>
      <c r="C65" s="30" t="inlineStr">
        <is>
          <t>consumer discretionary</t>
        </is>
      </c>
      <c r="D65" s="30" t="inlineStr">
        <is>
          <t>electronics - components</t>
        </is>
      </c>
      <c r="E65" s="30" t="inlineStr">
        <is>
          <t>midcap</t>
        </is>
      </c>
      <c r="F65" s="30" t="n">
        <v>5259.15</v>
      </c>
      <c r="G65" s="30" t="n">
        <v>685.55</v>
      </c>
      <c r="H65" s="30" t="n">
        <v>3.48</v>
      </c>
      <c r="I65" s="30" t="n">
        <v>839379</v>
      </c>
      <c r="J65" s="30" t="inlineStr">
        <is>
          <t>543933</t>
        </is>
      </c>
    </row>
    <row r="66">
      <c r="A66" s="30" t="inlineStr">
        <is>
          <t>FINEORG</t>
        </is>
      </c>
      <c r="B66" s="30" t="inlineStr">
        <is>
          <t>Fine Organic Industries Ltd</t>
        </is>
      </c>
      <c r="C66" s="30" t="inlineStr">
        <is>
          <t>chemicals</t>
        </is>
      </c>
      <c r="D66" s="30" t="inlineStr">
        <is>
          <t>chemicals</t>
        </is>
      </c>
      <c r="E66" s="30" t="inlineStr">
        <is>
          <t>midcap</t>
        </is>
      </c>
      <c r="F66" s="30" t="n">
        <v>15296.26</v>
      </c>
      <c r="G66" s="30" t="n">
        <v>5162.1</v>
      </c>
      <c r="H66" s="30" t="n">
        <v>3.47</v>
      </c>
      <c r="I66" s="30" t="n">
        <v>54837</v>
      </c>
      <c r="J66" s="30" t="inlineStr">
        <is>
          <t>541557</t>
        </is>
      </c>
    </row>
    <row r="67">
      <c r="A67" s="30" t="inlineStr">
        <is>
          <t>MENONBE</t>
        </is>
      </c>
      <c r="B67" s="30" t="inlineStr">
        <is>
          <t>Menon Bearings Limited</t>
        </is>
      </c>
      <c r="C67" s="30" t="inlineStr">
        <is>
          <t>auto</t>
        </is>
      </c>
      <c r="D67" s="30" t="inlineStr">
        <is>
          <t>auto ancillaries</t>
        </is>
      </c>
      <c r="E67" s="30" t="inlineStr">
        <is>
          <t>smallcap</t>
        </is>
      </c>
      <c r="F67" s="30" t="n">
        <v>1287.91</v>
      </c>
      <c r="G67" s="30" t="n">
        <v>237.8</v>
      </c>
      <c r="H67" s="30" t="n">
        <v>3.47</v>
      </c>
      <c r="I67" s="30" t="n">
        <v>55577</v>
      </c>
      <c r="J67" s="30" t="inlineStr">
        <is>
          <t>523828</t>
        </is>
      </c>
    </row>
    <row r="68">
      <c r="A68" s="30" t="inlineStr">
        <is>
          <t>RPTECH</t>
        </is>
      </c>
      <c r="B68" s="30" t="inlineStr">
        <is>
          <t>Rashi Peripherals Ltd</t>
        </is>
      </c>
      <c r="C68" s="30" t="inlineStr">
        <is>
          <t>services</t>
        </is>
      </c>
      <c r="D68" s="30" t="inlineStr">
        <is>
          <t>trading</t>
        </is>
      </c>
      <c r="E68" s="30" t="inlineStr">
        <is>
          <t>midcap</t>
        </is>
      </c>
      <c r="F68" s="30" t="n">
        <v>5703.95</v>
      </c>
      <c r="G68" s="30" t="n">
        <v>894.65</v>
      </c>
      <c r="H68" s="30" t="n">
        <v>3.36</v>
      </c>
      <c r="I68" s="30" t="n">
        <v>518833</v>
      </c>
      <c r="J68" s="30" t="n"/>
    </row>
    <row r="69">
      <c r="A69" s="30" t="inlineStr">
        <is>
          <t>EXIDEIND</t>
        </is>
      </c>
      <c r="B69" s="30" t="inlineStr">
        <is>
          <t>Exide Industries Limited</t>
        </is>
      </c>
      <c r="C69" s="30" t="inlineStr">
        <is>
          <t>auto</t>
        </is>
      </c>
      <c r="D69" s="30" t="inlineStr">
        <is>
          <t>auto ancillaries</t>
        </is>
      </c>
      <c r="E69" s="30" t="inlineStr">
        <is>
          <t>largecap</t>
        </is>
      </c>
      <c r="F69" s="30" t="n">
        <v>40311.25</v>
      </c>
      <c r="G69" s="30" t="n">
        <v>490</v>
      </c>
      <c r="H69" s="30" t="n">
        <v>3.32</v>
      </c>
      <c r="I69" s="30" t="n">
        <v>7853774</v>
      </c>
      <c r="J69" s="30" t="inlineStr">
        <is>
          <t>500086</t>
        </is>
      </c>
    </row>
    <row r="70">
      <c r="A70" s="30" t="inlineStr">
        <is>
          <t>SONACOMS</t>
        </is>
      </c>
      <c r="B70" s="30" t="inlineStr">
        <is>
          <t>Sona BLW Precision Forgings Ltd</t>
        </is>
      </c>
      <c r="C70" s="30" t="inlineStr">
        <is>
          <t>auto</t>
        </is>
      </c>
      <c r="D70" s="30" t="inlineStr">
        <is>
          <t>auto ancillaries</t>
        </is>
      </c>
      <c r="E70" s="30" t="inlineStr">
        <is>
          <t>largecap</t>
        </is>
      </c>
      <c r="F70" s="30" t="n">
        <v>49265.16</v>
      </c>
      <c r="G70" s="30" t="n">
        <v>818.05</v>
      </c>
      <c r="H70" s="30" t="n">
        <v>3.29</v>
      </c>
      <c r="I70" s="30" t="n">
        <v>7484791</v>
      </c>
      <c r="J70" s="30" t="inlineStr">
        <is>
          <t>543300</t>
        </is>
      </c>
    </row>
    <row r="71">
      <c r="A71" s="30" t="inlineStr">
        <is>
          <t>JINDRILL</t>
        </is>
      </c>
      <c r="B71" s="30" t="inlineStr">
        <is>
          <t>Jindal Drilling And Industries Limited</t>
        </is>
      </c>
      <c r="C71" s="30" t="inlineStr">
        <is>
          <t>energy</t>
        </is>
      </c>
      <c r="D71" s="30" t="inlineStr">
        <is>
          <t>oil drilling / allied services</t>
        </is>
      </c>
      <c r="E71" s="30" t="inlineStr">
        <is>
          <t>smallcap</t>
        </is>
      </c>
      <c r="F71" s="30" t="n">
        <v>1784.8</v>
      </c>
      <c r="G71" s="30" t="n">
        <v>636.05</v>
      </c>
      <c r="H71" s="30" t="n">
        <v>3.28</v>
      </c>
      <c r="I71" s="30" t="n">
        <v>352976</v>
      </c>
      <c r="J71" s="30" t="inlineStr">
        <is>
          <t>511034</t>
        </is>
      </c>
    </row>
    <row r="72">
      <c r="A72" s="30" t="inlineStr">
        <is>
          <t>PRUDENT</t>
        </is>
      </c>
      <c r="B72" s="30" t="inlineStr">
        <is>
          <t>Prudent Corporate Advisory Services Ltd</t>
        </is>
      </c>
      <c r="C72" s="30" t="inlineStr">
        <is>
          <t>financials</t>
        </is>
      </c>
      <c r="D72" s="30" t="inlineStr">
        <is>
          <t>finance &amp; investments</t>
        </is>
      </c>
      <c r="E72" s="30" t="inlineStr">
        <is>
          <t>midcap</t>
        </is>
      </c>
      <c r="F72" s="30" t="n">
        <v>13526.32</v>
      </c>
      <c r="G72" s="30" t="n">
        <v>3371.8</v>
      </c>
      <c r="H72" s="30" t="n">
        <v>3.22</v>
      </c>
      <c r="I72" s="30" t="n">
        <v>33970</v>
      </c>
      <c r="J72" s="30" t="inlineStr">
        <is>
          <t>543527</t>
        </is>
      </c>
    </row>
    <row r="73">
      <c r="A73" s="30" t="inlineStr">
        <is>
          <t>GRASIM</t>
        </is>
      </c>
      <c r="B73" s="30" t="inlineStr">
        <is>
          <t>Grasim Industries Limited</t>
        </is>
      </c>
      <c r="C73" s="30" t="inlineStr">
        <is>
          <t>textiles</t>
        </is>
      </c>
      <c r="D73" s="30" t="inlineStr">
        <is>
          <t>textiles - manmade</t>
        </is>
      </c>
      <c r="E73" s="30" t="inlineStr">
        <is>
          <t>largecap</t>
        </is>
      </c>
      <c r="F73" s="30" t="n">
        <v>219146.95</v>
      </c>
      <c r="G73" s="30" t="n">
        <v>3323</v>
      </c>
      <c r="H73" s="30" t="n">
        <v>3.2</v>
      </c>
      <c r="I73" s="30" t="n">
        <v>2110992</v>
      </c>
      <c r="J73" s="30" t="inlineStr">
        <is>
          <t>500300</t>
        </is>
      </c>
    </row>
    <row r="74">
      <c r="A74" s="30" t="inlineStr">
        <is>
          <t>HINDALCO</t>
        </is>
      </c>
      <c r="B74" s="30" t="inlineStr">
        <is>
          <t>Hindalco Industries Limited</t>
        </is>
      </c>
      <c r="C74" s="30" t="inlineStr">
        <is>
          <t>metals &amp; mining</t>
        </is>
      </c>
      <c r="D74" s="30" t="inlineStr">
        <is>
          <t>aluminium and aluminium products</t>
        </is>
      </c>
      <c r="E74" s="30" t="inlineStr">
        <is>
          <t>largecap</t>
        </is>
      </c>
      <c r="F74" s="30" t="n">
        <v>230790.16</v>
      </c>
      <c r="G74" s="30" t="n">
        <v>1059.6</v>
      </c>
      <c r="H74" s="30" t="n">
        <v>3.17</v>
      </c>
      <c r="I74" s="30" t="n">
        <v>17876623</v>
      </c>
      <c r="J74" s="30" t="inlineStr">
        <is>
          <t>500440</t>
        </is>
      </c>
    </row>
    <row r="75">
      <c r="A75" s="30" t="inlineStr">
        <is>
          <t>HEROMOTOCO</t>
        </is>
      </c>
      <c r="B75" s="30" t="inlineStr">
        <is>
          <t>Hero Motocorp Limited</t>
        </is>
      </c>
      <c r="C75" s="30" t="inlineStr">
        <is>
          <t>auto</t>
        </is>
      </c>
      <c r="D75" s="30" t="inlineStr">
        <is>
          <t>automobiles - motorcycles / mopeds</t>
        </is>
      </c>
      <c r="E75" s="30" t="inlineStr">
        <is>
          <t>largecap</t>
        </is>
      </c>
      <c r="F75" s="30" t="n">
        <v>111061.59</v>
      </c>
      <c r="G75" s="30" t="n">
        <v>5725</v>
      </c>
      <c r="H75" s="30" t="n">
        <v>3.14</v>
      </c>
      <c r="I75" s="30" t="n">
        <v>3808666</v>
      </c>
      <c r="J75" s="30" t="inlineStr">
        <is>
          <t>500182</t>
        </is>
      </c>
    </row>
    <row r="76">
      <c r="A76" s="30" t="inlineStr">
        <is>
          <t>APARINDS</t>
        </is>
      </c>
      <c r="B76" s="30" t="inlineStr">
        <is>
          <t>Apar Industries Limited</t>
        </is>
      </c>
      <c r="C76" s="30" t="inlineStr">
        <is>
          <t>industrials</t>
        </is>
      </c>
      <c r="D76" s="30" t="inlineStr">
        <is>
          <t>electric equipment</t>
        </is>
      </c>
      <c r="E76" s="30" t="inlineStr">
        <is>
          <t>largecap</t>
        </is>
      </c>
      <c r="F76" s="30" t="n">
        <v>64784.97</v>
      </c>
      <c r="G76" s="30" t="n">
        <v>16631</v>
      </c>
      <c r="H76" s="30" t="n">
        <v>3.13</v>
      </c>
      <c r="I76" s="30" t="n">
        <v>177454</v>
      </c>
      <c r="J76" s="30" t="inlineStr">
        <is>
          <t>532259</t>
        </is>
      </c>
    </row>
    <row r="77">
      <c r="A77" s="30" t="inlineStr">
        <is>
          <t>BIL</t>
        </is>
      </c>
      <c r="B77" s="30" t="inlineStr">
        <is>
          <t>Bhartiya International Limited</t>
        </is>
      </c>
      <c r="C77" s="30" t="inlineStr">
        <is>
          <t>consumer discretionary</t>
        </is>
      </c>
      <c r="D77" s="30" t="inlineStr">
        <is>
          <t>leather / leather products</t>
        </is>
      </c>
      <c r="E77" s="30" t="inlineStr">
        <is>
          <t>smallcap</t>
        </is>
      </c>
      <c r="F77" s="30" t="n">
        <v>1086.11</v>
      </c>
      <c r="G77" s="30" t="n">
        <v>834.95</v>
      </c>
      <c r="H77" s="30" t="n">
        <v>3.09</v>
      </c>
      <c r="I77" s="30" t="n">
        <v>7894</v>
      </c>
      <c r="J77" s="30" t="inlineStr">
        <is>
          <t>526666</t>
        </is>
      </c>
    </row>
    <row r="78">
      <c r="A78" s="30" t="inlineStr">
        <is>
          <t>ASTERDM</t>
        </is>
      </c>
      <c r="B78" s="30" t="inlineStr">
        <is>
          <t>Aster DM Healthcare Ltd</t>
        </is>
      </c>
      <c r="C78" s="30" t="inlineStr">
        <is>
          <t>healthcare</t>
        </is>
      </c>
      <c r="D78" s="30" t="inlineStr">
        <is>
          <t>healthcare</t>
        </is>
      </c>
      <c r="E78" s="30" t="inlineStr">
        <is>
          <t>largecap</t>
        </is>
      </c>
      <c r="F78" s="30" t="n">
        <v>73608.38</v>
      </c>
      <c r="G78" s="30" t="n">
        <v>869.7</v>
      </c>
      <c r="H78" s="30" t="n">
        <v>2.99</v>
      </c>
      <c r="I78" s="30" t="n">
        <v>1037107</v>
      </c>
      <c r="J78" s="30" t="inlineStr">
        <is>
          <t>540975</t>
        </is>
      </c>
    </row>
    <row r="79">
      <c r="A79" s="30" t="inlineStr">
        <is>
          <t>IOLCP</t>
        </is>
      </c>
      <c r="B79" s="30" t="inlineStr">
        <is>
          <t>Iol Chemicals And Pharmaceuticals Limited</t>
        </is>
      </c>
      <c r="C79" s="30" t="inlineStr">
        <is>
          <t>healthcare</t>
        </is>
      </c>
      <c r="D79" s="30" t="inlineStr">
        <is>
          <t>pharmaceuticals - indian - bulk drugs &amp; formln</t>
        </is>
      </c>
      <c r="E79" s="30" t="inlineStr">
        <is>
          <t>smallcap</t>
        </is>
      </c>
      <c r="F79" s="30" t="n">
        <v>4789.78</v>
      </c>
      <c r="G79" s="30" t="n">
        <v>167.85</v>
      </c>
      <c r="H79" s="30" t="n">
        <v>2.86</v>
      </c>
      <c r="I79" s="30" t="n">
        <v>4529410</v>
      </c>
      <c r="J79" s="30" t="inlineStr">
        <is>
          <t>524164</t>
        </is>
      </c>
    </row>
    <row r="80">
      <c r="A80" s="30" t="inlineStr">
        <is>
          <t>SHILPAMED</t>
        </is>
      </c>
      <c r="B80" s="30" t="inlineStr">
        <is>
          <t>Shilpa Medicare Limited</t>
        </is>
      </c>
      <c r="C80" s="30" t="inlineStr">
        <is>
          <t>healthcare</t>
        </is>
      </c>
      <c r="D80" s="30" t="inlineStr">
        <is>
          <t>pharmaceuticals - indian - formulations</t>
        </is>
      </c>
      <c r="E80" s="30" t="inlineStr">
        <is>
          <t>midcap</t>
        </is>
      </c>
      <c r="F80" s="30" t="n">
        <v>14449.58</v>
      </c>
      <c r="G80" s="30" t="n">
        <v>759.75</v>
      </c>
      <c r="H80" s="30" t="n">
        <v>2.84</v>
      </c>
      <c r="I80" s="30" t="n">
        <v>6303820</v>
      </c>
      <c r="J80" s="30" t="inlineStr">
        <is>
          <t>530549</t>
        </is>
      </c>
    </row>
    <row r="81">
      <c r="A81" s="30" t="inlineStr">
        <is>
          <t>M&amp;M</t>
        </is>
      </c>
      <c r="B81" s="30" t="inlineStr">
        <is>
          <t>Mahindra &amp; Mahindra Limited</t>
        </is>
      </c>
      <c r="C81" s="30" t="inlineStr">
        <is>
          <t>auto</t>
        </is>
      </c>
      <c r="D81" s="30" t="inlineStr">
        <is>
          <t>automobiles - passenger cars</t>
        </is>
      </c>
      <c r="E81" s="30" t="inlineStr">
        <is>
          <t>largecap</t>
        </is>
      </c>
      <c r="F81" s="30" t="n">
        <v>423545.92</v>
      </c>
      <c r="G81" s="30" t="n">
        <v>3502</v>
      </c>
      <c r="H81" s="30" t="n">
        <v>2.82</v>
      </c>
      <c r="I81" s="30" t="n">
        <v>6499120</v>
      </c>
      <c r="J81" s="30" t="inlineStr">
        <is>
          <t>500520</t>
        </is>
      </c>
    </row>
    <row r="82">
      <c r="A82" s="30" t="inlineStr">
        <is>
          <t>TDPOWERSYS</t>
        </is>
      </c>
      <c r="B82" s="30" t="inlineStr">
        <is>
          <t>Td Power Systems Limited</t>
        </is>
      </c>
      <c r="C82" s="30" t="inlineStr">
        <is>
          <t>industrials</t>
        </is>
      </c>
      <c r="D82" s="30" t="inlineStr">
        <is>
          <t>electric equipment</t>
        </is>
      </c>
      <c r="E82" s="30" t="inlineStr">
        <is>
          <t>midcap</t>
        </is>
      </c>
      <c r="F82" s="30" t="n">
        <v>19180.16</v>
      </c>
      <c r="G82" s="30" t="n">
        <v>1260.9</v>
      </c>
      <c r="H82" s="30" t="n">
        <v>2.7</v>
      </c>
      <c r="I82" s="30" t="n">
        <v>1236722</v>
      </c>
      <c r="J82" s="30" t="inlineStr">
        <is>
          <t>533553</t>
        </is>
      </c>
    </row>
    <row r="83">
      <c r="A83" s="30" t="inlineStr">
        <is>
          <t>ARVIND</t>
        </is>
      </c>
      <c r="B83" s="30" t="inlineStr">
        <is>
          <t>Arvind Limited</t>
        </is>
      </c>
      <c r="C83" s="30" t="inlineStr">
        <is>
          <t>textiles</t>
        </is>
      </c>
      <c r="D83" s="30" t="inlineStr">
        <is>
          <t>textiles - cotton/blended</t>
        </is>
      </c>
      <c r="E83" s="30" t="inlineStr">
        <is>
          <t>midcap</t>
        </is>
      </c>
      <c r="F83" s="30" t="n">
        <v>14315.45</v>
      </c>
      <c r="G83" s="30" t="n">
        <v>560.55</v>
      </c>
      <c r="H83" s="30" t="n">
        <v>2.65</v>
      </c>
      <c r="I83" s="30" t="n">
        <v>620498</v>
      </c>
      <c r="J83" s="30" t="inlineStr">
        <is>
          <t>500101</t>
        </is>
      </c>
    </row>
    <row r="84">
      <c r="A84" s="30" t="inlineStr">
        <is>
          <t>DEEPAKNTR</t>
        </is>
      </c>
      <c r="B84" s="30" t="inlineStr">
        <is>
          <t>Deepak Nitrite Limited</t>
        </is>
      </c>
      <c r="C84" s="30" t="inlineStr">
        <is>
          <t>chemicals</t>
        </is>
      </c>
      <c r="D84" s="30" t="inlineStr">
        <is>
          <t>chemicals</t>
        </is>
      </c>
      <c r="E84" s="30" t="inlineStr">
        <is>
          <t>largecap</t>
        </is>
      </c>
      <c r="F84" s="30" t="n">
        <v>23874.24</v>
      </c>
      <c r="G84" s="30" t="n">
        <v>1796.5</v>
      </c>
      <c r="H84" s="30" t="n">
        <v>2.63</v>
      </c>
      <c r="I84" s="30" t="n">
        <v>1628102</v>
      </c>
      <c r="J84" s="30" t="inlineStr">
        <is>
          <t>506401</t>
        </is>
      </c>
    </row>
    <row r="85">
      <c r="A85" s="30" t="inlineStr">
        <is>
          <t>GLOSTERLTD</t>
        </is>
      </c>
      <c r="B85" s="30" t="inlineStr">
        <is>
          <t>Gloster Ltd</t>
        </is>
      </c>
      <c r="C85" s="30" t="inlineStr">
        <is>
          <t>textiles</t>
        </is>
      </c>
      <c r="D85" s="30" t="inlineStr">
        <is>
          <t>textiles - jute - yarn / products</t>
        </is>
      </c>
      <c r="E85" s="30" t="inlineStr">
        <is>
          <t>smallcap</t>
        </is>
      </c>
      <c r="F85" s="30" t="n">
        <v>743.65</v>
      </c>
      <c r="G85" s="30" t="n">
        <v>697.45</v>
      </c>
      <c r="H85" s="30" t="n">
        <v>2.63</v>
      </c>
      <c r="I85" s="30" t="n">
        <v>8330</v>
      </c>
      <c r="J85" s="30" t="inlineStr">
        <is>
          <t>542351</t>
        </is>
      </c>
    </row>
    <row r="86">
      <c r="A86" s="30" t="inlineStr">
        <is>
          <t>BIRLACABLE</t>
        </is>
      </c>
      <c r="B86" s="30" t="inlineStr">
        <is>
          <t>Birla Cable Limited</t>
        </is>
      </c>
      <c r="C86" s="30" t="inlineStr">
        <is>
          <t>industrials</t>
        </is>
      </c>
      <c r="D86" s="30" t="inlineStr">
        <is>
          <t>cables - telephone</t>
        </is>
      </c>
      <c r="E86" s="30" t="inlineStr">
        <is>
          <t>smallcap</t>
        </is>
      </c>
      <c r="F86" s="30" t="n">
        <v>743.16</v>
      </c>
      <c r="G86" s="30" t="n">
        <v>254.21</v>
      </c>
      <c r="H86" s="30" t="n">
        <v>2.62</v>
      </c>
      <c r="I86" s="30" t="n">
        <v>618154</v>
      </c>
      <c r="J86" s="30" t="inlineStr">
        <is>
          <t>500060</t>
        </is>
      </c>
    </row>
    <row r="87">
      <c r="A87" s="30" t="inlineStr">
        <is>
          <t>KAPSTON</t>
        </is>
      </c>
      <c r="B87" s="30" t="inlineStr">
        <is>
          <t>Kapston Services Ltd</t>
        </is>
      </c>
      <c r="C87" s="30" t="inlineStr">
        <is>
          <t>miscellaneous</t>
        </is>
      </c>
      <c r="D87" s="30" t="inlineStr">
        <is>
          <t>miscellaneous</t>
        </is>
      </c>
      <c r="E87" s="30" t="inlineStr">
        <is>
          <t>smallcap</t>
        </is>
      </c>
      <c r="F87" s="30" t="n">
        <v>1568.78</v>
      </c>
      <c r="G87" s="30" t="n">
        <v>529</v>
      </c>
      <c r="H87" s="30" t="n">
        <v>2.62</v>
      </c>
      <c r="I87" s="30" t="n">
        <v>37556</v>
      </c>
      <c r="J87" s="30" t="inlineStr">
        <is>
          <t>535064</t>
        </is>
      </c>
    </row>
    <row r="88">
      <c r="A88" s="30" t="inlineStr">
        <is>
          <t>AGARWALEYE</t>
        </is>
      </c>
      <c r="B88" s="30" t="inlineStr">
        <is>
          <t>Dr Agarwals Health Care Ltd</t>
        </is>
      </c>
      <c r="C88" s="30" t="inlineStr">
        <is>
          <t>healthcare</t>
        </is>
      </c>
      <c r="D88" s="30" t="inlineStr">
        <is>
          <t>healthcare</t>
        </is>
      </c>
      <c r="E88" s="30" t="inlineStr">
        <is>
          <t>midcap</t>
        </is>
      </c>
      <c r="F88" s="30" t="n">
        <v>16873.01</v>
      </c>
      <c r="G88" s="30" t="n">
        <v>546.25</v>
      </c>
      <c r="H88" s="30" t="n">
        <v>2.62</v>
      </c>
      <c r="I88" s="30" t="n">
        <v>158709</v>
      </c>
      <c r="J88" s="30" t="inlineStr">
        <is>
          <t>544350</t>
        </is>
      </c>
    </row>
    <row r="89">
      <c r="A89" s="30" t="inlineStr">
        <is>
          <t>HONASA</t>
        </is>
      </c>
      <c r="B89" s="30" t="inlineStr">
        <is>
          <t>Honasa Consumer Ltd</t>
        </is>
      </c>
      <c r="C89" s="30" t="inlineStr">
        <is>
          <t>services</t>
        </is>
      </c>
      <c r="D89" s="30" t="inlineStr">
        <is>
          <t>trading</t>
        </is>
      </c>
      <c r="E89" s="30" t="inlineStr">
        <is>
          <t>midcap</t>
        </is>
      </c>
      <c r="F89" s="30" t="n">
        <v>15181.32</v>
      </c>
      <c r="G89" s="30" t="n">
        <v>477.6</v>
      </c>
      <c r="H89" s="30" t="n">
        <v>2.57</v>
      </c>
      <c r="I89" s="30" t="n">
        <v>982068</v>
      </c>
      <c r="J89" s="30" t="inlineStr">
        <is>
          <t>544014</t>
        </is>
      </c>
    </row>
    <row r="90">
      <c r="A90" s="30" t="inlineStr">
        <is>
          <t>NETWEB</t>
        </is>
      </c>
      <c r="B90" s="30" t="inlineStr">
        <is>
          <t>Netweb Technologies India Ltd</t>
        </is>
      </c>
      <c r="C90" s="30" t="inlineStr">
        <is>
          <t>i.t</t>
        </is>
      </c>
      <c r="D90" s="30" t="inlineStr">
        <is>
          <t>computers - hardware</t>
        </is>
      </c>
      <c r="E90" s="30" t="inlineStr">
        <is>
          <t>largecap</t>
        </is>
      </c>
      <c r="F90" s="30" t="n">
        <v>27422.63</v>
      </c>
      <c r="G90" s="30" t="n">
        <v>4939.2</v>
      </c>
      <c r="H90" s="30" t="n">
        <v>2.56</v>
      </c>
      <c r="I90" s="30" t="n">
        <v>1296942</v>
      </c>
      <c r="J90" s="30" t="inlineStr">
        <is>
          <t>543945</t>
        </is>
      </c>
    </row>
    <row r="91">
      <c r="A91" s="30" t="inlineStr">
        <is>
          <t>ROLEXRINGS</t>
        </is>
      </c>
      <c r="B91" s="30" t="inlineStr">
        <is>
          <t>Rolex Rings Ltd</t>
        </is>
      </c>
      <c r="C91" s="30" t="inlineStr">
        <is>
          <t>auto</t>
        </is>
      </c>
      <c r="D91" s="30" t="inlineStr">
        <is>
          <t>auto ancillaries</t>
        </is>
      </c>
      <c r="E91" s="30" t="inlineStr">
        <is>
          <t>smallcap</t>
        </is>
      </c>
      <c r="F91" s="30" t="n">
        <v>4161.25</v>
      </c>
      <c r="G91" s="30" t="n">
        <v>156.68</v>
      </c>
      <c r="H91" s="30" t="n">
        <v>2.54</v>
      </c>
      <c r="I91" s="30" t="n">
        <v>6820562</v>
      </c>
      <c r="J91" s="30" t="inlineStr">
        <is>
          <t>543325</t>
        </is>
      </c>
    </row>
    <row r="92">
      <c r="A92" s="30" t="inlineStr">
        <is>
          <t>JSWINFRA</t>
        </is>
      </c>
      <c r="B92" s="30" t="inlineStr">
        <is>
          <t>JSW Infrastructure Ltd</t>
        </is>
      </c>
      <c r="C92" s="30" t="inlineStr">
        <is>
          <t>transportation</t>
        </is>
      </c>
      <c r="D92" s="30" t="inlineStr">
        <is>
          <t>miscellaneous</t>
        </is>
      </c>
      <c r="E92" s="30" t="inlineStr">
        <is>
          <t>largecap</t>
        </is>
      </c>
      <c r="F92" s="30" t="n">
        <v>76307.55</v>
      </c>
      <c r="G92" s="30" t="n">
        <v>335.75</v>
      </c>
      <c r="H92" s="30" t="n">
        <v>2.52</v>
      </c>
      <c r="I92" s="30" t="n">
        <v>2394420</v>
      </c>
      <c r="J92" s="30" t="inlineStr">
        <is>
          <t>543994</t>
        </is>
      </c>
    </row>
    <row r="93">
      <c r="A93" s="30" t="inlineStr">
        <is>
          <t>DBOL</t>
        </is>
      </c>
      <c r="B93" s="30" t="inlineStr">
        <is>
          <t>Dhampur Bio Organics Ltd</t>
        </is>
      </c>
      <c r="C93" s="30" t="inlineStr">
        <is>
          <t>fmcg</t>
        </is>
      </c>
      <c r="D93" s="30" t="inlineStr">
        <is>
          <t>sugar</t>
        </is>
      </c>
      <c r="E93" s="30" t="inlineStr">
        <is>
          <t>smallcap</t>
        </is>
      </c>
      <c r="F93" s="30" t="n">
        <v>736.37</v>
      </c>
      <c r="G93" s="30" t="n">
        <v>113.7</v>
      </c>
      <c r="H93" s="30" t="n">
        <v>2.51</v>
      </c>
      <c r="I93" s="30" t="n">
        <v>159595</v>
      </c>
      <c r="J93" s="30" t="inlineStr">
        <is>
          <t>543593</t>
        </is>
      </c>
    </row>
    <row r="94">
      <c r="A94" s="30" t="inlineStr">
        <is>
          <t>BHARATFORG</t>
        </is>
      </c>
      <c r="B94" s="30" t="inlineStr">
        <is>
          <t>Bharat Forge Limited</t>
        </is>
      </c>
      <c r="C94" s="30" t="inlineStr">
        <is>
          <t>industrials</t>
        </is>
      </c>
      <c r="D94" s="30" t="inlineStr">
        <is>
          <t>castings &amp; forgings</t>
        </is>
      </c>
      <c r="E94" s="30" t="inlineStr">
        <is>
          <t>largecap</t>
        </is>
      </c>
      <c r="F94" s="30" t="n">
        <v>105657.59</v>
      </c>
      <c r="G94" s="30" t="n">
        <v>2265.2</v>
      </c>
      <c r="H94" s="30" t="n">
        <v>2.5</v>
      </c>
      <c r="I94" s="30" t="n">
        <v>2293804</v>
      </c>
      <c r="J94" s="30" t="inlineStr">
        <is>
          <t>500493</t>
        </is>
      </c>
    </row>
    <row r="95">
      <c r="A95" s="30" t="inlineStr">
        <is>
          <t>LLOYDSME</t>
        </is>
      </c>
      <c r="B95" s="30" t="inlineStr">
        <is>
          <t>Lloyds Metals &amp; Energy Ltd</t>
        </is>
      </c>
      <c r="C95" s="30" t="inlineStr">
        <is>
          <t>metals &amp; mining</t>
        </is>
      </c>
      <c r="D95" s="30" t="inlineStr">
        <is>
          <t>mining / minerals / metals</t>
        </is>
      </c>
      <c r="E95" s="30" t="inlineStr">
        <is>
          <t>largecap</t>
        </is>
      </c>
      <c r="F95" s="30" t="n">
        <v>115902.54</v>
      </c>
      <c r="G95" s="30" t="n">
        <v>2109.9</v>
      </c>
      <c r="H95" s="30" t="n">
        <v>2.47</v>
      </c>
      <c r="I95" s="30" t="n">
        <v>609118</v>
      </c>
      <c r="J95" s="30" t="inlineStr">
        <is>
          <t>512455</t>
        </is>
      </c>
    </row>
    <row r="96">
      <c r="A96" s="30" t="inlineStr">
        <is>
          <t>JGCHEM</t>
        </is>
      </c>
      <c r="B96" s="30" t="inlineStr">
        <is>
          <t>J.G.Chemicals Ltd</t>
        </is>
      </c>
      <c r="C96" s="30" t="inlineStr">
        <is>
          <t>chemicals</t>
        </is>
      </c>
      <c r="D96" s="30" t="inlineStr">
        <is>
          <t>chemicals</t>
        </is>
      </c>
      <c r="E96" s="30" t="inlineStr">
        <is>
          <t>smallcap</t>
        </is>
      </c>
      <c r="F96" s="30" t="n">
        <v>2114.09</v>
      </c>
      <c r="G96" s="30" t="n">
        <v>552.8</v>
      </c>
      <c r="H96" s="30" t="n">
        <v>2.47</v>
      </c>
      <c r="I96" s="30" t="n">
        <v>349535</v>
      </c>
      <c r="J96" s="30" t="n"/>
    </row>
    <row r="97">
      <c r="A97" s="30" t="inlineStr">
        <is>
          <t>VSSL</t>
        </is>
      </c>
      <c r="B97" s="30" t="inlineStr">
        <is>
          <t>Vardhman Special Steels Limited</t>
        </is>
      </c>
      <c r="C97" s="30" t="inlineStr">
        <is>
          <t>metals &amp; mining</t>
        </is>
      </c>
      <c r="D97" s="30" t="inlineStr">
        <is>
          <t>steel - medium / small</t>
        </is>
      </c>
      <c r="E97" s="30" t="inlineStr">
        <is>
          <t>smallcap</t>
        </is>
      </c>
      <c r="F97" s="30" t="n">
        <v>3227.85</v>
      </c>
      <c r="G97" s="30" t="n">
        <v>341.85</v>
      </c>
      <c r="H97" s="30" t="n">
        <v>2.4</v>
      </c>
      <c r="I97" s="30" t="n">
        <v>335920</v>
      </c>
      <c r="J97" s="30" t="inlineStr">
        <is>
          <t>534392</t>
        </is>
      </c>
    </row>
    <row r="98">
      <c r="A98" s="30" t="inlineStr">
        <is>
          <t>CONFIPET</t>
        </is>
      </c>
      <c r="B98" s="30" t="inlineStr">
        <is>
          <t>Confidence Petroleum India Ltd</t>
        </is>
      </c>
      <c r="C98" s="30" t="inlineStr">
        <is>
          <t>miscellaneous</t>
        </is>
      </c>
      <c r="D98" s="30" t="inlineStr">
        <is>
          <t>miscellaneous</t>
        </is>
      </c>
      <c r="E98" s="30" t="inlineStr">
        <is>
          <t>smallcap</t>
        </is>
      </c>
      <c r="F98" s="30" t="n">
        <v>2637.66</v>
      </c>
      <c r="G98" s="30" t="n">
        <v>81.28</v>
      </c>
      <c r="H98" s="30" t="n">
        <v>2.38</v>
      </c>
      <c r="I98" s="30" t="n">
        <v>1311767</v>
      </c>
      <c r="J98" s="30" t="inlineStr">
        <is>
          <t>526829</t>
        </is>
      </c>
    </row>
    <row r="99">
      <c r="A99" s="30" t="inlineStr">
        <is>
          <t>EMCURE</t>
        </is>
      </c>
      <c r="B99" s="30" t="inlineStr">
        <is>
          <t>Emcure Pharmaceuticals Ltd</t>
        </is>
      </c>
      <c r="C99" s="30" t="inlineStr">
        <is>
          <t>healthcare</t>
        </is>
      </c>
      <c r="D99" s="30" t="inlineStr">
        <is>
          <t>pharmaceuticals - indian - bulk drugs &amp; formln</t>
        </is>
      </c>
      <c r="E99" s="30" t="inlineStr">
        <is>
          <t>largecap</t>
        </is>
      </c>
      <c r="F99" s="30" t="n">
        <v>36735.35</v>
      </c>
      <c r="G99" s="30" t="n">
        <v>1982</v>
      </c>
      <c r="H99" s="30" t="n">
        <v>2.34</v>
      </c>
      <c r="I99" s="30" t="n">
        <v>145070</v>
      </c>
      <c r="J99" s="30" t="inlineStr">
        <is>
          <t>544210</t>
        </is>
      </c>
    </row>
    <row r="100">
      <c r="A100" s="30" t="inlineStr">
        <is>
          <t>WOCKPHARMA</t>
        </is>
      </c>
      <c r="B100" s="30" t="inlineStr">
        <is>
          <t>Wockhardt Limited</t>
        </is>
      </c>
      <c r="C100" s="30" t="inlineStr">
        <is>
          <t>healthcare</t>
        </is>
      </c>
      <c r="D100" s="30" t="inlineStr">
        <is>
          <t>pharmaceuticals - indian - bulk drugs &amp; formln</t>
        </is>
      </c>
      <c r="E100" s="30" t="inlineStr">
        <is>
          <t>largecap</t>
        </is>
      </c>
      <c r="F100" s="30" t="n">
        <v>32092.2</v>
      </c>
      <c r="G100" s="30" t="n">
        <v>2021</v>
      </c>
      <c r="H100" s="30" t="n">
        <v>2.33</v>
      </c>
      <c r="I100" s="30" t="n">
        <v>547996</v>
      </c>
      <c r="J100" s="30" t="inlineStr">
        <is>
          <t>532300</t>
        </is>
      </c>
    </row>
    <row r="101">
      <c r="A101" s="30" t="inlineStr">
        <is>
          <t>MUFIN</t>
        </is>
      </c>
      <c r="B101" s="30" t="inlineStr">
        <is>
          <t>Mufin Green Finance Ltd</t>
        </is>
      </c>
      <c r="C101" s="30" t="inlineStr">
        <is>
          <t>financials</t>
        </is>
      </c>
      <c r="D101" s="30" t="inlineStr">
        <is>
          <t>finance &amp; investments</t>
        </is>
      </c>
      <c r="E101" s="30" t="inlineStr">
        <is>
          <t>smallcap</t>
        </is>
      </c>
      <c r="F101" s="30" t="n">
        <v>2656.76</v>
      </c>
      <c r="G101" s="30" t="n">
        <v>137.19</v>
      </c>
      <c r="H101" s="30" t="n">
        <v>2.33</v>
      </c>
      <c r="I101" s="30" t="n">
        <v>2262111</v>
      </c>
      <c r="J101" s="30" t="inlineStr">
        <is>
          <t>542774</t>
        </is>
      </c>
    </row>
    <row r="102">
      <c r="A102" s="30" t="inlineStr">
        <is>
          <t>JINDALSAW</t>
        </is>
      </c>
      <c r="B102" s="30" t="inlineStr">
        <is>
          <t>Jindal Saw Limited</t>
        </is>
      </c>
      <c r="C102" s="30" t="inlineStr">
        <is>
          <t>industrials</t>
        </is>
      </c>
      <c r="D102" s="30" t="inlineStr">
        <is>
          <t>steel - large</t>
        </is>
      </c>
      <c r="E102" s="30" t="inlineStr">
        <is>
          <t>midcap</t>
        </is>
      </c>
      <c r="F102" s="30" t="n">
        <v>16962.96</v>
      </c>
      <c r="G102" s="30" t="n">
        <v>271.4</v>
      </c>
      <c r="H102" s="30" t="n">
        <v>2.32</v>
      </c>
      <c r="I102" s="30" t="n">
        <v>1613077</v>
      </c>
      <c r="J102" s="30" t="inlineStr">
        <is>
          <t>500378</t>
        </is>
      </c>
    </row>
    <row r="103">
      <c r="A103" s="30" t="inlineStr">
        <is>
          <t>SETL</t>
        </is>
      </c>
      <c r="B103" s="30" t="inlineStr">
        <is>
          <t>Standard Enginnering Technology Ltd</t>
        </is>
      </c>
      <c r="C103" s="30" t="inlineStr">
        <is>
          <t>industrials</t>
        </is>
      </c>
      <c r="D103" s="30" t="inlineStr">
        <is>
          <t>engineering</t>
        </is>
      </c>
      <c r="E103" s="30" t="inlineStr">
        <is>
          <t>midcap</t>
        </is>
      </c>
      <c r="F103" s="30" t="n">
        <v>5479.04</v>
      </c>
      <c r="G103" s="30" t="n">
        <v>281</v>
      </c>
      <c r="H103" s="30" t="n">
        <v>2.31</v>
      </c>
      <c r="I103" s="30" t="n">
        <v>555977</v>
      </c>
      <c r="J103" s="30" t="inlineStr">
        <is>
          <t>544333</t>
        </is>
      </c>
    </row>
    <row r="104">
      <c r="A104" s="30" t="inlineStr">
        <is>
          <t>REDTAPE</t>
        </is>
      </c>
      <c r="B104" s="30" t="inlineStr">
        <is>
          <t>Redtape Ltd</t>
        </is>
      </c>
      <c r="C104" s="30" t="inlineStr">
        <is>
          <t>consumer discretionary</t>
        </is>
      </c>
      <c r="D104" s="30" t="inlineStr">
        <is>
          <t>trading</t>
        </is>
      </c>
      <c r="E104" s="30" t="inlineStr">
        <is>
          <t>midcap</t>
        </is>
      </c>
      <c r="F104" s="30" t="n">
        <v>7565.72</v>
      </c>
      <c r="G104" s="30" t="n">
        <v>139.97</v>
      </c>
      <c r="H104" s="30" t="n">
        <v>2.27</v>
      </c>
      <c r="I104" s="30" t="n">
        <v>895112</v>
      </c>
      <c r="J104" s="30" t="inlineStr">
        <is>
          <t>543957</t>
        </is>
      </c>
    </row>
    <row r="105">
      <c r="A105" s="30" t="inlineStr">
        <is>
          <t>BOSCHLTD</t>
        </is>
      </c>
      <c r="B105" s="30" t="inlineStr">
        <is>
          <t>Bosch Limited</t>
        </is>
      </c>
      <c r="C105" s="30" t="inlineStr">
        <is>
          <t>auto</t>
        </is>
      </c>
      <c r="D105" s="30" t="inlineStr">
        <is>
          <t>auto ancillaries</t>
        </is>
      </c>
      <c r="E105" s="30" t="inlineStr">
        <is>
          <t>largecap</t>
        </is>
      </c>
      <c r="F105" s="30" t="n">
        <v>123883.62</v>
      </c>
      <c r="G105" s="30" t="n">
        <v>42950</v>
      </c>
      <c r="H105" s="30" t="n">
        <v>2.26</v>
      </c>
      <c r="I105" s="30" t="n">
        <v>55612</v>
      </c>
      <c r="J105" s="30" t="inlineStr">
        <is>
          <t>500530</t>
        </is>
      </c>
    </row>
    <row r="106">
      <c r="A106" s="30" t="inlineStr">
        <is>
          <t>GEECEE</t>
        </is>
      </c>
      <c r="B106" s="30" t="inlineStr">
        <is>
          <t>Geecee Ventures Limited</t>
        </is>
      </c>
      <c r="C106" s="30" t="inlineStr">
        <is>
          <t>financials</t>
        </is>
      </c>
      <c r="D106" s="30" t="inlineStr">
        <is>
          <t>finance &amp; investments</t>
        </is>
      </c>
      <c r="E106" s="30" t="inlineStr">
        <is>
          <t>smallcap</t>
        </is>
      </c>
      <c r="F106" s="30" t="n">
        <v>753.35</v>
      </c>
      <c r="G106" s="30" t="n">
        <v>368.35</v>
      </c>
      <c r="H106" s="30" t="n">
        <v>2.25</v>
      </c>
      <c r="I106" s="30" t="n">
        <v>8476</v>
      </c>
      <c r="J106" s="30" t="inlineStr">
        <is>
          <t>532764</t>
        </is>
      </c>
    </row>
    <row r="107">
      <c r="A107" s="30" t="inlineStr">
        <is>
          <t>TIIL</t>
        </is>
      </c>
      <c r="B107" s="30" t="inlineStr">
        <is>
          <t>Technocraft Industries (india) Limited</t>
        </is>
      </c>
      <c r="C107" s="30" t="inlineStr">
        <is>
          <t>metals &amp; mining</t>
        </is>
      </c>
      <c r="D107" s="30" t="inlineStr">
        <is>
          <t>steel - medium / small</t>
        </is>
      </c>
      <c r="E107" s="30" t="inlineStr">
        <is>
          <t>midcap</t>
        </is>
      </c>
      <c r="F107" s="30" t="n">
        <v>5974.74</v>
      </c>
      <c r="G107" s="30" t="n">
        <v>2693.5</v>
      </c>
      <c r="H107" s="30" t="n">
        <v>2.21</v>
      </c>
      <c r="I107" s="30" t="n">
        <v>22938</v>
      </c>
      <c r="J107" s="30" t="inlineStr">
        <is>
          <t>532804</t>
        </is>
      </c>
    </row>
    <row r="108">
      <c r="A108" s="30" t="inlineStr">
        <is>
          <t>HINDZINC</t>
        </is>
      </c>
      <c r="B108" s="30" t="inlineStr">
        <is>
          <t>Hindustan Zinc Limited</t>
        </is>
      </c>
      <c r="C108" s="30" t="inlineStr">
        <is>
          <t>metals &amp; mining</t>
        </is>
      </c>
      <c r="D108" s="30" t="inlineStr">
        <is>
          <t>mining / minerals / metals</t>
        </is>
      </c>
      <c r="E108" s="30" t="inlineStr">
        <is>
          <t>largecap</t>
        </is>
      </c>
      <c r="F108" s="30" t="n">
        <v>249293.82</v>
      </c>
      <c r="G108" s="30" t="n">
        <v>603</v>
      </c>
      <c r="H108" s="30" t="n">
        <v>2.2</v>
      </c>
      <c r="I108" s="30" t="n">
        <v>12658730</v>
      </c>
      <c r="J108" s="30" t="inlineStr">
        <is>
          <t>500188</t>
        </is>
      </c>
    </row>
    <row r="109">
      <c r="A109" s="30" t="inlineStr">
        <is>
          <t>MPHASIS</t>
        </is>
      </c>
      <c r="B109" s="30" t="inlineStr">
        <is>
          <t>Mphasis Limited</t>
        </is>
      </c>
      <c r="C109" s="30" t="inlineStr">
        <is>
          <t>i.t</t>
        </is>
      </c>
      <c r="D109" s="30" t="inlineStr">
        <is>
          <t>computers - software - large</t>
        </is>
      </c>
      <c r="E109" s="30" t="inlineStr">
        <is>
          <t>largecap</t>
        </is>
      </c>
      <c r="F109" s="30" t="n">
        <v>46227.57</v>
      </c>
      <c r="G109" s="30" t="n">
        <v>2475</v>
      </c>
      <c r="H109" s="30" t="n">
        <v>2.19</v>
      </c>
      <c r="I109" s="30" t="n">
        <v>1194528</v>
      </c>
      <c r="J109" s="30" t="inlineStr">
        <is>
          <t>526299</t>
        </is>
      </c>
    </row>
    <row r="110">
      <c r="A110" s="30" t="inlineStr">
        <is>
          <t>DALMIASUG</t>
        </is>
      </c>
      <c r="B110" s="30" t="inlineStr">
        <is>
          <t>Dalmia Bharat Sugar And Industries Limited</t>
        </is>
      </c>
      <c r="C110" s="30" t="inlineStr">
        <is>
          <t>fmcg</t>
        </is>
      </c>
      <c r="D110" s="30" t="inlineStr">
        <is>
          <t>sugar</t>
        </is>
      </c>
      <c r="E110" s="30" t="inlineStr">
        <is>
          <t>smallcap</t>
        </is>
      </c>
      <c r="F110" s="30" t="n">
        <v>3203.58</v>
      </c>
      <c r="G110" s="30" t="n">
        <v>404.4</v>
      </c>
      <c r="H110" s="30" t="n">
        <v>2.17</v>
      </c>
      <c r="I110" s="30" t="n">
        <v>304630</v>
      </c>
      <c r="J110" s="30" t="inlineStr">
        <is>
          <t>500097</t>
        </is>
      </c>
    </row>
    <row r="111">
      <c r="A111" s="30" t="inlineStr">
        <is>
          <t>SEAMECLTD</t>
        </is>
      </c>
      <c r="B111" s="30" t="inlineStr">
        <is>
          <t>Seamec Limited</t>
        </is>
      </c>
      <c r="C111" s="30" t="inlineStr">
        <is>
          <t>miscellaneous</t>
        </is>
      </c>
      <c r="D111" s="30" t="inlineStr">
        <is>
          <t>miscellaneous</t>
        </is>
      </c>
      <c r="E111" s="30" t="inlineStr">
        <is>
          <t>smallcap</t>
        </is>
      </c>
      <c r="F111" s="30" t="n">
        <v>3802.31</v>
      </c>
      <c r="G111" s="30" t="n">
        <v>1527.7</v>
      </c>
      <c r="H111" s="30" t="n">
        <v>2.15</v>
      </c>
      <c r="I111" s="30" t="n">
        <v>40731</v>
      </c>
      <c r="J111" s="30" t="inlineStr">
        <is>
          <t>526807</t>
        </is>
      </c>
    </row>
    <row r="112">
      <c r="A112" s="30" t="inlineStr">
        <is>
          <t>ASTRAMICRO</t>
        </is>
      </c>
      <c r="B112" s="30" t="inlineStr">
        <is>
          <t>Astra Microwave Products Limited</t>
        </is>
      </c>
      <c r="C112" s="30" t="inlineStr">
        <is>
          <t>aerospace &amp; defence</t>
        </is>
      </c>
      <c r="D112" s="30" t="inlineStr">
        <is>
          <t>telecommunications - equipment</t>
        </is>
      </c>
      <c r="E112" s="30" t="inlineStr">
        <is>
          <t>midcap</t>
        </is>
      </c>
      <c r="F112" s="30" t="n">
        <v>17110.99</v>
      </c>
      <c r="G112" s="30" t="n">
        <v>1840</v>
      </c>
      <c r="H112" s="30" t="n">
        <v>2.1</v>
      </c>
      <c r="I112" s="30" t="n">
        <v>224659</v>
      </c>
      <c r="J112" s="30" t="inlineStr">
        <is>
          <t>532493</t>
        </is>
      </c>
    </row>
    <row r="113">
      <c r="A113" s="30" t="inlineStr">
        <is>
          <t>NAHARSPING</t>
        </is>
      </c>
      <c r="B113" s="30" t="inlineStr">
        <is>
          <t>Nahar Spinning Mills Limited</t>
        </is>
      </c>
      <c r="C113" s="30" t="inlineStr">
        <is>
          <t>textiles</t>
        </is>
      </c>
      <c r="D113" s="30" t="inlineStr">
        <is>
          <t>textiles - cotton/blended</t>
        </is>
      </c>
      <c r="E113" s="30" t="inlineStr">
        <is>
          <t>smallcap</t>
        </is>
      </c>
      <c r="F113" s="30" t="n">
        <v>1117.3</v>
      </c>
      <c r="G113" s="30" t="n">
        <v>316.25</v>
      </c>
      <c r="H113" s="30" t="n">
        <v>2.08</v>
      </c>
      <c r="I113" s="30" t="n">
        <v>66266</v>
      </c>
      <c r="J113" s="30" t="inlineStr">
        <is>
          <t>500296</t>
        </is>
      </c>
    </row>
    <row r="114">
      <c r="A114" s="30" t="inlineStr">
        <is>
          <t>TIRUPATIFL</t>
        </is>
      </c>
      <c r="B114" s="30" t="inlineStr">
        <is>
          <t>Tirupati Forge Ltd</t>
        </is>
      </c>
      <c r="C114" s="30" t="inlineStr">
        <is>
          <t>industrials</t>
        </is>
      </c>
      <c r="D114" s="30" t="inlineStr">
        <is>
          <t>castings &amp; forgings</t>
        </is>
      </c>
      <c r="E114" s="30" t="inlineStr">
        <is>
          <t>smallcap</t>
        </is>
      </c>
      <c r="F114" s="30" t="n">
        <v>918.34</v>
      </c>
      <c r="G114" s="30" t="n">
        <v>72.06999999999999</v>
      </c>
      <c r="H114" s="30" t="n">
        <v>2.05</v>
      </c>
      <c r="I114" s="30" t="n">
        <v>204376</v>
      </c>
      <c r="J114" s="30" t="inlineStr">
        <is>
          <t>535021</t>
        </is>
      </c>
    </row>
    <row r="115">
      <c r="A115" s="30" t="inlineStr">
        <is>
          <t>SANSERA</t>
        </is>
      </c>
      <c r="B115" s="30" t="inlineStr">
        <is>
          <t>Sansera Engineering Ltd</t>
        </is>
      </c>
      <c r="C115" s="30" t="inlineStr">
        <is>
          <t>auto</t>
        </is>
      </c>
      <c r="D115" s="30" t="inlineStr">
        <is>
          <t>auto ancillaries</t>
        </is>
      </c>
      <c r="E115" s="30" t="inlineStr">
        <is>
          <t>largecap</t>
        </is>
      </c>
      <c r="F115" s="30" t="n">
        <v>23634.1</v>
      </c>
      <c r="G115" s="30" t="n">
        <v>3863.8</v>
      </c>
      <c r="H115" s="30" t="n">
        <v>2.02</v>
      </c>
      <c r="I115" s="30" t="n">
        <v>196227</v>
      </c>
      <c r="J115" s="30" t="inlineStr">
        <is>
          <t>543358</t>
        </is>
      </c>
    </row>
    <row r="116">
      <c r="A116" s="30" t="inlineStr">
        <is>
          <t>POKARNA</t>
        </is>
      </c>
      <c r="B116" s="30" t="inlineStr">
        <is>
          <t>Pokarna Limited</t>
        </is>
      </c>
      <c r="C116" s="30" t="inlineStr">
        <is>
          <t>consumer discretionary</t>
        </is>
      </c>
      <c r="D116" s="30" t="inlineStr">
        <is>
          <t>miscellaneous</t>
        </is>
      </c>
      <c r="E116" s="30" t="inlineStr">
        <is>
          <t>smallcap</t>
        </is>
      </c>
      <c r="F116" s="30" t="n">
        <v>2998.55</v>
      </c>
      <c r="G116" s="30" t="n">
        <v>986.6</v>
      </c>
      <c r="H116" s="30" t="n">
        <v>2.01</v>
      </c>
      <c r="I116" s="30" t="n">
        <v>153323</v>
      </c>
      <c r="J116" s="30" t="inlineStr">
        <is>
          <t>532486</t>
        </is>
      </c>
    </row>
    <row r="117">
      <c r="A117" s="30" t="inlineStr">
        <is>
          <t>GOKULAGRO</t>
        </is>
      </c>
      <c r="B117" s="30" t="inlineStr">
        <is>
          <t>Gokul Agro Resources Limited</t>
        </is>
      </c>
      <c r="C117" s="30" t="inlineStr">
        <is>
          <t>fmcg</t>
        </is>
      </c>
      <c r="D117" s="30" t="inlineStr">
        <is>
          <t>solvent extraction</t>
        </is>
      </c>
      <c r="E117" s="30" t="inlineStr">
        <is>
          <t>midcap</t>
        </is>
      </c>
      <c r="F117" s="30" t="n">
        <v>6625.58</v>
      </c>
      <c r="G117" s="30" t="n">
        <v>229.01</v>
      </c>
      <c r="H117" s="30" t="n">
        <v>2</v>
      </c>
      <c r="I117" s="30" t="n">
        <v>343324</v>
      </c>
      <c r="J117" s="30" t="inlineStr">
        <is>
          <t>539725</t>
        </is>
      </c>
    </row>
    <row r="118">
      <c r="A118" s="30" t="inlineStr">
        <is>
          <t>PANAMAPET</t>
        </is>
      </c>
      <c r="B118" s="30" t="inlineStr">
        <is>
          <t>Panama Petrochem Limited</t>
        </is>
      </c>
      <c r="C118" s="30" t="inlineStr">
        <is>
          <t>energy</t>
        </is>
      </c>
      <c r="D118" s="30" t="inlineStr">
        <is>
          <t>petrochemicals</t>
        </is>
      </c>
      <c r="E118" s="30" t="inlineStr">
        <is>
          <t>smallcap</t>
        </is>
      </c>
      <c r="F118" s="30" t="n">
        <v>2994.13</v>
      </c>
      <c r="G118" s="30" t="n">
        <v>504.8</v>
      </c>
      <c r="H118" s="30" t="n">
        <v>1.99</v>
      </c>
      <c r="I118" s="30" t="n">
        <v>359650</v>
      </c>
      <c r="J118" s="30" t="inlineStr">
        <is>
          <t>524820</t>
        </is>
      </c>
    </row>
    <row r="119">
      <c r="A119" s="30" t="inlineStr">
        <is>
          <t>ATHERENERG</t>
        </is>
      </c>
      <c r="B119" s="30" t="inlineStr">
        <is>
          <t>Ather Energy Ltd</t>
        </is>
      </c>
      <c r="C119" s="30" t="inlineStr">
        <is>
          <t>auto</t>
        </is>
      </c>
      <c r="D119" s="30" t="inlineStr">
        <is>
          <t>automobiles - scooters and 3 - wheelers</t>
        </is>
      </c>
      <c r="E119" s="30" t="inlineStr">
        <is>
          <t>largecap</t>
        </is>
      </c>
      <c r="F119" s="30" t="n">
        <v>57274.29</v>
      </c>
      <c r="G119" s="30" t="n">
        <v>1481.5</v>
      </c>
      <c r="H119" s="30" t="n">
        <v>1.95</v>
      </c>
      <c r="I119" s="30" t="n">
        <v>4646531</v>
      </c>
      <c r="J119" s="30" t="inlineStr">
        <is>
          <t>544397</t>
        </is>
      </c>
    </row>
    <row r="120">
      <c r="A120" s="30" t="inlineStr">
        <is>
          <t>LTFOODS</t>
        </is>
      </c>
      <c r="B120" s="30" t="inlineStr">
        <is>
          <t>L T Foods Ltd</t>
        </is>
      </c>
      <c r="C120" s="30" t="inlineStr">
        <is>
          <t>fmcg</t>
        </is>
      </c>
      <c r="D120" s="30" t="inlineStr">
        <is>
          <t>food - processing - indian</t>
        </is>
      </c>
      <c r="E120" s="30" t="inlineStr">
        <is>
          <t>midcap</t>
        </is>
      </c>
      <c r="F120" s="30" t="n">
        <v>14563.79</v>
      </c>
      <c r="G120" s="30" t="n">
        <v>427.55</v>
      </c>
      <c r="H120" s="30" t="n">
        <v>1.94</v>
      </c>
      <c r="I120" s="30" t="n">
        <v>643817</v>
      </c>
      <c r="J120" s="30" t="inlineStr">
        <is>
          <t>532783</t>
        </is>
      </c>
    </row>
    <row r="121">
      <c r="A121" s="30" t="inlineStr">
        <is>
          <t>DEEPINDS</t>
        </is>
      </c>
      <c r="B121" s="30" t="inlineStr">
        <is>
          <t>Deep Industries Ltd</t>
        </is>
      </c>
      <c r="C121" s="30" t="inlineStr">
        <is>
          <t>energy</t>
        </is>
      </c>
      <c r="D121" s="30" t="inlineStr">
        <is>
          <t>oil drilling / allied services</t>
        </is>
      </c>
      <c r="E121" s="30" t="inlineStr">
        <is>
          <t>smallcap</t>
        </is>
      </c>
      <c r="F121" s="30" t="n">
        <v>4012.8</v>
      </c>
      <c r="G121" s="30" t="n">
        <v>638.9</v>
      </c>
      <c r="H121" s="30" t="n">
        <v>1.9</v>
      </c>
      <c r="I121" s="30" t="n">
        <v>601212</v>
      </c>
      <c r="J121" s="30" t="inlineStr">
        <is>
          <t>543288</t>
        </is>
      </c>
    </row>
    <row r="122">
      <c r="A122" s="30" t="inlineStr">
        <is>
          <t>ANTHEM</t>
        </is>
      </c>
      <c r="B122" s="30" t="inlineStr">
        <is>
          <t>Anthem Biosciences Ltd</t>
        </is>
      </c>
      <c r="C122" s="30" t="inlineStr">
        <is>
          <t>healthcare</t>
        </is>
      </c>
      <c r="D122" s="30" t="inlineStr">
        <is>
          <t>pharmaceuticals - indian - bulk drugs &amp; formln</t>
        </is>
      </c>
      <c r="E122" s="30" t="inlineStr">
        <is>
          <t>largecap</t>
        </is>
      </c>
      <c r="F122" s="30" t="n">
        <v>46515.86</v>
      </c>
      <c r="G122" s="30" t="n">
        <v>841</v>
      </c>
      <c r="H122" s="30" t="n">
        <v>1.86</v>
      </c>
      <c r="I122" s="30" t="n">
        <v>472590</v>
      </c>
      <c r="J122" s="30" t="inlineStr">
        <is>
          <t>544449</t>
        </is>
      </c>
    </row>
    <row r="123">
      <c r="A123" s="30" t="inlineStr">
        <is>
          <t>FILATEX</t>
        </is>
      </c>
      <c r="B123" s="30" t="inlineStr">
        <is>
          <t>Filatex India Limited</t>
        </is>
      </c>
      <c r="C123" s="30" t="inlineStr">
        <is>
          <t>textiles</t>
        </is>
      </c>
      <c r="D123" s="30" t="inlineStr">
        <is>
          <t>textiles - manmade</t>
        </is>
      </c>
      <c r="E123" s="30" t="inlineStr">
        <is>
          <t>smallcap</t>
        </is>
      </c>
      <c r="F123" s="30" t="n">
        <v>3632.84</v>
      </c>
      <c r="G123" s="30" t="n">
        <v>83.33</v>
      </c>
      <c r="H123" s="30" t="n">
        <v>1.86</v>
      </c>
      <c r="I123" s="30" t="n">
        <v>3999271</v>
      </c>
      <c r="J123" s="30" t="inlineStr">
        <is>
          <t>526227</t>
        </is>
      </c>
    </row>
    <row r="124">
      <c r="A124" s="30" t="inlineStr">
        <is>
          <t>FOSECOIND</t>
        </is>
      </c>
      <c r="B124" s="30" t="inlineStr">
        <is>
          <t>Foseco India Limited</t>
        </is>
      </c>
      <c r="C124" s="30" t="inlineStr">
        <is>
          <t>chemicals</t>
        </is>
      </c>
      <c r="D124" s="30" t="inlineStr">
        <is>
          <t>chemicals</t>
        </is>
      </c>
      <c r="E124" s="30" t="inlineStr">
        <is>
          <t>smallcap</t>
        </is>
      </c>
      <c r="F124" s="30" t="n">
        <v>4076.9</v>
      </c>
      <c r="G124" s="30" t="n">
        <v>5509.5</v>
      </c>
      <c r="H124" s="30" t="n">
        <v>1.86</v>
      </c>
      <c r="I124" s="30" t="n">
        <v>4892</v>
      </c>
      <c r="J124" s="30" t="inlineStr">
        <is>
          <t>500150</t>
        </is>
      </c>
    </row>
    <row r="125">
      <c r="A125" s="30" t="inlineStr">
        <is>
          <t>KICL</t>
        </is>
      </c>
      <c r="B125" s="30" t="inlineStr">
        <is>
          <t>Kalyani Investment Company Limited</t>
        </is>
      </c>
      <c r="C125" s="30" t="inlineStr">
        <is>
          <t>financials</t>
        </is>
      </c>
      <c r="D125" s="30" t="inlineStr">
        <is>
          <t>finance &amp; investments</t>
        </is>
      </c>
      <c r="E125" s="30" t="inlineStr">
        <is>
          <t>smallcap</t>
        </is>
      </c>
      <c r="F125" s="30" t="n">
        <v>2413.14</v>
      </c>
      <c r="G125" s="30" t="n">
        <v>5630</v>
      </c>
      <c r="H125" s="30" t="n">
        <v>1.85</v>
      </c>
      <c r="I125" s="30" t="n">
        <v>1264</v>
      </c>
      <c r="J125" s="30" t="inlineStr">
        <is>
          <t>533302</t>
        </is>
      </c>
    </row>
    <row r="126">
      <c r="A126" s="30" t="inlineStr">
        <is>
          <t>MARKSANS</t>
        </is>
      </c>
      <c r="B126" s="30" t="inlineStr">
        <is>
          <t>Marksans Pharma Limited</t>
        </is>
      </c>
      <c r="C126" s="30" t="inlineStr">
        <is>
          <t>healthcare</t>
        </is>
      </c>
      <c r="D126" s="30" t="inlineStr">
        <is>
          <t>pharmaceuticals - indian - formulations</t>
        </is>
      </c>
      <c r="E126" s="30" t="inlineStr">
        <is>
          <t>midcap</t>
        </is>
      </c>
      <c r="F126" s="30" t="n">
        <v>12185.57</v>
      </c>
      <c r="G126" s="30" t="n">
        <v>273.85</v>
      </c>
      <c r="H126" s="30" t="n">
        <v>1.84</v>
      </c>
      <c r="I126" s="30" t="n">
        <v>1012212</v>
      </c>
      <c r="J126" s="30" t="inlineStr">
        <is>
          <t>524404</t>
        </is>
      </c>
    </row>
    <row r="127">
      <c r="A127" s="30" t="inlineStr">
        <is>
          <t>MTARTECH</t>
        </is>
      </c>
      <c r="B127" s="30" t="inlineStr">
        <is>
          <t>MTAR Technologies Ltd</t>
        </is>
      </c>
      <c r="C127" s="30" t="inlineStr">
        <is>
          <t>aerospace &amp; defence</t>
        </is>
      </c>
      <c r="D127" s="30" t="inlineStr">
        <is>
          <t>engineering</t>
        </is>
      </c>
      <c r="E127" s="30" t="inlineStr">
        <is>
          <t>largecap</t>
        </is>
      </c>
      <c r="F127" s="30" t="n">
        <v>21405.6</v>
      </c>
      <c r="G127" s="30" t="n">
        <v>7085.5</v>
      </c>
      <c r="H127" s="30" t="n">
        <v>1.82</v>
      </c>
      <c r="I127" s="30" t="n">
        <v>321937</v>
      </c>
      <c r="J127" s="30" t="inlineStr">
        <is>
          <t>543270</t>
        </is>
      </c>
    </row>
    <row r="128">
      <c r="A128" s="30" t="inlineStr">
        <is>
          <t>SPECIALITY</t>
        </is>
      </c>
      <c r="B128" s="30" t="inlineStr">
        <is>
          <t>Speciality Restaurants Limited</t>
        </is>
      </c>
      <c r="C128" s="30" t="inlineStr">
        <is>
          <t>services</t>
        </is>
      </c>
      <c r="D128" s="30" t="inlineStr">
        <is>
          <t>hotels</t>
        </is>
      </c>
      <c r="E128" s="30" t="inlineStr">
        <is>
          <t>smallcap</t>
        </is>
      </c>
      <c r="F128" s="30" t="n">
        <v>686.97</v>
      </c>
      <c r="G128" s="30" t="n">
        <v>145.01</v>
      </c>
      <c r="H128" s="30" t="n">
        <v>1.82</v>
      </c>
      <c r="I128" s="30" t="n">
        <v>144115</v>
      </c>
      <c r="J128" s="30" t="inlineStr">
        <is>
          <t>534425</t>
        </is>
      </c>
    </row>
    <row r="129">
      <c r="A129" s="30" t="inlineStr">
        <is>
          <t>SUYOG</t>
        </is>
      </c>
      <c r="B129" s="30" t="inlineStr">
        <is>
          <t>Suyog Telematics Ltd</t>
        </is>
      </c>
      <c r="C129" s="30" t="inlineStr">
        <is>
          <t>telecom</t>
        </is>
      </c>
      <c r="D129" s="30" t="inlineStr">
        <is>
          <t>transmisson line towers / equipment</t>
        </is>
      </c>
      <c r="E129" s="30" t="inlineStr">
        <is>
          <t>smallcap</t>
        </is>
      </c>
      <c r="F129" s="30" t="n">
        <v>1010.66</v>
      </c>
      <c r="G129" s="30" t="n">
        <v>878</v>
      </c>
      <c r="H129" s="30" t="n">
        <v>1.79</v>
      </c>
      <c r="I129" s="30" t="n">
        <v>41570</v>
      </c>
      <c r="J129" s="30" t="inlineStr">
        <is>
          <t>537259</t>
        </is>
      </c>
    </row>
    <row r="130">
      <c r="A130" s="30" t="inlineStr">
        <is>
          <t>SWANDEF</t>
        </is>
      </c>
      <c r="B130" s="30" t="inlineStr">
        <is>
          <t>Swan Defence and Heavy Industries Ltd</t>
        </is>
      </c>
      <c r="C130" s="30" t="inlineStr">
        <is>
          <t>transportation</t>
        </is>
      </c>
      <c r="D130" s="30" t="inlineStr">
        <is>
          <t>miscellaneous</t>
        </is>
      </c>
      <c r="E130" s="30" t="inlineStr">
        <is>
          <t>midcap</t>
        </is>
      </c>
      <c r="F130" s="30" t="n">
        <v>13955.5</v>
      </c>
      <c r="G130" s="30" t="n">
        <v>2694.9</v>
      </c>
      <c r="H130" s="30" t="n">
        <v>1.73</v>
      </c>
      <c r="I130" s="30" t="n">
        <v>20022</v>
      </c>
      <c r="J130" s="30" t="inlineStr">
        <is>
          <t>533107</t>
        </is>
      </c>
    </row>
    <row r="131">
      <c r="A131" s="30" t="inlineStr">
        <is>
          <t>INDOAMIN</t>
        </is>
      </c>
      <c r="B131" s="30" t="inlineStr">
        <is>
          <t>Indo Amines Ltd</t>
        </is>
      </c>
      <c r="C131" s="30" t="inlineStr">
        <is>
          <t>chemicals</t>
        </is>
      </c>
      <c r="D131" s="30" t="inlineStr">
        <is>
          <t>chemicals</t>
        </is>
      </c>
      <c r="E131" s="30" t="inlineStr">
        <is>
          <t>smallcap</t>
        </is>
      </c>
      <c r="F131" s="30" t="n">
        <v>958.95</v>
      </c>
      <c r="G131" s="30" t="n">
        <v>134.35</v>
      </c>
      <c r="H131" s="30" t="n">
        <v>1.7</v>
      </c>
      <c r="I131" s="30" t="n">
        <v>96110</v>
      </c>
      <c r="J131" s="30" t="inlineStr">
        <is>
          <t>524648</t>
        </is>
      </c>
    </row>
    <row r="132">
      <c r="A132" s="30" t="inlineStr">
        <is>
          <t>BANKINDIA</t>
        </is>
      </c>
      <c r="B132" s="30" t="inlineStr">
        <is>
          <t>Bank Of India Ltd</t>
        </is>
      </c>
      <c r="C132" s="30" t="inlineStr">
        <is>
          <t>bank</t>
        </is>
      </c>
      <c r="D132" s="30" t="inlineStr">
        <is>
          <t>banks - public sector</t>
        </is>
      </c>
      <c r="E132" s="30" t="inlineStr">
        <is>
          <t>largecap</t>
        </is>
      </c>
      <c r="F132" s="30" t="n">
        <v>64948.36</v>
      </c>
      <c r="G132" s="30" t="n">
        <v>145</v>
      </c>
      <c r="H132" s="30" t="n">
        <v>1.64</v>
      </c>
      <c r="I132" s="30" t="n">
        <v>17003996</v>
      </c>
      <c r="J132" s="30" t="inlineStr">
        <is>
          <t>532149</t>
        </is>
      </c>
    </row>
    <row r="133">
      <c r="A133" s="30" t="inlineStr">
        <is>
          <t>CENTUM</t>
        </is>
      </c>
      <c r="B133" s="30" t="inlineStr">
        <is>
          <t>Centum Electronics Limited</t>
        </is>
      </c>
      <c r="C133" s="30" t="inlineStr">
        <is>
          <t>aerospace &amp; defence</t>
        </is>
      </c>
      <c r="D133" s="30" t="inlineStr">
        <is>
          <t>electronics - components</t>
        </is>
      </c>
      <c r="E133" s="30" t="inlineStr">
        <is>
          <t>midcap</t>
        </is>
      </c>
      <c r="F133" s="30" t="n">
        <v>5594.11</v>
      </c>
      <c r="G133" s="30" t="n">
        <v>3851.8</v>
      </c>
      <c r="H133" s="30" t="n">
        <v>1.62</v>
      </c>
      <c r="I133" s="30" t="n">
        <v>24929</v>
      </c>
      <c r="J133" s="30" t="inlineStr">
        <is>
          <t>517544</t>
        </is>
      </c>
    </row>
    <row r="134">
      <c r="A134" s="30" t="inlineStr">
        <is>
          <t>VIYASH</t>
        </is>
      </c>
      <c r="B134" s="30" t="inlineStr">
        <is>
          <t>Viyash Scientific Ltd</t>
        </is>
      </c>
      <c r="C134" s="30" t="inlineStr">
        <is>
          <t>healthcare</t>
        </is>
      </c>
      <c r="D134" s="30" t="inlineStr">
        <is>
          <t>pharmaceuticals - indian - bulk drugs &amp; formln</t>
        </is>
      </c>
      <c r="E134" s="30" t="inlineStr">
        <is>
          <t>midcap</t>
        </is>
      </c>
      <c r="F134" s="30" t="n">
        <v>11911.41</v>
      </c>
      <c r="G134" s="30" t="n">
        <v>277</v>
      </c>
      <c r="H134" s="30" t="n">
        <v>1.6</v>
      </c>
      <c r="I134" s="30" t="n">
        <v>2066705</v>
      </c>
      <c r="J134" s="30" t="inlineStr">
        <is>
          <t>512529</t>
        </is>
      </c>
    </row>
    <row r="135">
      <c r="A135" s="30" t="inlineStr">
        <is>
          <t>CARERATING</t>
        </is>
      </c>
      <c r="B135" s="30" t="inlineStr">
        <is>
          <t>CARE Ratings Ltd</t>
        </is>
      </c>
      <c r="C135" s="30" t="inlineStr">
        <is>
          <t>financials</t>
        </is>
      </c>
      <c r="D135" s="30" t="inlineStr">
        <is>
          <t>miscellaneous</t>
        </is>
      </c>
      <c r="E135" s="30" t="inlineStr">
        <is>
          <t>midcap</t>
        </is>
      </c>
      <c r="F135" s="30" t="n">
        <v>5200.75</v>
      </c>
      <c r="G135" s="30" t="n">
        <v>1757.5</v>
      </c>
      <c r="H135" s="30" t="n">
        <v>1.58</v>
      </c>
      <c r="I135" s="30" t="n">
        <v>55712</v>
      </c>
      <c r="J135" s="30" t="inlineStr">
        <is>
          <t>534804</t>
        </is>
      </c>
    </row>
    <row r="136">
      <c r="A136" s="30" t="inlineStr">
        <is>
          <t>SANDHAR</t>
        </is>
      </c>
      <c r="B136" s="30" t="inlineStr">
        <is>
          <t>Sandhar Technologies Limited</t>
        </is>
      </c>
      <c r="C136" s="30" t="inlineStr">
        <is>
          <t>auto</t>
        </is>
      </c>
      <c r="D136" s="30" t="inlineStr">
        <is>
          <t>auto ancillaries</t>
        </is>
      </c>
      <c r="E136" s="30" t="inlineStr">
        <is>
          <t>smallcap</t>
        </is>
      </c>
      <c r="F136" s="30" t="n">
        <v>3950.62</v>
      </c>
      <c r="G136" s="30" t="n">
        <v>666.65</v>
      </c>
      <c r="H136" s="30" t="n">
        <v>1.57</v>
      </c>
      <c r="I136" s="30" t="n">
        <v>207588</v>
      </c>
      <c r="J136" s="30" t="inlineStr">
        <is>
          <t>541163</t>
        </is>
      </c>
    </row>
    <row r="137">
      <c r="A137" s="30" t="inlineStr">
        <is>
          <t>PTC</t>
        </is>
      </c>
      <c r="B137" s="30" t="inlineStr">
        <is>
          <t>Ptc India Limited</t>
        </is>
      </c>
      <c r="C137" s="30" t="inlineStr">
        <is>
          <t>power &amp; utilities</t>
        </is>
      </c>
      <c r="D137" s="30" t="inlineStr">
        <is>
          <t>trading</t>
        </is>
      </c>
      <c r="E137" s="30" t="inlineStr">
        <is>
          <t>midcap</t>
        </is>
      </c>
      <c r="F137" s="30" t="n">
        <v>5925.2</v>
      </c>
      <c r="G137" s="30" t="n">
        <v>203.3</v>
      </c>
      <c r="H137" s="30" t="n">
        <v>1.56</v>
      </c>
      <c r="I137" s="30" t="n">
        <v>12883295</v>
      </c>
      <c r="J137" s="30" t="inlineStr">
        <is>
          <t>532524</t>
        </is>
      </c>
    </row>
    <row r="138">
      <c r="A138" s="30" t="inlineStr">
        <is>
          <t>TVSMOTOR</t>
        </is>
      </c>
      <c r="B138" s="30" t="inlineStr">
        <is>
          <t>Tvs Motor Company Limited</t>
        </is>
      </c>
      <c r="C138" s="30" t="inlineStr">
        <is>
          <t>auto</t>
        </is>
      </c>
      <c r="D138" s="30" t="inlineStr">
        <is>
          <t>automobiles - motorcycles / mopeds</t>
        </is>
      </c>
      <c r="E138" s="30" t="inlineStr">
        <is>
          <t>largecap</t>
        </is>
      </c>
      <c r="F138" s="30" t="n">
        <v>207850.61</v>
      </c>
      <c r="G138" s="30" t="n">
        <v>4440.9</v>
      </c>
      <c r="H138" s="30" t="n">
        <v>1.51</v>
      </c>
      <c r="I138" s="30" t="n">
        <v>1665064</v>
      </c>
      <c r="J138" s="30" t="inlineStr">
        <is>
          <t>532343</t>
        </is>
      </c>
    </row>
    <row r="139">
      <c r="A139" s="30" t="inlineStr">
        <is>
          <t>SUMICHEM</t>
        </is>
      </c>
      <c r="B139" s="30" t="inlineStr">
        <is>
          <t>Sumitomo Chemical India Ltd</t>
        </is>
      </c>
      <c r="C139" s="30" t="inlineStr">
        <is>
          <t>chemicals</t>
        </is>
      </c>
      <c r="D139" s="30" t="inlineStr">
        <is>
          <t>pesticides / agrochemicals - indian</t>
        </is>
      </c>
      <c r="E139" s="30" t="inlineStr">
        <is>
          <t>largecap</t>
        </is>
      </c>
      <c r="F139" s="30" t="n">
        <v>26215.13</v>
      </c>
      <c r="G139" s="30" t="n">
        <v>532.95</v>
      </c>
      <c r="H139" s="30" t="n">
        <v>1.48</v>
      </c>
      <c r="I139" s="30" t="n">
        <v>611836</v>
      </c>
      <c r="J139" s="30" t="inlineStr">
        <is>
          <t>542920</t>
        </is>
      </c>
    </row>
    <row r="140">
      <c r="A140" s="30" t="inlineStr">
        <is>
          <t>ARTEMISMED</t>
        </is>
      </c>
      <c r="B140" s="30" t="inlineStr">
        <is>
          <t>Artemis Medicare Services Ltd</t>
        </is>
      </c>
      <c r="C140" s="30" t="inlineStr">
        <is>
          <t>healthcare</t>
        </is>
      </c>
      <c r="D140" s="30" t="inlineStr">
        <is>
          <t>healthcare</t>
        </is>
      </c>
      <c r="E140" s="30" t="inlineStr">
        <is>
          <t>smallcap</t>
        </is>
      </c>
      <c r="F140" s="30" t="n">
        <v>4934.41</v>
      </c>
      <c r="G140" s="30" t="n">
        <v>316.3</v>
      </c>
      <c r="H140" s="30" t="n">
        <v>1.48</v>
      </c>
      <c r="I140" s="30" t="n">
        <v>286455</v>
      </c>
      <c r="J140" s="30" t="inlineStr">
        <is>
          <t>542919</t>
        </is>
      </c>
    </row>
    <row r="141">
      <c r="A141" s="30" t="inlineStr">
        <is>
          <t>BELRISE</t>
        </is>
      </c>
      <c r="B141" s="30" t="inlineStr">
        <is>
          <t>Belrise Industries Ltd</t>
        </is>
      </c>
      <c r="C141" s="30" t="inlineStr">
        <is>
          <t>auto</t>
        </is>
      </c>
      <c r="D141" s="30" t="inlineStr">
        <is>
          <t>auto ancillaries</t>
        </is>
      </c>
      <c r="E141" s="30" t="inlineStr">
        <is>
          <t>largecap</t>
        </is>
      </c>
      <c r="F141" s="30" t="n">
        <v>23657.5</v>
      </c>
      <c r="G141" s="30" t="n">
        <v>248.21</v>
      </c>
      <c r="H141" s="30" t="n">
        <v>1.47</v>
      </c>
      <c r="I141" s="30" t="n">
        <v>6171893</v>
      </c>
      <c r="J141" s="30" t="n"/>
    </row>
    <row r="142">
      <c r="A142" s="30" t="inlineStr">
        <is>
          <t>ANANDRATHI</t>
        </is>
      </c>
      <c r="B142" s="30" t="inlineStr">
        <is>
          <t>Anand Rathi Wealth Ltd</t>
        </is>
      </c>
      <c r="C142" s="30" t="inlineStr">
        <is>
          <t>financials</t>
        </is>
      </c>
      <c r="D142" s="30" t="inlineStr">
        <is>
          <t>finance &amp; investments</t>
        </is>
      </c>
      <c r="E142" s="30" t="inlineStr">
        <is>
          <t>largecap</t>
        </is>
      </c>
      <c r="F142" s="30" t="n">
        <v>34395.45</v>
      </c>
      <c r="G142" s="30" t="n">
        <v>2101.5</v>
      </c>
      <c r="H142" s="30" t="n">
        <v>1.45</v>
      </c>
      <c r="I142" s="30" t="n">
        <v>202606</v>
      </c>
      <c r="J142" s="30" t="inlineStr">
        <is>
          <t>543415</t>
        </is>
      </c>
    </row>
    <row r="143">
      <c r="A143" s="30" t="inlineStr">
        <is>
          <t>GHCLTEXTIL</t>
        </is>
      </c>
      <c r="B143" s="30" t="inlineStr">
        <is>
          <t>GHCL Textiles Ltd</t>
        </is>
      </c>
      <c r="C143" s="30" t="inlineStr">
        <is>
          <t>textiles</t>
        </is>
      </c>
      <c r="D143" s="30" t="inlineStr">
        <is>
          <t>textiles - spinning - synthetic / blended</t>
        </is>
      </c>
      <c r="E143" s="30" t="inlineStr">
        <is>
          <t>smallcap</t>
        </is>
      </c>
      <c r="F143" s="30" t="n">
        <v>1147.03</v>
      </c>
      <c r="G143" s="30" t="n">
        <v>121.71</v>
      </c>
      <c r="H143" s="30" t="n">
        <v>1.43</v>
      </c>
      <c r="I143" s="30" t="n">
        <v>1140359</v>
      </c>
      <c r="J143" s="30" t="inlineStr">
        <is>
          <t>543918</t>
        </is>
      </c>
    </row>
    <row r="144">
      <c r="A144" s="30" t="inlineStr">
        <is>
          <t>LUMAXTECH</t>
        </is>
      </c>
      <c r="B144" s="30" t="inlineStr">
        <is>
          <t>Lumax Auto Technologies Limited</t>
        </is>
      </c>
      <c r="C144" s="30" t="inlineStr">
        <is>
          <t>auto</t>
        </is>
      </c>
      <c r="D144" s="30" t="inlineStr">
        <is>
          <t>auto ancillaries</t>
        </is>
      </c>
      <c r="E144" s="30" t="inlineStr">
        <is>
          <t>midcap</t>
        </is>
      </c>
      <c r="F144" s="30" t="n">
        <v>11575.22</v>
      </c>
      <c r="G144" s="30" t="n">
        <v>1722.4</v>
      </c>
      <c r="H144" s="30" t="n">
        <v>1.42</v>
      </c>
      <c r="I144" s="30" t="n">
        <v>165034</v>
      </c>
      <c r="J144" s="30" t="inlineStr">
        <is>
          <t>532796</t>
        </is>
      </c>
    </row>
    <row r="145">
      <c r="A145" s="30" t="inlineStr">
        <is>
          <t>SANGHVIMOV</t>
        </is>
      </c>
      <c r="B145" s="30" t="inlineStr">
        <is>
          <t>Sanghvi Movers Limited</t>
        </is>
      </c>
      <c r="C145" s="30" t="inlineStr">
        <is>
          <t>miscellaneous</t>
        </is>
      </c>
      <c r="D145" s="30" t="inlineStr">
        <is>
          <t>miscellaneous</t>
        </is>
      </c>
      <c r="E145" s="30" t="inlineStr">
        <is>
          <t>smallcap</t>
        </is>
      </c>
      <c r="F145" s="30" t="n">
        <v>4169.07</v>
      </c>
      <c r="G145" s="30" t="n">
        <v>488.4</v>
      </c>
      <c r="H145" s="30" t="n">
        <v>1.42</v>
      </c>
      <c r="I145" s="30" t="n">
        <v>515125</v>
      </c>
      <c r="J145" s="30" t="inlineStr">
        <is>
          <t>530073</t>
        </is>
      </c>
    </row>
    <row r="146">
      <c r="A146" s="30" t="inlineStr">
        <is>
          <t>DOLPHIN</t>
        </is>
      </c>
      <c r="B146" s="30" t="inlineStr">
        <is>
          <t>Dolphin Offshore Enterprises (India) Ltd</t>
        </is>
      </c>
      <c r="C146" s="30" t="inlineStr">
        <is>
          <t>energy</t>
        </is>
      </c>
      <c r="D146" s="30" t="inlineStr">
        <is>
          <t>oil drilling / allied services</t>
        </is>
      </c>
      <c r="E146" s="30" t="inlineStr">
        <is>
          <t>smallcap</t>
        </is>
      </c>
      <c r="F146" s="30" t="n">
        <v>1623.19</v>
      </c>
      <c r="G146" s="30" t="n">
        <v>411.5</v>
      </c>
      <c r="H146" s="30" t="n">
        <v>1.42</v>
      </c>
      <c r="I146" s="30" t="n">
        <v>18038</v>
      </c>
      <c r="J146" s="30" t="inlineStr">
        <is>
          <t>522261</t>
        </is>
      </c>
    </row>
    <row r="147">
      <c r="A147" s="30" t="inlineStr">
        <is>
          <t>KALYANKJIL</t>
        </is>
      </c>
      <c r="B147" s="30" t="inlineStr">
        <is>
          <t>Kalyan Jewellers India Ltd</t>
        </is>
      </c>
      <c r="C147" s="30" t="inlineStr">
        <is>
          <t>consumer discretionary</t>
        </is>
      </c>
      <c r="D147" s="30" t="inlineStr">
        <is>
          <t>diamond cutting / jewellery</t>
        </is>
      </c>
      <c r="E147" s="30" t="inlineStr">
        <is>
          <t>largecap</t>
        </is>
      </c>
      <c r="F147" s="30" t="n">
        <v>61757.86</v>
      </c>
      <c r="G147" s="30" t="n">
        <v>606.3</v>
      </c>
      <c r="H147" s="30" t="n">
        <v>1.39</v>
      </c>
      <c r="I147" s="30" t="n">
        <v>66447775</v>
      </c>
      <c r="J147" s="30" t="inlineStr">
        <is>
          <t>543278</t>
        </is>
      </c>
    </row>
    <row r="148">
      <c r="A148" s="30" t="inlineStr">
        <is>
          <t>THELEELA</t>
        </is>
      </c>
      <c r="B148" s="30" t="inlineStr">
        <is>
          <t>Leela Palaces Hotels &amp; Resorts Ltd</t>
        </is>
      </c>
      <c r="C148" s="30" t="inlineStr">
        <is>
          <t>services</t>
        </is>
      </c>
      <c r="D148" s="30" t="inlineStr">
        <is>
          <t>hotels</t>
        </is>
      </c>
      <c r="E148" s="30" t="inlineStr">
        <is>
          <t>midcap</t>
        </is>
      </c>
      <c r="F148" s="30" t="n">
        <v>17065.25</v>
      </c>
      <c r="G148" s="30" t="n">
        <v>518</v>
      </c>
      <c r="H148" s="30" t="n">
        <v>1.37</v>
      </c>
      <c r="I148" s="30" t="n">
        <v>495585</v>
      </c>
      <c r="J148" s="30" t="inlineStr">
        <is>
          <t>544408</t>
        </is>
      </c>
    </row>
    <row r="149">
      <c r="A149" s="30" t="inlineStr">
        <is>
          <t>AZAD</t>
        </is>
      </c>
      <c r="B149" s="30" t="inlineStr">
        <is>
          <t>Azad Engineering Ltd</t>
        </is>
      </c>
      <c r="C149" s="30" t="inlineStr">
        <is>
          <t>aerospace &amp; defence</t>
        </is>
      </c>
      <c r="D149" s="30" t="inlineStr">
        <is>
          <t>engineering</t>
        </is>
      </c>
      <c r="E149" s="30" t="inlineStr">
        <is>
          <t>midcap</t>
        </is>
      </c>
      <c r="F149" s="30" t="n">
        <v>15859.98</v>
      </c>
      <c r="G149" s="30" t="n">
        <v>2489</v>
      </c>
      <c r="H149" s="30" t="n">
        <v>1.35</v>
      </c>
      <c r="I149" s="30" t="n">
        <v>534769</v>
      </c>
      <c r="J149" s="30" t="inlineStr">
        <is>
          <t>544061</t>
        </is>
      </c>
    </row>
    <row r="150">
      <c r="A150" s="30" t="inlineStr">
        <is>
          <t>IRISDOREME</t>
        </is>
      </c>
      <c r="B150" s="30" t="inlineStr">
        <is>
          <t>Iris Clothings Ltd</t>
        </is>
      </c>
      <c r="C150" s="30" t="inlineStr">
        <is>
          <t>consumer discretionary</t>
        </is>
      </c>
      <c r="D150" s="30" t="inlineStr">
        <is>
          <t>textiles - products</t>
        </is>
      </c>
      <c r="E150" s="30" t="inlineStr">
        <is>
          <t>smallcap</t>
        </is>
      </c>
      <c r="F150" s="30" t="n">
        <v>1028.17</v>
      </c>
      <c r="G150" s="30" t="n">
        <v>54.75</v>
      </c>
      <c r="H150" s="30" t="n">
        <v>1.35</v>
      </c>
      <c r="I150" s="30" t="n">
        <v>697724</v>
      </c>
      <c r="J150" s="30" t="inlineStr">
        <is>
          <t>535123</t>
        </is>
      </c>
    </row>
    <row r="151">
      <c r="A151" s="30" t="inlineStr">
        <is>
          <t>HAPPYFORGE</t>
        </is>
      </c>
      <c r="B151" s="30" t="inlineStr">
        <is>
          <t>Happy Forgings Ltd</t>
        </is>
      </c>
      <c r="C151" s="30" t="inlineStr">
        <is>
          <t>industrials</t>
        </is>
      </c>
      <c r="D151" s="30" t="inlineStr">
        <is>
          <t>castings &amp; forgings</t>
        </is>
      </c>
      <c r="E151" s="30" t="inlineStr">
        <is>
          <t>midcap</t>
        </is>
      </c>
      <c r="F151" s="30" t="n">
        <v>17648.82</v>
      </c>
      <c r="G151" s="30" t="n">
        <v>1895</v>
      </c>
      <c r="H151" s="30" t="n">
        <v>1.34</v>
      </c>
      <c r="I151" s="30" t="n">
        <v>125748</v>
      </c>
      <c r="J151" s="30" t="inlineStr">
        <is>
          <t>544057</t>
        </is>
      </c>
    </row>
    <row r="152">
      <c r="A152" s="30" t="inlineStr">
        <is>
          <t>KROSS</t>
        </is>
      </c>
      <c r="B152" s="30" t="inlineStr">
        <is>
          <t>Kross Ltd</t>
        </is>
      </c>
      <c r="C152" s="30" t="inlineStr">
        <is>
          <t>auto</t>
        </is>
      </c>
      <c r="D152" s="30" t="inlineStr">
        <is>
          <t>auto ancillaries</t>
        </is>
      </c>
      <c r="E152" s="30" t="inlineStr">
        <is>
          <t>smallcap</t>
        </is>
      </c>
      <c r="F152" s="30" t="n">
        <v>1290.77</v>
      </c>
      <c r="G152" s="30" t="n">
        <v>202.75</v>
      </c>
      <c r="H152" s="30" t="n">
        <v>1.33</v>
      </c>
      <c r="I152" s="30" t="n">
        <v>181657</v>
      </c>
      <c r="J152" s="30" t="inlineStr">
        <is>
          <t>544253</t>
        </is>
      </c>
    </row>
    <row r="153">
      <c r="A153" s="30" t="inlineStr">
        <is>
          <t>INDIANB</t>
        </is>
      </c>
      <c r="B153" s="30" t="inlineStr">
        <is>
          <t>Indian Bank Ltd</t>
        </is>
      </c>
      <c r="C153" s="30" t="inlineStr">
        <is>
          <t>bank</t>
        </is>
      </c>
      <c r="D153" s="30" t="inlineStr">
        <is>
          <t>banks - public sector</t>
        </is>
      </c>
      <c r="E153" s="30" t="inlineStr">
        <is>
          <t>largecap</t>
        </is>
      </c>
      <c r="F153" s="30" t="n">
        <v>118249.97</v>
      </c>
      <c r="G153" s="30" t="n">
        <v>889.5</v>
      </c>
      <c r="H153" s="30" t="n">
        <v>1.32</v>
      </c>
      <c r="I153" s="30" t="n">
        <v>8013610</v>
      </c>
      <c r="J153" s="30" t="inlineStr">
        <is>
          <t>532814</t>
        </is>
      </c>
    </row>
    <row r="154">
      <c r="A154" s="30" t="inlineStr">
        <is>
          <t>SIGMAADV</t>
        </is>
      </c>
      <c r="B154" s="30" t="inlineStr">
        <is>
          <t>Sigma Advanced System Ltd</t>
        </is>
      </c>
      <c r="C154" s="30" t="inlineStr">
        <is>
          <t>aerospace &amp; defence</t>
        </is>
      </c>
      <c r="D154" s="30" t="inlineStr">
        <is>
          <t>electronics - components</t>
        </is>
      </c>
      <c r="E154" s="30" t="inlineStr">
        <is>
          <t>midcap</t>
        </is>
      </c>
      <c r="F154" s="30" t="n">
        <v>13114.08</v>
      </c>
      <c r="G154" s="30" t="n">
        <v>700.95</v>
      </c>
      <c r="H154" s="30" t="n">
        <v>1.29</v>
      </c>
      <c r="I154" s="30" t="n">
        <v>177711</v>
      </c>
      <c r="J154" s="30" t="inlineStr">
        <is>
          <t>532408</t>
        </is>
      </c>
    </row>
    <row r="155">
      <c r="A155" s="30" t="inlineStr">
        <is>
          <t>APLAPOLLO</t>
        </is>
      </c>
      <c r="B155" s="30" t="inlineStr">
        <is>
          <t>Apl Apollo Tubes Limited</t>
        </is>
      </c>
      <c r="C155" s="30" t="inlineStr">
        <is>
          <t>industrials</t>
        </is>
      </c>
      <c r="D155" s="30" t="inlineStr">
        <is>
          <t>steel - large</t>
        </is>
      </c>
      <c r="E155" s="30" t="inlineStr">
        <is>
          <t>largecap</t>
        </is>
      </c>
      <c r="F155" s="30" t="n">
        <v>54004.56</v>
      </c>
      <c r="G155" s="30" t="n">
        <v>1970</v>
      </c>
      <c r="H155" s="30" t="n">
        <v>1.29</v>
      </c>
      <c r="I155" s="30" t="n">
        <v>802547</v>
      </c>
      <c r="J155" s="30" t="inlineStr">
        <is>
          <t>533758</t>
        </is>
      </c>
    </row>
    <row r="156">
      <c r="A156" s="30" t="inlineStr">
        <is>
          <t>KAMDHENU</t>
        </is>
      </c>
      <c r="B156" s="30" t="inlineStr">
        <is>
          <t>Kamdhenu Limited</t>
        </is>
      </c>
      <c r="C156" s="30" t="inlineStr">
        <is>
          <t>metals &amp; mining</t>
        </is>
      </c>
      <c r="D156" s="30" t="inlineStr">
        <is>
          <t>steel - medium / small</t>
        </is>
      </c>
      <c r="E156" s="30" t="inlineStr">
        <is>
          <t>smallcap</t>
        </is>
      </c>
      <c r="F156" s="30" t="n">
        <v>988</v>
      </c>
      <c r="G156" s="30" t="n">
        <v>35.5</v>
      </c>
      <c r="H156" s="30" t="n">
        <v>1.28</v>
      </c>
      <c r="I156" s="30" t="n">
        <v>337726</v>
      </c>
      <c r="J156" s="30" t="inlineStr">
        <is>
          <t>532741</t>
        </is>
      </c>
    </row>
    <row r="157">
      <c r="A157" s="30" t="inlineStr">
        <is>
          <t>AVTNPL</t>
        </is>
      </c>
      <c r="B157" s="30" t="inlineStr">
        <is>
          <t>Avt Natural Products Limited</t>
        </is>
      </c>
      <c r="C157" s="30" t="inlineStr">
        <is>
          <t>fmcg</t>
        </is>
      </c>
      <c r="D157" s="30" t="inlineStr">
        <is>
          <t>solvent extraction</t>
        </is>
      </c>
      <c r="E157" s="30" t="inlineStr">
        <is>
          <t>smallcap</t>
        </is>
      </c>
      <c r="F157" s="30" t="n">
        <v>1090.2</v>
      </c>
      <c r="G157" s="30" t="n">
        <v>72.5</v>
      </c>
      <c r="H157" s="30" t="n">
        <v>1.27</v>
      </c>
      <c r="I157" s="30" t="n">
        <v>41803</v>
      </c>
      <c r="J157" s="30" t="inlineStr">
        <is>
          <t>519105</t>
        </is>
      </c>
    </row>
    <row r="158">
      <c r="A158" s="30" t="inlineStr">
        <is>
          <t>CENTENKA</t>
        </is>
      </c>
      <c r="B158" s="30" t="inlineStr">
        <is>
          <t>Century Enka Limited</t>
        </is>
      </c>
      <c r="C158" s="30" t="inlineStr">
        <is>
          <t>textiles</t>
        </is>
      </c>
      <c r="D158" s="30" t="inlineStr">
        <is>
          <t>textiles - manmade</t>
        </is>
      </c>
      <c r="E158" s="30" t="inlineStr">
        <is>
          <t>smallcap</t>
        </is>
      </c>
      <c r="F158" s="30" t="n">
        <v>1316.94</v>
      </c>
      <c r="G158" s="30" t="n">
        <v>610.25</v>
      </c>
      <c r="H158" s="30" t="n">
        <v>1.25</v>
      </c>
      <c r="I158" s="30" t="n">
        <v>85833</v>
      </c>
      <c r="J158" s="30" t="inlineStr">
        <is>
          <t>500280</t>
        </is>
      </c>
    </row>
    <row r="159">
      <c r="A159" s="30" t="inlineStr">
        <is>
          <t>RITES</t>
        </is>
      </c>
      <c r="B159" s="30" t="inlineStr">
        <is>
          <t>Rites Ltd</t>
        </is>
      </c>
      <c r="C159" s="30" t="inlineStr">
        <is>
          <t>miscellaneous</t>
        </is>
      </c>
      <c r="D159" s="30" t="inlineStr">
        <is>
          <t>miscellaneous</t>
        </is>
      </c>
      <c r="E159" s="30" t="inlineStr">
        <is>
          <t>midcap</t>
        </is>
      </c>
      <c r="F159" s="30" t="n">
        <v>11120.21</v>
      </c>
      <c r="G159" s="30" t="n">
        <v>234.24</v>
      </c>
      <c r="H159" s="30" t="n">
        <v>1.24</v>
      </c>
      <c r="I159" s="30" t="n">
        <v>1536756</v>
      </c>
      <c r="J159" s="30" t="inlineStr">
        <is>
          <t>541556</t>
        </is>
      </c>
    </row>
    <row r="160">
      <c r="A160" s="30" t="inlineStr">
        <is>
          <t>CRISIL</t>
        </is>
      </c>
      <c r="B160" s="30" t="inlineStr">
        <is>
          <t>Crisil Limited</t>
        </is>
      </c>
      <c r="C160" s="30" t="inlineStr">
        <is>
          <t>financials</t>
        </is>
      </c>
      <c r="D160" s="30" t="inlineStr">
        <is>
          <t>miscellaneous</t>
        </is>
      </c>
      <c r="E160" s="30" t="inlineStr">
        <is>
          <t>largecap</t>
        </is>
      </c>
      <c r="F160" s="30" t="n">
        <v>33278.55</v>
      </c>
      <c r="G160" s="30" t="n">
        <v>4607</v>
      </c>
      <c r="H160" s="30" t="n">
        <v>1.24</v>
      </c>
      <c r="I160" s="30" t="n">
        <v>87549</v>
      </c>
      <c r="J160" s="30" t="inlineStr">
        <is>
          <t>500092</t>
        </is>
      </c>
    </row>
    <row r="161">
      <c r="A161" s="30" t="inlineStr">
        <is>
          <t>GRINDWELL</t>
        </is>
      </c>
      <c r="B161" s="30" t="inlineStr">
        <is>
          <t>Grindwell Norton Limited</t>
        </is>
      </c>
      <c r="C161" s="30" t="inlineStr">
        <is>
          <t>industrials</t>
        </is>
      </c>
      <c r="D161" s="30" t="inlineStr">
        <is>
          <t>abrasives and grinding wheels</t>
        </is>
      </c>
      <c r="E161" s="30" t="inlineStr">
        <is>
          <t>largecap</t>
        </is>
      </c>
      <c r="F161" s="30" t="n">
        <v>23335.35</v>
      </c>
      <c r="G161" s="30" t="n">
        <v>2133.8</v>
      </c>
      <c r="H161" s="30" t="n">
        <v>1.24</v>
      </c>
      <c r="I161" s="30" t="n">
        <v>44739</v>
      </c>
      <c r="J161" s="30" t="inlineStr">
        <is>
          <t>506076</t>
        </is>
      </c>
    </row>
    <row r="162">
      <c r="A162" s="30" t="inlineStr">
        <is>
          <t>MEDANTA</t>
        </is>
      </c>
      <c r="B162" s="30" t="inlineStr">
        <is>
          <t>Global Health Ltd</t>
        </is>
      </c>
      <c r="C162" s="30" t="inlineStr">
        <is>
          <t>healthcare</t>
        </is>
      </c>
      <c r="D162" s="30" t="inlineStr">
        <is>
          <t>healthcare</t>
        </is>
      </c>
      <c r="E162" s="30" t="inlineStr">
        <is>
          <t>largecap</t>
        </is>
      </c>
      <c r="F162" s="30" t="n">
        <v>38833.15</v>
      </c>
      <c r="G162" s="30" t="n">
        <v>1462</v>
      </c>
      <c r="H162" s="30" t="n">
        <v>1.23</v>
      </c>
      <c r="I162" s="30" t="n">
        <v>550910</v>
      </c>
      <c r="J162" s="30" t="inlineStr">
        <is>
          <t>543654</t>
        </is>
      </c>
    </row>
    <row r="163">
      <c r="A163" s="30" t="inlineStr">
        <is>
          <t>ICIL</t>
        </is>
      </c>
      <c r="B163" s="30" t="inlineStr">
        <is>
          <t>Indo Count Industries Limited</t>
        </is>
      </c>
      <c r="C163" s="30" t="inlineStr">
        <is>
          <t>textiles</t>
        </is>
      </c>
      <c r="D163" s="30" t="inlineStr">
        <is>
          <t>textiles - cotton/blended</t>
        </is>
      </c>
      <c r="E163" s="30" t="inlineStr">
        <is>
          <t>midcap</t>
        </is>
      </c>
      <c r="F163" s="30" t="n">
        <v>8348.98</v>
      </c>
      <c r="G163" s="30" t="n">
        <v>426.6</v>
      </c>
      <c r="H163" s="30" t="n">
        <v>1.2</v>
      </c>
      <c r="I163" s="30" t="n">
        <v>293591</v>
      </c>
      <c r="J163" s="30" t="inlineStr">
        <is>
          <t>521016</t>
        </is>
      </c>
    </row>
    <row r="164">
      <c r="A164" s="30" t="inlineStr">
        <is>
          <t>PNGJL</t>
        </is>
      </c>
      <c r="B164" s="30" t="inlineStr">
        <is>
          <t>P N Gadgil Jewellers Ltd</t>
        </is>
      </c>
      <c r="C164" s="30" t="inlineStr">
        <is>
          <t>consumer discretionary</t>
        </is>
      </c>
      <c r="D164" s="30" t="inlineStr">
        <is>
          <t>diamond cutting / jewellery</t>
        </is>
      </c>
      <c r="E164" s="30" t="inlineStr">
        <is>
          <t>midcap</t>
        </is>
      </c>
      <c r="F164" s="30" t="n">
        <v>8620.190000000001</v>
      </c>
      <c r="G164" s="30" t="n">
        <v>642.85</v>
      </c>
      <c r="H164" s="30" t="n">
        <v>1.2</v>
      </c>
      <c r="I164" s="30" t="n">
        <v>698752</v>
      </c>
      <c r="J164" s="30" t="n"/>
    </row>
    <row r="165">
      <c r="A165" s="30" t="inlineStr">
        <is>
          <t>IKIO</t>
        </is>
      </c>
      <c r="B165" s="30" t="inlineStr">
        <is>
          <t>IKIO Lighting Ltd</t>
        </is>
      </c>
      <c r="C165" s="30" t="inlineStr">
        <is>
          <t>consumer discretionary</t>
        </is>
      </c>
      <c r="D165" s="30" t="inlineStr">
        <is>
          <t>electric equipment</t>
        </is>
      </c>
      <c r="E165" s="30" t="inlineStr">
        <is>
          <t>smallcap</t>
        </is>
      </c>
      <c r="F165" s="30" t="n">
        <v>1558.37</v>
      </c>
      <c r="G165" s="30" t="n">
        <v>204.05</v>
      </c>
      <c r="H165" s="30" t="n">
        <v>1.19</v>
      </c>
      <c r="I165" s="30" t="n">
        <v>224604</v>
      </c>
      <c r="J165" s="30" t="inlineStr">
        <is>
          <t>543923</t>
        </is>
      </c>
    </row>
    <row r="166">
      <c r="A166" s="30" t="inlineStr">
        <is>
          <t>REDINGTON</t>
        </is>
      </c>
      <c r="B166" s="30" t="inlineStr">
        <is>
          <t>Redington (india) Limited</t>
        </is>
      </c>
      <c r="C166" s="30" t="inlineStr">
        <is>
          <t>services</t>
        </is>
      </c>
      <c r="D166" s="30" t="inlineStr">
        <is>
          <t>trading</t>
        </is>
      </c>
      <c r="E166" s="30" t="inlineStr">
        <is>
          <t>largecap</t>
        </is>
      </c>
      <c r="F166" s="30" t="n">
        <v>27420.74</v>
      </c>
      <c r="G166" s="30" t="n">
        <v>354.85</v>
      </c>
      <c r="H166" s="30" t="n">
        <v>1.17</v>
      </c>
      <c r="I166" s="30" t="n">
        <v>3116272</v>
      </c>
      <c r="J166" s="30" t="inlineStr">
        <is>
          <t>532805</t>
        </is>
      </c>
    </row>
    <row r="167">
      <c r="A167" s="30" t="inlineStr">
        <is>
          <t>3IINFOLTD</t>
        </is>
      </c>
      <c r="B167" s="30" t="inlineStr">
        <is>
          <t>3i Infotech Ltd</t>
        </is>
      </c>
      <c r="C167" s="30" t="inlineStr">
        <is>
          <t>i.t</t>
        </is>
      </c>
      <c r="D167" s="30" t="inlineStr">
        <is>
          <t>computers - software - medium / small</t>
        </is>
      </c>
      <c r="E167" s="30" t="inlineStr">
        <is>
          <t>smallcap</t>
        </is>
      </c>
      <c r="F167" s="30" t="n">
        <v>528.88</v>
      </c>
      <c r="G167" s="30" t="n">
        <v>25.79</v>
      </c>
      <c r="H167" s="30" t="n">
        <v>1.14</v>
      </c>
      <c r="I167" s="30" t="n">
        <v>1181276</v>
      </c>
      <c r="J167" s="30" t="inlineStr">
        <is>
          <t>532628</t>
        </is>
      </c>
    </row>
    <row r="168">
      <c r="A168" s="30" t="inlineStr">
        <is>
          <t>JINDWORLD</t>
        </is>
      </c>
      <c r="B168" s="30" t="inlineStr">
        <is>
          <t>Jindal Worldwide Limited</t>
        </is>
      </c>
      <c r="C168" s="30" t="inlineStr">
        <is>
          <t>textiles</t>
        </is>
      </c>
      <c r="D168" s="30" t="inlineStr">
        <is>
          <t>textiles - products</t>
        </is>
      </c>
      <c r="E168" s="30" t="inlineStr">
        <is>
          <t>smallcap</t>
        </is>
      </c>
      <c r="F168" s="30" t="n">
        <v>3860.02</v>
      </c>
      <c r="G168" s="30" t="n">
        <v>38.93</v>
      </c>
      <c r="H168" s="30" t="n">
        <v>1.12</v>
      </c>
      <c r="I168" s="30" t="n">
        <v>10633658</v>
      </c>
      <c r="J168" s="30" t="inlineStr">
        <is>
          <t>531543</t>
        </is>
      </c>
    </row>
    <row r="169">
      <c r="A169" s="30" t="inlineStr">
        <is>
          <t>SBIN</t>
        </is>
      </c>
      <c r="B169" s="30" t="inlineStr">
        <is>
          <t>State Bank Of India Ltd</t>
        </is>
      </c>
      <c r="C169" s="30" t="inlineStr">
        <is>
          <t>bank</t>
        </is>
      </c>
      <c r="D169" s="30" t="inlineStr">
        <is>
          <t>banks - public sector</t>
        </is>
      </c>
      <c r="E169" s="30" t="inlineStr">
        <is>
          <t>largecap</t>
        </is>
      </c>
      <c r="F169" s="30" t="n">
        <v>1001522.01</v>
      </c>
      <c r="G169" s="30" t="n">
        <v>1097.2</v>
      </c>
      <c r="H169" s="30" t="n">
        <v>1.12</v>
      </c>
      <c r="I169" s="30" t="n">
        <v>58484371</v>
      </c>
      <c r="J169" s="30" t="inlineStr">
        <is>
          <t>500112</t>
        </is>
      </c>
    </row>
    <row r="170">
      <c r="A170" s="30" t="inlineStr">
        <is>
          <t>WELCORP</t>
        </is>
      </c>
      <c r="B170" s="30" t="inlineStr">
        <is>
          <t>Welspun Corp Limited</t>
        </is>
      </c>
      <c r="C170" s="30" t="inlineStr">
        <is>
          <t>industrials</t>
        </is>
      </c>
      <c r="D170" s="30" t="inlineStr">
        <is>
          <t>steel - large</t>
        </is>
      </c>
      <c r="E170" s="30" t="inlineStr">
        <is>
          <t>largecap</t>
        </is>
      </c>
      <c r="F170" s="30" t="n">
        <v>47999.35</v>
      </c>
      <c r="G170" s="30" t="n">
        <v>1840</v>
      </c>
      <c r="H170" s="30" t="n">
        <v>1.12</v>
      </c>
      <c r="I170" s="30" t="n">
        <v>718142</v>
      </c>
      <c r="J170" s="30" t="inlineStr">
        <is>
          <t>532144</t>
        </is>
      </c>
    </row>
    <row r="171">
      <c r="A171" s="30" t="inlineStr">
        <is>
          <t>INDIANHUME</t>
        </is>
      </c>
      <c r="B171" s="30" t="inlineStr">
        <is>
          <t>Indian Hume Pipe Company Limited</t>
        </is>
      </c>
      <c r="C171" s="30" t="inlineStr">
        <is>
          <t>realty</t>
        </is>
      </c>
      <c r="D171" s="30" t="inlineStr">
        <is>
          <t>construction</t>
        </is>
      </c>
      <c r="E171" s="30" t="inlineStr">
        <is>
          <t>smallcap</t>
        </is>
      </c>
      <c r="F171" s="30" t="n">
        <v>2043</v>
      </c>
      <c r="G171" s="30" t="n">
        <v>392</v>
      </c>
      <c r="H171" s="30" t="n">
        <v>1.08</v>
      </c>
      <c r="I171" s="30" t="n">
        <v>19966</v>
      </c>
      <c r="J171" s="30" t="inlineStr">
        <is>
          <t>504741</t>
        </is>
      </c>
    </row>
    <row r="172">
      <c r="A172" s="30" t="inlineStr">
        <is>
          <t>FMGOETZE</t>
        </is>
      </c>
      <c r="B172" s="30" t="inlineStr">
        <is>
          <t>Federal-mogul Goetze (india) Limited.</t>
        </is>
      </c>
      <c r="C172" s="30" t="inlineStr">
        <is>
          <t>auto</t>
        </is>
      </c>
      <c r="D172" s="30" t="inlineStr">
        <is>
          <t>auto ancillaries</t>
        </is>
      </c>
      <c r="E172" s="30" t="inlineStr">
        <is>
          <t>smallcap</t>
        </is>
      </c>
      <c r="F172" s="30" t="n">
        <v>2702.61</v>
      </c>
      <c r="G172" s="30" t="n">
        <v>491</v>
      </c>
      <c r="H172" s="30" t="n">
        <v>1.07</v>
      </c>
      <c r="I172" s="30" t="n">
        <v>76946</v>
      </c>
      <c r="J172" s="30" t="inlineStr">
        <is>
          <t>505744</t>
        </is>
      </c>
    </row>
    <row r="173">
      <c r="A173" s="30" t="inlineStr">
        <is>
          <t>MAHASTEEL</t>
        </is>
      </c>
      <c r="B173" s="30" t="inlineStr">
        <is>
          <t>Mahamaya Steel Industries Limited</t>
        </is>
      </c>
      <c r="C173" s="30" t="inlineStr">
        <is>
          <t>metals &amp; mining</t>
        </is>
      </c>
      <c r="D173" s="30" t="inlineStr">
        <is>
          <t>steel - medium / small</t>
        </is>
      </c>
      <c r="E173" s="30" t="inlineStr">
        <is>
          <t>smallcap</t>
        </is>
      </c>
      <c r="F173" s="30" t="n">
        <v>1683.05</v>
      </c>
      <c r="G173" s="30" t="n">
        <v>1035</v>
      </c>
      <c r="H173" s="30" t="n">
        <v>1.06</v>
      </c>
      <c r="I173" s="30" t="n">
        <v>11772</v>
      </c>
      <c r="J173" s="30" t="inlineStr">
        <is>
          <t>513554</t>
        </is>
      </c>
    </row>
    <row r="174">
      <c r="A174" s="30" t="inlineStr">
        <is>
          <t>MOREPENLAB</t>
        </is>
      </c>
      <c r="B174" s="30" t="inlineStr">
        <is>
          <t>Morepen Laboratories Limited</t>
        </is>
      </c>
      <c r="C174" s="30" t="inlineStr">
        <is>
          <t>healthcare</t>
        </is>
      </c>
      <c r="D174" s="30" t="inlineStr">
        <is>
          <t>pharmaceuticals - indian - bulk drugs &amp; formln</t>
        </is>
      </c>
      <c r="E174" s="30" t="inlineStr">
        <is>
          <t>smallcap</t>
        </is>
      </c>
      <c r="F174" s="30" t="n">
        <v>4351.85</v>
      </c>
      <c r="G174" s="30" t="n">
        <v>80.25</v>
      </c>
      <c r="H174" s="30" t="n">
        <v>1.05</v>
      </c>
      <c r="I174" s="30" t="n">
        <v>36485619</v>
      </c>
      <c r="J174" s="30" t="inlineStr">
        <is>
          <t>500288</t>
        </is>
      </c>
    </row>
    <row r="175">
      <c r="A175" s="30" t="inlineStr">
        <is>
          <t>KTKBANK</t>
        </is>
      </c>
      <c r="B175" s="30" t="inlineStr">
        <is>
          <t>The Karnataka Bank Limited</t>
        </is>
      </c>
      <c r="C175" s="30" t="inlineStr">
        <is>
          <t>bank</t>
        </is>
      </c>
      <c r="D175" s="30" t="inlineStr">
        <is>
          <t>banks - private sector</t>
        </is>
      </c>
      <c r="E175" s="30" t="inlineStr">
        <is>
          <t>midcap</t>
        </is>
      </c>
      <c r="F175" s="30" t="n">
        <v>11603.28</v>
      </c>
      <c r="G175" s="30" t="n">
        <v>310</v>
      </c>
      <c r="H175" s="30" t="n">
        <v>1.04</v>
      </c>
      <c r="I175" s="30" t="n">
        <v>5176459</v>
      </c>
      <c r="J175" s="30" t="inlineStr">
        <is>
          <t>532652</t>
        </is>
      </c>
    </row>
    <row r="176">
      <c r="A176" s="30" t="inlineStr">
        <is>
          <t>SAKAR</t>
        </is>
      </c>
      <c r="B176" s="30" t="inlineStr">
        <is>
          <t>Sakar Healthcare Ltd</t>
        </is>
      </c>
      <c r="C176" s="30" t="inlineStr">
        <is>
          <t>healthcare</t>
        </is>
      </c>
      <c r="D176" s="30" t="inlineStr">
        <is>
          <t>pharmaceuticals - indian - bulk drugs &amp; formln</t>
        </is>
      </c>
      <c r="E176" s="30" t="inlineStr">
        <is>
          <t>smallcap</t>
        </is>
      </c>
      <c r="F176" s="30" t="n">
        <v>2046.32</v>
      </c>
      <c r="G176" s="30" t="n">
        <v>929.3</v>
      </c>
      <c r="H176" s="30" t="n">
        <v>1.04</v>
      </c>
      <c r="I176" s="30" t="n">
        <v>82718</v>
      </c>
      <c r="J176" s="30" t="inlineStr">
        <is>
          <t>538377</t>
        </is>
      </c>
    </row>
    <row r="177">
      <c r="A177" s="30" t="inlineStr">
        <is>
          <t>HIRECT</t>
        </is>
      </c>
      <c r="B177" s="30" t="inlineStr">
        <is>
          <t>Hind Rectifiers Limited</t>
        </is>
      </c>
      <c r="C177" s="30" t="inlineStr">
        <is>
          <t>consumer discretionary</t>
        </is>
      </c>
      <c r="D177" s="30" t="inlineStr">
        <is>
          <t>electronics - components</t>
        </is>
      </c>
      <c r="E177" s="30" t="inlineStr">
        <is>
          <t>smallcap</t>
        </is>
      </c>
      <c r="F177" s="30" t="n">
        <v>4599.69</v>
      </c>
      <c r="G177" s="30" t="n">
        <v>1310.2</v>
      </c>
      <c r="H177" s="30" t="n">
        <v>1</v>
      </c>
      <c r="I177" s="30" t="n">
        <v>54460</v>
      </c>
      <c r="J177" s="30" t="inlineStr">
        <is>
          <t>504036</t>
        </is>
      </c>
    </row>
    <row r="178">
      <c r="A178" s="30" t="inlineStr">
        <is>
          <t>ANDHRSUGAR</t>
        </is>
      </c>
      <c r="B178" s="30" t="inlineStr">
        <is>
          <t>The Andhra Sugars Limited</t>
        </is>
      </c>
      <c r="C178" s="30" t="inlineStr">
        <is>
          <t>chemicals</t>
        </is>
      </c>
      <c r="D178" s="30" t="inlineStr">
        <is>
          <t>chlor alkali / soda ash</t>
        </is>
      </c>
      <c r="E178" s="30" t="inlineStr">
        <is>
          <t>smallcap</t>
        </is>
      </c>
      <c r="F178" s="30" t="n">
        <v>1180.78</v>
      </c>
      <c r="G178" s="30" t="n">
        <v>87.98</v>
      </c>
      <c r="H178" s="30" t="n">
        <v>0.99</v>
      </c>
      <c r="I178" s="30" t="n">
        <v>646696</v>
      </c>
      <c r="J178" s="30" t="inlineStr">
        <is>
          <t>590062</t>
        </is>
      </c>
    </row>
    <row r="179">
      <c r="A179" s="30" t="inlineStr">
        <is>
          <t>CHOICEIN</t>
        </is>
      </c>
      <c r="B179" s="30" t="inlineStr">
        <is>
          <t>Choice International Ltd</t>
        </is>
      </c>
      <c r="C179" s="30" t="inlineStr">
        <is>
          <t>financials</t>
        </is>
      </c>
      <c r="D179" s="30" t="inlineStr">
        <is>
          <t>finance &amp; investments</t>
        </is>
      </c>
      <c r="E179" s="30" t="inlineStr">
        <is>
          <t>midcap</t>
        </is>
      </c>
      <c r="F179" s="30" t="n">
        <v>18561.74</v>
      </c>
      <c r="G179" s="30" t="n">
        <v>841.15</v>
      </c>
      <c r="H179" s="30" t="n">
        <v>0.95</v>
      </c>
      <c r="I179" s="30" t="n">
        <v>694855</v>
      </c>
      <c r="J179" s="30" t="inlineStr">
        <is>
          <t>531358</t>
        </is>
      </c>
    </row>
    <row r="180">
      <c r="A180" s="30" t="inlineStr">
        <is>
          <t>BEPL</t>
        </is>
      </c>
      <c r="B180" s="30" t="inlineStr">
        <is>
          <t>Bhansali Engineering Polymers Limited</t>
        </is>
      </c>
      <c r="C180" s="30" t="inlineStr">
        <is>
          <t>energy</t>
        </is>
      </c>
      <c r="D180" s="30" t="inlineStr">
        <is>
          <t>petrochemicals</t>
        </is>
      </c>
      <c r="E180" s="30" t="inlineStr">
        <is>
          <t>smallcap</t>
        </is>
      </c>
      <c r="F180" s="30" t="n">
        <v>3046.53</v>
      </c>
      <c r="G180" s="30" t="n">
        <v>123.57</v>
      </c>
      <c r="H180" s="30" t="n">
        <v>0.9399999999999999</v>
      </c>
      <c r="I180" s="30" t="n">
        <v>2585819</v>
      </c>
      <c r="J180" s="30" t="inlineStr">
        <is>
          <t>500052</t>
        </is>
      </c>
    </row>
    <row r="181">
      <c r="A181" s="30" t="inlineStr">
        <is>
          <t>ENDURANCE</t>
        </is>
      </c>
      <c r="B181" s="30" t="inlineStr">
        <is>
          <t>Endurance Technologies Limited</t>
        </is>
      </c>
      <c r="C181" s="30" t="inlineStr">
        <is>
          <t>auto</t>
        </is>
      </c>
      <c r="D181" s="30" t="inlineStr">
        <is>
          <t>auto ancillaries</t>
        </is>
      </c>
      <c r="E181" s="30" t="inlineStr">
        <is>
          <t>largecap</t>
        </is>
      </c>
      <c r="F181" s="30" t="n">
        <v>40478.55</v>
      </c>
      <c r="G181" s="30" t="n">
        <v>2904.5</v>
      </c>
      <c r="H181" s="30" t="n">
        <v>0.93</v>
      </c>
      <c r="I181" s="30" t="n">
        <v>80767</v>
      </c>
      <c r="J181" s="30" t="inlineStr">
        <is>
          <t>540153</t>
        </is>
      </c>
    </row>
    <row r="182">
      <c r="A182" s="30" t="inlineStr">
        <is>
          <t>NITINSPIN</t>
        </is>
      </c>
      <c r="B182" s="30" t="inlineStr">
        <is>
          <t>Nitin Spinners Limited</t>
        </is>
      </c>
      <c r="C182" s="30" t="inlineStr">
        <is>
          <t>textiles</t>
        </is>
      </c>
      <c r="D182" s="30" t="inlineStr">
        <is>
          <t>textiles - cotton/blended</t>
        </is>
      </c>
      <c r="E182" s="30" t="inlineStr">
        <is>
          <t>smallcap</t>
        </is>
      </c>
      <c r="F182" s="30" t="n">
        <v>3217.75</v>
      </c>
      <c r="G182" s="30" t="n">
        <v>577.4</v>
      </c>
      <c r="H182" s="30" t="n">
        <v>0.88</v>
      </c>
      <c r="I182" s="30" t="n">
        <v>69102</v>
      </c>
      <c r="J182" s="30" t="inlineStr">
        <is>
          <t>532698</t>
        </is>
      </c>
    </row>
    <row r="183">
      <c r="A183" s="30" t="inlineStr">
        <is>
          <t>THYROCARE</t>
        </is>
      </c>
      <c r="B183" s="30" t="inlineStr">
        <is>
          <t>Thyrocare Technologies Limited</t>
        </is>
      </c>
      <c r="C183" s="30" t="inlineStr">
        <is>
          <t>healthcare</t>
        </is>
      </c>
      <c r="D183" s="30" t="inlineStr">
        <is>
          <t>healthcare</t>
        </is>
      </c>
      <c r="E183" s="30" t="inlineStr">
        <is>
          <t>midcap</t>
        </is>
      </c>
      <c r="F183" s="30" t="n">
        <v>9518.879999999999</v>
      </c>
      <c r="G183" s="30" t="n">
        <v>603.25</v>
      </c>
      <c r="H183" s="30" t="n">
        <v>0.87</v>
      </c>
      <c r="I183" s="30" t="n">
        <v>208882</v>
      </c>
      <c r="J183" s="30" t="inlineStr">
        <is>
          <t>539871</t>
        </is>
      </c>
    </row>
    <row r="184">
      <c r="A184" s="30" t="inlineStr">
        <is>
          <t>INDSWFTLAB</t>
        </is>
      </c>
      <c r="B184" s="30" t="inlineStr">
        <is>
          <t>Ind-swift Laboratories Limited</t>
        </is>
      </c>
      <c r="C184" s="30" t="inlineStr">
        <is>
          <t>healthcare</t>
        </is>
      </c>
      <c r="D184" s="30" t="inlineStr">
        <is>
          <t>pharmaceuticals - indian - bulk drugs &amp; formln</t>
        </is>
      </c>
      <c r="E184" s="30" t="inlineStr">
        <is>
          <t>smallcap</t>
        </is>
      </c>
      <c r="F184" s="30" t="n">
        <v>1969.51</v>
      </c>
      <c r="G184" s="30" t="n">
        <v>228.41</v>
      </c>
      <c r="H184" s="30" t="n">
        <v>0.85</v>
      </c>
      <c r="I184" s="30" t="n">
        <v>277067</v>
      </c>
      <c r="J184" s="30" t="inlineStr">
        <is>
          <t>532305</t>
        </is>
      </c>
    </row>
    <row r="185">
      <c r="A185" s="30" t="inlineStr">
        <is>
          <t>SOLARINDS</t>
        </is>
      </c>
      <c r="B185" s="30" t="inlineStr">
        <is>
          <t>Solar Industries India Limited</t>
        </is>
      </c>
      <c r="C185" s="30" t="inlineStr">
        <is>
          <t>aerospace &amp; defence</t>
        </is>
      </c>
      <c r="D185" s="30" t="inlineStr">
        <is>
          <t>chemicals</t>
        </is>
      </c>
      <c r="E185" s="30" t="inlineStr">
        <is>
          <t>largecap</t>
        </is>
      </c>
      <c r="F185" s="30" t="n">
        <v>167370.41</v>
      </c>
      <c r="G185" s="30" t="n">
        <v>18650</v>
      </c>
      <c r="H185" s="30" t="n">
        <v>0.83</v>
      </c>
      <c r="I185" s="30" t="n">
        <v>96633</v>
      </c>
      <c r="J185" s="30" t="inlineStr">
        <is>
          <t>532725</t>
        </is>
      </c>
    </row>
    <row r="186">
      <c r="A186" s="30" t="inlineStr">
        <is>
          <t>WSTCSTPAPR</t>
        </is>
      </c>
      <c r="B186" s="30" t="inlineStr">
        <is>
          <t>West Coast Paper Mills Limited</t>
        </is>
      </c>
      <c r="C186" s="30" t="inlineStr">
        <is>
          <t>building materials</t>
        </is>
      </c>
      <c r="D186" s="30" t="inlineStr">
        <is>
          <t>paper</t>
        </is>
      </c>
      <c r="E186" s="30" t="inlineStr">
        <is>
          <t>smallcap</t>
        </is>
      </c>
      <c r="F186" s="30" t="n">
        <v>3925.62</v>
      </c>
      <c r="G186" s="30" t="n">
        <v>599.1</v>
      </c>
      <c r="H186" s="30" t="n">
        <v>0.8</v>
      </c>
      <c r="I186" s="30" t="n">
        <v>129197</v>
      </c>
      <c r="J186" s="30" t="inlineStr">
        <is>
          <t>500444</t>
        </is>
      </c>
    </row>
    <row r="187">
      <c r="A187" s="30" t="inlineStr">
        <is>
          <t>STLTECH</t>
        </is>
      </c>
      <c r="B187" s="30" t="inlineStr">
        <is>
          <t>Sterlite Technologies Limited</t>
        </is>
      </c>
      <c r="C187" s="30" t="inlineStr">
        <is>
          <t>industrials</t>
        </is>
      </c>
      <c r="D187" s="30" t="inlineStr">
        <is>
          <t>cables - telephone</t>
        </is>
      </c>
      <c r="E187" s="30" t="inlineStr">
        <is>
          <t>largecap</t>
        </is>
      </c>
      <c r="F187" s="30" t="n">
        <v>32573.31</v>
      </c>
      <c r="G187" s="30" t="n">
        <v>638.9</v>
      </c>
      <c r="H187" s="30" t="n">
        <v>0.8</v>
      </c>
      <c r="I187" s="30" t="n">
        <v>1674020</v>
      </c>
      <c r="J187" s="30" t="inlineStr">
        <is>
          <t>532374</t>
        </is>
      </c>
    </row>
    <row r="188">
      <c r="A188" s="30" t="inlineStr">
        <is>
          <t>KERNEX</t>
        </is>
      </c>
      <c r="B188" s="30" t="inlineStr">
        <is>
          <t>Kernex Microsystems (india) Limited</t>
        </is>
      </c>
      <c r="C188" s="30" t="inlineStr">
        <is>
          <t>consumer discretionary</t>
        </is>
      </c>
      <c r="D188" s="30" t="inlineStr">
        <is>
          <t>electronics - components</t>
        </is>
      </c>
      <c r="E188" s="30" t="inlineStr">
        <is>
          <t>smallcap</t>
        </is>
      </c>
      <c r="F188" s="30" t="n">
        <v>4087.48</v>
      </c>
      <c r="G188" s="30" t="n">
        <v>2451.8</v>
      </c>
      <c r="H188" s="30" t="n">
        <v>0.79</v>
      </c>
      <c r="I188" s="30" t="n">
        <v>140532</v>
      </c>
      <c r="J188" s="30" t="inlineStr">
        <is>
          <t>532686</t>
        </is>
      </c>
    </row>
    <row r="189">
      <c r="A189" s="30" t="inlineStr">
        <is>
          <t>GLAXO</t>
        </is>
      </c>
      <c r="B189" s="30" t="inlineStr">
        <is>
          <t>Glaxosmithkline Pharmaceuticals Limited</t>
        </is>
      </c>
      <c r="C189" s="30" t="inlineStr">
        <is>
          <t>healthcare</t>
        </is>
      </c>
      <c r="D189" s="30" t="inlineStr">
        <is>
          <t>pharmaceuticals - multinational</t>
        </is>
      </c>
      <c r="E189" s="30" t="inlineStr">
        <is>
          <t>largecap</t>
        </is>
      </c>
      <c r="F189" s="30" t="n">
        <v>43698.29</v>
      </c>
      <c r="G189" s="30" t="n">
        <v>2599.7</v>
      </c>
      <c r="H189" s="30" t="n">
        <v>0.78</v>
      </c>
      <c r="I189" s="30" t="n">
        <v>35022</v>
      </c>
      <c r="J189" s="30" t="inlineStr">
        <is>
          <t>500660</t>
        </is>
      </c>
    </row>
    <row r="190">
      <c r="A190" s="30" t="inlineStr">
        <is>
          <t>LAURUSLABS</t>
        </is>
      </c>
      <c r="B190" s="30" t="inlineStr">
        <is>
          <t>Laurus Labs Limited</t>
        </is>
      </c>
      <c r="C190" s="30" t="inlineStr">
        <is>
          <t>healthcare</t>
        </is>
      </c>
      <c r="D190" s="30" t="inlineStr">
        <is>
          <t>pharmaceuticals - indian - bulk drugs &amp; formln</t>
        </is>
      </c>
      <c r="E190" s="30" t="inlineStr">
        <is>
          <t>largecap</t>
        </is>
      </c>
      <c r="F190" s="30" t="n">
        <v>98865.67</v>
      </c>
      <c r="G190" s="30" t="n">
        <v>1844.3</v>
      </c>
      <c r="H190" s="30" t="n">
        <v>0.78</v>
      </c>
      <c r="I190" s="30" t="n">
        <v>3079765</v>
      </c>
      <c r="J190" s="30" t="inlineStr">
        <is>
          <t>540222</t>
        </is>
      </c>
    </row>
    <row r="191">
      <c r="A191" s="30" t="inlineStr">
        <is>
          <t>INDGN</t>
        </is>
      </c>
      <c r="B191" s="30" t="inlineStr">
        <is>
          <t>Indegene Ltd</t>
        </is>
      </c>
      <c r="C191" s="30" t="inlineStr">
        <is>
          <t>healthcare</t>
        </is>
      </c>
      <c r="D191" s="30" t="inlineStr">
        <is>
          <t>miscellaneous</t>
        </is>
      </c>
      <c r="E191" s="30" t="inlineStr">
        <is>
          <t>midcap</t>
        </is>
      </c>
      <c r="F191" s="30" t="n">
        <v>13257.31</v>
      </c>
      <c r="G191" s="30" t="n">
        <v>554.45</v>
      </c>
      <c r="H191" s="30" t="n">
        <v>0.77</v>
      </c>
      <c r="I191" s="30" t="n">
        <v>963198</v>
      </c>
      <c r="J191" s="30" t="inlineStr">
        <is>
          <t>544172</t>
        </is>
      </c>
    </row>
    <row r="192">
      <c r="A192" s="30" t="inlineStr">
        <is>
          <t>FEDERALBNK</t>
        </is>
      </c>
      <c r="B192" s="30" t="inlineStr">
        <is>
          <t>The Federal Bank  Limited</t>
        </is>
      </c>
      <c r="C192" s="30" t="inlineStr">
        <is>
          <t>bank</t>
        </is>
      </c>
      <c r="D192" s="30" t="inlineStr">
        <is>
          <t>banks - private sector</t>
        </is>
      </c>
      <c r="E192" s="30" t="inlineStr">
        <is>
          <t>largecap</t>
        </is>
      </c>
      <c r="F192" s="30" t="n">
        <v>87257.52</v>
      </c>
      <c r="G192" s="30" t="n">
        <v>356.25</v>
      </c>
      <c r="H192" s="30" t="n">
        <v>0.76</v>
      </c>
      <c r="I192" s="30" t="n">
        <v>9616174</v>
      </c>
      <c r="J192" s="30" t="inlineStr">
        <is>
          <t>500469</t>
        </is>
      </c>
    </row>
    <row r="193">
      <c r="A193" s="30" t="inlineStr">
        <is>
          <t>MANAPPURAM</t>
        </is>
      </c>
      <c r="B193" s="30" t="inlineStr">
        <is>
          <t>Manappuram Finance Limited</t>
        </is>
      </c>
      <c r="C193" s="30" t="inlineStr">
        <is>
          <t>financials</t>
        </is>
      </c>
      <c r="D193" s="30" t="inlineStr">
        <is>
          <t>finance &amp; investments</t>
        </is>
      </c>
      <c r="E193" s="30" t="inlineStr">
        <is>
          <t>largecap</t>
        </is>
      </c>
      <c r="F193" s="30" t="n">
        <v>34191.83</v>
      </c>
      <c r="G193" s="30" t="n">
        <v>366.75</v>
      </c>
      <c r="H193" s="30" t="n">
        <v>0.76</v>
      </c>
      <c r="I193" s="30" t="n">
        <v>5154230</v>
      </c>
      <c r="J193" s="30" t="inlineStr">
        <is>
          <t>531213</t>
        </is>
      </c>
    </row>
    <row r="194">
      <c r="A194" s="30" t="inlineStr">
        <is>
          <t>MANORAMA</t>
        </is>
      </c>
      <c r="B194" s="30" t="inlineStr">
        <is>
          <t>Manorama Industries Ltd</t>
        </is>
      </c>
      <c r="C194" s="30" t="inlineStr">
        <is>
          <t>fmcg</t>
        </is>
      </c>
      <c r="D194" s="30" t="inlineStr">
        <is>
          <t>food - processing - indian</t>
        </is>
      </c>
      <c r="E194" s="30" t="inlineStr">
        <is>
          <t>midcap</t>
        </is>
      </c>
      <c r="F194" s="30" t="n">
        <v>9696.07</v>
      </c>
      <c r="G194" s="30" t="n">
        <v>1636.2</v>
      </c>
      <c r="H194" s="30" t="n">
        <v>0.76</v>
      </c>
      <c r="I194" s="30" t="n">
        <v>450153</v>
      </c>
      <c r="J194" s="30" t="inlineStr">
        <is>
          <t>541974</t>
        </is>
      </c>
    </row>
    <row r="195">
      <c r="A195" s="30" t="inlineStr">
        <is>
          <t>DHAMPURSUG</t>
        </is>
      </c>
      <c r="B195" s="30" t="inlineStr">
        <is>
          <t>Dhampur Sugar Mills Limited</t>
        </is>
      </c>
      <c r="C195" s="30" t="inlineStr">
        <is>
          <t>fmcg</t>
        </is>
      </c>
      <c r="D195" s="30" t="inlineStr">
        <is>
          <t>sugar</t>
        </is>
      </c>
      <c r="E195" s="30" t="inlineStr">
        <is>
          <t>smallcap</t>
        </is>
      </c>
      <c r="F195" s="30" t="n">
        <v>960.8</v>
      </c>
      <c r="G195" s="30" t="n">
        <v>150.54</v>
      </c>
      <c r="H195" s="30" t="n">
        <v>0.76</v>
      </c>
      <c r="I195" s="30" t="n">
        <v>280699</v>
      </c>
      <c r="J195" s="30" t="inlineStr">
        <is>
          <t>500119</t>
        </is>
      </c>
    </row>
    <row r="196">
      <c r="A196" s="30" t="inlineStr">
        <is>
          <t>TANLA</t>
        </is>
      </c>
      <c r="B196" s="30" t="inlineStr">
        <is>
          <t>Tanla Solutions Limited</t>
        </is>
      </c>
      <c r="C196" s="30" t="inlineStr">
        <is>
          <t>i.t</t>
        </is>
      </c>
      <c r="D196" s="30" t="inlineStr">
        <is>
          <t>computers - software - medium / small</t>
        </is>
      </c>
      <c r="E196" s="30" t="inlineStr">
        <is>
          <t>midcap</t>
        </is>
      </c>
      <c r="F196" s="30" t="n">
        <v>8075.07</v>
      </c>
      <c r="G196" s="30" t="n">
        <v>613.55</v>
      </c>
      <c r="H196" s="30" t="n">
        <v>0.76</v>
      </c>
      <c r="I196" s="30" t="n">
        <v>580312</v>
      </c>
      <c r="J196" s="30" t="inlineStr">
        <is>
          <t>532790</t>
        </is>
      </c>
    </row>
    <row r="197">
      <c r="A197" s="30" t="inlineStr">
        <is>
          <t>TBZ</t>
        </is>
      </c>
      <c r="B197" s="30" t="inlineStr">
        <is>
          <t>Tribhovandas Bhimji Zaveri Limited</t>
        </is>
      </c>
      <c r="C197" s="30" t="inlineStr">
        <is>
          <t>consumer discretionary</t>
        </is>
      </c>
      <c r="D197" s="30" t="inlineStr">
        <is>
          <t>diamond cutting / jewellery</t>
        </is>
      </c>
      <c r="E197" s="30" t="inlineStr">
        <is>
          <t>smallcap</t>
        </is>
      </c>
      <c r="F197" s="30" t="n">
        <v>1808.4</v>
      </c>
      <c r="G197" s="30" t="n">
        <v>273</v>
      </c>
      <c r="H197" s="30" t="n">
        <v>0.74</v>
      </c>
      <c r="I197" s="30" t="n">
        <v>922618</v>
      </c>
      <c r="J197" s="30" t="inlineStr">
        <is>
          <t>534369</t>
        </is>
      </c>
    </row>
    <row r="198">
      <c r="A198" s="30" t="inlineStr">
        <is>
          <t>MAMATA</t>
        </is>
      </c>
      <c r="B198" s="30" t="inlineStr">
        <is>
          <t>Mamata Machinery Ltd</t>
        </is>
      </c>
      <c r="C198" s="30" t="inlineStr">
        <is>
          <t>industrials</t>
        </is>
      </c>
      <c r="D198" s="30" t="inlineStr">
        <is>
          <t>engineering</t>
        </is>
      </c>
      <c r="E198" s="30" t="inlineStr">
        <is>
          <t>smallcap</t>
        </is>
      </c>
      <c r="F198" s="30" t="n">
        <v>1046.08</v>
      </c>
      <c r="G198" s="30" t="n">
        <v>428</v>
      </c>
      <c r="H198" s="30" t="n">
        <v>0.68</v>
      </c>
      <c r="I198" s="30" t="n">
        <v>95907</v>
      </c>
      <c r="J198" s="30" t="inlineStr">
        <is>
          <t>544318</t>
        </is>
      </c>
    </row>
    <row r="199">
      <c r="A199" s="30" t="inlineStr">
        <is>
          <t>MINDACORP</t>
        </is>
      </c>
      <c r="B199" s="30" t="inlineStr">
        <is>
          <t>Minda Corporation Limited</t>
        </is>
      </c>
      <c r="C199" s="30" t="inlineStr">
        <is>
          <t>auto</t>
        </is>
      </c>
      <c r="D199" s="30" t="inlineStr">
        <is>
          <t>auto ancillaries</t>
        </is>
      </c>
      <c r="E199" s="30" t="inlineStr">
        <is>
          <t>midcap</t>
        </is>
      </c>
      <c r="F199" s="30" t="n">
        <v>17139.6</v>
      </c>
      <c r="G199" s="30" t="n">
        <v>721.65</v>
      </c>
      <c r="H199" s="30" t="n">
        <v>0.66</v>
      </c>
      <c r="I199" s="30" t="n">
        <v>228207</v>
      </c>
      <c r="J199" s="30" t="inlineStr">
        <is>
          <t>538962</t>
        </is>
      </c>
    </row>
    <row r="200">
      <c r="A200" s="30" t="inlineStr">
        <is>
          <t>BALRAMCHIN</t>
        </is>
      </c>
      <c r="B200" s="30" t="inlineStr">
        <is>
          <t>Balrampur Chini Mills Limited</t>
        </is>
      </c>
      <c r="C200" s="30" t="inlineStr">
        <is>
          <t>fmcg</t>
        </is>
      </c>
      <c r="D200" s="30" t="inlineStr">
        <is>
          <t>sugar</t>
        </is>
      </c>
      <c r="E200" s="30" t="inlineStr">
        <is>
          <t>midcap</t>
        </is>
      </c>
      <c r="F200" s="30" t="n">
        <v>13295.05</v>
      </c>
      <c r="G200" s="30" t="n">
        <v>633.45</v>
      </c>
      <c r="H200" s="30" t="n">
        <v>0.66</v>
      </c>
      <c r="I200" s="30" t="n">
        <v>394390</v>
      </c>
      <c r="J200" s="30" t="inlineStr">
        <is>
          <t>500038</t>
        </is>
      </c>
    </row>
    <row r="201">
      <c r="A201" s="30" t="inlineStr">
        <is>
          <t>EICHERMOT</t>
        </is>
      </c>
      <c r="B201" s="30" t="inlineStr">
        <is>
          <t>Eicher Motors Limited</t>
        </is>
      </c>
      <c r="C201" s="30" t="inlineStr">
        <is>
          <t>auto</t>
        </is>
      </c>
      <c r="D201" s="30" t="inlineStr">
        <is>
          <t>automobiles - motorcycles / mopeds</t>
        </is>
      </c>
      <c r="E201" s="30" t="inlineStr">
        <is>
          <t>largecap</t>
        </is>
      </c>
      <c r="F201" s="30" t="n">
        <v>218705.91</v>
      </c>
      <c r="G201" s="30" t="n">
        <v>8020</v>
      </c>
      <c r="H201" s="30" t="n">
        <v>0.66</v>
      </c>
      <c r="I201" s="30" t="n">
        <v>663772</v>
      </c>
      <c r="J201" s="30" t="inlineStr">
        <is>
          <t>505200</t>
        </is>
      </c>
    </row>
    <row r="202">
      <c r="A202" s="30" t="inlineStr">
        <is>
          <t>RADICO</t>
        </is>
      </c>
      <c r="B202" s="30" t="inlineStr">
        <is>
          <t>Radico Khaitan Limited</t>
        </is>
      </c>
      <c r="C202" s="30" t="inlineStr">
        <is>
          <t>fmcg</t>
        </is>
      </c>
      <c r="D202" s="30" t="inlineStr">
        <is>
          <t>breweries &amp; distilleries</t>
        </is>
      </c>
      <c r="E202" s="30" t="inlineStr">
        <is>
          <t>largecap</t>
        </is>
      </c>
      <c r="F202" s="30" t="n">
        <v>59867.31</v>
      </c>
      <c r="G202" s="30" t="n">
        <v>4499</v>
      </c>
      <c r="H202" s="30" t="n">
        <v>0.65</v>
      </c>
      <c r="I202" s="30" t="n">
        <v>594183</v>
      </c>
      <c r="J202" s="30" t="inlineStr">
        <is>
          <t>532497</t>
        </is>
      </c>
    </row>
    <row r="203">
      <c r="A203" s="30" t="inlineStr">
        <is>
          <t>PPLPHARMA</t>
        </is>
      </c>
      <c r="B203" s="30" t="inlineStr">
        <is>
          <t>Piramal Pharma Ltd</t>
        </is>
      </c>
      <c r="C203" s="30" t="inlineStr">
        <is>
          <t>healthcare</t>
        </is>
      </c>
      <c r="D203" s="30" t="inlineStr">
        <is>
          <t>pharmaceuticals - indian - bulk drugs &amp; formln</t>
        </is>
      </c>
      <c r="E203" s="30" t="inlineStr">
        <is>
          <t>largecap</t>
        </is>
      </c>
      <c r="F203" s="30" t="n">
        <v>27723.99</v>
      </c>
      <c r="G203" s="30" t="n">
        <v>209.55</v>
      </c>
      <c r="H203" s="30" t="n">
        <v>0.63</v>
      </c>
      <c r="I203" s="30" t="n">
        <v>4611692</v>
      </c>
      <c r="J203" s="30" t="inlineStr">
        <is>
          <t>543635</t>
        </is>
      </c>
    </row>
    <row r="204">
      <c r="A204" s="30" t="inlineStr">
        <is>
          <t>HITECHCORP</t>
        </is>
      </c>
      <c r="B204" s="30" t="inlineStr">
        <is>
          <t>Hitech Corporation</t>
        </is>
      </c>
      <c r="C204" s="30" t="inlineStr">
        <is>
          <t>industrials</t>
        </is>
      </c>
      <c r="D204" s="30" t="inlineStr">
        <is>
          <t>packaging</t>
        </is>
      </c>
      <c r="E204" s="30" t="inlineStr">
        <is>
          <t>smallcap</t>
        </is>
      </c>
      <c r="F204" s="30" t="n">
        <v>549.79</v>
      </c>
      <c r="G204" s="30" t="n">
        <v>322.05</v>
      </c>
      <c r="H204" s="30" t="n">
        <v>0.61</v>
      </c>
      <c r="I204" s="30" t="n">
        <v>4477</v>
      </c>
      <c r="J204" s="30" t="inlineStr">
        <is>
          <t>526217</t>
        </is>
      </c>
    </row>
    <row r="205">
      <c r="A205" s="30" t="inlineStr">
        <is>
          <t>BHARTIARTL</t>
        </is>
      </c>
      <c r="B205" s="30" t="inlineStr">
        <is>
          <t>Bharti Airtel Limited</t>
        </is>
      </c>
      <c r="C205" s="30" t="inlineStr">
        <is>
          <t>telecom-service</t>
        </is>
      </c>
      <c r="D205" s="30" t="inlineStr">
        <is>
          <t>telecommunications - service provider</t>
        </is>
      </c>
      <c r="E205" s="30" t="inlineStr">
        <is>
          <t>largecap</t>
        </is>
      </c>
      <c r="F205" s="30" t="n">
        <v>1215776.86</v>
      </c>
      <c r="G205" s="30" t="n">
        <v>1959.9</v>
      </c>
      <c r="H205" s="30" t="n">
        <v>0.61</v>
      </c>
      <c r="I205" s="30" t="n">
        <v>5686046</v>
      </c>
      <c r="J205" s="30" t="inlineStr">
        <is>
          <t>532454</t>
        </is>
      </c>
    </row>
    <row r="206">
      <c r="A206" s="30" t="inlineStr">
        <is>
          <t>UNIONBANK</t>
        </is>
      </c>
      <c r="B206" s="30" t="inlineStr">
        <is>
          <t>Union Bank Of India Ltd</t>
        </is>
      </c>
      <c r="C206" s="30" t="inlineStr">
        <is>
          <t>bank</t>
        </is>
      </c>
      <c r="D206" s="30" t="inlineStr">
        <is>
          <t>banks - public sector</t>
        </is>
      </c>
      <c r="E206" s="30" t="inlineStr">
        <is>
          <t>largecap</t>
        </is>
      </c>
      <c r="F206" s="30" t="n">
        <v>139313.3</v>
      </c>
      <c r="G206" s="30" t="n">
        <v>183.6</v>
      </c>
      <c r="H206" s="30" t="n">
        <v>0.6</v>
      </c>
      <c r="I206" s="30" t="n">
        <v>44089427</v>
      </c>
      <c r="J206" s="30" t="inlineStr">
        <is>
          <t>532477</t>
        </is>
      </c>
    </row>
    <row r="207">
      <c r="A207" s="30" t="inlineStr">
        <is>
          <t>OFSS</t>
        </is>
      </c>
      <c r="B207" s="30" t="inlineStr">
        <is>
          <t>Oracle Financial Services Software Limited</t>
        </is>
      </c>
      <c r="C207" s="30" t="inlineStr">
        <is>
          <t>i.t</t>
        </is>
      </c>
      <c r="D207" s="30" t="inlineStr">
        <is>
          <t>computers - software - large</t>
        </is>
      </c>
      <c r="E207" s="30" t="inlineStr">
        <is>
          <t>largecap</t>
        </is>
      </c>
      <c r="F207" s="30" t="n">
        <v>102179.16</v>
      </c>
      <c r="G207" s="30" t="n">
        <v>11805</v>
      </c>
      <c r="H207" s="30" t="n">
        <v>0.6</v>
      </c>
      <c r="I207" s="30" t="n">
        <v>371771</v>
      </c>
      <c r="J207" s="30" t="inlineStr">
        <is>
          <t>532466</t>
        </is>
      </c>
    </row>
    <row r="208">
      <c r="A208" s="30" t="inlineStr">
        <is>
          <t>WINDLAS</t>
        </is>
      </c>
      <c r="B208" s="30" t="inlineStr">
        <is>
          <t>Windlas Biotech Ltd</t>
        </is>
      </c>
      <c r="C208" s="30" t="inlineStr">
        <is>
          <t>healthcare</t>
        </is>
      </c>
      <c r="D208" s="30" t="inlineStr">
        <is>
          <t>pharmaceuticals - indian - formulations</t>
        </is>
      </c>
      <c r="E208" s="30" t="inlineStr">
        <is>
          <t>smallcap</t>
        </is>
      </c>
      <c r="F208" s="30" t="n">
        <v>1803.09</v>
      </c>
      <c r="G208" s="30" t="n">
        <v>879</v>
      </c>
      <c r="H208" s="30" t="n">
        <v>0.6</v>
      </c>
      <c r="I208" s="30" t="n">
        <v>59521</v>
      </c>
      <c r="J208" s="30" t="inlineStr">
        <is>
          <t>543329</t>
        </is>
      </c>
    </row>
    <row r="209">
      <c r="A209" s="30" t="inlineStr">
        <is>
          <t>RGL</t>
        </is>
      </c>
      <c r="B209" s="30" t="inlineStr">
        <is>
          <t>Renaissance Global Ltd</t>
        </is>
      </c>
      <c r="C209" s="30" t="inlineStr">
        <is>
          <t>consumer discretionary</t>
        </is>
      </c>
      <c r="D209" s="30" t="inlineStr">
        <is>
          <t>diamond cutting / jewellery</t>
        </is>
      </c>
      <c r="E209" s="30" t="inlineStr">
        <is>
          <t>smallcap</t>
        </is>
      </c>
      <c r="F209" s="30" t="n">
        <v>1315.05</v>
      </c>
      <c r="G209" s="30" t="n">
        <v>123.2</v>
      </c>
      <c r="H209" s="30" t="n">
        <v>0.59</v>
      </c>
      <c r="I209" s="30" t="n">
        <v>621597</v>
      </c>
      <c r="J209" s="30" t="inlineStr">
        <is>
          <t>532923</t>
        </is>
      </c>
    </row>
    <row r="210">
      <c r="A210" s="30" t="inlineStr">
        <is>
          <t>RAJRATAN</t>
        </is>
      </c>
      <c r="B210" s="30" t="inlineStr">
        <is>
          <t>Rajratan Global Wire Ltd</t>
        </is>
      </c>
      <c r="C210" s="30" t="inlineStr">
        <is>
          <t>metals &amp; mining</t>
        </is>
      </c>
      <c r="D210" s="30" t="inlineStr">
        <is>
          <t>steel - medium / small</t>
        </is>
      </c>
      <c r="E210" s="30" t="inlineStr">
        <is>
          <t>smallcap</t>
        </is>
      </c>
      <c r="F210" s="30" t="n">
        <v>2649.99</v>
      </c>
      <c r="G210" s="30" t="n">
        <v>525</v>
      </c>
      <c r="H210" s="30" t="n">
        <v>0.58</v>
      </c>
      <c r="I210" s="30" t="n">
        <v>77052</v>
      </c>
      <c r="J210" s="30" t="inlineStr">
        <is>
          <t>517522</t>
        </is>
      </c>
    </row>
    <row r="211">
      <c r="A211" s="30" t="inlineStr">
        <is>
          <t>INDUSINDBK</t>
        </is>
      </c>
      <c r="B211" s="30" t="inlineStr">
        <is>
          <t>Indusind Bank Limited</t>
        </is>
      </c>
      <c r="C211" s="30" t="inlineStr">
        <is>
          <t>bank</t>
        </is>
      </c>
      <c r="D211" s="30" t="inlineStr">
        <is>
          <t>banks - private sector</t>
        </is>
      </c>
      <c r="E211" s="30" t="inlineStr">
        <is>
          <t>largecap</t>
        </is>
      </c>
      <c r="F211" s="30" t="n">
        <v>79175.47</v>
      </c>
      <c r="G211" s="30" t="n">
        <v>1022</v>
      </c>
      <c r="H211" s="30" t="n">
        <v>0.57</v>
      </c>
      <c r="I211" s="30" t="n">
        <v>3352914</v>
      </c>
      <c r="J211" s="30" t="inlineStr">
        <is>
          <t>532187</t>
        </is>
      </c>
    </row>
    <row r="212">
      <c r="A212" s="30" t="inlineStr">
        <is>
          <t>BCLIND</t>
        </is>
      </c>
      <c r="B212" s="30" t="inlineStr">
        <is>
          <t>BCL Industries Ltd</t>
        </is>
      </c>
      <c r="C212" s="30" t="inlineStr">
        <is>
          <t>fmcg</t>
        </is>
      </c>
      <c r="D212" s="30" t="inlineStr">
        <is>
          <t>breweries &amp; distilleries</t>
        </is>
      </c>
      <c r="E212" s="30" t="inlineStr">
        <is>
          <t>smallcap</t>
        </is>
      </c>
      <c r="F212" s="30" t="n">
        <v>1084.73</v>
      </c>
      <c r="G212" s="30" t="n">
        <v>36.96</v>
      </c>
      <c r="H212" s="30" t="n">
        <v>0.57</v>
      </c>
      <c r="I212" s="30" t="n">
        <v>367704</v>
      </c>
      <c r="J212" s="30" t="inlineStr">
        <is>
          <t>524332</t>
        </is>
      </c>
    </row>
    <row r="213">
      <c r="A213" s="30" t="inlineStr">
        <is>
          <t>SHRIPISTON</t>
        </is>
      </c>
      <c r="B213" s="30" t="inlineStr">
        <is>
          <t>Shriram Pistons &amp; Rings Limited</t>
        </is>
      </c>
      <c r="C213" s="30" t="inlineStr">
        <is>
          <t>auto</t>
        </is>
      </c>
      <c r="D213" s="30" t="inlineStr">
        <is>
          <t>auto ancillaries</t>
        </is>
      </c>
      <c r="E213" s="30" t="inlineStr">
        <is>
          <t>midcap</t>
        </is>
      </c>
      <c r="F213" s="30" t="n">
        <v>19053.31</v>
      </c>
      <c r="G213" s="30" t="n">
        <v>4350</v>
      </c>
      <c r="H213" s="30" t="n">
        <v>0.57</v>
      </c>
      <c r="I213" s="30" t="n">
        <v>56486</v>
      </c>
      <c r="J213" s="30" t="n"/>
    </row>
    <row r="214">
      <c r="A214" s="30" t="inlineStr">
        <is>
          <t>UNOMINDA</t>
        </is>
      </c>
      <c r="B214" s="30" t="inlineStr">
        <is>
          <t>Uno Minda Ltd</t>
        </is>
      </c>
      <c r="C214" s="30" t="inlineStr">
        <is>
          <t>auto</t>
        </is>
      </c>
      <c r="D214" s="30" t="inlineStr">
        <is>
          <t>auto ancillaries</t>
        </is>
      </c>
      <c r="E214" s="30" t="inlineStr">
        <is>
          <t>largecap</t>
        </is>
      </c>
      <c r="F214" s="30" t="n">
        <v>73800.31</v>
      </c>
      <c r="G214" s="30" t="n">
        <v>1285</v>
      </c>
      <c r="H214" s="30" t="n">
        <v>0.55</v>
      </c>
      <c r="I214" s="30" t="n">
        <v>1109626</v>
      </c>
      <c r="J214" s="30" t="inlineStr">
        <is>
          <t>532539</t>
        </is>
      </c>
    </row>
    <row r="215">
      <c r="A215" s="30" t="inlineStr">
        <is>
          <t>TALBROAUTO</t>
        </is>
      </c>
      <c r="B215" s="30" t="inlineStr">
        <is>
          <t>Talbros Automotive Components Limited</t>
        </is>
      </c>
      <c r="C215" s="30" t="inlineStr">
        <is>
          <t>auto</t>
        </is>
      </c>
      <c r="D215" s="30" t="inlineStr">
        <is>
          <t>auto ancillaries</t>
        </is>
      </c>
      <c r="E215" s="30" t="inlineStr">
        <is>
          <t>smallcap</t>
        </is>
      </c>
      <c r="F215" s="30" t="n">
        <v>2697.52</v>
      </c>
      <c r="G215" s="30" t="n">
        <v>439.35</v>
      </c>
      <c r="H215" s="30" t="n">
        <v>0.54</v>
      </c>
      <c r="I215" s="30" t="n">
        <v>120446</v>
      </c>
      <c r="J215" s="30" t="inlineStr">
        <is>
          <t>505160</t>
        </is>
      </c>
    </row>
    <row r="216">
      <c r="A216" s="30" t="inlineStr">
        <is>
          <t>SUNFLAG</t>
        </is>
      </c>
      <c r="B216" s="30" t="inlineStr">
        <is>
          <t>Sunflag Iron And Steel Company Limited</t>
        </is>
      </c>
      <c r="C216" s="30" t="inlineStr">
        <is>
          <t>metals &amp; mining</t>
        </is>
      </c>
      <c r="D216" s="30" t="inlineStr">
        <is>
          <t>steel - medium / small</t>
        </is>
      </c>
      <c r="E216" s="30" t="inlineStr">
        <is>
          <t>midcap</t>
        </is>
      </c>
      <c r="F216" s="30" t="n">
        <v>7009.64</v>
      </c>
      <c r="G216" s="30" t="n">
        <v>391</v>
      </c>
      <c r="H216" s="30" t="n">
        <v>0.53</v>
      </c>
      <c r="I216" s="30" t="n">
        <v>305259</v>
      </c>
      <c r="J216" s="30" t="inlineStr">
        <is>
          <t>500404</t>
        </is>
      </c>
    </row>
    <row r="217">
      <c r="A217" s="30" t="inlineStr">
        <is>
          <t>MONARCH</t>
        </is>
      </c>
      <c r="B217" s="30" t="inlineStr">
        <is>
          <t>Monarch Networth Capital Ltd</t>
        </is>
      </c>
      <c r="C217" s="30" t="inlineStr">
        <is>
          <t>financials</t>
        </is>
      </c>
      <c r="D217" s="30" t="inlineStr">
        <is>
          <t>finance &amp; investments</t>
        </is>
      </c>
      <c r="E217" s="30" t="inlineStr">
        <is>
          <t>smallcap</t>
        </is>
      </c>
      <c r="F217" s="30" t="n">
        <v>3081.92</v>
      </c>
      <c r="G217" s="30" t="n">
        <v>390.65</v>
      </c>
      <c r="H217" s="30" t="n">
        <v>0.53</v>
      </c>
      <c r="I217" s="30" t="n">
        <v>80561</v>
      </c>
      <c r="J217" s="30" t="inlineStr">
        <is>
          <t>511551</t>
        </is>
      </c>
    </row>
    <row r="218">
      <c r="A218" s="30" t="inlineStr">
        <is>
          <t>RACLGEAR</t>
        </is>
      </c>
      <c r="B218" s="30" t="inlineStr">
        <is>
          <t>RACL Geartech Ltd</t>
        </is>
      </c>
      <c r="C218" s="30" t="inlineStr">
        <is>
          <t>auto</t>
        </is>
      </c>
      <c r="D218" s="30" t="inlineStr">
        <is>
          <t>auto ancillaries</t>
        </is>
      </c>
      <c r="E218" s="30" t="inlineStr">
        <is>
          <t>smallcap</t>
        </is>
      </c>
      <c r="F218" s="30" t="n">
        <v>1738.74</v>
      </c>
      <c r="G218" s="30" t="n">
        <v>1482.7</v>
      </c>
      <c r="H218" s="30" t="n">
        <v>0.52</v>
      </c>
      <c r="I218" s="30" t="n">
        <v>77550</v>
      </c>
      <c r="J218" s="30" t="inlineStr">
        <is>
          <t>520073</t>
        </is>
      </c>
    </row>
    <row r="219">
      <c r="A219" s="30" t="inlineStr">
        <is>
          <t>JAMNAAUTO</t>
        </is>
      </c>
      <c r="B219" s="30" t="inlineStr">
        <is>
          <t>Jamna Auto Industries Limited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midcap</t>
        </is>
      </c>
      <c r="F219" s="30" t="n">
        <v>5755.73</v>
      </c>
      <c r="G219" s="30" t="n">
        <v>144.7</v>
      </c>
      <c r="H219" s="30" t="n">
        <v>0.51</v>
      </c>
      <c r="I219" s="30" t="n">
        <v>6566071</v>
      </c>
      <c r="J219" s="30" t="inlineStr">
        <is>
          <t>520051</t>
        </is>
      </c>
    </row>
    <row r="220">
      <c r="A220" s="30" t="inlineStr">
        <is>
          <t>PVRINOX</t>
        </is>
      </c>
      <c r="B220" s="30" t="inlineStr">
        <is>
          <t>PVR Inox Ltd</t>
        </is>
      </c>
      <c r="C220" s="30" t="inlineStr">
        <is>
          <t>media</t>
        </is>
      </c>
      <c r="D220" s="30" t="inlineStr">
        <is>
          <t>entertainment / electronic media software</t>
        </is>
      </c>
      <c r="E220" s="30" t="inlineStr">
        <is>
          <t>midcap</t>
        </is>
      </c>
      <c r="F220" s="30" t="n">
        <v>11296.92</v>
      </c>
      <c r="G220" s="30" t="n">
        <v>1156</v>
      </c>
      <c r="H220" s="30" t="n">
        <v>0.49</v>
      </c>
      <c r="I220" s="30" t="n">
        <v>137511</v>
      </c>
      <c r="J220" s="30" t="inlineStr">
        <is>
          <t>532689</t>
        </is>
      </c>
    </row>
    <row r="221">
      <c r="A221" s="30" t="inlineStr">
        <is>
          <t>TI</t>
        </is>
      </c>
      <c r="B221" s="30" t="inlineStr">
        <is>
          <t>Tilaknagar Industries Limited</t>
        </is>
      </c>
      <c r="C221" s="30" t="inlineStr">
        <is>
          <t>fmcg</t>
        </is>
      </c>
      <c r="D221" s="30" t="inlineStr">
        <is>
          <t>breweries &amp; distilleries</t>
        </is>
      </c>
      <c r="E221" s="30" t="inlineStr">
        <is>
          <t>midcap</t>
        </is>
      </c>
      <c r="F221" s="30" t="n">
        <v>12087.86</v>
      </c>
      <c r="G221" s="30" t="n">
        <v>490.75</v>
      </c>
      <c r="H221" s="30" t="n">
        <v>0.47</v>
      </c>
      <c r="I221" s="30" t="n">
        <v>783049</v>
      </c>
      <c r="J221" s="30" t="inlineStr">
        <is>
          <t>507205</t>
        </is>
      </c>
    </row>
    <row r="222">
      <c r="A222" s="30" t="inlineStr">
        <is>
          <t>SYRMA</t>
        </is>
      </c>
      <c r="B222" s="30" t="inlineStr">
        <is>
          <t>Syrma SGS Technology Ltd</t>
        </is>
      </c>
      <c r="C222" s="30" t="inlineStr">
        <is>
          <t>consumer discretionary</t>
        </is>
      </c>
      <c r="D222" s="30" t="inlineStr">
        <is>
          <t>electronics - components</t>
        </is>
      </c>
      <c r="E222" s="30" t="inlineStr">
        <is>
          <t>largecap</t>
        </is>
      </c>
      <c r="F222" s="30" t="n">
        <v>27343.36</v>
      </c>
      <c r="G222" s="30" t="n">
        <v>1424.7</v>
      </c>
      <c r="H222" s="30" t="n">
        <v>0.47</v>
      </c>
      <c r="I222" s="30" t="n">
        <v>509562</v>
      </c>
      <c r="J222" s="30" t="inlineStr">
        <is>
          <t>543573</t>
        </is>
      </c>
    </row>
    <row r="223">
      <c r="A223" s="30" t="inlineStr">
        <is>
          <t>ARE&amp;M</t>
        </is>
      </c>
      <c r="B223" s="30" t="inlineStr">
        <is>
          <t>Amara Raja Energy &amp; Mobility Ltd</t>
        </is>
      </c>
      <c r="C223" s="30" t="inlineStr">
        <is>
          <t>auto</t>
        </is>
      </c>
      <c r="D223" s="30" t="inlineStr">
        <is>
          <t>auto ancillaries</t>
        </is>
      </c>
      <c r="E223" s="30" t="inlineStr">
        <is>
          <t>midcap</t>
        </is>
      </c>
      <c r="F223" s="30" t="n">
        <v>16974.69</v>
      </c>
      <c r="G223" s="30" t="n">
        <v>931.7</v>
      </c>
      <c r="H223" s="30" t="n">
        <v>0.46</v>
      </c>
      <c r="I223" s="30" t="n">
        <v>498955</v>
      </c>
      <c r="J223" s="30" t="inlineStr">
        <is>
          <t>500008</t>
        </is>
      </c>
    </row>
    <row r="224">
      <c r="A224" s="30" t="inlineStr">
        <is>
          <t>AETHER</t>
        </is>
      </c>
      <c r="B224" s="30" t="inlineStr">
        <is>
          <t>Aether Industries Ltd</t>
        </is>
      </c>
      <c r="C224" s="30" t="inlineStr">
        <is>
          <t>chemicals</t>
        </is>
      </c>
      <c r="D224" s="30" t="inlineStr">
        <is>
          <t>chemicals</t>
        </is>
      </c>
      <c r="E224" s="30" t="inlineStr">
        <is>
          <t>largecap</t>
        </is>
      </c>
      <c r="F224" s="30" t="n">
        <v>21026.98</v>
      </c>
      <c r="G224" s="30" t="n">
        <v>1591.6</v>
      </c>
      <c r="H224" s="30" t="n">
        <v>0.45</v>
      </c>
      <c r="I224" s="30" t="n">
        <v>165723</v>
      </c>
      <c r="J224" s="30" t="inlineStr">
        <is>
          <t>543534</t>
        </is>
      </c>
    </row>
    <row r="225">
      <c r="A225" s="30" t="inlineStr">
        <is>
          <t>PNB</t>
        </is>
      </c>
      <c r="B225" s="30" t="inlineStr">
        <is>
          <t>Punjab National Bank Ltd</t>
        </is>
      </c>
      <c r="C225" s="30" t="inlineStr">
        <is>
          <t>bank</t>
        </is>
      </c>
      <c r="D225" s="30" t="inlineStr">
        <is>
          <t>banks - public sector</t>
        </is>
      </c>
      <c r="E225" s="30" t="inlineStr">
        <is>
          <t>largecap</t>
        </is>
      </c>
      <c r="F225" s="30" t="n">
        <v>131364.34</v>
      </c>
      <c r="G225" s="30" t="n">
        <v>114.81</v>
      </c>
      <c r="H225" s="30" t="n">
        <v>0.45</v>
      </c>
      <c r="I225" s="30" t="n">
        <v>22232181</v>
      </c>
      <c r="J225" s="30" t="inlineStr">
        <is>
          <t>532461</t>
        </is>
      </c>
    </row>
    <row r="226">
      <c r="A226" s="30" t="inlineStr">
        <is>
          <t>RATEGAIN</t>
        </is>
      </c>
      <c r="B226" s="30" t="inlineStr">
        <is>
          <t>Rategain Travel Technologies Ltd</t>
        </is>
      </c>
      <c r="C226" s="30" t="inlineStr">
        <is>
          <t>i.t</t>
        </is>
      </c>
      <c r="D226" s="30" t="inlineStr">
        <is>
          <t>computers - software - medium / small</t>
        </is>
      </c>
      <c r="E226" s="30" t="inlineStr">
        <is>
          <t>midcap</t>
        </is>
      </c>
      <c r="F226" s="30" t="n">
        <v>11190.62</v>
      </c>
      <c r="G226" s="30" t="n">
        <v>949.15</v>
      </c>
      <c r="H226" s="30" t="n">
        <v>0.44</v>
      </c>
      <c r="I226" s="30" t="n">
        <v>909627</v>
      </c>
      <c r="J226" s="30" t="inlineStr">
        <is>
          <t>543417</t>
        </is>
      </c>
    </row>
    <row r="227">
      <c r="A227" s="30" t="inlineStr">
        <is>
          <t>UFLEX</t>
        </is>
      </c>
      <c r="B227" s="30" t="inlineStr">
        <is>
          <t>Uflex Limited</t>
        </is>
      </c>
      <c r="C227" s="30" t="inlineStr">
        <is>
          <t>industrials</t>
        </is>
      </c>
      <c r="D227" s="30" t="inlineStr">
        <is>
          <t>packaging</t>
        </is>
      </c>
      <c r="E227" s="30" t="inlineStr">
        <is>
          <t>smallcap</t>
        </is>
      </c>
      <c r="F227" s="30" t="n">
        <v>3494.31</v>
      </c>
      <c r="G227" s="30" t="n">
        <v>486</v>
      </c>
      <c r="H227" s="30" t="n">
        <v>0.43</v>
      </c>
      <c r="I227" s="30" t="n">
        <v>262987</v>
      </c>
      <c r="J227" s="30" t="inlineStr">
        <is>
          <t>500148</t>
        </is>
      </c>
    </row>
    <row r="228">
      <c r="A228" s="30" t="inlineStr">
        <is>
          <t>TINNARUBR</t>
        </is>
      </c>
      <c r="B228" s="30" t="inlineStr">
        <is>
          <t>Tinna Rubber &amp; Infrastructure Ltd</t>
        </is>
      </c>
      <c r="C228" s="30" t="inlineStr">
        <is>
          <t>fmcg</t>
        </is>
      </c>
      <c r="D228" s="30" t="inlineStr">
        <is>
          <t>miscellaneous</t>
        </is>
      </c>
      <c r="E228" s="30" t="inlineStr">
        <is>
          <t>smallcap</t>
        </is>
      </c>
      <c r="F228" s="30" t="n">
        <v>1982.81</v>
      </c>
      <c r="G228" s="30" t="n">
        <v>1105.2</v>
      </c>
      <c r="H228" s="30" t="n">
        <v>0.42</v>
      </c>
      <c r="I228" s="30" t="n">
        <v>24643</v>
      </c>
      <c r="J228" s="30" t="inlineStr">
        <is>
          <t>530475</t>
        </is>
      </c>
    </row>
    <row r="229">
      <c r="A229" s="30" t="inlineStr">
        <is>
          <t>ORBTEXP</t>
        </is>
      </c>
      <c r="B229" s="30" t="inlineStr">
        <is>
          <t>Orbit Exports Limited</t>
        </is>
      </c>
      <c r="C229" s="30" t="inlineStr">
        <is>
          <t>textiles</t>
        </is>
      </c>
      <c r="D229" s="30" t="inlineStr">
        <is>
          <t>textiles - processing</t>
        </is>
      </c>
      <c r="E229" s="30" t="inlineStr">
        <is>
          <t>smallcap</t>
        </is>
      </c>
      <c r="F229" s="30" t="n">
        <v>662.62</v>
      </c>
      <c r="G229" s="30" t="n">
        <v>250.99</v>
      </c>
      <c r="H229" s="30" t="n">
        <v>0.42</v>
      </c>
      <c r="I229" s="30" t="n">
        <v>115882</v>
      </c>
      <c r="J229" s="30" t="inlineStr">
        <is>
          <t>512626</t>
        </is>
      </c>
    </row>
    <row r="230">
      <c r="A230" s="30" t="inlineStr">
        <is>
          <t>ROSSTECH</t>
        </is>
      </c>
      <c r="B230" s="30" t="inlineStr">
        <is>
          <t>Rossell Techsys Ltd</t>
        </is>
      </c>
      <c r="C230" s="30" t="inlineStr">
        <is>
          <t>aerospace &amp; defence</t>
        </is>
      </c>
      <c r="D230" s="30" t="inlineStr">
        <is>
          <t>engineering</t>
        </is>
      </c>
      <c r="E230" s="30" t="inlineStr">
        <is>
          <t>smallcap</t>
        </is>
      </c>
      <c r="F230" s="30" t="n">
        <v>4109.67</v>
      </c>
      <c r="G230" s="30" t="n">
        <v>1094.6</v>
      </c>
      <c r="H230" s="30" t="n">
        <v>0.4</v>
      </c>
      <c r="I230" s="30" t="n">
        <v>93901</v>
      </c>
      <c r="J230" s="30" t="inlineStr">
        <is>
          <t>544294</t>
        </is>
      </c>
    </row>
    <row r="231">
      <c r="A231" s="30" t="inlineStr">
        <is>
          <t>SUNDRMFAST</t>
        </is>
      </c>
      <c r="B231" s="30" t="inlineStr">
        <is>
          <t>Sundram Fasteners Limited</t>
        </is>
      </c>
      <c r="C231" s="30" t="inlineStr">
        <is>
          <t>auto</t>
        </is>
      </c>
      <c r="D231" s="30" t="inlineStr">
        <is>
          <t>auto ancillaries</t>
        </is>
      </c>
      <c r="E231" s="30" t="inlineStr">
        <is>
          <t>largecap</t>
        </is>
      </c>
      <c r="F231" s="30" t="n">
        <v>22804.18</v>
      </c>
      <c r="G231" s="30" t="n">
        <v>1089.6</v>
      </c>
      <c r="H231" s="30" t="n">
        <v>0.4</v>
      </c>
      <c r="I231" s="30" t="n">
        <v>393173</v>
      </c>
      <c r="J231" s="30" t="inlineStr">
        <is>
          <t>500403</t>
        </is>
      </c>
    </row>
    <row r="232">
      <c r="A232" s="30" t="inlineStr">
        <is>
          <t>GLENMARK</t>
        </is>
      </c>
      <c r="B232" s="30" t="inlineStr">
        <is>
          <t>Glenmark Pharmaceuticals Limited</t>
        </is>
      </c>
      <c r="C232" s="30" t="inlineStr">
        <is>
          <t>healthcare</t>
        </is>
      </c>
      <c r="D232" s="30" t="inlineStr">
        <is>
          <t>pharmaceuticals - indian - bulk drugs &amp; formln</t>
        </is>
      </c>
      <c r="E232" s="30" t="inlineStr">
        <is>
          <t>largecap</t>
        </is>
      </c>
      <c r="F232" s="30" t="n">
        <v>64059.58</v>
      </c>
      <c r="G232" s="30" t="n">
        <v>2279.1</v>
      </c>
      <c r="H232" s="30" t="n">
        <v>0.4</v>
      </c>
      <c r="I232" s="30" t="n">
        <v>865833</v>
      </c>
      <c r="J232" s="30" t="inlineStr">
        <is>
          <t>532296</t>
        </is>
      </c>
    </row>
    <row r="233">
      <c r="A233" s="30" t="inlineStr">
        <is>
          <t>LODHA</t>
        </is>
      </c>
      <c r="B233" s="30" t="inlineStr">
        <is>
          <t>Lodha Developers Ltd</t>
        </is>
      </c>
      <c r="C233" s="30" t="inlineStr">
        <is>
          <t>realty</t>
        </is>
      </c>
      <c r="D233" s="30" t="inlineStr">
        <is>
          <t>construction</t>
        </is>
      </c>
      <c r="E233" s="30" t="inlineStr">
        <is>
          <t>largecap</t>
        </is>
      </c>
      <c r="F233" s="30" t="n">
        <v>121290.06</v>
      </c>
      <c r="G233" s="30" t="n">
        <v>1218.7</v>
      </c>
      <c r="H233" s="30" t="n">
        <v>0.39</v>
      </c>
      <c r="I233" s="30" t="n">
        <v>1764295</v>
      </c>
      <c r="J233" s="30" t="inlineStr">
        <is>
          <t>543287</t>
        </is>
      </c>
    </row>
    <row r="234">
      <c r="A234" s="30" t="inlineStr">
        <is>
          <t>IIFL</t>
        </is>
      </c>
      <c r="B234" s="30" t="inlineStr">
        <is>
          <t>IIFL Finance Ltd</t>
        </is>
      </c>
      <c r="C234" s="30" t="inlineStr">
        <is>
          <t>financials</t>
        </is>
      </c>
      <c r="D234" s="30" t="inlineStr">
        <is>
          <t>finance &amp; investments</t>
        </is>
      </c>
      <c r="E234" s="30" t="inlineStr">
        <is>
          <t>largecap</t>
        </is>
      </c>
      <c r="F234" s="30" t="n">
        <v>25917.18</v>
      </c>
      <c r="G234" s="30" t="n">
        <v>611.75</v>
      </c>
      <c r="H234" s="30" t="n">
        <v>0.39</v>
      </c>
      <c r="I234" s="30" t="n">
        <v>1048214</v>
      </c>
      <c r="J234" s="30" t="inlineStr">
        <is>
          <t>532636</t>
        </is>
      </c>
    </row>
    <row r="235">
      <c r="A235" s="30" t="inlineStr">
        <is>
          <t>LMW</t>
        </is>
      </c>
      <c r="B235" s="30" t="inlineStr">
        <is>
          <t>LMW Ltd</t>
        </is>
      </c>
      <c r="C235" s="30" t="inlineStr">
        <is>
          <t>industrials</t>
        </is>
      </c>
      <c r="D235" s="30" t="inlineStr">
        <is>
          <t>textile machinery</t>
        </is>
      </c>
      <c r="E235" s="30" t="inlineStr">
        <is>
          <t>midcap</t>
        </is>
      </c>
      <c r="F235" s="30" t="n">
        <v>17771.17</v>
      </c>
      <c r="G235" s="30" t="n">
        <v>16700</v>
      </c>
      <c r="H235" s="30" t="n">
        <v>0.39</v>
      </c>
      <c r="I235" s="30" t="n">
        <v>1112</v>
      </c>
      <c r="J235" s="30" t="inlineStr">
        <is>
          <t>500252</t>
        </is>
      </c>
    </row>
    <row r="236">
      <c r="A236" s="30" t="inlineStr">
        <is>
          <t>KMEW</t>
        </is>
      </c>
      <c r="B236" s="30" t="inlineStr">
        <is>
          <t>Knowledge Marine &amp; Engineering Works Ltd</t>
        </is>
      </c>
      <c r="C236" s="30" t="inlineStr">
        <is>
          <t>transportation</t>
        </is>
      </c>
      <c r="D236" s="30" t="inlineStr">
        <is>
          <t>miscellaneous</t>
        </is>
      </c>
      <c r="E236" s="30" t="inlineStr">
        <is>
          <t>midcap</t>
        </is>
      </c>
      <c r="F236" s="30" t="n">
        <v>6157.96</v>
      </c>
      <c r="G236" s="30" t="n">
        <v>2528.4</v>
      </c>
      <c r="H236" s="30" t="n">
        <v>0.37</v>
      </c>
      <c r="I236" s="30" t="n">
        <v>35788</v>
      </c>
      <c r="J236" s="30" t="inlineStr">
        <is>
          <t>543273</t>
        </is>
      </c>
    </row>
    <row r="237">
      <c r="A237" s="30" t="inlineStr">
        <is>
          <t>BAJAJ-AUTO</t>
        </is>
      </c>
      <c r="B237" s="30" t="inlineStr">
        <is>
          <t>Bajaj Auto Limited</t>
        </is>
      </c>
      <c r="C237" s="30" t="inlineStr">
        <is>
          <t>auto</t>
        </is>
      </c>
      <c r="D237" s="30" t="inlineStr">
        <is>
          <t>automobiles - scooters and 3 - wheelers</t>
        </is>
      </c>
      <c r="E237" s="30" t="inlineStr">
        <is>
          <t>largecap</t>
        </is>
      </c>
      <c r="F237" s="30" t="n">
        <v>324776.49</v>
      </c>
      <c r="G237" s="30" t="n">
        <v>11662</v>
      </c>
      <c r="H237" s="30" t="n">
        <v>0.36</v>
      </c>
      <c r="I237" s="30" t="n">
        <v>413851</v>
      </c>
      <c r="J237" s="30" t="inlineStr">
        <is>
          <t>532977</t>
        </is>
      </c>
    </row>
    <row r="238">
      <c r="A238" s="30" t="inlineStr">
        <is>
          <t>BOSCH-HCIL</t>
        </is>
      </c>
      <c r="B238" s="30" t="inlineStr">
        <is>
          <t>Bosch Home Comfort India Ltd</t>
        </is>
      </c>
      <c r="C238" s="30" t="inlineStr">
        <is>
          <t>consumer discretionary</t>
        </is>
      </c>
      <c r="D238" s="30" t="inlineStr">
        <is>
          <t>air-conditioners</t>
        </is>
      </c>
      <c r="E238" s="30" t="inlineStr">
        <is>
          <t>smallcap</t>
        </is>
      </c>
      <c r="F238" s="30" t="n">
        <v>4473.44</v>
      </c>
      <c r="G238" s="30" t="n">
        <v>1651.1</v>
      </c>
      <c r="H238" s="30" t="n">
        <v>0.36</v>
      </c>
      <c r="I238" s="30" t="n">
        <v>138636</v>
      </c>
      <c r="J238" s="30" t="inlineStr">
        <is>
          <t>523398</t>
        </is>
      </c>
    </row>
    <row r="239">
      <c r="A239" s="30" t="inlineStr">
        <is>
          <t>ALIVUS</t>
        </is>
      </c>
      <c r="B239" s="30" t="inlineStr">
        <is>
          <t>Alivus Life Sciences Ltd</t>
        </is>
      </c>
      <c r="C239" s="30" t="inlineStr">
        <is>
          <t>healthcare</t>
        </is>
      </c>
      <c r="D239" s="30" t="inlineStr">
        <is>
          <t>pharmaceuticals - indian - bulk drugs &amp; formln</t>
        </is>
      </c>
      <c r="E239" s="30" t="inlineStr">
        <is>
          <t>midcap</t>
        </is>
      </c>
      <c r="F239" s="30" t="n">
        <v>16265.02</v>
      </c>
      <c r="G239" s="30" t="n">
        <v>1329.8</v>
      </c>
      <c r="H239" s="30" t="n">
        <v>0.35</v>
      </c>
      <c r="I239" s="30" t="n">
        <v>85368</v>
      </c>
      <c r="J239" s="30" t="inlineStr">
        <is>
          <t>543322</t>
        </is>
      </c>
    </row>
    <row r="240">
      <c r="A240" s="30" t="inlineStr">
        <is>
          <t>SJS</t>
        </is>
      </c>
      <c r="B240" s="30" t="inlineStr">
        <is>
          <t>S J S Enterprises Ltd</t>
        </is>
      </c>
      <c r="C240" s="30" t="inlineStr">
        <is>
          <t>auto</t>
        </is>
      </c>
      <c r="D240" s="30" t="inlineStr">
        <is>
          <t>plastics products</t>
        </is>
      </c>
      <c r="E240" s="30" t="inlineStr">
        <is>
          <t>midcap</t>
        </is>
      </c>
      <c r="F240" s="30" t="n">
        <v>7801.9</v>
      </c>
      <c r="G240" s="30" t="n">
        <v>2446.1</v>
      </c>
      <c r="H240" s="30" t="n">
        <v>0.34</v>
      </c>
      <c r="I240" s="30" t="n">
        <v>198030</v>
      </c>
      <c r="J240" s="30" t="inlineStr">
        <is>
          <t>543387</t>
        </is>
      </c>
    </row>
    <row r="241">
      <c r="A241" s="30" t="inlineStr">
        <is>
          <t>RBZJEWEL</t>
        </is>
      </c>
      <c r="B241" s="30" t="inlineStr">
        <is>
          <t>RBZ Jewellers Ltd</t>
        </is>
      </c>
      <c r="C241" s="30" t="inlineStr">
        <is>
          <t>consumer discretionary</t>
        </is>
      </c>
      <c r="D241" s="30" t="inlineStr">
        <is>
          <t>diamond cutting / jewellery</t>
        </is>
      </c>
      <c r="E241" s="30" t="inlineStr">
        <is>
          <t>smallcap</t>
        </is>
      </c>
      <c r="F241" s="30" t="n">
        <v>603.84</v>
      </c>
      <c r="G241" s="30" t="n">
        <v>151.48</v>
      </c>
      <c r="H241" s="30" t="n">
        <v>0.34</v>
      </c>
      <c r="I241" s="30" t="n">
        <v>59744</v>
      </c>
      <c r="J241" s="30" t="inlineStr">
        <is>
          <t>544060</t>
        </is>
      </c>
    </row>
    <row r="242">
      <c r="A242" s="30" t="inlineStr">
        <is>
          <t>GANESHBE</t>
        </is>
      </c>
      <c r="B242" s="30" t="inlineStr">
        <is>
          <t>Ganesh Benzoplast Ltd</t>
        </is>
      </c>
      <c r="C242" s="30" t="inlineStr">
        <is>
          <t>miscellaneous</t>
        </is>
      </c>
      <c r="D242" s="30" t="inlineStr">
        <is>
          <t>miscellaneous</t>
        </is>
      </c>
      <c r="E242" s="30" t="inlineStr">
        <is>
          <t>smallcap</t>
        </is>
      </c>
      <c r="F242" s="30" t="n">
        <v>864.02</v>
      </c>
      <c r="G242" s="30" t="n">
        <v>120.41</v>
      </c>
      <c r="H242" s="30" t="n">
        <v>0.33</v>
      </c>
      <c r="I242" s="30" t="n">
        <v>173267</v>
      </c>
      <c r="J242" s="30" t="inlineStr">
        <is>
          <t>500153</t>
        </is>
      </c>
    </row>
    <row r="243">
      <c r="A243" s="30" t="inlineStr">
        <is>
          <t>HARSHA</t>
        </is>
      </c>
      <c r="B243" s="30" t="inlineStr">
        <is>
          <t>Harsha Engineers International Ltd</t>
        </is>
      </c>
      <c r="C243" s="30" t="inlineStr">
        <is>
          <t>industrials</t>
        </is>
      </c>
      <c r="D243" s="30" t="inlineStr">
        <is>
          <t>engineering</t>
        </is>
      </c>
      <c r="E243" s="30" t="inlineStr">
        <is>
          <t>smallcap</t>
        </is>
      </c>
      <c r="F243" s="30" t="n">
        <v>3869.37</v>
      </c>
      <c r="G243" s="30" t="n">
        <v>426.4</v>
      </c>
      <c r="H243" s="30" t="n">
        <v>0.33</v>
      </c>
      <c r="I243" s="30" t="n">
        <v>208520</v>
      </c>
      <c r="J243" s="30" t="inlineStr">
        <is>
          <t>543600</t>
        </is>
      </c>
    </row>
    <row r="244">
      <c r="A244" s="30" t="inlineStr">
        <is>
          <t>NESTLEIND</t>
        </is>
      </c>
      <c r="B244" s="30" t="inlineStr">
        <is>
          <t>Nestle India Limited</t>
        </is>
      </c>
      <c r="C244" s="30" t="inlineStr">
        <is>
          <t>fmcg</t>
        </is>
      </c>
      <c r="D244" s="30" t="inlineStr">
        <is>
          <t>food - processing - mnc</t>
        </is>
      </c>
      <c r="E244" s="30" t="inlineStr">
        <is>
          <t>largecap</t>
        </is>
      </c>
      <c r="F244" s="30" t="n">
        <v>295996.25</v>
      </c>
      <c r="G244" s="30" t="n">
        <v>1540</v>
      </c>
      <c r="H244" s="30" t="n">
        <v>0.33</v>
      </c>
      <c r="I244" s="30" t="n">
        <v>2943795</v>
      </c>
      <c r="J244" s="30" t="inlineStr">
        <is>
          <t>500790</t>
        </is>
      </c>
    </row>
    <row r="245">
      <c r="A245" s="30" t="inlineStr">
        <is>
          <t>AJANTPHARM</t>
        </is>
      </c>
      <c r="B245" s="30" t="inlineStr">
        <is>
          <t>Ajanta Pharma Limited</t>
        </is>
      </c>
      <c r="C245" s="30" t="inlineStr">
        <is>
          <t>healthcare</t>
        </is>
      </c>
      <c r="D245" s="30" t="inlineStr">
        <is>
          <t>pharmaceuticals - indian - formulations</t>
        </is>
      </c>
      <c r="E245" s="30" t="inlineStr">
        <is>
          <t>largecap</t>
        </is>
      </c>
      <c r="F245" s="30" t="n">
        <v>43357.66</v>
      </c>
      <c r="G245" s="30" t="n">
        <v>3480</v>
      </c>
      <c r="H245" s="30" t="n">
        <v>0.28</v>
      </c>
      <c r="I245" s="30" t="n">
        <v>34852</v>
      </c>
      <c r="J245" s="30" t="inlineStr">
        <is>
          <t>532331</t>
        </is>
      </c>
    </row>
    <row r="246">
      <c r="A246" s="30" t="inlineStr">
        <is>
          <t>PERSISTENT</t>
        </is>
      </c>
      <c r="B246" s="30" t="inlineStr">
        <is>
          <t>Persistent Systems Limited</t>
        </is>
      </c>
      <c r="C246" s="30" t="inlineStr">
        <is>
          <t>i.t</t>
        </is>
      </c>
      <c r="D246" s="30" t="inlineStr">
        <is>
          <t>computers - software - large</t>
        </is>
      </c>
      <c r="E246" s="30" t="inlineStr">
        <is>
          <t>largecap</t>
        </is>
      </c>
      <c r="F246" s="30" t="n">
        <v>86123.61</v>
      </c>
      <c r="G246" s="30" t="n">
        <v>5475</v>
      </c>
      <c r="H246" s="30" t="n">
        <v>0.28</v>
      </c>
      <c r="I246" s="30" t="n">
        <v>1004277</v>
      </c>
      <c r="J246" s="30" t="inlineStr">
        <is>
          <t>533179</t>
        </is>
      </c>
    </row>
    <row r="247">
      <c r="A247" s="30" t="inlineStr">
        <is>
          <t>INDIGO</t>
        </is>
      </c>
      <c r="B247" s="30" t="inlineStr">
        <is>
          <t>Interglobe Aviation Limited</t>
        </is>
      </c>
      <c r="C247" s="30" t="inlineStr">
        <is>
          <t>transportation</t>
        </is>
      </c>
      <c r="D247" s="30" t="inlineStr">
        <is>
          <t>transport - airlines</t>
        </is>
      </c>
      <c r="E247" s="30" t="inlineStr">
        <is>
          <t>largecap</t>
        </is>
      </c>
      <c r="F247" s="30" t="n">
        <v>205643.79</v>
      </c>
      <c r="G247" s="30" t="n">
        <v>5333</v>
      </c>
      <c r="H247" s="30" t="n">
        <v>0.27</v>
      </c>
      <c r="I247" s="30" t="n">
        <v>843333</v>
      </c>
      <c r="J247" s="30" t="inlineStr">
        <is>
          <t>539448</t>
        </is>
      </c>
    </row>
    <row r="248">
      <c r="A248" s="30" t="inlineStr">
        <is>
          <t>HNDFDS</t>
        </is>
      </c>
      <c r="B248" s="30" t="inlineStr">
        <is>
          <t>Hindustan Foods Ltd</t>
        </is>
      </c>
      <c r="C248" s="30" t="inlineStr">
        <is>
          <t>fmcg</t>
        </is>
      </c>
      <c r="D248" s="30" t="inlineStr">
        <is>
          <t>diversified - large</t>
        </is>
      </c>
      <c r="E248" s="30" t="inlineStr">
        <is>
          <t>midcap</t>
        </is>
      </c>
      <c r="F248" s="30" t="n">
        <v>6966.86</v>
      </c>
      <c r="G248" s="30" t="n">
        <v>576.5</v>
      </c>
      <c r="H248" s="30" t="n">
        <v>0.26</v>
      </c>
      <c r="I248" s="30" t="n">
        <v>30987</v>
      </c>
      <c r="J248" s="30" t="inlineStr">
        <is>
          <t>519126</t>
        </is>
      </c>
    </row>
    <row r="249">
      <c r="A249" s="30" t="inlineStr">
        <is>
          <t>RAYMONDREL</t>
        </is>
      </c>
      <c r="B249" s="30" t="inlineStr">
        <is>
          <t>Raymond Realty Ltd</t>
        </is>
      </c>
      <c r="C249" s="30" t="inlineStr">
        <is>
          <t>realty</t>
        </is>
      </c>
      <c r="D249" s="30" t="inlineStr">
        <is>
          <t>construction</t>
        </is>
      </c>
      <c r="E249" s="30" t="inlineStr">
        <is>
          <t>smallcap</t>
        </is>
      </c>
      <c r="F249" s="30" t="n">
        <v>4581.6</v>
      </c>
      <c r="G249" s="30" t="n">
        <v>690</v>
      </c>
      <c r="H249" s="30" t="n">
        <v>0.26</v>
      </c>
      <c r="I249" s="30" t="n">
        <v>347491</v>
      </c>
      <c r="J249" s="30" t="inlineStr">
        <is>
          <t>544420</t>
        </is>
      </c>
    </row>
    <row r="250">
      <c r="A250" s="30" t="inlineStr">
        <is>
          <t>ULTRACEMCO</t>
        </is>
      </c>
      <c r="B250" s="30" t="inlineStr">
        <is>
          <t>Ultratech Cement Limited</t>
        </is>
      </c>
      <c r="C250" s="30" t="inlineStr">
        <is>
          <t>building materials</t>
        </is>
      </c>
      <c r="D250" s="30" t="inlineStr">
        <is>
          <t>cement - north india</t>
        </is>
      </c>
      <c r="E250" s="30" t="inlineStr">
        <is>
          <t>largecap</t>
        </is>
      </c>
      <c r="F250" s="30" t="n">
        <v>355825.1</v>
      </c>
      <c r="G250" s="30" t="n">
        <v>12105</v>
      </c>
      <c r="H250" s="30" t="n">
        <v>0.25</v>
      </c>
      <c r="I250" s="30" t="n">
        <v>333688</v>
      </c>
      <c r="J250" s="30" t="inlineStr">
        <is>
          <t>532538</t>
        </is>
      </c>
    </row>
    <row r="251">
      <c r="A251" s="30" t="inlineStr">
        <is>
          <t>RATNAVEER</t>
        </is>
      </c>
      <c r="B251" s="30" t="inlineStr">
        <is>
          <t>Ratnaveer Precision Engineering Ltd</t>
        </is>
      </c>
      <c r="C251" s="30" t="inlineStr">
        <is>
          <t>metals &amp; mining</t>
        </is>
      </c>
      <c r="D251" s="30" t="inlineStr">
        <is>
          <t>steel - medium / small</t>
        </is>
      </c>
      <c r="E251" s="30" t="inlineStr">
        <is>
          <t>smallcap</t>
        </is>
      </c>
      <c r="F251" s="30" t="n">
        <v>1468.6</v>
      </c>
      <c r="G251" s="30" t="n">
        <v>206.1</v>
      </c>
      <c r="H251" s="30" t="n">
        <v>0.24</v>
      </c>
      <c r="I251" s="30" t="n">
        <v>6422570</v>
      </c>
      <c r="J251" s="30" t="inlineStr">
        <is>
          <t>543978</t>
        </is>
      </c>
    </row>
    <row r="252">
      <c r="A252" s="30" t="inlineStr">
        <is>
          <t>TIMKEN</t>
        </is>
      </c>
      <c r="B252" s="30" t="inlineStr">
        <is>
          <t>Timken India Limited</t>
        </is>
      </c>
      <c r="C252" s="30" t="inlineStr">
        <is>
          <t>industrials</t>
        </is>
      </c>
      <c r="D252" s="30" t="inlineStr">
        <is>
          <t>bearings</t>
        </is>
      </c>
      <c r="E252" s="30" t="inlineStr">
        <is>
          <t>largecap</t>
        </is>
      </c>
      <c r="F252" s="30" t="n">
        <v>25146.38</v>
      </c>
      <c r="G252" s="30" t="n">
        <v>3351</v>
      </c>
      <c r="H252" s="30" t="n">
        <v>0.24</v>
      </c>
      <c r="I252" s="30" t="n">
        <v>30976</v>
      </c>
      <c r="J252" s="30" t="inlineStr">
        <is>
          <t>522113</t>
        </is>
      </c>
    </row>
    <row r="253">
      <c r="A253" s="30" t="inlineStr">
        <is>
          <t>CCAVENUE</t>
        </is>
      </c>
      <c r="B253" s="30" t="inlineStr">
        <is>
          <t>AvenuesAI Ltd</t>
        </is>
      </c>
      <c r="C253" s="30" t="inlineStr">
        <is>
          <t>i.t</t>
        </is>
      </c>
      <c r="D253" s="30" t="inlineStr">
        <is>
          <t>miscellaneous</t>
        </is>
      </c>
      <c r="E253" s="30" t="inlineStr">
        <is>
          <t>midcap</t>
        </is>
      </c>
      <c r="F253" s="30" t="n">
        <v>5989.37</v>
      </c>
      <c r="G253" s="30" t="n">
        <v>17.17</v>
      </c>
      <c r="H253" s="30" t="n">
        <v>0.23</v>
      </c>
      <c r="I253" s="30" t="n">
        <v>7938235</v>
      </c>
      <c r="J253" s="30" t="inlineStr">
        <is>
          <t>539807</t>
        </is>
      </c>
    </row>
    <row r="254">
      <c r="A254" s="30" t="inlineStr">
        <is>
          <t>KANORICHEM</t>
        </is>
      </c>
      <c r="B254" s="30" t="inlineStr">
        <is>
          <t>Kanoria Chemicals &amp; Industries Limited</t>
        </is>
      </c>
      <c r="C254" s="30" t="inlineStr">
        <is>
          <t>chemicals</t>
        </is>
      </c>
      <c r="D254" s="30" t="inlineStr">
        <is>
          <t>chemicals</t>
        </is>
      </c>
      <c r="E254" s="30" t="inlineStr">
        <is>
          <t>smallcap</t>
        </is>
      </c>
      <c r="F254" s="30" t="n">
        <v>660.08</v>
      </c>
      <c r="G254" s="30" t="n">
        <v>151.4</v>
      </c>
      <c r="H254" s="30" t="n">
        <v>0.22</v>
      </c>
      <c r="I254" s="30" t="n">
        <v>17065</v>
      </c>
      <c r="J254" s="30" t="inlineStr">
        <is>
          <t>506525</t>
        </is>
      </c>
    </row>
    <row r="255">
      <c r="A255" s="30" t="inlineStr">
        <is>
          <t>YASHO</t>
        </is>
      </c>
      <c r="B255" s="30" t="inlineStr">
        <is>
          <t>Yasho Industries Ltd</t>
        </is>
      </c>
      <c r="C255" s="30" t="inlineStr">
        <is>
          <t>chemicals</t>
        </is>
      </c>
      <c r="D255" s="30" t="inlineStr">
        <is>
          <t>chemicals</t>
        </is>
      </c>
      <c r="E255" s="30" t="inlineStr">
        <is>
          <t>midcap</t>
        </is>
      </c>
      <c r="F255" s="30" t="n">
        <v>5023.11</v>
      </c>
      <c r="G255" s="30" t="n">
        <v>4175</v>
      </c>
      <c r="H255" s="30" t="n">
        <v>0.21</v>
      </c>
      <c r="I255" s="30" t="n">
        <v>31318</v>
      </c>
      <c r="J255" s="30" t="inlineStr">
        <is>
          <t>541167</t>
        </is>
      </c>
    </row>
    <row r="256">
      <c r="A256" s="30" t="inlineStr">
        <is>
          <t>MIDHANI</t>
        </is>
      </c>
      <c r="B256" s="30" t="inlineStr">
        <is>
          <t>Mishra Dhatu Nigam Ltd</t>
        </is>
      </c>
      <c r="C256" s="30" t="inlineStr">
        <is>
          <t>aerospace &amp; defence</t>
        </is>
      </c>
      <c r="D256" s="30" t="inlineStr">
        <is>
          <t>steel - medium / small</t>
        </is>
      </c>
      <c r="E256" s="30" t="inlineStr">
        <is>
          <t>midcap</t>
        </is>
      </c>
      <c r="F256" s="30" t="n">
        <v>8135.24</v>
      </c>
      <c r="G256" s="30" t="n">
        <v>435.15</v>
      </c>
      <c r="H256" s="30" t="n">
        <v>0.21</v>
      </c>
      <c r="I256" s="30" t="n">
        <v>508711</v>
      </c>
      <c r="J256" s="30" t="inlineStr">
        <is>
          <t>541195</t>
        </is>
      </c>
    </row>
    <row r="257">
      <c r="A257" s="30" t="inlineStr">
        <is>
          <t>GREENLAM</t>
        </is>
      </c>
      <c r="B257" s="30" t="inlineStr">
        <is>
          <t>Greenlam Industries Limited</t>
        </is>
      </c>
      <c r="C257" s="30" t="inlineStr">
        <is>
          <t>building materials</t>
        </is>
      </c>
      <c r="D257" s="30" t="inlineStr">
        <is>
          <t>miscellaneous</t>
        </is>
      </c>
      <c r="E257" s="30" t="inlineStr">
        <is>
          <t>midcap</t>
        </is>
      </c>
      <c r="F257" s="30" t="n">
        <v>6969.36</v>
      </c>
      <c r="G257" s="30" t="n">
        <v>273.7</v>
      </c>
      <c r="H257" s="30" t="n">
        <v>0.2</v>
      </c>
      <c r="I257" s="30" t="n">
        <v>175898</v>
      </c>
      <c r="J257" s="30" t="inlineStr">
        <is>
          <t>538979</t>
        </is>
      </c>
    </row>
    <row r="258">
      <c r="A258" s="30" t="inlineStr">
        <is>
          <t>LALPATHLAB</t>
        </is>
      </c>
      <c r="B258" s="30" t="inlineStr">
        <is>
          <t>Dr. Lal Path Labs Ltd.</t>
        </is>
      </c>
      <c r="C258" s="30" t="inlineStr">
        <is>
          <t>healthcare</t>
        </is>
      </c>
      <c r="D258" s="30" t="inlineStr">
        <is>
          <t>healthcare</t>
        </is>
      </c>
      <c r="E258" s="30" t="inlineStr">
        <is>
          <t>largecap</t>
        </is>
      </c>
      <c r="F258" s="30" t="n">
        <v>32320.56</v>
      </c>
      <c r="G258" s="30" t="n">
        <v>1931.6</v>
      </c>
      <c r="H258" s="30" t="n">
        <v>0.19</v>
      </c>
      <c r="I258" s="30" t="n">
        <v>158460</v>
      </c>
      <c r="J258" s="30" t="inlineStr">
        <is>
          <t>539524</t>
        </is>
      </c>
    </row>
    <row r="259">
      <c r="A259" s="30" t="inlineStr">
        <is>
          <t>CANBK</t>
        </is>
      </c>
      <c r="B259" s="30" t="inlineStr">
        <is>
          <t>Canara Bank Ltd</t>
        </is>
      </c>
      <c r="C259" s="30" t="inlineStr">
        <is>
          <t>bank</t>
        </is>
      </c>
      <c r="D259" s="30" t="inlineStr">
        <is>
          <t>banks - public sector</t>
        </is>
      </c>
      <c r="E259" s="30" t="inlineStr">
        <is>
          <t>largecap</t>
        </is>
      </c>
      <c r="F259" s="30" t="n">
        <v>119460.48</v>
      </c>
      <c r="G259" s="30" t="n">
        <v>131.95</v>
      </c>
      <c r="H259" s="30" t="n">
        <v>0.19</v>
      </c>
      <c r="I259" s="30" t="n">
        <v>44819436</v>
      </c>
      <c r="J259" s="30" t="inlineStr">
        <is>
          <t>532483</t>
        </is>
      </c>
    </row>
    <row r="260">
      <c r="A260" s="30" t="inlineStr">
        <is>
          <t>AARTIIND</t>
        </is>
      </c>
      <c r="B260" s="30" t="inlineStr">
        <is>
          <t>Aarti Industries Limited</t>
        </is>
      </c>
      <c r="C260" s="30" t="inlineStr">
        <is>
          <t>chemicals</t>
        </is>
      </c>
      <c r="D260" s="30" t="inlineStr">
        <is>
          <t>chemicals</t>
        </is>
      </c>
      <c r="E260" s="30" t="inlineStr">
        <is>
          <t>midcap</t>
        </is>
      </c>
      <c r="F260" s="30" t="n">
        <v>18179.86</v>
      </c>
      <c r="G260" s="30" t="n">
        <v>502.1</v>
      </c>
      <c r="H260" s="30" t="n">
        <v>0.18</v>
      </c>
      <c r="I260" s="30" t="n">
        <v>1422279</v>
      </c>
      <c r="J260" s="30" t="inlineStr">
        <is>
          <t>524208</t>
        </is>
      </c>
    </row>
    <row r="261">
      <c r="A261" s="30" t="inlineStr">
        <is>
          <t>COFORGE</t>
        </is>
      </c>
      <c r="B261" s="30" t="inlineStr">
        <is>
          <t>Coforge (Niit Tech) Ltd</t>
        </is>
      </c>
      <c r="C261" s="30" t="inlineStr">
        <is>
          <t>i.t</t>
        </is>
      </c>
      <c r="D261" s="30" t="inlineStr">
        <is>
          <t>computers - software - large</t>
        </is>
      </c>
      <c r="E261" s="30" t="inlineStr">
        <is>
          <t>largecap</t>
        </is>
      </c>
      <c r="F261" s="30" t="n">
        <v>78480.23</v>
      </c>
      <c r="G261" s="30" t="n">
        <v>1776</v>
      </c>
      <c r="H261" s="30" t="n">
        <v>0.18</v>
      </c>
      <c r="I261" s="30" t="n">
        <v>5286759</v>
      </c>
      <c r="J261" s="30" t="inlineStr">
        <is>
          <t>532541</t>
        </is>
      </c>
    </row>
    <row r="262">
      <c r="A262" s="30" t="inlineStr">
        <is>
          <t>TECHM</t>
        </is>
      </c>
      <c r="B262" s="30" t="inlineStr">
        <is>
          <t>Tech Mahindra Limited</t>
        </is>
      </c>
      <c r="C262" s="30" t="inlineStr">
        <is>
          <t>i.t</t>
        </is>
      </c>
      <c r="D262" s="30" t="inlineStr">
        <is>
          <t>computers - software - large</t>
        </is>
      </c>
      <c r="E262" s="30" t="inlineStr">
        <is>
          <t>largecap</t>
        </is>
      </c>
      <c r="F262" s="30" t="n">
        <v>159965.06</v>
      </c>
      <c r="G262" s="30" t="n">
        <v>1635</v>
      </c>
      <c r="H262" s="30" t="n">
        <v>0.17</v>
      </c>
      <c r="I262" s="30" t="n">
        <v>11888511</v>
      </c>
      <c r="J262" s="30" t="inlineStr">
        <is>
          <t>532755</t>
        </is>
      </c>
    </row>
    <row r="263">
      <c r="A263" s="30" t="inlineStr">
        <is>
          <t>INDOTECH</t>
        </is>
      </c>
      <c r="B263" s="30" t="inlineStr">
        <is>
          <t>Indo Tech Transformers Limited</t>
        </is>
      </c>
      <c r="C263" s="30" t="inlineStr">
        <is>
          <t>industrials</t>
        </is>
      </c>
      <c r="D263" s="30" t="inlineStr">
        <is>
          <t>electric equipment</t>
        </is>
      </c>
      <c r="E263" s="30" t="inlineStr">
        <is>
          <t>smallcap</t>
        </is>
      </c>
      <c r="F263" s="30" t="n">
        <v>4022.33</v>
      </c>
      <c r="G263" s="30" t="n">
        <v>3792.6</v>
      </c>
      <c r="H263" s="30" t="n">
        <v>0.13</v>
      </c>
      <c r="I263" s="30" t="n">
        <v>39281</v>
      </c>
      <c r="J263" s="30" t="inlineStr">
        <is>
          <t>532717</t>
        </is>
      </c>
    </row>
    <row r="264">
      <c r="A264" s="30" t="inlineStr">
        <is>
          <t>PLASTIBLEN</t>
        </is>
      </c>
      <c r="B264" s="30" t="inlineStr">
        <is>
          <t>Plastiblends India Limited</t>
        </is>
      </c>
      <c r="C264" s="30" t="inlineStr">
        <is>
          <t>chemicals</t>
        </is>
      </c>
      <c r="D264" s="30" t="inlineStr">
        <is>
          <t>chemicals</t>
        </is>
      </c>
      <c r="E264" s="30" t="inlineStr">
        <is>
          <t>smallcap</t>
        </is>
      </c>
      <c r="F264" s="30" t="n">
        <v>513.26</v>
      </c>
      <c r="G264" s="30" t="n">
        <v>197.69</v>
      </c>
      <c r="H264" s="30" t="n">
        <v>0.1</v>
      </c>
      <c r="I264" s="30" t="n">
        <v>40895</v>
      </c>
      <c r="J264" s="30" t="inlineStr">
        <is>
          <t>523648</t>
        </is>
      </c>
    </row>
    <row r="265">
      <c r="A265" s="30" t="inlineStr">
        <is>
          <t>3MINDIA</t>
        </is>
      </c>
      <c r="B265" s="30" t="inlineStr">
        <is>
          <t>3m India Limited</t>
        </is>
      </c>
      <c r="C265" s="30" t="inlineStr">
        <is>
          <t>miscellaneous</t>
        </is>
      </c>
      <c r="D265" s="30" t="inlineStr">
        <is>
          <t>diversified - large</t>
        </is>
      </c>
      <c r="E265" s="30" t="inlineStr">
        <is>
          <t>largecap</t>
        </is>
      </c>
      <c r="F265" s="30" t="n">
        <v>40554.25</v>
      </c>
      <c r="G265" s="30" t="n">
        <v>36035</v>
      </c>
      <c r="H265" s="30" t="n">
        <v>0.1</v>
      </c>
      <c r="I265" s="30" t="n">
        <v>3976</v>
      </c>
      <c r="J265" s="30" t="inlineStr">
        <is>
          <t>523395</t>
        </is>
      </c>
    </row>
    <row r="266">
      <c r="A266" s="30" t="inlineStr">
        <is>
          <t>KEI</t>
        </is>
      </c>
      <c r="B266" s="30" t="inlineStr">
        <is>
          <t>Kei Industries Limited</t>
        </is>
      </c>
      <c r="C266" s="30" t="inlineStr">
        <is>
          <t>industrials</t>
        </is>
      </c>
      <c r="D266" s="30" t="inlineStr">
        <is>
          <t>cables - power</t>
        </is>
      </c>
      <c r="E266" s="30" t="inlineStr">
        <is>
          <t>largecap</t>
        </is>
      </c>
      <c r="F266" s="30" t="n">
        <v>53488.53</v>
      </c>
      <c r="G266" s="30" t="n">
        <v>5600</v>
      </c>
      <c r="H266" s="30" t="n">
        <v>0.09</v>
      </c>
      <c r="I266" s="30" t="n">
        <v>543635</v>
      </c>
      <c r="J266" s="30" t="inlineStr">
        <is>
          <t>517569</t>
        </is>
      </c>
    </row>
    <row r="267">
      <c r="A267" s="30" t="inlineStr">
        <is>
          <t>AIIL</t>
        </is>
      </c>
      <c r="B267" s="30" t="inlineStr">
        <is>
          <t>Authum Investment &amp; Infrastructure Ltd</t>
        </is>
      </c>
      <c r="C267" s="30" t="inlineStr">
        <is>
          <t>financials</t>
        </is>
      </c>
      <c r="D267" s="30" t="inlineStr">
        <is>
          <t>finance &amp; investments</t>
        </is>
      </c>
      <c r="E267" s="30" t="inlineStr">
        <is>
          <t>largecap</t>
        </is>
      </c>
      <c r="F267" s="30" t="n">
        <v>50630.82</v>
      </c>
      <c r="G267" s="30" t="n">
        <v>596.6</v>
      </c>
      <c r="H267" s="30" t="n">
        <v>0.07000000000000001</v>
      </c>
      <c r="I267" s="30" t="n">
        <v>1070113</v>
      </c>
      <c r="J267" s="30" t="inlineStr">
        <is>
          <t>539177</t>
        </is>
      </c>
    </row>
    <row r="268">
      <c r="A268" s="30" t="inlineStr">
        <is>
          <t>MAHLIFE</t>
        </is>
      </c>
      <c r="B268" s="30" t="inlineStr">
        <is>
          <t>Mahindra Lifespace Developers Limited</t>
        </is>
      </c>
      <c r="C268" s="30" t="inlineStr">
        <is>
          <t>realty</t>
        </is>
      </c>
      <c r="D268" s="30" t="inlineStr">
        <is>
          <t>construction</t>
        </is>
      </c>
      <c r="E268" s="30" t="inlineStr">
        <is>
          <t>midcap</t>
        </is>
      </c>
      <c r="F268" s="30" t="n">
        <v>8243.559999999999</v>
      </c>
      <c r="G268" s="30" t="n">
        <v>386.55</v>
      </c>
      <c r="H268" s="30" t="n">
        <v>0.04</v>
      </c>
      <c r="I268" s="30" t="n">
        <v>104568</v>
      </c>
      <c r="J268" s="30" t="inlineStr">
        <is>
          <t>532313</t>
        </is>
      </c>
    </row>
    <row r="269">
      <c r="A269" s="30" t="inlineStr">
        <is>
          <t>BANSALWIRE</t>
        </is>
      </c>
      <c r="B269" s="30" t="inlineStr">
        <is>
          <t>Bansal Wire Industries Ltd</t>
        </is>
      </c>
      <c r="C269" s="30" t="inlineStr">
        <is>
          <t>metals &amp; mining</t>
        </is>
      </c>
      <c r="D269" s="30" t="inlineStr">
        <is>
          <t>steel - medium / small</t>
        </is>
      </c>
      <c r="E269" s="30" t="inlineStr">
        <is>
          <t>midcap</t>
        </is>
      </c>
      <c r="F269" s="30" t="n">
        <v>5183.57</v>
      </c>
      <c r="G269" s="30" t="n">
        <v>331.2</v>
      </c>
      <c r="H269" s="30" t="n">
        <v>0.03</v>
      </c>
      <c r="I269" s="30" t="n">
        <v>284713</v>
      </c>
      <c r="J269" s="30" t="inlineStr">
        <is>
          <t>544209</t>
        </is>
      </c>
    </row>
    <row r="270">
      <c r="A270" s="30" t="inlineStr">
        <is>
          <t>ARMANFIN</t>
        </is>
      </c>
      <c r="B270" s="30" t="inlineStr">
        <is>
          <t>Arman Financial Services Limited</t>
        </is>
      </c>
      <c r="C270" s="30" t="inlineStr">
        <is>
          <t>financials</t>
        </is>
      </c>
      <c r="D270" s="30" t="inlineStr">
        <is>
          <t>finance &amp; investments</t>
        </is>
      </c>
      <c r="E270" s="30" t="inlineStr">
        <is>
          <t>smallcap</t>
        </is>
      </c>
      <c r="F270" s="30" t="n">
        <v>2136.07</v>
      </c>
      <c r="G270" s="30" t="n">
        <v>2032</v>
      </c>
      <c r="H270" s="30" t="n">
        <v>0.02</v>
      </c>
      <c r="I270" s="30" t="n">
        <v>65736</v>
      </c>
      <c r="J270" s="30" t="inlineStr">
        <is>
          <t>531179</t>
        </is>
      </c>
    </row>
    <row r="271">
      <c r="A271" s="30" t="inlineStr">
        <is>
          <t>TEXINFRA</t>
        </is>
      </c>
      <c r="B271" s="30" t="inlineStr">
        <is>
          <t>Texmaco Infrastructure &amp; Holdings Limited</t>
        </is>
      </c>
      <c r="C271" s="30" t="inlineStr">
        <is>
          <t>realty</t>
        </is>
      </c>
      <c r="D271" s="30" t="inlineStr">
        <is>
          <t>construction</t>
        </is>
      </c>
      <c r="E271" s="30" t="inlineStr">
        <is>
          <t>smallcap</t>
        </is>
      </c>
      <c r="F271" s="30" t="n">
        <v>1446.04</v>
      </c>
      <c r="G271" s="30" t="n">
        <v>113.5</v>
      </c>
      <c r="H271" s="30" t="n">
        <v>0.02</v>
      </c>
      <c r="I271" s="30" t="n">
        <v>38889</v>
      </c>
      <c r="J271" s="30" t="inlineStr">
        <is>
          <t>505400</t>
        </is>
      </c>
    </row>
    <row r="272">
      <c r="A272" s="30" t="inlineStr">
        <is>
          <t>MMP</t>
        </is>
      </c>
      <c r="B272" s="30" t="inlineStr">
        <is>
          <t>MMP Industries Ltd</t>
        </is>
      </c>
      <c r="C272" s="30" t="inlineStr">
        <is>
          <t>metals &amp; mining</t>
        </is>
      </c>
      <c r="D272" s="30" t="inlineStr">
        <is>
          <t>aluminium and aluminium products</t>
        </is>
      </c>
      <c r="E272" s="30" t="inlineStr">
        <is>
          <t>smallcap</t>
        </is>
      </c>
      <c r="F272" s="30" t="n">
        <v>624.86</v>
      </c>
      <c r="G272" s="30" t="n">
        <v>330.3</v>
      </c>
      <c r="H272" s="30" t="n">
        <v>0.02</v>
      </c>
      <c r="I272" s="30" t="n">
        <v>65025</v>
      </c>
      <c r="J272" s="30" t="inlineStr">
        <is>
          <t>535071</t>
        </is>
      </c>
    </row>
    <row r="273">
      <c r="A273" s="30" t="inlineStr">
        <is>
          <t>NYKAA</t>
        </is>
      </c>
      <c r="B273" s="30" t="inlineStr">
        <is>
          <t>FSN E-Commerce Ventures Ltd</t>
        </is>
      </c>
      <c r="C273" s="30" t="inlineStr">
        <is>
          <t>i.t</t>
        </is>
      </c>
      <c r="D273" s="30" t="inlineStr">
        <is>
          <t>trading</t>
        </is>
      </c>
      <c r="E273" s="30" t="inlineStr">
        <is>
          <t>largecap</t>
        </is>
      </c>
      <c r="F273" s="30" t="n">
        <v>95064.64</v>
      </c>
      <c r="G273" s="30" t="n">
        <v>332</v>
      </c>
      <c r="H273" s="30" t="n">
        <v>0.02</v>
      </c>
      <c r="I273" s="30" t="n">
        <v>9090033</v>
      </c>
      <c r="J273" s="30" t="inlineStr">
        <is>
          <t>543384</t>
        </is>
      </c>
    </row>
    <row r="274">
      <c r="A274" s="30" t="inlineStr">
        <is>
          <t>BALKRISIND</t>
        </is>
      </c>
      <c r="B274" s="30" t="inlineStr">
        <is>
          <t>Balkrishna Industries Limited</t>
        </is>
      </c>
      <c r="C274" s="30" t="inlineStr">
        <is>
          <t>auto</t>
        </is>
      </c>
      <c r="D274" s="30" t="inlineStr">
        <is>
          <t>tyres</t>
        </is>
      </c>
      <c r="E274" s="30" t="inlineStr">
        <is>
          <t>largecap</t>
        </is>
      </c>
      <c r="F274" s="30" t="n">
        <v>47666.22</v>
      </c>
      <c r="G274" s="30" t="n">
        <v>2466.3</v>
      </c>
      <c r="H274" s="30" t="n">
        <v>0.02</v>
      </c>
      <c r="I274" s="30" t="n">
        <v>116753</v>
      </c>
      <c r="J274" s="30" t="inlineStr">
        <is>
          <t>502355</t>
        </is>
      </c>
    </row>
    <row r="275">
      <c r="A275" s="30" t="inlineStr">
        <is>
          <t>LUMAXIND</t>
        </is>
      </c>
      <c r="B275" s="30" t="inlineStr">
        <is>
          <t>Lumax Industries Limited</t>
        </is>
      </c>
      <c r="C275" s="30" t="inlineStr">
        <is>
          <t>auto</t>
        </is>
      </c>
      <c r="D275" s="30" t="inlineStr">
        <is>
          <t>auto ancillaries</t>
        </is>
      </c>
      <c r="E275" s="30" t="inlineStr">
        <is>
          <t>midcap</t>
        </is>
      </c>
      <c r="F275" s="30" t="n">
        <v>5421.22</v>
      </c>
      <c r="G275" s="30" t="n">
        <v>5800</v>
      </c>
      <c r="H275" s="30" t="n">
        <v>0.01</v>
      </c>
      <c r="I275" s="30" t="n">
        <v>21031</v>
      </c>
      <c r="J275" s="30" t="inlineStr">
        <is>
          <t>517206</t>
        </is>
      </c>
    </row>
    <row r="276">
      <c r="A276" s="30" t="inlineStr">
        <is>
          <t>NATIONALUM</t>
        </is>
      </c>
      <c r="B276" s="30" t="inlineStr">
        <is>
          <t>National Aluminium Company Limited</t>
        </is>
      </c>
      <c r="C276" s="30" t="inlineStr">
        <is>
          <t>metals &amp; mining</t>
        </is>
      </c>
      <c r="D276" s="30" t="inlineStr">
        <is>
          <t>aluminium and aluminium products</t>
        </is>
      </c>
      <c r="E276" s="30" t="inlineStr">
        <is>
          <t>largecap</t>
        </is>
      </c>
      <c r="F276" s="30" t="n">
        <v>69975.67</v>
      </c>
      <c r="G276" s="30" t="n">
        <v>381</v>
      </c>
      <c r="H276" s="30" t="n">
        <v>0</v>
      </c>
      <c r="I276" s="30" t="n">
        <v>8771640</v>
      </c>
      <c r="J276" s="30" t="inlineStr">
        <is>
          <t>532234</t>
        </is>
      </c>
    </row>
    <row r="277">
      <c r="A277" s="30" t="inlineStr">
        <is>
          <t>ASHOKLEY</t>
        </is>
      </c>
      <c r="B277" s="30" t="inlineStr">
        <is>
          <t>Ashok Leyland Limited</t>
        </is>
      </c>
      <c r="C277" s="30" t="inlineStr">
        <is>
          <t>auto</t>
        </is>
      </c>
      <c r="D277" s="30" t="inlineStr">
        <is>
          <t>automobiles - lcvs / hcvs</t>
        </is>
      </c>
      <c r="E277" s="30" t="inlineStr">
        <is>
          <t>largecap</t>
        </is>
      </c>
      <c r="F277" s="30" t="n">
        <v>104260.92</v>
      </c>
      <c r="G277" s="30" t="n">
        <v>177.5</v>
      </c>
      <c r="H277" s="30" t="n">
        <v>0</v>
      </c>
      <c r="I277" s="30" t="n">
        <v>22203474</v>
      </c>
      <c r="J277" s="30" t="inlineStr">
        <is>
          <t>500477</t>
        </is>
      </c>
    </row>
    <row r="278">
      <c r="A278" s="30" t="inlineStr">
        <is>
          <t>KOTHARIPET</t>
        </is>
      </c>
      <c r="B278" s="30" t="inlineStr">
        <is>
          <t>Kothari Petrochemicals Limited</t>
        </is>
      </c>
      <c r="C278" s="30" t="inlineStr">
        <is>
          <t>energy</t>
        </is>
      </c>
      <c r="D278" s="30" t="inlineStr">
        <is>
          <t>petrochemicals</t>
        </is>
      </c>
      <c r="E278" s="30" t="inlineStr">
        <is>
          <t>smallcap</t>
        </is>
      </c>
      <c r="F278" s="30" t="n">
        <v>879.9299999999999</v>
      </c>
      <c r="G278" s="30" t="n">
        <v>149.52</v>
      </c>
      <c r="H278" s="30" t="n">
        <v>-0.01</v>
      </c>
      <c r="I278" s="30" t="n">
        <v>214433</v>
      </c>
      <c r="J278" s="30" t="inlineStr">
        <is>
          <t>532096</t>
        </is>
      </c>
    </row>
    <row r="279">
      <c r="A279" s="30" t="inlineStr">
        <is>
          <t>DYNAMATECH</t>
        </is>
      </c>
      <c r="B279" s="30" t="inlineStr">
        <is>
          <t>Dynamatic Technologies Limited</t>
        </is>
      </c>
      <c r="C279" s="30" t="inlineStr">
        <is>
          <t>industrials</t>
        </is>
      </c>
      <c r="D279" s="30" t="inlineStr">
        <is>
          <t>engineering</t>
        </is>
      </c>
      <c r="E279" s="30" t="inlineStr">
        <is>
          <t>midcap</t>
        </is>
      </c>
      <c r="F279" s="30" t="n">
        <v>7744.28</v>
      </c>
      <c r="G279" s="30" t="n">
        <v>11401</v>
      </c>
      <c r="H279" s="30" t="n">
        <v>-0.02</v>
      </c>
      <c r="I279" s="30" t="n">
        <v>26226</v>
      </c>
      <c r="J279" s="30" t="inlineStr">
        <is>
          <t>505242</t>
        </is>
      </c>
    </row>
    <row r="280">
      <c r="A280" s="30" t="inlineStr">
        <is>
          <t>PAYTM</t>
        </is>
      </c>
      <c r="B280" s="30" t="inlineStr">
        <is>
          <t>One 97 Communications Ltd</t>
        </is>
      </c>
      <c r="C280" s="30" t="inlineStr">
        <is>
          <t>i.t</t>
        </is>
      </c>
      <c r="D280" s="30" t="inlineStr">
        <is>
          <t>miscellaneous</t>
        </is>
      </c>
      <c r="E280" s="30" t="inlineStr">
        <is>
          <t>largecap</t>
        </is>
      </c>
      <c r="F280" s="30" t="n">
        <v>92336.60000000001</v>
      </c>
      <c r="G280" s="30" t="n">
        <v>1441.6</v>
      </c>
      <c r="H280" s="30" t="n">
        <v>-0.03</v>
      </c>
      <c r="I280" s="30" t="n">
        <v>6092076</v>
      </c>
      <c r="J280" s="30" t="inlineStr">
        <is>
          <t>543396</t>
        </is>
      </c>
    </row>
    <row r="281">
      <c r="A281" s="30" t="inlineStr">
        <is>
          <t>ARIHANT</t>
        </is>
      </c>
      <c r="B281" s="30" t="inlineStr">
        <is>
          <t>Arihant Foundations &amp; Housing Limited</t>
        </is>
      </c>
      <c r="C281" s="30" t="inlineStr">
        <is>
          <t>realty</t>
        </is>
      </c>
      <c r="D281" s="30" t="inlineStr">
        <is>
          <t>construction</t>
        </is>
      </c>
      <c r="E281" s="30" t="inlineStr">
        <is>
          <t>smallcap</t>
        </is>
      </c>
      <c r="F281" s="30" t="n">
        <v>1126.51</v>
      </c>
      <c r="G281" s="30" t="n">
        <v>1130</v>
      </c>
      <c r="H281" s="30" t="n">
        <v>-0.04</v>
      </c>
      <c r="I281" s="30" t="n">
        <v>2579</v>
      </c>
      <c r="J281" s="30" t="inlineStr">
        <is>
          <t>531381</t>
        </is>
      </c>
    </row>
    <row r="282">
      <c r="A282" s="30" t="inlineStr">
        <is>
          <t>MUKANDLTD</t>
        </is>
      </c>
      <c r="B282" s="30" t="inlineStr">
        <is>
          <t>Mukand Limited</t>
        </is>
      </c>
      <c r="C282" s="30" t="inlineStr">
        <is>
          <t>metals &amp; mining</t>
        </is>
      </c>
      <c r="D282" s="30" t="inlineStr">
        <is>
          <t>steel - medium / small</t>
        </is>
      </c>
      <c r="E282" s="30" t="inlineStr">
        <is>
          <t>smallcap</t>
        </is>
      </c>
      <c r="F282" s="30" t="n">
        <v>2070.48</v>
      </c>
      <c r="G282" s="30" t="n">
        <v>143.22</v>
      </c>
      <c r="H282" s="30" t="n">
        <v>-0.05</v>
      </c>
      <c r="I282" s="30" t="n">
        <v>282032</v>
      </c>
      <c r="J282" s="30" t="inlineStr">
        <is>
          <t>500460</t>
        </is>
      </c>
    </row>
    <row r="283">
      <c r="A283" s="30" t="inlineStr">
        <is>
          <t>63MOONS</t>
        </is>
      </c>
      <c r="B283" s="30" t="inlineStr">
        <is>
          <t>63 Moons Technologies Ltd</t>
        </is>
      </c>
      <c r="C283" s="30" t="inlineStr">
        <is>
          <t>i.t</t>
        </is>
      </c>
      <c r="D283" s="30" t="inlineStr">
        <is>
          <t>computers - software - medium / small</t>
        </is>
      </c>
      <c r="E283" s="30" t="inlineStr">
        <is>
          <t>smallcap</t>
        </is>
      </c>
      <c r="F283" s="30" t="n">
        <v>3954.46</v>
      </c>
      <c r="G283" s="30" t="n">
        <v>857.75</v>
      </c>
      <c r="H283" s="30" t="n">
        <v>-0.05</v>
      </c>
      <c r="I283" s="30" t="n">
        <v>473840</v>
      </c>
      <c r="J283" s="30" t="inlineStr">
        <is>
          <t>526881</t>
        </is>
      </c>
    </row>
    <row r="284">
      <c r="A284" s="30" t="inlineStr">
        <is>
          <t>VHL</t>
        </is>
      </c>
      <c r="B284" s="30" t="inlineStr">
        <is>
          <t>Vardhman Holdings Limited</t>
        </is>
      </c>
      <c r="C284" s="30" t="inlineStr">
        <is>
          <t>financials</t>
        </is>
      </c>
      <c r="D284" s="30" t="inlineStr">
        <is>
          <t>finance &amp; investments</t>
        </is>
      </c>
      <c r="E284" s="30" t="inlineStr">
        <is>
          <t>smallcap</t>
        </is>
      </c>
      <c r="F284" s="30" t="n">
        <v>1142.25</v>
      </c>
      <c r="G284" s="30" t="n">
        <v>3577</v>
      </c>
      <c r="H284" s="30" t="n">
        <v>-0.06</v>
      </c>
      <c r="I284" s="30" t="n">
        <v>1143</v>
      </c>
      <c r="J284" s="30" t="inlineStr">
        <is>
          <t>500439</t>
        </is>
      </c>
    </row>
    <row r="285">
      <c r="A285" s="30" t="inlineStr">
        <is>
          <t>TMB</t>
        </is>
      </c>
      <c r="B285" s="30" t="inlineStr">
        <is>
          <t>Tamilnad Mercantile Bank Ltd</t>
        </is>
      </c>
      <c r="C285" s="30" t="inlineStr">
        <is>
          <t>bank</t>
        </is>
      </c>
      <c r="D285" s="30" t="inlineStr">
        <is>
          <t>banks - private sector</t>
        </is>
      </c>
      <c r="E285" s="30" t="inlineStr">
        <is>
          <t>midcap</t>
        </is>
      </c>
      <c r="F285" s="30" t="n">
        <v>13830.42</v>
      </c>
      <c r="G285" s="30" t="n">
        <v>872.8</v>
      </c>
      <c r="H285" s="30" t="n">
        <v>-0.07000000000000001</v>
      </c>
      <c r="I285" s="30" t="n">
        <v>142977</v>
      </c>
      <c r="J285" s="30" t="inlineStr">
        <is>
          <t>543596</t>
        </is>
      </c>
    </row>
    <row r="286">
      <c r="A286" s="30" t="inlineStr">
        <is>
          <t>SAIL</t>
        </is>
      </c>
      <c r="B286" s="30" t="inlineStr">
        <is>
          <t>Steel Authority Of India Limited</t>
        </is>
      </c>
      <c r="C286" s="30" t="inlineStr">
        <is>
          <t>metals &amp; mining</t>
        </is>
      </c>
      <c r="D286" s="30" t="inlineStr">
        <is>
          <t>steel - large</t>
        </is>
      </c>
      <c r="E286" s="30" t="inlineStr">
        <is>
          <t>largecap</t>
        </is>
      </c>
      <c r="F286" s="30" t="n">
        <v>73002.89999999999</v>
      </c>
      <c r="G286" s="30" t="n">
        <v>176.58</v>
      </c>
      <c r="H286" s="30" t="n">
        <v>-0.09</v>
      </c>
      <c r="I286" s="30" t="n">
        <v>19016169</v>
      </c>
      <c r="J286" s="30" t="inlineStr">
        <is>
          <t>500113</t>
        </is>
      </c>
    </row>
    <row r="287">
      <c r="A287" s="30" t="inlineStr">
        <is>
          <t>GANDHAR</t>
        </is>
      </c>
      <c r="B287" s="30" t="inlineStr">
        <is>
          <t>Gandhar Oil Refinery (India) Ltd</t>
        </is>
      </c>
      <c r="C287" s="30" t="inlineStr">
        <is>
          <t>energy</t>
        </is>
      </c>
      <c r="D287" s="30" t="inlineStr">
        <is>
          <t>refineries</t>
        </is>
      </c>
      <c r="E287" s="30" t="inlineStr">
        <is>
          <t>smallcap</t>
        </is>
      </c>
      <c r="F287" s="30" t="n">
        <v>2377.98</v>
      </c>
      <c r="G287" s="30" t="n">
        <v>242.71</v>
      </c>
      <c r="H287" s="30" t="n">
        <v>-0.1</v>
      </c>
      <c r="I287" s="30" t="n">
        <v>1529583</v>
      </c>
      <c r="J287" s="30" t="inlineStr">
        <is>
          <t>544029</t>
        </is>
      </c>
    </row>
    <row r="288">
      <c r="A288" s="30" t="inlineStr">
        <is>
          <t>YATHARTH</t>
        </is>
      </c>
      <c r="B288" s="30" t="inlineStr">
        <is>
          <t>Yatharth Hospital &amp; Trauma Care Services Ltd</t>
        </is>
      </c>
      <c r="C288" s="30" t="inlineStr">
        <is>
          <t>healthcare</t>
        </is>
      </c>
      <c r="D288" s="30" t="inlineStr">
        <is>
          <t>healthcare</t>
        </is>
      </c>
      <c r="E288" s="30" t="inlineStr">
        <is>
          <t>midcap</t>
        </is>
      </c>
      <c r="F288" s="30" t="n">
        <v>8396.799999999999</v>
      </c>
      <c r="G288" s="30" t="n">
        <v>870.5</v>
      </c>
      <c r="H288" s="30" t="n">
        <v>-0.11</v>
      </c>
      <c r="I288" s="30" t="n">
        <v>161808</v>
      </c>
      <c r="J288" s="30" t="inlineStr">
        <is>
          <t>543950</t>
        </is>
      </c>
    </row>
    <row r="289">
      <c r="A289" s="30" t="inlineStr">
        <is>
          <t>USHAMART</t>
        </is>
      </c>
      <c r="B289" s="30" t="inlineStr">
        <is>
          <t>Usha Martin Limited</t>
        </is>
      </c>
      <c r="C289" s="30" t="inlineStr">
        <is>
          <t>metals &amp; mining</t>
        </is>
      </c>
      <c r="D289" s="30" t="inlineStr">
        <is>
          <t>steel - medium / small</t>
        </is>
      </c>
      <c r="E289" s="30" t="inlineStr">
        <is>
          <t>midcap</t>
        </is>
      </c>
      <c r="F289" s="30" t="n">
        <v>15714.02</v>
      </c>
      <c r="G289" s="30" t="n">
        <v>515.05</v>
      </c>
      <c r="H289" s="30" t="n">
        <v>-0.12</v>
      </c>
      <c r="I289" s="30" t="n">
        <v>205861</v>
      </c>
      <c r="J289" s="30" t="inlineStr">
        <is>
          <t>517146</t>
        </is>
      </c>
    </row>
    <row r="290">
      <c r="A290" s="30" t="inlineStr">
        <is>
          <t>NAZARA</t>
        </is>
      </c>
      <c r="B290" s="30" t="inlineStr">
        <is>
          <t>Nazara Technologies Ltd</t>
        </is>
      </c>
      <c r="C290" s="30" t="inlineStr">
        <is>
          <t>i.t</t>
        </is>
      </c>
      <c r="D290" s="30" t="inlineStr">
        <is>
          <t>telecommunications - service provider</t>
        </is>
      </c>
      <c r="E290" s="30" t="inlineStr">
        <is>
          <t>midcap</t>
        </is>
      </c>
      <c r="F290" s="30" t="n">
        <v>13071.86</v>
      </c>
      <c r="G290" s="30" t="n">
        <v>352.35</v>
      </c>
      <c r="H290" s="30" t="n">
        <v>-0.14</v>
      </c>
      <c r="I290" s="30" t="n">
        <v>2205799</v>
      </c>
      <c r="J290" s="30" t="inlineStr">
        <is>
          <t>543280</t>
        </is>
      </c>
    </row>
    <row r="291">
      <c r="A291" s="30" t="inlineStr">
        <is>
          <t>LT</t>
        </is>
      </c>
      <c r="B291" s="30" t="inlineStr">
        <is>
          <t>Larsen &amp; Toubro Limited</t>
        </is>
      </c>
      <c r="C291" s="30" t="inlineStr">
        <is>
          <t>realty</t>
        </is>
      </c>
      <c r="D291" s="30" t="inlineStr">
        <is>
          <t>engineering - turnkey services</t>
        </is>
      </c>
      <c r="E291" s="30" t="inlineStr">
        <is>
          <t>largecap</t>
        </is>
      </c>
      <c r="F291" s="30" t="n">
        <v>558793.6800000001</v>
      </c>
      <c r="G291" s="30" t="n">
        <v>4056</v>
      </c>
      <c r="H291" s="30" t="n">
        <v>-0.14</v>
      </c>
      <c r="I291" s="30" t="n">
        <v>1741273</v>
      </c>
      <c r="J291" s="30" t="inlineStr">
        <is>
          <t>500510</t>
        </is>
      </c>
    </row>
    <row r="292">
      <c r="A292" s="30" t="inlineStr">
        <is>
          <t>RRKABEL</t>
        </is>
      </c>
      <c r="B292" s="30" t="inlineStr">
        <is>
          <t>R R Kabel Ltd</t>
        </is>
      </c>
      <c r="C292" s="30" t="inlineStr">
        <is>
          <t>industrials</t>
        </is>
      </c>
      <c r="D292" s="30" t="inlineStr">
        <is>
          <t>cables - power</t>
        </is>
      </c>
      <c r="E292" s="30" t="inlineStr">
        <is>
          <t>largecap</t>
        </is>
      </c>
      <c r="F292" s="30" t="n">
        <v>31266.89</v>
      </c>
      <c r="G292" s="30" t="n">
        <v>2759.5</v>
      </c>
      <c r="H292" s="30" t="n">
        <v>-0.18</v>
      </c>
      <c r="I292" s="30" t="n">
        <v>287032</v>
      </c>
      <c r="J292" s="30" t="inlineStr">
        <is>
          <t>543981</t>
        </is>
      </c>
    </row>
    <row r="293">
      <c r="A293" s="30" t="inlineStr">
        <is>
          <t>CUPID</t>
        </is>
      </c>
      <c r="B293" s="30" t="inlineStr">
        <is>
          <t>Cupid Limited</t>
        </is>
      </c>
      <c r="C293" s="30" t="inlineStr">
        <is>
          <t>fmcg</t>
        </is>
      </c>
      <c r="D293" s="30" t="inlineStr">
        <is>
          <t>personal care - indian</t>
        </is>
      </c>
      <c r="E293" s="30" t="inlineStr">
        <is>
          <t>largecap</t>
        </is>
      </c>
      <c r="F293" s="30" t="n">
        <v>35312.13</v>
      </c>
      <c r="G293" s="30" t="n">
        <v>262.13</v>
      </c>
      <c r="H293" s="30" t="n">
        <v>-0.18</v>
      </c>
      <c r="I293" s="30" t="n">
        <v>46030388</v>
      </c>
      <c r="J293" s="30" t="inlineStr">
        <is>
          <t>530843</t>
        </is>
      </c>
    </row>
    <row r="294">
      <c r="A294" s="30" t="inlineStr">
        <is>
          <t>HAL</t>
        </is>
      </c>
      <c r="B294" s="30" t="inlineStr">
        <is>
          <t>Hindustan Aeronautics Ltd</t>
        </is>
      </c>
      <c r="C294" s="30" t="inlineStr">
        <is>
          <t>aerospace &amp; defence</t>
        </is>
      </c>
      <c r="D294" s="30" t="inlineStr">
        <is>
          <t>engineering</t>
        </is>
      </c>
      <c r="E294" s="30" t="inlineStr">
        <is>
          <t>largecap</t>
        </is>
      </c>
      <c r="F294" s="30" t="n">
        <v>329037.3</v>
      </c>
      <c r="G294" s="30" t="n">
        <v>4910</v>
      </c>
      <c r="H294" s="30" t="n">
        <v>-0.2</v>
      </c>
      <c r="I294" s="30" t="n">
        <v>2152548</v>
      </c>
      <c r="J294" s="30" t="inlineStr">
        <is>
          <t>541154</t>
        </is>
      </c>
    </row>
    <row r="295">
      <c r="A295" s="30" t="inlineStr">
        <is>
          <t>SIS</t>
        </is>
      </c>
      <c r="B295" s="30" t="inlineStr">
        <is>
          <t>Security &amp; Intelligence Services India</t>
        </is>
      </c>
      <c r="C295" s="30" t="inlineStr">
        <is>
          <t>miscellaneous</t>
        </is>
      </c>
      <c r="D295" s="30" t="inlineStr">
        <is>
          <t>miscellaneous</t>
        </is>
      </c>
      <c r="E295" s="30" t="inlineStr">
        <is>
          <t>midcap</t>
        </is>
      </c>
      <c r="F295" s="30" t="n">
        <v>6159.3</v>
      </c>
      <c r="G295" s="30" t="n">
        <v>434.95</v>
      </c>
      <c r="H295" s="30" t="n">
        <v>-0.22</v>
      </c>
      <c r="I295" s="30" t="n">
        <v>97224</v>
      </c>
      <c r="J295" s="30" t="inlineStr">
        <is>
          <t>540673</t>
        </is>
      </c>
    </row>
    <row r="296">
      <c r="A296" s="30" t="inlineStr">
        <is>
          <t>SSWL</t>
        </is>
      </c>
      <c r="B296" s="30" t="inlineStr">
        <is>
          <t>Steel Strips Wheels Limited</t>
        </is>
      </c>
      <c r="C296" s="30" t="inlineStr">
        <is>
          <t>auto</t>
        </is>
      </c>
      <c r="D296" s="30" t="inlineStr">
        <is>
          <t>auto ancillaries</t>
        </is>
      </c>
      <c r="E296" s="30" t="inlineStr">
        <is>
          <t>smallcap</t>
        </is>
      </c>
      <c r="F296" s="30" t="n">
        <v>4860.02</v>
      </c>
      <c r="G296" s="30" t="n">
        <v>308.5</v>
      </c>
      <c r="H296" s="30" t="n">
        <v>-0.23</v>
      </c>
      <c r="I296" s="30" t="n">
        <v>658489</v>
      </c>
      <c r="J296" s="30" t="inlineStr">
        <is>
          <t>513262</t>
        </is>
      </c>
    </row>
    <row r="297">
      <c r="A297" s="30" t="inlineStr">
        <is>
          <t>ANANTRAJ</t>
        </is>
      </c>
      <c r="B297" s="30" t="inlineStr">
        <is>
          <t>Anant Raj Limited</t>
        </is>
      </c>
      <c r="C297" s="30" t="inlineStr">
        <is>
          <t>realty</t>
        </is>
      </c>
      <c r="D297" s="30" t="inlineStr">
        <is>
          <t>construction</t>
        </is>
      </c>
      <c r="E297" s="30" t="inlineStr">
        <is>
          <t>largecap</t>
        </is>
      </c>
      <c r="F297" s="30" t="n">
        <v>22218.8</v>
      </c>
      <c r="G297" s="30" t="n">
        <v>615.9</v>
      </c>
      <c r="H297" s="30" t="n">
        <v>-0.24</v>
      </c>
      <c r="I297" s="30" t="n">
        <v>1039177</v>
      </c>
      <c r="J297" s="30" t="inlineStr">
        <is>
          <t>515055</t>
        </is>
      </c>
    </row>
    <row r="298">
      <c r="A298" s="30" t="inlineStr">
        <is>
          <t>VENKEYS</t>
        </is>
      </c>
      <c r="B298" s="30" t="inlineStr">
        <is>
          <t>Venky's (india) Limited</t>
        </is>
      </c>
      <c r="C298" s="30" t="inlineStr">
        <is>
          <t>fmcg</t>
        </is>
      </c>
      <c r="D298" s="30" t="inlineStr">
        <is>
          <t>miscellaneous</t>
        </is>
      </c>
      <c r="E298" s="30" t="inlineStr">
        <is>
          <t>smallcap</t>
        </is>
      </c>
      <c r="F298" s="30" t="n">
        <v>2204.81</v>
      </c>
      <c r="G298" s="30" t="n">
        <v>1561.1</v>
      </c>
      <c r="H298" s="30" t="n">
        <v>-0.26</v>
      </c>
      <c r="I298" s="30" t="n">
        <v>22629</v>
      </c>
      <c r="J298" s="30" t="inlineStr">
        <is>
          <t>523261</t>
        </is>
      </c>
    </row>
    <row r="299">
      <c r="A299" s="30" t="inlineStr">
        <is>
          <t>FCL</t>
        </is>
      </c>
      <c r="B299" s="30" t="inlineStr">
        <is>
          <t>Fineotex Chemical Limited</t>
        </is>
      </c>
      <c r="C299" s="30" t="inlineStr">
        <is>
          <t>chemicals</t>
        </is>
      </c>
      <c r="D299" s="30" t="inlineStr">
        <is>
          <t>chemicals</t>
        </is>
      </c>
      <c r="E299" s="30" t="inlineStr">
        <is>
          <t>smallcap</t>
        </is>
      </c>
      <c r="F299" s="30" t="n">
        <v>4861.79</v>
      </c>
      <c r="G299" s="30" t="n">
        <v>41.64</v>
      </c>
      <c r="H299" s="30" t="n">
        <v>-0.26</v>
      </c>
      <c r="I299" s="30" t="n">
        <v>12595408</v>
      </c>
      <c r="J299" s="30" t="inlineStr">
        <is>
          <t>533333</t>
        </is>
      </c>
    </row>
    <row r="300">
      <c r="A300" s="30" t="inlineStr">
        <is>
          <t>POLYPLEX</t>
        </is>
      </c>
      <c r="B300" s="30" t="inlineStr">
        <is>
          <t>Polyplex Corporation Limited</t>
        </is>
      </c>
      <c r="C300" s="30" t="inlineStr">
        <is>
          <t>industrials</t>
        </is>
      </c>
      <c r="D300" s="30" t="inlineStr">
        <is>
          <t>packaging</t>
        </is>
      </c>
      <c r="E300" s="30" t="inlineStr">
        <is>
          <t>smallcap</t>
        </is>
      </c>
      <c r="F300" s="30" t="n">
        <v>3500.57</v>
      </c>
      <c r="G300" s="30" t="n">
        <v>1112.2</v>
      </c>
      <c r="H300" s="30" t="n">
        <v>-0.26</v>
      </c>
      <c r="I300" s="30" t="n">
        <v>46724</v>
      </c>
      <c r="J300" s="30" t="inlineStr">
        <is>
          <t>524051</t>
        </is>
      </c>
    </row>
    <row r="301">
      <c r="A301" s="30" t="inlineStr">
        <is>
          <t>PFIZER</t>
        </is>
      </c>
      <c r="B301" s="30" t="inlineStr">
        <is>
          <t>Pfizer Limited</t>
        </is>
      </c>
      <c r="C301" s="30" t="inlineStr">
        <is>
          <t>healthcare</t>
        </is>
      </c>
      <c r="D301" s="30" t="inlineStr">
        <is>
          <t>pharmaceuticals - multinational</t>
        </is>
      </c>
      <c r="E301" s="30" t="inlineStr">
        <is>
          <t>largecap</t>
        </is>
      </c>
      <c r="F301" s="30" t="n">
        <v>22416.39</v>
      </c>
      <c r="G301" s="30" t="n">
        <v>4886.1</v>
      </c>
      <c r="H301" s="30" t="n">
        <v>-0.28</v>
      </c>
      <c r="I301" s="30" t="n">
        <v>5857</v>
      </c>
      <c r="J301" s="30" t="inlineStr">
        <is>
          <t>500680</t>
        </is>
      </c>
    </row>
    <row r="302">
      <c r="A302" s="30" t="inlineStr">
        <is>
          <t>GLAND</t>
        </is>
      </c>
      <c r="B302" s="30" t="inlineStr">
        <is>
          <t>Gland Pharma Ltd</t>
        </is>
      </c>
      <c r="C302" s="30" t="inlineStr">
        <is>
          <t>healthcare</t>
        </is>
      </c>
      <c r="D302" s="30" t="inlineStr">
        <is>
          <t>pharmaceuticals - indian - formulations</t>
        </is>
      </c>
      <c r="E302" s="30" t="inlineStr">
        <is>
          <t>largecap</t>
        </is>
      </c>
      <c r="F302" s="30" t="n">
        <v>43026.43</v>
      </c>
      <c r="G302" s="30" t="n">
        <v>2601</v>
      </c>
      <c r="H302" s="30" t="n">
        <v>-0.28</v>
      </c>
      <c r="I302" s="30" t="n">
        <v>317745</v>
      </c>
      <c r="J302" s="30" t="inlineStr">
        <is>
          <t>543245</t>
        </is>
      </c>
    </row>
    <row r="303">
      <c r="A303" s="30" t="inlineStr">
        <is>
          <t>SIEMENS</t>
        </is>
      </c>
      <c r="B303" s="30" t="inlineStr">
        <is>
          <t>Siemens Limited</t>
        </is>
      </c>
      <c r="C303" s="30" t="inlineStr">
        <is>
          <t>industrials</t>
        </is>
      </c>
      <c r="D303" s="30" t="inlineStr">
        <is>
          <t>electric equipment</t>
        </is>
      </c>
      <c r="E303" s="30" t="inlineStr">
        <is>
          <t>largecap</t>
        </is>
      </c>
      <c r="F303" s="30" t="n">
        <v>140738.82</v>
      </c>
      <c r="G303" s="30" t="n">
        <v>3940.1</v>
      </c>
      <c r="H303" s="30" t="n">
        <v>-0.3</v>
      </c>
      <c r="I303" s="30" t="n">
        <v>439133</v>
      </c>
      <c r="J303" s="30" t="inlineStr">
        <is>
          <t>500550</t>
        </is>
      </c>
    </row>
    <row r="304">
      <c r="A304" s="30" t="inlineStr">
        <is>
          <t>AVADHSUGAR</t>
        </is>
      </c>
      <c r="B304" s="30" t="inlineStr">
        <is>
          <t>Avadh Sugar &amp; Energy</t>
        </is>
      </c>
      <c r="C304" s="30" t="inlineStr">
        <is>
          <t>fmcg</t>
        </is>
      </c>
      <c r="D304" s="30" t="inlineStr">
        <is>
          <t>sugar</t>
        </is>
      </c>
      <c r="E304" s="30" t="inlineStr">
        <is>
          <t>smallcap</t>
        </is>
      </c>
      <c r="F304" s="30" t="n">
        <v>1206.91</v>
      </c>
      <c r="G304" s="30" t="n">
        <v>601.05</v>
      </c>
      <c r="H304" s="30" t="n">
        <v>-0.31</v>
      </c>
      <c r="I304" s="30" t="n">
        <v>63148</v>
      </c>
      <c r="J304" s="30" t="inlineStr">
        <is>
          <t>540649</t>
        </is>
      </c>
    </row>
    <row r="305">
      <c r="A305" s="30" t="inlineStr">
        <is>
          <t>KRISHANA</t>
        </is>
      </c>
      <c r="B305" s="30" t="inlineStr">
        <is>
          <t>Krishana Phoschem Ltd</t>
        </is>
      </c>
      <c r="C305" s="30" t="inlineStr">
        <is>
          <t>chemicals</t>
        </is>
      </c>
      <c r="D305" s="30" t="inlineStr">
        <is>
          <t>fertilizers</t>
        </is>
      </c>
      <c r="E305" s="30" t="inlineStr">
        <is>
          <t>smallcap</t>
        </is>
      </c>
      <c r="F305" s="30" t="n">
        <v>1109.25</v>
      </c>
      <c r="G305" s="30" t="n">
        <v>178.86</v>
      </c>
      <c r="H305" s="30" t="n">
        <v>-0.31</v>
      </c>
      <c r="I305" s="30" t="n">
        <v>291541</v>
      </c>
      <c r="J305" s="30" t="inlineStr">
        <is>
          <t>538405</t>
        </is>
      </c>
    </row>
    <row r="306">
      <c r="A306" s="30" t="inlineStr">
        <is>
          <t>MARUTI</t>
        </is>
      </c>
      <c r="B306" s="30" t="inlineStr">
        <is>
          <t>Maruti Suzuki India Limited</t>
        </is>
      </c>
      <c r="C306" s="30" t="inlineStr">
        <is>
          <t>auto</t>
        </is>
      </c>
      <c r="D306" s="30" t="inlineStr">
        <is>
          <t>automobiles - passenger cars</t>
        </is>
      </c>
      <c r="E306" s="30" t="inlineStr">
        <is>
          <t>largecap</t>
        </is>
      </c>
      <c r="F306" s="30" t="n">
        <v>442678.82</v>
      </c>
      <c r="G306" s="30" t="n">
        <v>14037</v>
      </c>
      <c r="H306" s="30" t="n">
        <v>-0.31</v>
      </c>
      <c r="I306" s="30" t="n">
        <v>633403</v>
      </c>
      <c r="J306" s="30" t="inlineStr">
        <is>
          <t>532500</t>
        </is>
      </c>
    </row>
    <row r="307">
      <c r="A307" s="30" t="inlineStr">
        <is>
          <t>ATUL</t>
        </is>
      </c>
      <c r="B307" s="30" t="inlineStr">
        <is>
          <t>Atul Limited</t>
        </is>
      </c>
      <c r="C307" s="30" t="inlineStr">
        <is>
          <t>chemicals</t>
        </is>
      </c>
      <c r="D307" s="30" t="inlineStr">
        <is>
          <t>chemicals</t>
        </is>
      </c>
      <c r="E307" s="30" t="inlineStr">
        <is>
          <t>largecap</t>
        </is>
      </c>
      <c r="F307" s="30" t="n">
        <v>20010.09</v>
      </c>
      <c r="G307" s="30" t="n">
        <v>6775</v>
      </c>
      <c r="H307" s="30" t="n">
        <v>-0.32</v>
      </c>
      <c r="I307" s="30" t="n">
        <v>130066</v>
      </c>
      <c r="J307" s="30" t="inlineStr">
        <is>
          <t>500027</t>
        </is>
      </c>
    </row>
    <row r="308">
      <c r="A308" s="30" t="inlineStr">
        <is>
          <t>APOLLOHOSP</t>
        </is>
      </c>
      <c r="B308" s="30" t="inlineStr">
        <is>
          <t>Apollo Hospitals Enterprise Limited</t>
        </is>
      </c>
      <c r="C308" s="30" t="inlineStr">
        <is>
          <t>healthcare</t>
        </is>
      </c>
      <c r="D308" s="30" t="inlineStr">
        <is>
          <t>healthcare</t>
        </is>
      </c>
      <c r="E308" s="30" t="inlineStr">
        <is>
          <t>largecap</t>
        </is>
      </c>
      <c r="F308" s="30" t="n">
        <v>129039.54</v>
      </c>
      <c r="G308" s="30" t="n">
        <v>8945</v>
      </c>
      <c r="H308" s="30" t="n">
        <v>-0.33</v>
      </c>
      <c r="I308" s="30" t="n">
        <v>533960</v>
      </c>
      <c r="J308" s="30" t="inlineStr">
        <is>
          <t>508869</t>
        </is>
      </c>
    </row>
    <row r="309">
      <c r="A309" s="30" t="inlineStr">
        <is>
          <t>STOVEKRAFT</t>
        </is>
      </c>
      <c r="B309" s="30" t="inlineStr">
        <is>
          <t>Stove Kraft Ltd</t>
        </is>
      </c>
      <c r="C309" s="30" t="inlineStr">
        <is>
          <t>consumer discretionary</t>
        </is>
      </c>
      <c r="D309" s="30" t="inlineStr">
        <is>
          <t>domestic appliances</t>
        </is>
      </c>
      <c r="E309" s="30" t="inlineStr">
        <is>
          <t>smallcap</t>
        </is>
      </c>
      <c r="F309" s="30" t="n">
        <v>2649.25</v>
      </c>
      <c r="G309" s="30" t="n">
        <v>797.55</v>
      </c>
      <c r="H309" s="30" t="n">
        <v>-0.33</v>
      </c>
      <c r="I309" s="30" t="n">
        <v>246697</v>
      </c>
      <c r="J309" s="30" t="inlineStr">
        <is>
          <t>543260</t>
        </is>
      </c>
    </row>
    <row r="310">
      <c r="A310" s="30" t="inlineStr">
        <is>
          <t>TNPL</t>
        </is>
      </c>
      <c r="B310" s="30" t="inlineStr">
        <is>
          <t>Tamil Nadu Newsprint &amp; Papers Limited</t>
        </is>
      </c>
      <c r="C310" s="30" t="inlineStr">
        <is>
          <t>building materials</t>
        </is>
      </c>
      <c r="D310" s="30" t="inlineStr">
        <is>
          <t>paper</t>
        </is>
      </c>
      <c r="E310" s="30" t="inlineStr">
        <is>
          <t>smallcap</t>
        </is>
      </c>
      <c r="F310" s="30" t="n">
        <v>1087.64</v>
      </c>
      <c r="G310" s="30" t="n">
        <v>156.6</v>
      </c>
      <c r="H310" s="30" t="n">
        <v>-0.35</v>
      </c>
      <c r="I310" s="30" t="n">
        <v>89590</v>
      </c>
      <c r="J310" s="30" t="inlineStr">
        <is>
          <t>531426</t>
        </is>
      </c>
    </row>
    <row r="311">
      <c r="A311" s="30" t="inlineStr">
        <is>
          <t>UNIVCABLES</t>
        </is>
      </c>
      <c r="B311" s="30" t="inlineStr">
        <is>
          <t>Universal Cables Limited</t>
        </is>
      </c>
      <c r="C311" s="30" t="inlineStr">
        <is>
          <t>industrials</t>
        </is>
      </c>
      <c r="D311" s="30" t="inlineStr">
        <is>
          <t>cables - power</t>
        </is>
      </c>
      <c r="E311" s="30" t="inlineStr">
        <is>
          <t>smallcap</t>
        </is>
      </c>
      <c r="F311" s="30" t="n">
        <v>4913.91</v>
      </c>
      <c r="G311" s="30" t="n">
        <v>1411.2</v>
      </c>
      <c r="H311" s="30" t="n">
        <v>-0.36</v>
      </c>
      <c r="I311" s="30" t="n">
        <v>164516</v>
      </c>
      <c r="J311" s="30" t="inlineStr">
        <is>
          <t>504212</t>
        </is>
      </c>
    </row>
    <row r="312">
      <c r="A312" s="30" t="inlineStr">
        <is>
          <t>SANATHAN</t>
        </is>
      </c>
      <c r="B312" s="30" t="inlineStr">
        <is>
          <t>Sanathan Textiles Ltd</t>
        </is>
      </c>
      <c r="C312" s="30" t="inlineStr">
        <is>
          <t>textiles</t>
        </is>
      </c>
      <c r="D312" s="30" t="inlineStr">
        <is>
          <t>textiles - cotton/blended</t>
        </is>
      </c>
      <c r="E312" s="30" t="inlineStr">
        <is>
          <t>smallcap</t>
        </is>
      </c>
      <c r="F312" s="30" t="n">
        <v>4006.66</v>
      </c>
      <c r="G312" s="30" t="n">
        <v>472.9</v>
      </c>
      <c r="H312" s="30" t="n">
        <v>-0.38</v>
      </c>
      <c r="I312" s="30" t="n">
        <v>62420</v>
      </c>
      <c r="J312" s="30" t="inlineStr">
        <is>
          <t>544314</t>
        </is>
      </c>
    </row>
    <row r="313">
      <c r="A313" s="30" t="inlineStr">
        <is>
          <t>ETERNAL</t>
        </is>
      </c>
      <c r="B313" s="30" t="inlineStr">
        <is>
          <t>Eternal Ltd</t>
        </is>
      </c>
      <c r="C313" s="30" t="inlineStr">
        <is>
          <t>i.t</t>
        </is>
      </c>
      <c r="D313" s="30" t="inlineStr">
        <is>
          <t>miscellaneous</t>
        </is>
      </c>
      <c r="E313" s="30" t="inlineStr">
        <is>
          <t>largecap</t>
        </is>
      </c>
      <c r="F313" s="30" t="n">
        <v>305192.34</v>
      </c>
      <c r="G313" s="30" t="n">
        <v>315</v>
      </c>
      <c r="H313" s="30" t="n">
        <v>-0.4</v>
      </c>
      <c r="I313" s="30" t="n">
        <v>24606002</v>
      </c>
      <c r="J313" s="30" t="inlineStr">
        <is>
          <t>543320</t>
        </is>
      </c>
    </row>
    <row r="314">
      <c r="A314" s="30" t="inlineStr">
        <is>
          <t>AIAENG</t>
        </is>
      </c>
      <c r="B314" s="30" t="inlineStr">
        <is>
          <t>Aia Engineering Limited</t>
        </is>
      </c>
      <c r="C314" s="30" t="inlineStr">
        <is>
          <t>industrials</t>
        </is>
      </c>
      <c r="D314" s="30" t="inlineStr">
        <is>
          <t>castings &amp; forgings</t>
        </is>
      </c>
      <c r="E314" s="30" t="inlineStr">
        <is>
          <t>largecap</t>
        </is>
      </c>
      <c r="F314" s="30" t="n">
        <v>44750.85</v>
      </c>
      <c r="G314" s="30" t="n">
        <v>4776</v>
      </c>
      <c r="H314" s="30" t="n">
        <v>-0.4</v>
      </c>
      <c r="I314" s="30" t="n">
        <v>46225</v>
      </c>
      <c r="J314" s="30" t="inlineStr">
        <is>
          <t>532683</t>
        </is>
      </c>
    </row>
    <row r="315">
      <c r="A315" s="30" t="inlineStr">
        <is>
          <t>PICCADIL</t>
        </is>
      </c>
      <c r="B315" s="30" t="inlineStr">
        <is>
          <t>Piccadily Agro Industries Ltd</t>
        </is>
      </c>
      <c r="C315" s="30" t="inlineStr">
        <is>
          <t>fmcg</t>
        </is>
      </c>
      <c r="D315" s="30" t="inlineStr">
        <is>
          <t>breweries &amp; distilleries</t>
        </is>
      </c>
      <c r="E315" s="30" t="inlineStr">
        <is>
          <t>midcap</t>
        </is>
      </c>
      <c r="F315" s="30" t="n">
        <v>7355.45</v>
      </c>
      <c r="G315" s="30" t="n">
        <v>743.15</v>
      </c>
      <c r="H315" s="30" t="n">
        <v>-0.41</v>
      </c>
      <c r="I315" s="30" t="n">
        <v>145966</v>
      </c>
      <c r="J315" s="30" t="inlineStr">
        <is>
          <t>530305</t>
        </is>
      </c>
    </row>
    <row r="316">
      <c r="A316" s="30" t="inlineStr">
        <is>
          <t>ATULAUTO</t>
        </is>
      </c>
      <c r="B316" s="30" t="inlineStr">
        <is>
          <t>Atul Auto Limited</t>
        </is>
      </c>
      <c r="C316" s="30" t="inlineStr">
        <is>
          <t>auto</t>
        </is>
      </c>
      <c r="D316" s="30" t="inlineStr">
        <is>
          <t>automobiles - scooters and 3 - wheelers</t>
        </is>
      </c>
      <c r="E316" s="30" t="inlineStr">
        <is>
          <t>smallcap</t>
        </is>
      </c>
      <c r="F316" s="30" t="n">
        <v>1608.33</v>
      </c>
      <c r="G316" s="30" t="n">
        <v>576.9</v>
      </c>
      <c r="H316" s="30" t="n">
        <v>-0.46</v>
      </c>
      <c r="I316" s="30" t="n">
        <v>297801</v>
      </c>
      <c r="J316" s="30" t="inlineStr">
        <is>
          <t>531795</t>
        </is>
      </c>
    </row>
    <row r="317">
      <c r="A317" s="30" t="inlineStr">
        <is>
          <t>GANDHITUBE</t>
        </is>
      </c>
      <c r="B317" s="30" t="inlineStr">
        <is>
          <t>Gandhi Special Tubes Limited</t>
        </is>
      </c>
      <c r="C317" s="30" t="inlineStr">
        <is>
          <t>metals &amp; mining</t>
        </is>
      </c>
      <c r="D317" s="30" t="inlineStr">
        <is>
          <t>steel - medium / small</t>
        </is>
      </c>
      <c r="E317" s="30" t="inlineStr">
        <is>
          <t>smallcap</t>
        </is>
      </c>
      <c r="F317" s="30" t="n">
        <v>1085.36</v>
      </c>
      <c r="G317" s="30" t="n">
        <v>889</v>
      </c>
      <c r="H317" s="30" t="n">
        <v>-0.46</v>
      </c>
      <c r="I317" s="30" t="n">
        <v>2579</v>
      </c>
      <c r="J317" s="30" t="inlineStr">
        <is>
          <t>513108</t>
        </is>
      </c>
    </row>
    <row r="318">
      <c r="A318" s="30" t="inlineStr">
        <is>
          <t>IDEAFORGE</t>
        </is>
      </c>
      <c r="B318" s="30" t="inlineStr">
        <is>
          <t>Ideaforge Technology Ltd</t>
        </is>
      </c>
      <c r="C318" s="30" t="inlineStr">
        <is>
          <t>aerospace &amp; defence</t>
        </is>
      </c>
      <c r="D318" s="30" t="inlineStr">
        <is>
          <t>engineering</t>
        </is>
      </c>
      <c r="E318" s="30" t="inlineStr">
        <is>
          <t>smallcap</t>
        </is>
      </c>
      <c r="F318" s="30" t="n">
        <v>4551.2</v>
      </c>
      <c r="G318" s="30" t="n">
        <v>911.65</v>
      </c>
      <c r="H318" s="30" t="n">
        <v>-0.47</v>
      </c>
      <c r="I318" s="30" t="n">
        <v>251143</v>
      </c>
      <c r="J318" s="30" t="inlineStr">
        <is>
          <t>543932</t>
        </is>
      </c>
    </row>
    <row r="319">
      <c r="A319" s="30" t="inlineStr">
        <is>
          <t>APLLTD</t>
        </is>
      </c>
      <c r="B319" s="30" t="inlineStr">
        <is>
          <t>Alembic Pharmaceuticals Limited</t>
        </is>
      </c>
      <c r="C319" s="30" t="inlineStr">
        <is>
          <t>healthcare</t>
        </is>
      </c>
      <c r="D319" s="30" t="inlineStr">
        <is>
          <t>pharmaceuticals - indian - bulk drugs &amp; formln</t>
        </is>
      </c>
      <c r="E319" s="30" t="inlineStr">
        <is>
          <t>midcap</t>
        </is>
      </c>
      <c r="F319" s="30" t="n">
        <v>16402.21</v>
      </c>
      <c r="G319" s="30" t="n">
        <v>830.1</v>
      </c>
      <c r="H319" s="30" t="n">
        <v>-0.52</v>
      </c>
      <c r="I319" s="30" t="n">
        <v>156108</v>
      </c>
      <c r="J319" s="30" t="inlineStr">
        <is>
          <t>533573</t>
        </is>
      </c>
    </row>
    <row r="320">
      <c r="A320" s="30" t="inlineStr">
        <is>
          <t>INDIAGLYCO</t>
        </is>
      </c>
      <c r="B320" s="30" t="inlineStr">
        <is>
          <t>India Glycols Limited</t>
        </is>
      </c>
      <c r="C320" s="30" t="inlineStr">
        <is>
          <t>fmcg</t>
        </is>
      </c>
      <c r="D320" s="30" t="inlineStr">
        <is>
          <t>breweries &amp; distilleries</t>
        </is>
      </c>
      <c r="E320" s="30" t="inlineStr">
        <is>
          <t>midcap</t>
        </is>
      </c>
      <c r="F320" s="30" t="n">
        <v>7714.78</v>
      </c>
      <c r="G320" s="30" t="n">
        <v>1145</v>
      </c>
      <c r="H320" s="30" t="n">
        <v>-0.52</v>
      </c>
      <c r="I320" s="30" t="n">
        <v>59316</v>
      </c>
      <c r="J320" s="30" t="inlineStr">
        <is>
          <t>500201</t>
        </is>
      </c>
    </row>
    <row r="321">
      <c r="A321" s="30" t="inlineStr">
        <is>
          <t>INDIGOPNTS</t>
        </is>
      </c>
      <c r="B321" s="30" t="inlineStr">
        <is>
          <t>Indigo Paints Ltd</t>
        </is>
      </c>
      <c r="C321" s="30" t="inlineStr">
        <is>
          <t>building materials</t>
        </is>
      </c>
      <c r="D321" s="30" t="inlineStr">
        <is>
          <t>paints / varnishes</t>
        </is>
      </c>
      <c r="E321" s="30" t="inlineStr">
        <is>
          <t>midcap</t>
        </is>
      </c>
      <c r="F321" s="30" t="n">
        <v>5380.68</v>
      </c>
      <c r="G321" s="30" t="n">
        <v>1122.4</v>
      </c>
      <c r="H321" s="30" t="n">
        <v>-0.55</v>
      </c>
      <c r="I321" s="30" t="n">
        <v>32674</v>
      </c>
      <c r="J321" s="30" t="inlineStr">
        <is>
          <t>543258</t>
        </is>
      </c>
    </row>
    <row r="322">
      <c r="A322" s="30" t="inlineStr">
        <is>
          <t>JKPAPER</t>
        </is>
      </c>
      <c r="B322" s="30" t="inlineStr">
        <is>
          <t>Jk Paper Limited</t>
        </is>
      </c>
      <c r="C322" s="30" t="inlineStr">
        <is>
          <t>building materials</t>
        </is>
      </c>
      <c r="D322" s="30" t="inlineStr">
        <is>
          <t>paper</t>
        </is>
      </c>
      <c r="E322" s="30" t="inlineStr">
        <is>
          <t>midcap</t>
        </is>
      </c>
      <c r="F322" s="30" t="n">
        <v>7056.93</v>
      </c>
      <c r="G322" s="30" t="n">
        <v>387.05</v>
      </c>
      <c r="H322" s="30" t="n">
        <v>-0.55</v>
      </c>
      <c r="I322" s="30" t="n">
        <v>213330</v>
      </c>
      <c r="J322" s="30" t="inlineStr">
        <is>
          <t>532162</t>
        </is>
      </c>
    </row>
    <row r="323">
      <c r="A323" s="30" t="inlineStr">
        <is>
          <t>RBLBANK</t>
        </is>
      </c>
      <c r="B323" s="30" t="inlineStr">
        <is>
          <t>Rbl Bank Limited</t>
        </is>
      </c>
      <c r="C323" s="30" t="inlineStr">
        <is>
          <t>bank</t>
        </is>
      </c>
      <c r="D323" s="30" t="inlineStr">
        <is>
          <t>banks - private sector</t>
        </is>
      </c>
      <c r="E323" s="30" t="inlineStr">
        <is>
          <t>largecap</t>
        </is>
      </c>
      <c r="F323" s="30" t="n">
        <v>60703.47</v>
      </c>
      <c r="G323" s="30" t="n">
        <v>389.8</v>
      </c>
      <c r="H323" s="30" t="n">
        <v>-0.5600000000000001</v>
      </c>
      <c r="I323" s="30" t="n">
        <v>3361777</v>
      </c>
      <c r="J323" s="30" t="inlineStr">
        <is>
          <t>540065</t>
        </is>
      </c>
    </row>
    <row r="324">
      <c r="A324" s="30" t="inlineStr">
        <is>
          <t>RICOAUTO</t>
        </is>
      </c>
      <c r="B324" s="30" t="inlineStr">
        <is>
          <t>Rico Auto Industries Limited</t>
        </is>
      </c>
      <c r="C324" s="30" t="inlineStr">
        <is>
          <t>auto</t>
        </is>
      </c>
      <c r="D324" s="30" t="inlineStr">
        <is>
          <t>auto ancillaries</t>
        </is>
      </c>
      <c r="E324" s="30" t="inlineStr">
        <is>
          <t>smallcap</t>
        </is>
      </c>
      <c r="F324" s="30" t="n">
        <v>2061.47</v>
      </c>
      <c r="G324" s="30" t="n">
        <v>151.53</v>
      </c>
      <c r="H324" s="30" t="n">
        <v>-0.5600000000000001</v>
      </c>
      <c r="I324" s="30" t="n">
        <v>1933984</v>
      </c>
      <c r="J324" s="30" t="inlineStr">
        <is>
          <t>520008</t>
        </is>
      </c>
    </row>
    <row r="325">
      <c r="A325" s="30" t="inlineStr">
        <is>
          <t>KARURVYSYA</t>
        </is>
      </c>
      <c r="B325" s="30" t="inlineStr">
        <is>
          <t>Karur Vysya Bank Limited</t>
        </is>
      </c>
      <c r="C325" s="30" t="inlineStr">
        <is>
          <t>bank</t>
        </is>
      </c>
      <c r="D325" s="30" t="inlineStr">
        <is>
          <t>banks - private sector</t>
        </is>
      </c>
      <c r="E325" s="30" t="inlineStr">
        <is>
          <t>largecap</t>
        </is>
      </c>
      <c r="F325" s="30" t="n">
        <v>32625.07</v>
      </c>
      <c r="G325" s="30" t="n">
        <v>335.55</v>
      </c>
      <c r="H325" s="30" t="n">
        <v>-0.58</v>
      </c>
      <c r="I325" s="30" t="n">
        <v>816142</v>
      </c>
      <c r="J325" s="30" t="inlineStr">
        <is>
          <t>590003</t>
        </is>
      </c>
    </row>
    <row r="326">
      <c r="A326" s="30" t="inlineStr">
        <is>
          <t>GNA</t>
        </is>
      </c>
      <c r="B326" s="30" t="inlineStr">
        <is>
          <t>Gna Axles Limited</t>
        </is>
      </c>
      <c r="C326" s="30" t="inlineStr">
        <is>
          <t>auto</t>
        </is>
      </c>
      <c r="D326" s="30" t="inlineStr">
        <is>
          <t>auto ancillaries</t>
        </is>
      </c>
      <c r="E326" s="30" t="inlineStr">
        <is>
          <t>smallcap</t>
        </is>
      </c>
      <c r="F326" s="30" t="n">
        <v>2276.41</v>
      </c>
      <c r="G326" s="30" t="n">
        <v>527.2</v>
      </c>
      <c r="H326" s="30" t="n">
        <v>-0.58</v>
      </c>
      <c r="I326" s="30" t="n">
        <v>480348</v>
      </c>
      <c r="J326" s="30" t="inlineStr">
        <is>
          <t>540124</t>
        </is>
      </c>
    </row>
    <row r="327">
      <c r="A327" s="30" t="inlineStr">
        <is>
          <t>MAZDOCK</t>
        </is>
      </c>
      <c r="B327" s="30" t="inlineStr">
        <is>
          <t>Mazagon Dock Shipbuilders Ltd</t>
        </is>
      </c>
      <c r="C327" s="30" t="inlineStr">
        <is>
          <t>aerospace &amp; defence</t>
        </is>
      </c>
      <c r="D327" s="30" t="inlineStr">
        <is>
          <t>miscellaneous</t>
        </is>
      </c>
      <c r="E327" s="30" t="inlineStr">
        <is>
          <t>largecap</t>
        </is>
      </c>
      <c r="F327" s="30" t="n">
        <v>102055.14</v>
      </c>
      <c r="G327" s="30" t="n">
        <v>2514.9</v>
      </c>
      <c r="H327" s="30" t="n">
        <v>-0.6</v>
      </c>
      <c r="I327" s="30" t="n">
        <v>2086135</v>
      </c>
      <c r="J327" s="30" t="inlineStr">
        <is>
          <t>543237</t>
        </is>
      </c>
    </row>
    <row r="328">
      <c r="A328" s="30" t="inlineStr">
        <is>
          <t>PNBHOUSING</t>
        </is>
      </c>
      <c r="B328" s="30" t="inlineStr">
        <is>
          <t>Pnb Housing Finance Limited</t>
        </is>
      </c>
      <c r="C328" s="30" t="inlineStr">
        <is>
          <t>financials</t>
        </is>
      </c>
      <c r="D328" s="30" t="inlineStr">
        <is>
          <t>finance - housing</t>
        </is>
      </c>
      <c r="E328" s="30" t="inlineStr">
        <is>
          <t>largecap</t>
        </is>
      </c>
      <c r="F328" s="30" t="n">
        <v>29967.84</v>
      </c>
      <c r="G328" s="30" t="n">
        <v>1143</v>
      </c>
      <c r="H328" s="30" t="n">
        <v>-0.61</v>
      </c>
      <c r="I328" s="30" t="n">
        <v>2952159</v>
      </c>
      <c r="J328" s="30" t="inlineStr">
        <is>
          <t>540173</t>
        </is>
      </c>
    </row>
    <row r="329">
      <c r="A329" s="30" t="inlineStr">
        <is>
          <t>JSWSTEEL</t>
        </is>
      </c>
      <c r="B329" s="30" t="inlineStr">
        <is>
          <t>Jsw Steel Limited</t>
        </is>
      </c>
      <c r="C329" s="30" t="inlineStr">
        <is>
          <t>metals &amp; mining</t>
        </is>
      </c>
      <c r="D329" s="30" t="inlineStr">
        <is>
          <t>steel - large</t>
        </is>
      </c>
      <c r="E329" s="30" t="inlineStr">
        <is>
          <t>largecap</t>
        </is>
      </c>
      <c r="F329" s="30" t="n">
        <v>319840.92</v>
      </c>
      <c r="G329" s="30" t="n">
        <v>1299.5</v>
      </c>
      <c r="H329" s="30" t="n">
        <v>-0.64</v>
      </c>
      <c r="I329" s="30" t="n">
        <v>1399228</v>
      </c>
      <c r="J329" s="30" t="inlineStr">
        <is>
          <t>500228</t>
        </is>
      </c>
    </row>
    <row r="330">
      <c r="A330" s="30" t="inlineStr">
        <is>
          <t>DIFFNKG</t>
        </is>
      </c>
      <c r="B330" s="30" t="inlineStr">
        <is>
          <t>Diffusion Engineers Ltd</t>
        </is>
      </c>
      <c r="C330" s="30" t="inlineStr">
        <is>
          <t>industrials</t>
        </is>
      </c>
      <c r="D330" s="30" t="inlineStr">
        <is>
          <t>electrodes - welding equipment</t>
        </is>
      </c>
      <c r="E330" s="30" t="inlineStr">
        <is>
          <t>smallcap</t>
        </is>
      </c>
      <c r="F330" s="30" t="n">
        <v>1661.35</v>
      </c>
      <c r="G330" s="30" t="n">
        <v>441</v>
      </c>
      <c r="H330" s="30" t="n">
        <v>-0.65</v>
      </c>
      <c r="I330" s="30" t="n">
        <v>134462</v>
      </c>
      <c r="J330" s="30" t="inlineStr">
        <is>
          <t>544264</t>
        </is>
      </c>
    </row>
    <row r="331">
      <c r="A331" s="30" t="inlineStr">
        <is>
          <t>FLUOROCHEM</t>
        </is>
      </c>
      <c r="B331" s="30" t="inlineStr">
        <is>
          <t>Gujarat Fluorochemicals Ltd</t>
        </is>
      </c>
      <c r="C331" s="30" t="inlineStr">
        <is>
          <t>chemicals</t>
        </is>
      </c>
      <c r="D331" s="30" t="inlineStr">
        <is>
          <t>chemicals</t>
        </is>
      </c>
      <c r="E331" s="30" t="inlineStr">
        <is>
          <t>largecap</t>
        </is>
      </c>
      <c r="F331" s="30" t="n">
        <v>49959.78</v>
      </c>
      <c r="G331" s="30" t="n">
        <v>4518.1</v>
      </c>
      <c r="H331" s="30" t="n">
        <v>-0.66</v>
      </c>
      <c r="I331" s="30" t="n">
        <v>133639</v>
      </c>
      <c r="J331" s="30" t="inlineStr">
        <is>
          <t>542812</t>
        </is>
      </c>
    </row>
    <row r="332">
      <c r="A332" s="30" t="inlineStr">
        <is>
          <t>VERANDA</t>
        </is>
      </c>
      <c r="B332" s="30" t="inlineStr">
        <is>
          <t>Veranda Learning Solutions Ltd</t>
        </is>
      </c>
      <c r="C332" s="30" t="inlineStr">
        <is>
          <t>services</t>
        </is>
      </c>
      <c r="D332" s="30" t="inlineStr">
        <is>
          <t>miscellaneous</t>
        </is>
      </c>
      <c r="E332" s="30" t="inlineStr">
        <is>
          <t>smallcap</t>
        </is>
      </c>
      <c r="F332" s="30" t="n">
        <v>2487.96</v>
      </c>
      <c r="G332" s="30" t="n">
        <v>256.6</v>
      </c>
      <c r="H332" s="30" t="n">
        <v>-0.66</v>
      </c>
      <c r="I332" s="30" t="n">
        <v>222459</v>
      </c>
      <c r="J332" s="30" t="inlineStr">
        <is>
          <t>543514</t>
        </is>
      </c>
    </row>
    <row r="333">
      <c r="A333" s="30" t="inlineStr">
        <is>
          <t>SIRCA</t>
        </is>
      </c>
      <c r="B333" s="30" t="inlineStr">
        <is>
          <t>Sirca Paints India Ltd</t>
        </is>
      </c>
      <c r="C333" s="30" t="inlineStr">
        <is>
          <t>building materials</t>
        </is>
      </c>
      <c r="D333" s="30" t="inlineStr">
        <is>
          <t>paints / varnishes</t>
        </is>
      </c>
      <c r="E333" s="30" t="inlineStr">
        <is>
          <t>smallcap</t>
        </is>
      </c>
      <c r="F333" s="30" t="n">
        <v>2555.39</v>
      </c>
      <c r="G333" s="30" t="n">
        <v>447</v>
      </c>
      <c r="H333" s="30" t="n">
        <v>-0.66</v>
      </c>
      <c r="I333" s="30" t="n">
        <v>453431</v>
      </c>
      <c r="J333" s="30" t="inlineStr">
        <is>
          <t>535083</t>
        </is>
      </c>
    </row>
    <row r="334">
      <c r="A334" s="30" t="inlineStr">
        <is>
          <t>ENGINERSIN</t>
        </is>
      </c>
      <c r="B334" s="30" t="inlineStr">
        <is>
          <t>Engineers India Limited</t>
        </is>
      </c>
      <c r="C334" s="30" t="inlineStr">
        <is>
          <t>realty</t>
        </is>
      </c>
      <c r="D334" s="30" t="inlineStr">
        <is>
          <t>engineering - turnkey services</t>
        </is>
      </c>
      <c r="E334" s="30" t="inlineStr">
        <is>
          <t>midcap</t>
        </is>
      </c>
      <c r="F334" s="30" t="n">
        <v>13623.35</v>
      </c>
      <c r="G334" s="30" t="n">
        <v>240.6</v>
      </c>
      <c r="H334" s="30" t="n">
        <v>-0.74</v>
      </c>
      <c r="I334" s="30" t="n">
        <v>1241562</v>
      </c>
      <c r="J334" s="30" t="inlineStr">
        <is>
          <t>532178</t>
        </is>
      </c>
    </row>
    <row r="335">
      <c r="A335" s="30" t="inlineStr">
        <is>
          <t>TBOTEK</t>
        </is>
      </c>
      <c r="B335" s="30" t="inlineStr">
        <is>
          <t>TBO Tek Ltd</t>
        </is>
      </c>
      <c r="C335" s="30" t="inlineStr">
        <is>
          <t>i.t</t>
        </is>
      </c>
      <c r="D335" s="30" t="inlineStr">
        <is>
          <t>travel agencies</t>
        </is>
      </c>
      <c r="E335" s="30" t="inlineStr">
        <is>
          <t>midcap</t>
        </is>
      </c>
      <c r="F335" s="30" t="n">
        <v>17624.88</v>
      </c>
      <c r="G335" s="30" t="n">
        <v>1610.9</v>
      </c>
      <c r="H335" s="30" t="n">
        <v>-0.75</v>
      </c>
      <c r="I335" s="30" t="n">
        <v>114311</v>
      </c>
      <c r="J335" s="30" t="inlineStr">
        <is>
          <t>544174</t>
        </is>
      </c>
    </row>
    <row r="336">
      <c r="A336" s="30" t="inlineStr">
        <is>
          <t>OAL</t>
        </is>
      </c>
      <c r="B336" s="30" t="inlineStr">
        <is>
          <t>Oriental Aromatics Ltd</t>
        </is>
      </c>
      <c r="C336" s="30" t="inlineStr">
        <is>
          <t>chemicals</t>
        </is>
      </c>
      <c r="D336" s="30" t="inlineStr">
        <is>
          <t>chemicals</t>
        </is>
      </c>
      <c r="E336" s="30" t="inlineStr">
        <is>
          <t>smallcap</t>
        </is>
      </c>
      <c r="F336" s="30" t="n">
        <v>1282.03</v>
      </c>
      <c r="G336" s="30" t="n">
        <v>378</v>
      </c>
      <c r="H336" s="30" t="n">
        <v>-0.77</v>
      </c>
      <c r="I336" s="30" t="n">
        <v>14430</v>
      </c>
      <c r="J336" s="30" t="inlineStr">
        <is>
          <t>500078</t>
        </is>
      </c>
    </row>
    <row r="337">
      <c r="A337" s="30" t="inlineStr">
        <is>
          <t>VINDHYATEL</t>
        </is>
      </c>
      <c r="B337" s="30" t="inlineStr">
        <is>
          <t>Vindhya Telelinks Limited</t>
        </is>
      </c>
      <c r="C337" s="30" t="inlineStr">
        <is>
          <t>realty</t>
        </is>
      </c>
      <c r="D337" s="30" t="inlineStr">
        <is>
          <t>construction</t>
        </is>
      </c>
      <c r="E337" s="30" t="inlineStr">
        <is>
          <t>smallcap</t>
        </is>
      </c>
      <c r="F337" s="30" t="n">
        <v>2710.17</v>
      </c>
      <c r="G337" s="30" t="n">
        <v>2269</v>
      </c>
      <c r="H337" s="30" t="n">
        <v>-0.78</v>
      </c>
      <c r="I337" s="30" t="n">
        <v>49408</v>
      </c>
      <c r="J337" s="30" t="inlineStr">
        <is>
          <t>517015</t>
        </is>
      </c>
    </row>
    <row r="338">
      <c r="A338" s="30" t="inlineStr">
        <is>
          <t>ETHOSLTD</t>
        </is>
      </c>
      <c r="B338" s="30" t="inlineStr">
        <is>
          <t>Ethos Ltd</t>
        </is>
      </c>
      <c r="C338" s="30" t="inlineStr">
        <is>
          <t>consumer discretionary</t>
        </is>
      </c>
      <c r="D338" s="30" t="inlineStr">
        <is>
          <t>trading</t>
        </is>
      </c>
      <c r="E338" s="30" t="inlineStr">
        <is>
          <t>midcap</t>
        </is>
      </c>
      <c r="F338" s="30" t="n">
        <v>7557.71</v>
      </c>
      <c r="G338" s="30" t="n">
        <v>2802</v>
      </c>
      <c r="H338" s="30" t="n">
        <v>-0.8</v>
      </c>
      <c r="I338" s="30" t="n">
        <v>59227</v>
      </c>
      <c r="J338" s="30" t="inlineStr">
        <is>
          <t>543532</t>
        </is>
      </c>
    </row>
    <row r="339">
      <c r="A339" s="30" t="inlineStr">
        <is>
          <t>SICALLOG</t>
        </is>
      </c>
      <c r="B339" s="30" t="inlineStr">
        <is>
          <t>Sical Logistics Ltd</t>
        </is>
      </c>
      <c r="C339" s="30" t="inlineStr">
        <is>
          <t>transportation</t>
        </is>
      </c>
      <c r="D339" s="30" t="inlineStr">
        <is>
          <t>miscellaneous</t>
        </is>
      </c>
      <c r="E339" s="30" t="inlineStr">
        <is>
          <t>smallcap</t>
        </is>
      </c>
      <c r="F339" s="30" t="n">
        <v>828.5700000000001</v>
      </c>
      <c r="G339" s="30" t="n">
        <v>103</v>
      </c>
      <c r="H339" s="30" t="n">
        <v>-0.82</v>
      </c>
      <c r="I339" s="30" t="n">
        <v>30930</v>
      </c>
      <c r="J339" s="30" t="inlineStr">
        <is>
          <t>520086</t>
        </is>
      </c>
    </row>
    <row r="340">
      <c r="A340" s="30" t="inlineStr">
        <is>
          <t>BASF</t>
        </is>
      </c>
      <c r="B340" s="30" t="inlineStr">
        <is>
          <t>Basf India Limited</t>
        </is>
      </c>
      <c r="C340" s="30" t="inlineStr">
        <is>
          <t>chemicals</t>
        </is>
      </c>
      <c r="D340" s="30" t="inlineStr">
        <is>
          <t>chemicals</t>
        </is>
      </c>
      <c r="E340" s="30" t="inlineStr">
        <is>
          <t>midcap</t>
        </is>
      </c>
      <c r="F340" s="30" t="n">
        <v>17855.33</v>
      </c>
      <c r="G340" s="30" t="n">
        <v>4091</v>
      </c>
      <c r="H340" s="30" t="n">
        <v>-0.82</v>
      </c>
      <c r="I340" s="30" t="n">
        <v>66610</v>
      </c>
      <c r="J340" s="30" t="inlineStr">
        <is>
          <t>500042</t>
        </is>
      </c>
    </row>
    <row r="341">
      <c r="A341" s="30" t="inlineStr">
        <is>
          <t>BPCL</t>
        </is>
      </c>
      <c r="B341" s="30" t="inlineStr">
        <is>
          <t>Bharat Petroleum Corporation Limited</t>
        </is>
      </c>
      <c r="C341" s="30" t="inlineStr">
        <is>
          <t>energy</t>
        </is>
      </c>
      <c r="D341" s="30" t="inlineStr">
        <is>
          <t>refineries</t>
        </is>
      </c>
      <c r="E341" s="30" t="inlineStr">
        <is>
          <t>largecap</t>
        </is>
      </c>
      <c r="F341" s="30" t="n">
        <v>140437.42</v>
      </c>
      <c r="G341" s="30" t="n">
        <v>321</v>
      </c>
      <c r="H341" s="30" t="n">
        <v>-0.83</v>
      </c>
      <c r="I341" s="30" t="n">
        <v>10687582</v>
      </c>
      <c r="J341" s="30" t="inlineStr">
        <is>
          <t>500547</t>
        </is>
      </c>
    </row>
    <row r="342">
      <c r="A342" s="30" t="inlineStr">
        <is>
          <t>UNITDSPR</t>
        </is>
      </c>
      <c r="B342" s="30" t="inlineStr">
        <is>
          <t>United Spirits Ltd</t>
        </is>
      </c>
      <c r="C342" s="30" t="inlineStr">
        <is>
          <t>fmcg</t>
        </is>
      </c>
      <c r="D342" s="30" t="inlineStr">
        <is>
          <t>breweries &amp; distilleries</t>
        </is>
      </c>
      <c r="E342" s="30" t="inlineStr">
        <is>
          <t>largecap</t>
        </is>
      </c>
      <c r="F342" s="30" t="n">
        <v>110921.01</v>
      </c>
      <c r="G342" s="30" t="n">
        <v>1512.4</v>
      </c>
      <c r="H342" s="30" t="n">
        <v>-0.83</v>
      </c>
      <c r="I342" s="30" t="n">
        <v>636241</v>
      </c>
      <c r="J342" s="30" t="inlineStr">
        <is>
          <t>532432</t>
        </is>
      </c>
    </row>
    <row r="343">
      <c r="A343" s="30" t="inlineStr">
        <is>
          <t>NGLFINE</t>
        </is>
      </c>
      <c r="B343" s="30" t="inlineStr">
        <is>
          <t>NGL Fine Chem Ltd</t>
        </is>
      </c>
      <c r="C343" s="30" t="inlineStr">
        <is>
          <t>healthcare</t>
        </is>
      </c>
      <c r="D343" s="30" t="inlineStr">
        <is>
          <t>pharmaceuticals - indian - bulk drugs</t>
        </is>
      </c>
      <c r="E343" s="30" t="inlineStr">
        <is>
          <t>smallcap</t>
        </is>
      </c>
      <c r="F343" s="30" t="n">
        <v>2118.14</v>
      </c>
      <c r="G343" s="30" t="n">
        <v>3400</v>
      </c>
      <c r="H343" s="30" t="n">
        <v>-0.83</v>
      </c>
      <c r="I343" s="30" t="n">
        <v>4632</v>
      </c>
      <c r="J343" s="30" t="inlineStr">
        <is>
          <t>524774</t>
        </is>
      </c>
    </row>
    <row r="344">
      <c r="A344" s="30" t="inlineStr">
        <is>
          <t>UFBL</t>
        </is>
      </c>
      <c r="B344" s="30" t="inlineStr">
        <is>
          <t>United Foodbrands Ltd</t>
        </is>
      </c>
      <c r="C344" s="30" t="inlineStr">
        <is>
          <t>consumer discretionary</t>
        </is>
      </c>
      <c r="D344" s="30" t="inlineStr">
        <is>
          <t>hotels</t>
        </is>
      </c>
      <c r="E344" s="30" t="inlineStr">
        <is>
          <t>smallcap</t>
        </is>
      </c>
      <c r="F344" s="30" t="n">
        <v>3143.72</v>
      </c>
      <c r="G344" s="30" t="n">
        <v>797.5</v>
      </c>
      <c r="H344" s="30" t="n">
        <v>-0.85</v>
      </c>
      <c r="I344" s="30" t="n">
        <v>325409</v>
      </c>
      <c r="J344" s="30" t="inlineStr">
        <is>
          <t>543283</t>
        </is>
      </c>
    </row>
    <row r="345">
      <c r="A345" s="30" t="inlineStr">
        <is>
          <t>TTKHLTCARE</t>
        </is>
      </c>
      <c r="B345" s="30" t="inlineStr">
        <is>
          <t>Ttk Healthcare Limited</t>
        </is>
      </c>
      <c r="C345" s="30" t="inlineStr">
        <is>
          <t>miscellaneous</t>
        </is>
      </c>
      <c r="D345" s="30" t="inlineStr">
        <is>
          <t>diversified - medium / small</t>
        </is>
      </c>
      <c r="E345" s="30" t="inlineStr">
        <is>
          <t>smallcap</t>
        </is>
      </c>
      <c r="F345" s="30" t="n">
        <v>1546</v>
      </c>
      <c r="G345" s="30" t="n">
        <v>1084.8</v>
      </c>
      <c r="H345" s="30" t="n">
        <v>-0.85</v>
      </c>
      <c r="I345" s="30" t="n">
        <v>22552</v>
      </c>
      <c r="J345" s="30" t="inlineStr">
        <is>
          <t>507747</t>
        </is>
      </c>
    </row>
    <row r="346">
      <c r="A346" s="30" t="inlineStr">
        <is>
          <t>IDFCFIRSTB</t>
        </is>
      </c>
      <c r="B346" s="30" t="inlineStr">
        <is>
          <t>IDFC First Bank Ltd</t>
        </is>
      </c>
      <c r="C346" s="30" t="inlineStr">
        <is>
          <t>bank</t>
        </is>
      </c>
      <c r="D346" s="30" t="inlineStr">
        <is>
          <t>banks - private sector</t>
        </is>
      </c>
      <c r="E346" s="30" t="inlineStr">
        <is>
          <t>largecap</t>
        </is>
      </c>
      <c r="F346" s="30" t="n">
        <v>73526.77</v>
      </c>
      <c r="G346" s="30" t="n">
        <v>84.62</v>
      </c>
      <c r="H346" s="30" t="n">
        <v>-0.86</v>
      </c>
      <c r="I346" s="30" t="n">
        <v>18832651</v>
      </c>
      <c r="J346" s="30" t="inlineStr">
        <is>
          <t>539437</t>
        </is>
      </c>
    </row>
    <row r="347">
      <c r="A347" s="30" t="inlineStr">
        <is>
          <t>CEATLTD</t>
        </is>
      </c>
      <c r="B347" s="30" t="inlineStr">
        <is>
          <t>Ceat Limited</t>
        </is>
      </c>
      <c r="C347" s="30" t="inlineStr">
        <is>
          <t>auto</t>
        </is>
      </c>
      <c r="D347" s="30" t="inlineStr">
        <is>
          <t>tyres</t>
        </is>
      </c>
      <c r="E347" s="30" t="inlineStr">
        <is>
          <t>midcap</t>
        </is>
      </c>
      <c r="F347" s="30" t="n">
        <v>15190.63</v>
      </c>
      <c r="G347" s="30" t="n">
        <v>3723.1</v>
      </c>
      <c r="H347" s="30" t="n">
        <v>-0.86</v>
      </c>
      <c r="I347" s="30" t="n">
        <v>54517</v>
      </c>
      <c r="J347" s="30" t="inlineStr">
        <is>
          <t>500878</t>
        </is>
      </c>
    </row>
    <row r="348">
      <c r="A348" s="30" t="inlineStr">
        <is>
          <t>CIPLA</t>
        </is>
      </c>
      <c r="B348" s="30" t="inlineStr">
        <is>
          <t>Cipla Limited</t>
        </is>
      </c>
      <c r="C348" s="30" t="inlineStr">
        <is>
          <t>healthcare</t>
        </is>
      </c>
      <c r="D348" s="30" t="inlineStr">
        <is>
          <t>pharmaceuticals - indian - bulk drugs &amp; formln</t>
        </is>
      </c>
      <c r="E348" s="30" t="inlineStr">
        <is>
          <t>largecap</t>
        </is>
      </c>
      <c r="F348" s="30" t="n">
        <v>119318.75</v>
      </c>
      <c r="G348" s="30" t="n">
        <v>1463.8</v>
      </c>
      <c r="H348" s="30" t="n">
        <v>-0.89</v>
      </c>
      <c r="I348" s="30" t="n">
        <v>1496786</v>
      </c>
      <c r="J348" s="30" t="inlineStr">
        <is>
          <t>500087</t>
        </is>
      </c>
    </row>
    <row r="349">
      <c r="A349" s="30" t="inlineStr">
        <is>
          <t>DIVISLAB</t>
        </is>
      </c>
      <c r="B349" s="30" t="inlineStr">
        <is>
          <t>Divi's Laboratories Limited</t>
        </is>
      </c>
      <c r="C349" s="30" t="inlineStr">
        <is>
          <t>healthcare</t>
        </is>
      </c>
      <c r="D349" s="30" t="inlineStr">
        <is>
          <t>pharmaceuticals - indian - bulk drugs</t>
        </is>
      </c>
      <c r="E349" s="30" t="inlineStr">
        <is>
          <t>largecap</t>
        </is>
      </c>
      <c r="F349" s="30" t="n">
        <v>221639.72</v>
      </c>
      <c r="G349" s="30" t="n">
        <v>8275</v>
      </c>
      <c r="H349" s="30" t="n">
        <v>-0.89</v>
      </c>
      <c r="I349" s="30" t="n">
        <v>498905</v>
      </c>
      <c r="J349" s="30" t="inlineStr">
        <is>
          <t>532488</t>
        </is>
      </c>
    </row>
    <row r="350">
      <c r="A350" s="30" t="inlineStr">
        <is>
          <t>SANGAMIND</t>
        </is>
      </c>
      <c r="B350" s="30" t="inlineStr">
        <is>
          <t>Sangam (india) Limited</t>
        </is>
      </c>
      <c r="C350" s="30" t="inlineStr">
        <is>
          <t>textiles</t>
        </is>
      </c>
      <c r="D350" s="30" t="inlineStr">
        <is>
          <t>textiles - spinning - synthetic / blended</t>
        </is>
      </c>
      <c r="E350" s="30" t="inlineStr">
        <is>
          <t>smallcap</t>
        </is>
      </c>
      <c r="F350" s="30" t="n">
        <v>3092.68</v>
      </c>
      <c r="G350" s="30" t="n">
        <v>610</v>
      </c>
      <c r="H350" s="30" t="n">
        <v>-0.89</v>
      </c>
      <c r="I350" s="30" t="n">
        <v>17798</v>
      </c>
      <c r="J350" s="30" t="inlineStr">
        <is>
          <t>514234</t>
        </is>
      </c>
    </row>
    <row r="351">
      <c r="A351" s="30" t="inlineStr">
        <is>
          <t>KILITCH</t>
        </is>
      </c>
      <c r="B351" s="30" t="inlineStr">
        <is>
          <t>Kilitch Drugs (india) Limited</t>
        </is>
      </c>
      <c r="C351" s="30" t="inlineStr">
        <is>
          <t>healthcare</t>
        </is>
      </c>
      <c r="D351" s="30" t="inlineStr">
        <is>
          <t>pharmaceuticals - indian - formulations</t>
        </is>
      </c>
      <c r="E351" s="30" t="inlineStr">
        <is>
          <t>smallcap</t>
        </is>
      </c>
      <c r="F351" s="30" t="n">
        <v>672.0700000000001</v>
      </c>
      <c r="G351" s="30" t="n">
        <v>190.5</v>
      </c>
      <c r="H351" s="30" t="n">
        <v>-0.9</v>
      </c>
      <c r="I351" s="30" t="n">
        <v>30586</v>
      </c>
      <c r="J351" s="30" t="inlineStr">
        <is>
          <t>524500</t>
        </is>
      </c>
    </row>
    <row r="352">
      <c r="A352" s="30" t="inlineStr">
        <is>
          <t>APCOTEXIND</t>
        </is>
      </c>
      <c r="B352" s="30" t="inlineStr">
        <is>
          <t>Apcotex Industries Limited</t>
        </is>
      </c>
      <c r="C352" s="30" t="inlineStr">
        <is>
          <t>chemicals</t>
        </is>
      </c>
      <c r="D352" s="30" t="inlineStr">
        <is>
          <t>miscellaneous</t>
        </is>
      </c>
      <c r="E352" s="30" t="inlineStr">
        <is>
          <t>smallcap</t>
        </is>
      </c>
      <c r="F352" s="30" t="n">
        <v>3217.5</v>
      </c>
      <c r="G352" s="30" t="n">
        <v>614.8</v>
      </c>
      <c r="H352" s="30" t="n">
        <v>-0.93</v>
      </c>
      <c r="I352" s="30" t="n">
        <v>130616</v>
      </c>
      <c r="J352" s="30" t="inlineStr">
        <is>
          <t>523694</t>
        </is>
      </c>
    </row>
    <row r="353">
      <c r="A353" s="30" t="inlineStr">
        <is>
          <t>TIMETECHNO</t>
        </is>
      </c>
      <c r="B353" s="30" t="inlineStr">
        <is>
          <t>Time Technoplast Limited</t>
        </is>
      </c>
      <c r="C353" s="30" t="inlineStr">
        <is>
          <t>plastic products</t>
        </is>
      </c>
      <c r="D353" s="30" t="inlineStr">
        <is>
          <t>plastics products</t>
        </is>
      </c>
      <c r="E353" s="30" t="inlineStr">
        <is>
          <t>midcap</t>
        </is>
      </c>
      <c r="F353" s="30" t="n">
        <v>10209.37</v>
      </c>
      <c r="G353" s="30" t="n">
        <v>204.88</v>
      </c>
      <c r="H353" s="30" t="n">
        <v>-0.9399999999999999</v>
      </c>
      <c r="I353" s="30" t="n">
        <v>4532881</v>
      </c>
      <c r="J353" s="30" t="inlineStr">
        <is>
          <t>532856</t>
        </is>
      </c>
    </row>
    <row r="354">
      <c r="A354" s="30" t="inlineStr">
        <is>
          <t>EMAMIPAP</t>
        </is>
      </c>
      <c r="B354" s="30" t="inlineStr">
        <is>
          <t>Emami Paper Mills Ltd</t>
        </is>
      </c>
      <c r="C354" s="30" t="inlineStr">
        <is>
          <t>building materials</t>
        </is>
      </c>
      <c r="D354" s="30" t="inlineStr">
        <is>
          <t>paper</t>
        </is>
      </c>
      <c r="E354" s="30" t="inlineStr">
        <is>
          <t>smallcap</t>
        </is>
      </c>
      <c r="F354" s="30" t="n">
        <v>677.95</v>
      </c>
      <c r="G354" s="30" t="n">
        <v>110.89</v>
      </c>
      <c r="H354" s="30" t="n">
        <v>-1.04</v>
      </c>
      <c r="I354" s="30" t="n">
        <v>40826</v>
      </c>
      <c r="J354" s="30" t="inlineStr">
        <is>
          <t>533208</t>
        </is>
      </c>
    </row>
    <row r="355">
      <c r="A355" s="30" t="inlineStr">
        <is>
          <t>APOLLOTYRE</t>
        </is>
      </c>
      <c r="B355" s="30" t="inlineStr">
        <is>
          <t>Apollo Tyres Limited</t>
        </is>
      </c>
      <c r="C355" s="30" t="inlineStr">
        <is>
          <t>auto</t>
        </is>
      </c>
      <c r="D355" s="30" t="inlineStr">
        <is>
          <t>tyres</t>
        </is>
      </c>
      <c r="E355" s="30" t="inlineStr">
        <is>
          <t>largecap</t>
        </is>
      </c>
      <c r="F355" s="30" t="n">
        <v>28560.49</v>
      </c>
      <c r="G355" s="30" t="n">
        <v>445</v>
      </c>
      <c r="H355" s="30" t="n">
        <v>-1.05</v>
      </c>
      <c r="I355" s="30" t="n">
        <v>1967067</v>
      </c>
      <c r="J355" s="30" t="inlineStr">
        <is>
          <t>500877</t>
        </is>
      </c>
    </row>
    <row r="356">
      <c r="A356" s="30" t="inlineStr">
        <is>
          <t>TVSHLTD</t>
        </is>
      </c>
      <c r="B356" s="30" t="inlineStr">
        <is>
          <t>TVS Holdings Ltd</t>
        </is>
      </c>
      <c r="C356" s="30" t="inlineStr">
        <is>
          <t>financials</t>
        </is>
      </c>
      <c r="D356" s="30" t="inlineStr">
        <is>
          <t>finance &amp; investments</t>
        </is>
      </c>
      <c r="E356" s="30" t="inlineStr">
        <is>
          <t>largecap</t>
        </is>
      </c>
      <c r="F356" s="30" t="n">
        <v>30162.02</v>
      </c>
      <c r="G356" s="30" t="n">
        <v>14752</v>
      </c>
      <c r="H356" s="30" t="n">
        <v>-1.05</v>
      </c>
      <c r="I356" s="30" t="n">
        <v>3040</v>
      </c>
      <c r="J356" s="30" t="inlineStr">
        <is>
          <t>520056</t>
        </is>
      </c>
    </row>
    <row r="357">
      <c r="A357" s="30" t="inlineStr">
        <is>
          <t>CASTROLIND</t>
        </is>
      </c>
      <c r="B357" s="30" t="inlineStr">
        <is>
          <t>Castrol India Limited</t>
        </is>
      </c>
      <c r="C357" s="30" t="inlineStr">
        <is>
          <t>chemicals</t>
        </is>
      </c>
      <c r="D357" s="30" t="inlineStr">
        <is>
          <t>chemicals</t>
        </is>
      </c>
      <c r="E357" s="30" t="inlineStr">
        <is>
          <t>midcap</t>
        </is>
      </c>
      <c r="F357" s="30" t="n">
        <v>19205.79</v>
      </c>
      <c r="G357" s="30" t="n">
        <v>192.08</v>
      </c>
      <c r="H357" s="30" t="n">
        <v>-1.08</v>
      </c>
      <c r="I357" s="30" t="n">
        <v>3122432</v>
      </c>
      <c r="J357" s="30" t="inlineStr">
        <is>
          <t>500870</t>
        </is>
      </c>
    </row>
    <row r="358">
      <c r="A358" s="30" t="inlineStr">
        <is>
          <t>SUPRAJIT</t>
        </is>
      </c>
      <c r="B358" s="30" t="inlineStr">
        <is>
          <t>Suprajit Engineering Limited</t>
        </is>
      </c>
      <c r="C358" s="30" t="inlineStr">
        <is>
          <t>auto</t>
        </is>
      </c>
      <c r="D358" s="30" t="inlineStr">
        <is>
          <t>auto ancillaries</t>
        </is>
      </c>
      <c r="E358" s="30" t="inlineStr">
        <is>
          <t>midcap</t>
        </is>
      </c>
      <c r="F358" s="30" t="n">
        <v>7236.46</v>
      </c>
      <c r="G358" s="30" t="n">
        <v>521.8</v>
      </c>
      <c r="H358" s="30" t="n">
        <v>-1.09</v>
      </c>
      <c r="I358" s="30" t="n">
        <v>505093</v>
      </c>
      <c r="J358" s="30" t="inlineStr">
        <is>
          <t>532509</t>
        </is>
      </c>
    </row>
    <row r="359">
      <c r="A359" s="30" t="inlineStr">
        <is>
          <t>HSCL</t>
        </is>
      </c>
      <c r="B359" s="30" t="inlineStr">
        <is>
          <t>Himadri Speciality Chemical Limited</t>
        </is>
      </c>
      <c r="C359" s="30" t="inlineStr">
        <is>
          <t>chemicals</t>
        </is>
      </c>
      <c r="D359" s="30" t="inlineStr">
        <is>
          <t>chemicals</t>
        </is>
      </c>
      <c r="E359" s="30" t="inlineStr">
        <is>
          <t>largecap</t>
        </is>
      </c>
      <c r="F359" s="30" t="n">
        <v>38395.62</v>
      </c>
      <c r="G359" s="30" t="n">
        <v>752.65</v>
      </c>
      <c r="H359" s="30" t="n">
        <v>-1.1</v>
      </c>
      <c r="I359" s="30" t="n">
        <v>4327683</v>
      </c>
      <c r="J359" s="30" t="inlineStr">
        <is>
          <t>500184</t>
        </is>
      </c>
    </row>
    <row r="360">
      <c r="A360" s="30" t="inlineStr">
        <is>
          <t>TITAN</t>
        </is>
      </c>
      <c r="B360" s="30" t="inlineStr">
        <is>
          <t>Titan Company Limited</t>
        </is>
      </c>
      <c r="C360" s="30" t="inlineStr">
        <is>
          <t>consumer discretionary</t>
        </is>
      </c>
      <c r="D360" s="30" t="inlineStr">
        <is>
          <t>diamond cutting / jewellery</t>
        </is>
      </c>
      <c r="E360" s="30" t="inlineStr">
        <is>
          <t>largecap</t>
        </is>
      </c>
      <c r="F360" s="30" t="n">
        <v>443715.52</v>
      </c>
      <c r="G360" s="30" t="n">
        <v>4941</v>
      </c>
      <c r="H360" s="30" t="n">
        <v>-1.14</v>
      </c>
      <c r="I360" s="30" t="n">
        <v>2298160</v>
      </c>
      <c r="J360" s="30" t="inlineStr">
        <is>
          <t>500114</t>
        </is>
      </c>
    </row>
    <row r="361">
      <c r="A361" s="30" t="inlineStr">
        <is>
          <t>VRLLOG</t>
        </is>
      </c>
      <c r="B361" s="30" t="inlineStr">
        <is>
          <t>Vrl Logistics Limited</t>
        </is>
      </c>
      <c r="C361" s="30" t="inlineStr">
        <is>
          <t>transportation</t>
        </is>
      </c>
      <c r="D361" s="30" t="inlineStr">
        <is>
          <t>miscellaneous</t>
        </is>
      </c>
      <c r="E361" s="30" t="inlineStr">
        <is>
          <t>smallcap</t>
        </is>
      </c>
      <c r="F361" s="30" t="n">
        <v>4979.58</v>
      </c>
      <c r="G361" s="30" t="n">
        <v>281.35</v>
      </c>
      <c r="H361" s="30" t="n">
        <v>-1.16</v>
      </c>
      <c r="I361" s="30" t="n">
        <v>256801</v>
      </c>
      <c r="J361" s="30" t="inlineStr">
        <is>
          <t>539118</t>
        </is>
      </c>
    </row>
    <row r="362">
      <c r="A362" s="30" t="inlineStr">
        <is>
          <t>RAMRAT</t>
        </is>
      </c>
      <c r="B362" s="30" t="inlineStr">
        <is>
          <t>Ram Ratna Wires Ltd</t>
        </is>
      </c>
      <c r="C362" s="30" t="inlineStr">
        <is>
          <t>metals &amp; mining</t>
        </is>
      </c>
      <c r="D362" s="30" t="inlineStr">
        <is>
          <t>mining / minerals / metals</t>
        </is>
      </c>
      <c r="E362" s="30" t="inlineStr">
        <is>
          <t>smallcap</t>
        </is>
      </c>
      <c r="F362" s="30" t="n">
        <v>4360.8</v>
      </c>
      <c r="G362" s="30" t="n">
        <v>461.6</v>
      </c>
      <c r="H362" s="30" t="n">
        <v>-1.19</v>
      </c>
      <c r="I362" s="30" t="n">
        <v>203102</v>
      </c>
      <c r="J362" s="30" t="inlineStr">
        <is>
          <t>522281</t>
        </is>
      </c>
    </row>
    <row r="363">
      <c r="A363" s="30" t="inlineStr">
        <is>
          <t>NAUKRI</t>
        </is>
      </c>
      <c r="B363" s="30" t="inlineStr">
        <is>
          <t>Info Edge (india) Limited</t>
        </is>
      </c>
      <c r="C363" s="30" t="inlineStr">
        <is>
          <t>i.t</t>
        </is>
      </c>
      <c r="D363" s="30" t="inlineStr">
        <is>
          <t>miscellaneous</t>
        </is>
      </c>
      <c r="E363" s="30" t="inlineStr">
        <is>
          <t>largecap</t>
        </is>
      </c>
      <c r="F363" s="30" t="n">
        <v>80404.14999999999</v>
      </c>
      <c r="G363" s="30" t="n">
        <v>1225.3</v>
      </c>
      <c r="H363" s="30" t="n">
        <v>-1.19</v>
      </c>
      <c r="I363" s="30" t="n">
        <v>1482962</v>
      </c>
      <c r="J363" s="30" t="inlineStr">
        <is>
          <t>532777</t>
        </is>
      </c>
    </row>
    <row r="364">
      <c r="A364" s="30" t="inlineStr">
        <is>
          <t>RISHABH</t>
        </is>
      </c>
      <c r="B364" s="30" t="inlineStr">
        <is>
          <t>Rishabh Instruments Ltd</t>
        </is>
      </c>
      <c r="C364" s="30" t="inlineStr">
        <is>
          <t>industrials</t>
        </is>
      </c>
      <c r="D364" s="30" t="inlineStr">
        <is>
          <t>electric equipment</t>
        </is>
      </c>
      <c r="E364" s="30" t="inlineStr">
        <is>
          <t>smallcap</t>
        </is>
      </c>
      <c r="F364" s="30" t="n">
        <v>2494.12</v>
      </c>
      <c r="G364" s="30" t="n">
        <v>639.2</v>
      </c>
      <c r="H364" s="30" t="n">
        <v>-1.21</v>
      </c>
      <c r="I364" s="30" t="n">
        <v>125077</v>
      </c>
      <c r="J364" s="30" t="inlineStr">
        <is>
          <t>543977</t>
        </is>
      </c>
    </row>
    <row r="365">
      <c r="A365" s="30" t="inlineStr">
        <is>
          <t>RAINBOW</t>
        </is>
      </c>
      <c r="B365" s="30" t="inlineStr">
        <is>
          <t>Rainbow Childrens Medicare Ltd</t>
        </is>
      </c>
      <c r="C365" s="30" t="inlineStr">
        <is>
          <t>healthcare</t>
        </is>
      </c>
      <c r="D365" s="30" t="inlineStr">
        <is>
          <t>healthcare</t>
        </is>
      </c>
      <c r="E365" s="30" t="inlineStr">
        <is>
          <t>midcap</t>
        </is>
      </c>
      <c r="F365" s="30" t="n">
        <v>15977.29</v>
      </c>
      <c r="G365" s="30" t="n">
        <v>1553.8</v>
      </c>
      <c r="H365" s="30" t="n">
        <v>-1.23</v>
      </c>
      <c r="I365" s="30" t="n">
        <v>79926</v>
      </c>
      <c r="J365" s="30" t="inlineStr">
        <is>
          <t>543524</t>
        </is>
      </c>
    </row>
    <row r="366">
      <c r="A366" s="30" t="inlineStr">
        <is>
          <t>PRECWIRE</t>
        </is>
      </c>
      <c r="B366" s="30" t="inlineStr">
        <is>
          <t>Precision Wires India Limited</t>
        </is>
      </c>
      <c r="C366" s="30" t="inlineStr">
        <is>
          <t>metals &amp; mining</t>
        </is>
      </c>
      <c r="D366" s="30" t="inlineStr">
        <is>
          <t>mining / minerals / metals</t>
        </is>
      </c>
      <c r="E366" s="30" t="inlineStr">
        <is>
          <t>midcap</t>
        </is>
      </c>
      <c r="F366" s="30" t="n">
        <v>7658.74</v>
      </c>
      <c r="G366" s="30" t="n">
        <v>413.8</v>
      </c>
      <c r="H366" s="30" t="n">
        <v>-1.23</v>
      </c>
      <c r="I366" s="30" t="n">
        <v>391595</v>
      </c>
      <c r="J366" s="30" t="inlineStr">
        <is>
          <t>523539</t>
        </is>
      </c>
    </row>
    <row r="367">
      <c r="A367" s="30" t="inlineStr">
        <is>
          <t>GULFOILLUB</t>
        </is>
      </c>
      <c r="B367" s="30" t="inlineStr">
        <is>
          <t>Gulf Oil Lubricants India Limited</t>
        </is>
      </c>
      <c r="C367" s="30" t="inlineStr">
        <is>
          <t>chemicals</t>
        </is>
      </c>
      <c r="D367" s="30" t="inlineStr">
        <is>
          <t>chemicals</t>
        </is>
      </c>
      <c r="E367" s="30" t="inlineStr">
        <is>
          <t>midcap</t>
        </is>
      </c>
      <c r="F367" s="30" t="n">
        <v>5964.3</v>
      </c>
      <c r="G367" s="30" t="n">
        <v>1189.5</v>
      </c>
      <c r="H367" s="30" t="n">
        <v>-1.25</v>
      </c>
      <c r="I367" s="30" t="n">
        <v>77748</v>
      </c>
      <c r="J367" s="30" t="inlineStr">
        <is>
          <t>538567</t>
        </is>
      </c>
    </row>
    <row r="368">
      <c r="A368" s="30" t="inlineStr">
        <is>
          <t>SCI</t>
        </is>
      </c>
      <c r="B368" s="30" t="inlineStr">
        <is>
          <t>Shipping Corporation Of India Limited</t>
        </is>
      </c>
      <c r="C368" s="30" t="inlineStr">
        <is>
          <t>transportation</t>
        </is>
      </c>
      <c r="D368" s="30" t="inlineStr">
        <is>
          <t>shipping</t>
        </is>
      </c>
      <c r="E368" s="30" t="inlineStr">
        <is>
          <t>midcap</t>
        </is>
      </c>
      <c r="F368" s="30" t="n">
        <v>14374.56</v>
      </c>
      <c r="G368" s="30" t="n">
        <v>304.75</v>
      </c>
      <c r="H368" s="30" t="n">
        <v>-1.25</v>
      </c>
      <c r="I368" s="30" t="n">
        <v>13811099</v>
      </c>
      <c r="J368" s="30" t="inlineStr">
        <is>
          <t>523598</t>
        </is>
      </c>
    </row>
    <row r="369">
      <c r="A369" s="30" t="inlineStr">
        <is>
          <t>CHENNPETRO</t>
        </is>
      </c>
      <c r="B369" s="30" t="inlineStr">
        <is>
          <t>Chennai Petroleum Corporation Limited</t>
        </is>
      </c>
      <c r="C369" s="30" t="inlineStr">
        <is>
          <t>energy</t>
        </is>
      </c>
      <c r="D369" s="30" t="inlineStr">
        <is>
          <t>refineries</t>
        </is>
      </c>
      <c r="E369" s="30" t="inlineStr">
        <is>
          <t>midcap</t>
        </is>
      </c>
      <c r="F369" s="30" t="n">
        <v>19243.82</v>
      </c>
      <c r="G369" s="30" t="n">
        <v>1275.4</v>
      </c>
      <c r="H369" s="30" t="n">
        <v>-1.31</v>
      </c>
      <c r="I369" s="30" t="n">
        <v>1468654</v>
      </c>
      <c r="J369" s="30" t="inlineStr">
        <is>
          <t>500110</t>
        </is>
      </c>
    </row>
    <row r="370">
      <c r="A370" s="30" t="inlineStr">
        <is>
          <t>TATVA</t>
        </is>
      </c>
      <c r="B370" s="30" t="inlineStr">
        <is>
          <t>Tatva Chintan Pharma Chem Ltd</t>
        </is>
      </c>
      <c r="C370" s="30" t="inlineStr">
        <is>
          <t>chemicals</t>
        </is>
      </c>
      <c r="D370" s="30" t="inlineStr">
        <is>
          <t>chemicals</t>
        </is>
      </c>
      <c r="E370" s="30" t="inlineStr">
        <is>
          <t>smallcap</t>
        </is>
      </c>
      <c r="F370" s="30" t="n">
        <v>4049.4</v>
      </c>
      <c r="G370" s="30" t="n">
        <v>1708.2</v>
      </c>
      <c r="H370" s="30" t="n">
        <v>-1.32</v>
      </c>
      <c r="I370" s="30" t="n">
        <v>77697</v>
      </c>
      <c r="J370" s="30" t="inlineStr">
        <is>
          <t>543321</t>
        </is>
      </c>
    </row>
    <row r="371">
      <c r="A371" s="30" t="inlineStr">
        <is>
          <t>BORANA</t>
        </is>
      </c>
      <c r="B371" s="30" t="inlineStr">
        <is>
          <t>Borana Weaves Ltd</t>
        </is>
      </c>
      <c r="C371" s="30" t="inlineStr">
        <is>
          <t>textiles</t>
        </is>
      </c>
      <c r="D371" s="30" t="inlineStr">
        <is>
          <t>textiles - processing</t>
        </is>
      </c>
      <c r="E371" s="30" t="inlineStr">
        <is>
          <t>smallcap</t>
        </is>
      </c>
      <c r="F371" s="30" t="n">
        <v>918.2</v>
      </c>
      <c r="G371" s="30" t="n">
        <v>340</v>
      </c>
      <c r="H371" s="30" t="n">
        <v>-1.33</v>
      </c>
      <c r="I371" s="30" t="n">
        <v>45615</v>
      </c>
      <c r="J371" s="30" t="n"/>
    </row>
    <row r="372">
      <c r="A372" s="30" t="inlineStr">
        <is>
          <t>ADOR</t>
        </is>
      </c>
      <c r="B372" s="30" t="inlineStr">
        <is>
          <t>Ador Welding Ltd</t>
        </is>
      </c>
      <c r="C372" s="30" t="inlineStr">
        <is>
          <t>industrials</t>
        </is>
      </c>
      <c r="D372" s="30" t="inlineStr">
        <is>
          <t>electrodes - welding equipment</t>
        </is>
      </c>
      <c r="E372" s="30" t="inlineStr">
        <is>
          <t>smallcap</t>
        </is>
      </c>
      <c r="F372" s="30" t="n">
        <v>2583.97</v>
      </c>
      <c r="G372" s="30" t="n">
        <v>1465</v>
      </c>
      <c r="H372" s="30" t="n">
        <v>-1.33</v>
      </c>
      <c r="I372" s="30" t="n">
        <v>23430</v>
      </c>
      <c r="J372" s="30" t="inlineStr">
        <is>
          <t>517041</t>
        </is>
      </c>
    </row>
    <row r="373">
      <c r="A373" s="30" t="inlineStr">
        <is>
          <t>GNFC</t>
        </is>
      </c>
      <c r="B373" s="30" t="inlineStr">
        <is>
          <t>Gujarat Narmada Valley Fertilizers And Chemicals Limited</t>
        </is>
      </c>
      <c r="C373" s="30" t="inlineStr">
        <is>
          <t>chemicals</t>
        </is>
      </c>
      <c r="D373" s="30" t="inlineStr">
        <is>
          <t>chemicals</t>
        </is>
      </c>
      <c r="E373" s="30" t="inlineStr">
        <is>
          <t>midcap</t>
        </is>
      </c>
      <c r="F373" s="30" t="n">
        <v>7978.14</v>
      </c>
      <c r="G373" s="30" t="n">
        <v>535.5</v>
      </c>
      <c r="H373" s="30" t="n">
        <v>-1.37</v>
      </c>
      <c r="I373" s="30" t="n">
        <v>261633</v>
      </c>
      <c r="J373" s="30" t="inlineStr">
        <is>
          <t>500670</t>
        </is>
      </c>
    </row>
    <row r="374">
      <c r="A374" s="30" t="inlineStr">
        <is>
          <t>BERGEPAINT</t>
        </is>
      </c>
      <c r="B374" s="30" t="inlineStr">
        <is>
          <t>Berger Paints (i) Limited</t>
        </is>
      </c>
      <c r="C374" s="30" t="inlineStr">
        <is>
          <t>building materials</t>
        </is>
      </c>
      <c r="D374" s="30" t="inlineStr">
        <is>
          <t>paints / varnishes</t>
        </is>
      </c>
      <c r="E374" s="30" t="inlineStr">
        <is>
          <t>largecap</t>
        </is>
      </c>
      <c r="F374" s="30" t="n">
        <v>62684.31</v>
      </c>
      <c r="G374" s="30" t="n">
        <v>530.1</v>
      </c>
      <c r="H374" s="30" t="n">
        <v>-1.4</v>
      </c>
      <c r="I374" s="30" t="n">
        <v>286606</v>
      </c>
      <c r="J374" s="30" t="inlineStr">
        <is>
          <t>509480</t>
        </is>
      </c>
    </row>
    <row r="375">
      <c r="A375" s="30" t="inlineStr">
        <is>
          <t>SRM</t>
        </is>
      </c>
      <c r="B375" s="30" t="inlineStr">
        <is>
          <t>SRM Contractors Ltd</t>
        </is>
      </c>
      <c r="C375" s="30" t="inlineStr">
        <is>
          <t>realty</t>
        </is>
      </c>
      <c r="D375" s="30" t="inlineStr">
        <is>
          <t>construction</t>
        </is>
      </c>
      <c r="E375" s="30" t="inlineStr">
        <is>
          <t>smallcap</t>
        </is>
      </c>
      <c r="F375" s="30" t="n">
        <v>1213.86</v>
      </c>
      <c r="G375" s="30" t="n">
        <v>521.5</v>
      </c>
      <c r="H375" s="30" t="n">
        <v>-1.43</v>
      </c>
      <c r="I375" s="30" t="n">
        <v>91003</v>
      </c>
      <c r="J375" s="30" t="inlineStr">
        <is>
          <t>544158</t>
        </is>
      </c>
    </row>
    <row r="376">
      <c r="A376" s="30" t="inlineStr">
        <is>
          <t>GUJALKALI</t>
        </is>
      </c>
      <c r="B376" s="30" t="inlineStr">
        <is>
          <t>Gujarat Alkalies And Chemicals Limited</t>
        </is>
      </c>
      <c r="C376" s="30" t="inlineStr">
        <is>
          <t>chemicals</t>
        </is>
      </c>
      <c r="D376" s="30" t="inlineStr">
        <is>
          <t>chemicals</t>
        </is>
      </c>
      <c r="E376" s="30" t="inlineStr">
        <is>
          <t>smallcap</t>
        </is>
      </c>
      <c r="F376" s="30" t="n">
        <v>4999.59</v>
      </c>
      <c r="G376" s="30" t="n">
        <v>671</v>
      </c>
      <c r="H376" s="30" t="n">
        <v>-1.44</v>
      </c>
      <c r="I376" s="30" t="n">
        <v>128249</v>
      </c>
      <c r="J376" s="30" t="inlineStr">
        <is>
          <t>530001</t>
        </is>
      </c>
    </row>
    <row r="377">
      <c r="A377" s="30" t="inlineStr">
        <is>
          <t>CRAFTSMAN</t>
        </is>
      </c>
      <c r="B377" s="30" t="inlineStr">
        <is>
          <t>Craftsman Automation Ltd</t>
        </is>
      </c>
      <c r="C377" s="30" t="inlineStr">
        <is>
          <t>auto</t>
        </is>
      </c>
      <c r="D377" s="30" t="inlineStr">
        <is>
          <t>auto ancillaries</t>
        </is>
      </c>
      <c r="E377" s="30" t="inlineStr">
        <is>
          <t>largecap</t>
        </is>
      </c>
      <c r="F377" s="30" t="n">
        <v>27606</v>
      </c>
      <c r="G377" s="30" t="n">
        <v>10399</v>
      </c>
      <c r="H377" s="30" t="n">
        <v>-1.48</v>
      </c>
      <c r="I377" s="30" t="n">
        <v>37554</v>
      </c>
      <c r="J377" s="30" t="inlineStr">
        <is>
          <t>543276</t>
        </is>
      </c>
    </row>
    <row r="378">
      <c r="A378" s="30" t="inlineStr">
        <is>
          <t>UTTAMSUGAR</t>
        </is>
      </c>
      <c r="B378" s="30" t="inlineStr">
        <is>
          <t>Uttam Sugar Mills Limited</t>
        </is>
      </c>
      <c r="C378" s="30" t="inlineStr">
        <is>
          <t>fmcg</t>
        </is>
      </c>
      <c r="D378" s="30" t="inlineStr">
        <is>
          <t>sugar</t>
        </is>
      </c>
      <c r="E378" s="30" t="inlineStr">
        <is>
          <t>smallcap</t>
        </is>
      </c>
      <c r="F378" s="30" t="n">
        <v>971.84</v>
      </c>
      <c r="G378" s="30" t="n">
        <v>251</v>
      </c>
      <c r="H378" s="30" t="n">
        <v>-1.5</v>
      </c>
      <c r="I378" s="30" t="n">
        <v>61573</v>
      </c>
      <c r="J378" s="30" t="inlineStr">
        <is>
          <t>532729</t>
        </is>
      </c>
    </row>
    <row r="379">
      <c r="A379" s="30" t="inlineStr">
        <is>
          <t>360ONE</t>
        </is>
      </c>
      <c r="B379" s="30" t="inlineStr">
        <is>
          <t>360 ONE WAM Ltd</t>
        </is>
      </c>
      <c r="C379" s="30" t="inlineStr">
        <is>
          <t>financials</t>
        </is>
      </c>
      <c r="D379" s="30" t="inlineStr">
        <is>
          <t>finance &amp; investments</t>
        </is>
      </c>
      <c r="E379" s="30" t="inlineStr">
        <is>
          <t>largecap</t>
        </is>
      </c>
      <c r="F379" s="30" t="n">
        <v>48232.84</v>
      </c>
      <c r="G379" s="30" t="n">
        <v>1168.1</v>
      </c>
      <c r="H379" s="30" t="n">
        <v>-1.51</v>
      </c>
      <c r="I379" s="30" t="n">
        <v>3410406</v>
      </c>
      <c r="J379" s="30" t="inlineStr">
        <is>
          <t>542772</t>
        </is>
      </c>
    </row>
    <row r="380">
      <c r="A380" s="30" t="inlineStr">
        <is>
          <t>UNIVPHOTO</t>
        </is>
      </c>
      <c r="B380" s="30" t="inlineStr">
        <is>
          <t>Universus Photo Imagings Ltd</t>
        </is>
      </c>
      <c r="C380" s="30" t="inlineStr">
        <is>
          <t>consumer discretionary</t>
        </is>
      </c>
      <c r="D380" s="30" t="inlineStr">
        <is>
          <t>photographic and allied products</t>
        </is>
      </c>
      <c r="E380" s="30" t="inlineStr">
        <is>
          <t>smallcap</t>
        </is>
      </c>
      <c r="F380" s="30" t="n">
        <v>524.29</v>
      </c>
      <c r="G380" s="30" t="n">
        <v>471.7</v>
      </c>
      <c r="H380" s="30" t="n">
        <v>-1.51</v>
      </c>
      <c r="I380" s="30" t="n">
        <v>1154</v>
      </c>
      <c r="J380" s="30" t="inlineStr">
        <is>
          <t>542933</t>
        </is>
      </c>
    </row>
    <row r="381">
      <c r="A381" s="30" t="inlineStr">
        <is>
          <t>PIDILITIND</t>
        </is>
      </c>
      <c r="B381" s="30" t="inlineStr">
        <is>
          <t>Pidilite Industries Limited</t>
        </is>
      </c>
      <c r="C381" s="30" t="inlineStr">
        <is>
          <t>chemicals</t>
        </is>
      </c>
      <c r="D381" s="30" t="inlineStr">
        <is>
          <t>chemicals</t>
        </is>
      </c>
      <c r="E381" s="30" t="inlineStr">
        <is>
          <t>largecap</t>
        </is>
      </c>
      <c r="F381" s="30" t="n">
        <v>171596.92</v>
      </c>
      <c r="G381" s="30" t="n">
        <v>1660</v>
      </c>
      <c r="H381" s="30" t="n">
        <v>-1.54</v>
      </c>
      <c r="I381" s="30" t="n">
        <v>1801597</v>
      </c>
      <c r="J381" s="30" t="inlineStr">
        <is>
          <t>500331</t>
        </is>
      </c>
    </row>
    <row r="382">
      <c r="A382" s="30" t="inlineStr">
        <is>
          <t>STYLAMIND</t>
        </is>
      </c>
      <c r="B382" s="30" t="inlineStr">
        <is>
          <t>Stylam Industries Ltd</t>
        </is>
      </c>
      <c r="C382" s="30" t="inlineStr">
        <is>
          <t>building materials</t>
        </is>
      </c>
      <c r="D382" s="30" t="inlineStr">
        <is>
          <t>miscellaneous</t>
        </is>
      </c>
      <c r="E382" s="30" t="inlineStr">
        <is>
          <t>midcap</t>
        </is>
      </c>
      <c r="F382" s="30" t="n">
        <v>6091.64</v>
      </c>
      <c r="G382" s="30" t="n">
        <v>3536.5</v>
      </c>
      <c r="H382" s="30" t="n">
        <v>-1.61</v>
      </c>
      <c r="I382" s="30" t="n">
        <v>17501</v>
      </c>
      <c r="J382" s="30" t="inlineStr">
        <is>
          <t>526951</t>
        </is>
      </c>
    </row>
    <row r="383">
      <c r="A383" s="30" t="inlineStr">
        <is>
          <t>HEG</t>
        </is>
      </c>
      <c r="B383" s="30" t="inlineStr">
        <is>
          <t>Heg Limited</t>
        </is>
      </c>
      <c r="C383" s="30" t="inlineStr">
        <is>
          <t>industrials</t>
        </is>
      </c>
      <c r="D383" s="30" t="inlineStr">
        <is>
          <t>electrodes - graphites</t>
        </is>
      </c>
      <c r="E383" s="30" t="inlineStr">
        <is>
          <t>midcap</t>
        </is>
      </c>
      <c r="F383" s="30" t="n">
        <v>13220.89</v>
      </c>
      <c r="G383" s="30" t="n">
        <v>674</v>
      </c>
      <c r="H383" s="30" t="n">
        <v>-1.62</v>
      </c>
      <c r="I383" s="30" t="n">
        <v>597390</v>
      </c>
      <c r="J383" s="30" t="inlineStr">
        <is>
          <t>509631</t>
        </is>
      </c>
    </row>
    <row r="384">
      <c r="A384" s="30" t="inlineStr">
        <is>
          <t>SALSTEEL</t>
        </is>
      </c>
      <c r="B384" s="30" t="inlineStr">
        <is>
          <t>SAL Steel</t>
        </is>
      </c>
      <c r="C384" s="30" t="inlineStr">
        <is>
          <t>metals &amp; mining</t>
        </is>
      </c>
      <c r="D384" s="30" t="inlineStr">
        <is>
          <t>steel - sponge iron</t>
        </is>
      </c>
      <c r="E384" s="30" t="inlineStr">
        <is>
          <t>smallcap</t>
        </is>
      </c>
      <c r="F384" s="30" t="n">
        <v>908.7</v>
      </c>
      <c r="G384" s="30" t="n">
        <v>61.75</v>
      </c>
      <c r="H384" s="30" t="n">
        <v>-1.63</v>
      </c>
      <c r="I384" s="30" t="n">
        <v>1160726</v>
      </c>
      <c r="J384" s="30" t="inlineStr">
        <is>
          <t>532604</t>
        </is>
      </c>
    </row>
    <row r="385">
      <c r="A385" s="30" t="inlineStr">
        <is>
          <t>DPABHUSHAN</t>
        </is>
      </c>
      <c r="B385" s="30" t="inlineStr">
        <is>
          <t>D.P. Abhushan Ltd</t>
        </is>
      </c>
      <c r="C385" s="30" t="inlineStr">
        <is>
          <t>consumer discretionary</t>
        </is>
      </c>
      <c r="D385" s="30" t="inlineStr">
        <is>
          <t>diamond cutting / jewellery</t>
        </is>
      </c>
      <c r="E385" s="30" t="inlineStr">
        <is>
          <t>smallcap</t>
        </is>
      </c>
      <c r="F385" s="30" t="n">
        <v>3330.14</v>
      </c>
      <c r="G385" s="30" t="n">
        <v>1435</v>
      </c>
      <c r="H385" s="30" t="n">
        <v>-1.63</v>
      </c>
      <c r="I385" s="30" t="n">
        <v>15349</v>
      </c>
      <c r="J385" s="30" t="inlineStr">
        <is>
          <t>535026</t>
        </is>
      </c>
    </row>
    <row r="386">
      <c r="A386" s="30" t="inlineStr">
        <is>
          <t>TARSONS</t>
        </is>
      </c>
      <c r="B386" s="30" t="inlineStr">
        <is>
          <t>Tarsons Products Ltd</t>
        </is>
      </c>
      <c r="C386" s="30" t="inlineStr">
        <is>
          <t>healthcare</t>
        </is>
      </c>
      <c r="D386" s="30" t="inlineStr">
        <is>
          <t>miscellaneous</t>
        </is>
      </c>
      <c r="E386" s="30" t="inlineStr">
        <is>
          <t>smallcap</t>
        </is>
      </c>
      <c r="F386" s="30" t="n">
        <v>1689.3</v>
      </c>
      <c r="G386" s="30" t="n">
        <v>312.3</v>
      </c>
      <c r="H386" s="30" t="n">
        <v>-1.64</v>
      </c>
      <c r="I386" s="30" t="n">
        <v>102639</v>
      </c>
      <c r="J386" s="30" t="inlineStr">
        <is>
          <t>543399</t>
        </is>
      </c>
    </row>
    <row r="387">
      <c r="A387" s="30" t="inlineStr">
        <is>
          <t>VADILALIND</t>
        </is>
      </c>
      <c r="B387" s="30" t="inlineStr">
        <is>
          <t>Vadilal Industries Limited</t>
        </is>
      </c>
      <c r="C387" s="30" t="inlineStr">
        <is>
          <t>fmcg</t>
        </is>
      </c>
      <c r="D387" s="30" t="inlineStr">
        <is>
          <t>food - processing - indian</t>
        </is>
      </c>
      <c r="E387" s="30" t="inlineStr">
        <is>
          <t>midcap</t>
        </is>
      </c>
      <c r="F387" s="30" t="n">
        <v>5266.88</v>
      </c>
      <c r="G387" s="30" t="n">
        <v>7207.5</v>
      </c>
      <c r="H387" s="30" t="n">
        <v>-1.64</v>
      </c>
      <c r="I387" s="30" t="n">
        <v>26601</v>
      </c>
      <c r="J387" s="30" t="inlineStr">
        <is>
          <t>519156</t>
        </is>
      </c>
    </row>
    <row r="388">
      <c r="A388" s="30" t="inlineStr">
        <is>
          <t>GRAPHITE</t>
        </is>
      </c>
      <c r="B388" s="30" t="inlineStr">
        <is>
          <t>Graphite India Limited</t>
        </is>
      </c>
      <c r="C388" s="30" t="inlineStr">
        <is>
          <t>industrials</t>
        </is>
      </c>
      <c r="D388" s="30" t="inlineStr">
        <is>
          <t>electrodes - graphites</t>
        </is>
      </c>
      <c r="E388" s="30" t="inlineStr">
        <is>
          <t>midcap</t>
        </is>
      </c>
      <c r="F388" s="30" t="n">
        <v>14107.09</v>
      </c>
      <c r="G388" s="30" t="n">
        <v>709.95</v>
      </c>
      <c r="H388" s="30" t="n">
        <v>-1.68</v>
      </c>
      <c r="I388" s="30" t="n">
        <v>583486</v>
      </c>
      <c r="J388" s="30" t="inlineStr">
        <is>
          <t>509488</t>
        </is>
      </c>
    </row>
    <row r="389">
      <c r="A389" s="30" t="inlineStr">
        <is>
          <t>SCPL</t>
        </is>
      </c>
      <c r="B389" s="30" t="inlineStr">
        <is>
          <t>Sheetal Cool Products Ltd</t>
        </is>
      </c>
      <c r="C389" s="30" t="inlineStr">
        <is>
          <t>fmcg</t>
        </is>
      </c>
      <c r="D389" s="30" t="inlineStr">
        <is>
          <t>food - processing - indian</t>
        </is>
      </c>
      <c r="E389" s="30" t="inlineStr">
        <is>
          <t>smallcap</t>
        </is>
      </c>
      <c r="F389" s="30" t="n">
        <v>681.03</v>
      </c>
      <c r="G389" s="30" t="n">
        <v>637.5</v>
      </c>
      <c r="H389" s="30" t="n">
        <v>-1.71</v>
      </c>
      <c r="I389" s="30" t="n">
        <v>62762</v>
      </c>
      <c r="J389" s="30" t="inlineStr">
        <is>
          <t>540757</t>
        </is>
      </c>
    </row>
    <row r="390">
      <c r="A390" s="30" t="inlineStr">
        <is>
          <t>NILKAMAL</t>
        </is>
      </c>
      <c r="B390" s="30" t="inlineStr">
        <is>
          <t>Nilkamal Limited</t>
        </is>
      </c>
      <c r="C390" s="30" t="inlineStr">
        <is>
          <t>plastic products</t>
        </is>
      </c>
      <c r="D390" s="30" t="inlineStr">
        <is>
          <t>plastics products</t>
        </is>
      </c>
      <c r="E390" s="30" t="inlineStr">
        <is>
          <t>smallcap</t>
        </is>
      </c>
      <c r="F390" s="30" t="n">
        <v>2651.29</v>
      </c>
      <c r="G390" s="30" t="n">
        <v>1746.3</v>
      </c>
      <c r="H390" s="30" t="n">
        <v>-1.71</v>
      </c>
      <c r="I390" s="30" t="n">
        <v>42100</v>
      </c>
      <c r="J390" s="30" t="inlineStr">
        <is>
          <t>523385</t>
        </is>
      </c>
    </row>
    <row r="391">
      <c r="A391" s="30" t="inlineStr">
        <is>
          <t>ACE</t>
        </is>
      </c>
      <c r="B391" s="30" t="inlineStr">
        <is>
          <t>Action Construction Equipment Limited</t>
        </is>
      </c>
      <c r="C391" s="30" t="inlineStr">
        <is>
          <t>industrials</t>
        </is>
      </c>
      <c r="D391" s="30" t="inlineStr">
        <is>
          <t>engineering</t>
        </is>
      </c>
      <c r="E391" s="30" t="inlineStr">
        <is>
          <t>midcap</t>
        </is>
      </c>
      <c r="F391" s="30" t="n">
        <v>13262.3</v>
      </c>
      <c r="G391" s="30" t="n">
        <v>1094.3</v>
      </c>
      <c r="H391" s="30" t="n">
        <v>-1.74</v>
      </c>
      <c r="I391" s="30" t="n">
        <v>234548</v>
      </c>
      <c r="J391" s="30" t="inlineStr">
        <is>
          <t>532762</t>
        </is>
      </c>
    </row>
    <row r="392">
      <c r="A392" s="30" t="inlineStr">
        <is>
          <t>ABB</t>
        </is>
      </c>
      <c r="B392" s="30" t="inlineStr">
        <is>
          <t>Abb India Limited</t>
        </is>
      </c>
      <c r="C392" s="30" t="inlineStr">
        <is>
          <t>industrials</t>
        </is>
      </c>
      <c r="D392" s="30" t="inlineStr">
        <is>
          <t>electric equipment</t>
        </is>
      </c>
      <c r="E392" s="30" t="inlineStr">
        <is>
          <t>largecap</t>
        </is>
      </c>
      <c r="F392" s="30" t="n">
        <v>163911.13</v>
      </c>
      <c r="G392" s="30" t="n">
        <v>7600</v>
      </c>
      <c r="H392" s="30" t="n">
        <v>-1.75</v>
      </c>
      <c r="I392" s="30" t="n">
        <v>356739</v>
      </c>
      <c r="J392" s="30" t="inlineStr">
        <is>
          <t>500002</t>
        </is>
      </c>
    </row>
    <row r="393">
      <c r="A393" s="30" t="inlineStr">
        <is>
          <t>CONSOFINVT</t>
        </is>
      </c>
      <c r="B393" s="30" t="inlineStr">
        <is>
          <t>Consolidated Finvest &amp; Holdings Limited</t>
        </is>
      </c>
      <c r="C393" s="30" t="inlineStr">
        <is>
          <t>financials</t>
        </is>
      </c>
      <c r="D393" s="30" t="inlineStr">
        <is>
          <t>finance &amp; investments</t>
        </is>
      </c>
      <c r="E393" s="30" t="inlineStr">
        <is>
          <t>smallcap</t>
        </is>
      </c>
      <c r="F393" s="30" t="n">
        <v>970.76</v>
      </c>
      <c r="G393" s="30" t="n">
        <v>295</v>
      </c>
      <c r="H393" s="30" t="n">
        <v>-1.76</v>
      </c>
      <c r="I393" s="30" t="n">
        <v>2729</v>
      </c>
      <c r="J393" s="30" t="inlineStr">
        <is>
          <t>500226</t>
        </is>
      </c>
    </row>
    <row r="394">
      <c r="A394" s="30" t="inlineStr">
        <is>
          <t>UGARSUGAR</t>
        </is>
      </c>
      <c r="B394" s="30" t="inlineStr">
        <is>
          <t>The Ugar Sugar Works Limited</t>
        </is>
      </c>
      <c r="C394" s="30" t="inlineStr">
        <is>
          <t>fmcg</t>
        </is>
      </c>
      <c r="D394" s="30" t="inlineStr">
        <is>
          <t>sugar</t>
        </is>
      </c>
      <c r="E394" s="30" t="inlineStr">
        <is>
          <t>smallcap</t>
        </is>
      </c>
      <c r="F394" s="30" t="n">
        <v>514.46</v>
      </c>
      <c r="G394" s="30" t="n">
        <v>44.92</v>
      </c>
      <c r="H394" s="30" t="n">
        <v>-1.77</v>
      </c>
      <c r="I394" s="30" t="n">
        <v>207125</v>
      </c>
      <c r="J394" s="30" t="inlineStr">
        <is>
          <t>530363</t>
        </is>
      </c>
    </row>
    <row r="395">
      <c r="A395" s="30" t="inlineStr">
        <is>
          <t>VMART</t>
        </is>
      </c>
      <c r="B395" s="30" t="inlineStr">
        <is>
          <t>V-mart Retail Limited</t>
        </is>
      </c>
      <c r="C395" s="30" t="inlineStr">
        <is>
          <t>consumer discretionary</t>
        </is>
      </c>
      <c r="D395" s="30" t="inlineStr">
        <is>
          <t>trading</t>
        </is>
      </c>
      <c r="E395" s="30" t="inlineStr">
        <is>
          <t>midcap</t>
        </is>
      </c>
      <c r="F395" s="30" t="n">
        <v>6474.41</v>
      </c>
      <c r="G395" s="30" t="n">
        <v>799.35</v>
      </c>
      <c r="H395" s="30" t="n">
        <v>-1.79</v>
      </c>
      <c r="I395" s="30" t="n">
        <v>61923</v>
      </c>
      <c r="J395" s="30" t="inlineStr">
        <is>
          <t>534976</t>
        </is>
      </c>
    </row>
    <row r="396">
      <c r="A396" s="30" t="inlineStr">
        <is>
          <t>MBAPL</t>
        </is>
      </c>
      <c r="B396" s="30" t="inlineStr">
        <is>
          <t>Madhya Bharat Agro Products Ltd</t>
        </is>
      </c>
      <c r="C396" s="30" t="inlineStr">
        <is>
          <t>chemicals</t>
        </is>
      </c>
      <c r="D396" s="30" t="inlineStr">
        <is>
          <t>fertilizers</t>
        </is>
      </c>
      <c r="E396" s="30" t="inlineStr">
        <is>
          <t>smallcap</t>
        </is>
      </c>
      <c r="F396" s="30" t="n">
        <v>1405.45</v>
      </c>
      <c r="G396" s="30" t="n">
        <v>157.5</v>
      </c>
      <c r="H396" s="30" t="n">
        <v>-1.8</v>
      </c>
      <c r="I396" s="30" t="n">
        <v>294509</v>
      </c>
      <c r="J396" s="30" t="inlineStr">
        <is>
          <t>538370</t>
        </is>
      </c>
    </row>
    <row r="397">
      <c r="A397" s="30" t="inlineStr">
        <is>
          <t>AUBANK</t>
        </is>
      </c>
      <c r="B397" s="30" t="inlineStr">
        <is>
          <t>AU Small Finance Bank Ltd</t>
        </is>
      </c>
      <c r="C397" s="30" t="inlineStr">
        <is>
          <t>bank</t>
        </is>
      </c>
      <c r="D397" s="30" t="inlineStr">
        <is>
          <t>banks - private sector</t>
        </is>
      </c>
      <c r="E397" s="30" t="inlineStr">
        <is>
          <t>largecap</t>
        </is>
      </c>
      <c r="F397" s="30" t="n">
        <v>81458.19</v>
      </c>
      <c r="G397" s="30" t="n">
        <v>1067</v>
      </c>
      <c r="H397" s="30" t="n">
        <v>-1.89</v>
      </c>
      <c r="I397" s="30" t="n">
        <v>1483028</v>
      </c>
      <c r="J397" s="30" t="inlineStr">
        <is>
          <t>540611</t>
        </is>
      </c>
    </row>
    <row r="398">
      <c r="A398" s="30" t="inlineStr">
        <is>
          <t>QUESS</t>
        </is>
      </c>
      <c r="B398" s="30" t="inlineStr">
        <is>
          <t>Quess Corp Limited</t>
        </is>
      </c>
      <c r="C398" s="30" t="inlineStr">
        <is>
          <t>miscellaneous</t>
        </is>
      </c>
      <c r="D398" s="30" t="inlineStr">
        <is>
          <t>diversified - large</t>
        </is>
      </c>
      <c r="E398" s="30" t="inlineStr">
        <is>
          <t>smallcap</t>
        </is>
      </c>
      <c r="F398" s="30" t="n">
        <v>4708.57</v>
      </c>
      <c r="G398" s="30" t="n">
        <v>309.3</v>
      </c>
      <c r="H398" s="30" t="n">
        <v>-1.89</v>
      </c>
      <c r="I398" s="30" t="n">
        <v>388684</v>
      </c>
      <c r="J398" s="30" t="inlineStr">
        <is>
          <t>539978</t>
        </is>
      </c>
    </row>
    <row r="399">
      <c r="A399" s="30" t="inlineStr">
        <is>
          <t>OCCLLTD</t>
        </is>
      </c>
      <c r="B399" s="30" t="inlineStr">
        <is>
          <t>OCCL Ltd</t>
        </is>
      </c>
      <c r="C399" s="30" t="inlineStr">
        <is>
          <t>chemicals</t>
        </is>
      </c>
      <c r="D399" s="30" t="inlineStr">
        <is>
          <t>chemicals</t>
        </is>
      </c>
      <c r="E399" s="30" t="inlineStr">
        <is>
          <t>smallcap</t>
        </is>
      </c>
      <c r="F399" s="30" t="n">
        <v>813.1900000000001</v>
      </c>
      <c r="G399" s="30" t="n">
        <v>159.6</v>
      </c>
      <c r="H399" s="30" t="n">
        <v>-1.97</v>
      </c>
      <c r="I399" s="30" t="n">
        <v>153036</v>
      </c>
      <c r="J399" s="30" t="inlineStr">
        <is>
          <t>544278</t>
        </is>
      </c>
    </row>
    <row r="400">
      <c r="A400" s="30" t="inlineStr">
        <is>
          <t>IGPL</t>
        </is>
      </c>
      <c r="B400" s="30" t="inlineStr">
        <is>
          <t>Ig Petrochemicals Limited</t>
        </is>
      </c>
      <c r="C400" s="30" t="inlineStr">
        <is>
          <t>chemicals</t>
        </is>
      </c>
      <c r="D400" s="30" t="inlineStr">
        <is>
          <t>chemicals</t>
        </is>
      </c>
      <c r="E400" s="30" t="inlineStr">
        <is>
          <t>smallcap</t>
        </is>
      </c>
      <c r="F400" s="30" t="n">
        <v>1548.98</v>
      </c>
      <c r="G400" s="30" t="n">
        <v>492.9</v>
      </c>
      <c r="H400" s="30" t="n">
        <v>-2.01</v>
      </c>
      <c r="I400" s="30" t="n">
        <v>77130</v>
      </c>
      <c r="J400" s="30" t="inlineStr">
        <is>
          <t>500199</t>
        </is>
      </c>
    </row>
    <row r="401">
      <c r="A401" s="30" t="inlineStr">
        <is>
          <t>RAYMOND</t>
        </is>
      </c>
      <c r="B401" s="30" t="inlineStr">
        <is>
          <t>Raymond Limited</t>
        </is>
      </c>
      <c r="C401" s="30" t="inlineStr">
        <is>
          <t>transportation</t>
        </is>
      </c>
      <c r="D401" s="30" t="inlineStr">
        <is>
          <t>transport - airlines</t>
        </is>
      </c>
      <c r="E401" s="30" t="inlineStr">
        <is>
          <t>smallcap</t>
        </is>
      </c>
      <c r="F401" s="30" t="n">
        <v>4178.17</v>
      </c>
      <c r="G401" s="30" t="n">
        <v>614.95</v>
      </c>
      <c r="H401" s="30" t="n">
        <v>-2.02</v>
      </c>
      <c r="I401" s="30" t="n">
        <v>395873</v>
      </c>
      <c r="J401" s="30" t="inlineStr">
        <is>
          <t>500330</t>
        </is>
      </c>
    </row>
    <row r="402">
      <c r="A402" s="30" t="inlineStr">
        <is>
          <t>JSFB</t>
        </is>
      </c>
      <c r="B402" s="30" t="inlineStr">
        <is>
          <t>Jana Small Finance Bank Ltd</t>
        </is>
      </c>
      <c r="C402" s="30" t="inlineStr">
        <is>
          <t>bank</t>
        </is>
      </c>
      <c r="D402" s="30" t="inlineStr">
        <is>
          <t>banks - private sector</t>
        </is>
      </c>
      <c r="E402" s="30" t="inlineStr">
        <is>
          <t>midcap</t>
        </is>
      </c>
      <c r="F402" s="30" t="n">
        <v>5909.11</v>
      </c>
      <c r="G402" s="30" t="n">
        <v>549.4</v>
      </c>
      <c r="H402" s="30" t="n">
        <v>-2.06</v>
      </c>
      <c r="I402" s="30" t="n">
        <v>287311</v>
      </c>
      <c r="J402" s="30" t="n"/>
    </row>
    <row r="403">
      <c r="A403" s="30" t="inlineStr">
        <is>
          <t>AEGISLOG</t>
        </is>
      </c>
      <c r="B403" s="30" t="inlineStr">
        <is>
          <t>Aegis Logistics Ltd</t>
        </is>
      </c>
      <c r="C403" s="30" t="inlineStr">
        <is>
          <t>services</t>
        </is>
      </c>
      <c r="D403" s="30" t="inlineStr">
        <is>
          <t>trading</t>
        </is>
      </c>
      <c r="E403" s="30" t="inlineStr">
        <is>
          <t>largecap</t>
        </is>
      </c>
      <c r="F403" s="30" t="n">
        <v>49140</v>
      </c>
      <c r="G403" s="30" t="n">
        <v>1371</v>
      </c>
      <c r="H403" s="30" t="n">
        <v>-2.07</v>
      </c>
      <c r="I403" s="30" t="n">
        <v>1673750</v>
      </c>
      <c r="J403" s="30" t="inlineStr">
        <is>
          <t>500003</t>
        </is>
      </c>
    </row>
    <row r="404">
      <c r="A404" s="30" t="inlineStr">
        <is>
          <t>GABRIEL</t>
        </is>
      </c>
      <c r="B404" s="30" t="inlineStr">
        <is>
          <t>Gabriel India Limited</t>
        </is>
      </c>
      <c r="C404" s="30" t="inlineStr">
        <is>
          <t>auto</t>
        </is>
      </c>
      <c r="D404" s="30" t="inlineStr">
        <is>
          <t>auto ancillaries</t>
        </is>
      </c>
      <c r="E404" s="30" t="inlineStr">
        <is>
          <t>largecap</t>
        </is>
      </c>
      <c r="F404" s="30" t="n">
        <v>27148.09</v>
      </c>
      <c r="G404" s="30" t="n">
        <v>1499.8</v>
      </c>
      <c r="H404" s="30" t="n">
        <v>-2.09</v>
      </c>
      <c r="I404" s="30" t="n">
        <v>371490</v>
      </c>
      <c r="J404" s="30" t="inlineStr">
        <is>
          <t>505714</t>
        </is>
      </c>
    </row>
    <row r="405">
      <c r="A405" s="30" t="inlineStr">
        <is>
          <t>SMLMAH</t>
        </is>
      </c>
      <c r="B405" s="30" t="inlineStr">
        <is>
          <t>SML Mahindra Ltd</t>
        </is>
      </c>
      <c r="C405" s="30" t="inlineStr">
        <is>
          <t>auto</t>
        </is>
      </c>
      <c r="D405" s="30" t="inlineStr">
        <is>
          <t>automobiles - lcvs / hcvs</t>
        </is>
      </c>
      <c r="E405" s="30" t="inlineStr">
        <is>
          <t>midcap</t>
        </is>
      </c>
      <c r="F405" s="30" t="n">
        <v>8209.040000000001</v>
      </c>
      <c r="G405" s="30" t="n">
        <v>5554</v>
      </c>
      <c r="H405" s="30" t="n">
        <v>-2.09</v>
      </c>
      <c r="I405" s="30" t="n">
        <v>96731</v>
      </c>
      <c r="J405" s="30" t="inlineStr">
        <is>
          <t>505192</t>
        </is>
      </c>
    </row>
    <row r="406">
      <c r="A406" s="30" t="inlineStr">
        <is>
          <t>STEELCAS</t>
        </is>
      </c>
      <c r="B406" s="30" t="inlineStr">
        <is>
          <t>Steelcast Ltd</t>
        </is>
      </c>
      <c r="C406" s="30" t="inlineStr">
        <is>
          <t>industrials</t>
        </is>
      </c>
      <c r="D406" s="30" t="inlineStr">
        <is>
          <t>castings &amp; forgings</t>
        </is>
      </c>
      <c r="E406" s="30" t="inlineStr">
        <is>
          <t>smallcap</t>
        </is>
      </c>
      <c r="F406" s="30" t="n">
        <v>3418.03</v>
      </c>
      <c r="G406" s="30" t="n">
        <v>330.5</v>
      </c>
      <c r="H406" s="30" t="n">
        <v>-2.15</v>
      </c>
      <c r="I406" s="30" t="n">
        <v>53352</v>
      </c>
      <c r="J406" s="30" t="inlineStr">
        <is>
          <t>513517</t>
        </is>
      </c>
    </row>
    <row r="407">
      <c r="A407" s="30" t="inlineStr">
        <is>
          <t>LANDMARK</t>
        </is>
      </c>
      <c r="B407" s="30" t="inlineStr">
        <is>
          <t>Landmark Cars Ltd</t>
        </is>
      </c>
      <c r="C407" s="30" t="inlineStr">
        <is>
          <t>consumer discretionary</t>
        </is>
      </c>
      <c r="D407" s="30" t="inlineStr">
        <is>
          <t>trading</t>
        </is>
      </c>
      <c r="E407" s="30" t="inlineStr">
        <is>
          <t>smallcap</t>
        </is>
      </c>
      <c r="F407" s="30" t="n">
        <v>2267.72</v>
      </c>
      <c r="G407" s="30" t="n">
        <v>535.05</v>
      </c>
      <c r="H407" s="30" t="n">
        <v>-2.17</v>
      </c>
      <c r="I407" s="30" t="n">
        <v>170451</v>
      </c>
      <c r="J407" s="30" t="inlineStr">
        <is>
          <t>543714</t>
        </is>
      </c>
    </row>
    <row r="408">
      <c r="A408" s="30" t="inlineStr">
        <is>
          <t>POONAWALLA</t>
        </is>
      </c>
      <c r="B408" s="30" t="inlineStr">
        <is>
          <t>Poonawalla Fincorp Ltd</t>
        </is>
      </c>
      <c r="C408" s="30" t="inlineStr">
        <is>
          <t>financials</t>
        </is>
      </c>
      <c r="D408" s="30" t="inlineStr">
        <is>
          <t>finance &amp; investments</t>
        </is>
      </c>
      <c r="E408" s="30" t="inlineStr">
        <is>
          <t>largecap</t>
        </is>
      </c>
      <c r="F408" s="30" t="n">
        <v>43219.28</v>
      </c>
      <c r="G408" s="30" t="n">
        <v>480.05</v>
      </c>
      <c r="H408" s="30" t="n">
        <v>-2.2</v>
      </c>
      <c r="I408" s="30" t="n">
        <v>1895576</v>
      </c>
      <c r="J408" s="30" t="inlineStr">
        <is>
          <t>524000</t>
        </is>
      </c>
    </row>
    <row r="409">
      <c r="A409" s="30" t="inlineStr">
        <is>
          <t>BLSE</t>
        </is>
      </c>
      <c r="B409" s="30" t="inlineStr">
        <is>
          <t>BLS E-Services Ltd</t>
        </is>
      </c>
      <c r="C409" s="30" t="inlineStr">
        <is>
          <t>i.t</t>
        </is>
      </c>
      <c r="D409" s="30" t="inlineStr">
        <is>
          <t>computers - software - medium / small</t>
        </is>
      </c>
      <c r="E409" s="30" t="inlineStr">
        <is>
          <t>smallcap</t>
        </is>
      </c>
      <c r="F409" s="30" t="n">
        <v>2886.06</v>
      </c>
      <c r="G409" s="30" t="n">
        <v>310.55</v>
      </c>
      <c r="H409" s="30" t="n">
        <v>-2.24</v>
      </c>
      <c r="I409" s="30" t="n">
        <v>843322</v>
      </c>
      <c r="J409" s="30" t="inlineStr">
        <is>
          <t>544107</t>
        </is>
      </c>
    </row>
    <row r="410">
      <c r="A410" s="30" t="inlineStr">
        <is>
          <t>KRONOX</t>
        </is>
      </c>
      <c r="B410" s="30" t="inlineStr">
        <is>
          <t>Kronox Lab Sciences Ltd</t>
        </is>
      </c>
      <c r="C410" s="30" t="inlineStr">
        <is>
          <t>chemicals</t>
        </is>
      </c>
      <c r="D410" s="30" t="inlineStr">
        <is>
          <t>chemicals</t>
        </is>
      </c>
      <c r="E410" s="30" t="inlineStr">
        <is>
          <t>smallcap</t>
        </is>
      </c>
      <c r="F410" s="30" t="n">
        <v>618.8200000000001</v>
      </c>
      <c r="G410" s="30" t="n">
        <v>163</v>
      </c>
      <c r="H410" s="30" t="n">
        <v>-2.27</v>
      </c>
      <c r="I410" s="30" t="n">
        <v>72516</v>
      </c>
      <c r="J410" s="30" t="inlineStr">
        <is>
          <t>544187</t>
        </is>
      </c>
    </row>
    <row r="411">
      <c r="A411" s="30" t="inlineStr">
        <is>
          <t>SHRIRAMFIN</t>
        </is>
      </c>
      <c r="B411" s="30" t="inlineStr">
        <is>
          <t>Shriram Finance Ltd</t>
        </is>
      </c>
      <c r="C411" s="30" t="inlineStr">
        <is>
          <t>financials</t>
        </is>
      </c>
      <c r="D411" s="30" t="inlineStr">
        <is>
          <t>finance &amp; investments</t>
        </is>
      </c>
      <c r="E411" s="30" t="inlineStr">
        <is>
          <t>largecap</t>
        </is>
      </c>
      <c r="F411" s="30" t="n">
        <v>268467.62</v>
      </c>
      <c r="G411" s="30" t="n">
        <v>1115</v>
      </c>
      <c r="H411" s="30" t="n">
        <v>-2.28</v>
      </c>
      <c r="I411" s="30" t="n">
        <v>6381465</v>
      </c>
      <c r="J411" s="30" t="inlineStr">
        <is>
          <t>511218</t>
        </is>
      </c>
    </row>
    <row r="412">
      <c r="A412" s="30" t="inlineStr">
        <is>
          <t>APOLLOPIPE</t>
        </is>
      </c>
      <c r="B412" s="30" t="inlineStr">
        <is>
          <t>Apollo Pipes Ltd</t>
        </is>
      </c>
      <c r="C412" s="30" t="inlineStr">
        <is>
          <t>plastic products</t>
        </is>
      </c>
      <c r="D412" s="30" t="inlineStr">
        <is>
          <t>plastics products</t>
        </is>
      </c>
      <c r="E412" s="30" t="inlineStr">
        <is>
          <t>smallcap</t>
        </is>
      </c>
      <c r="F412" s="30" t="n">
        <v>2322.44</v>
      </c>
      <c r="G412" s="30" t="n">
        <v>515</v>
      </c>
      <c r="H412" s="30" t="n">
        <v>-2.32</v>
      </c>
      <c r="I412" s="30" t="n">
        <v>170575</v>
      </c>
      <c r="J412" s="30" t="inlineStr">
        <is>
          <t>531761</t>
        </is>
      </c>
    </row>
    <row r="413">
      <c r="A413" s="30" t="inlineStr">
        <is>
          <t>IMFA</t>
        </is>
      </c>
      <c r="B413" s="30" t="inlineStr">
        <is>
          <t>Indian Metals &amp; Ferro Alloys Limited</t>
        </is>
      </c>
      <c r="C413" s="30" t="inlineStr">
        <is>
          <t>metals &amp; mining</t>
        </is>
      </c>
      <c r="D413" s="30" t="inlineStr">
        <is>
          <t>mining / minerals / metals</t>
        </is>
      </c>
      <c r="E413" s="30" t="inlineStr">
        <is>
          <t>midcap</t>
        </is>
      </c>
      <c r="F413" s="30" t="n">
        <v>8147.61</v>
      </c>
      <c r="G413" s="30" t="n">
        <v>1472.2</v>
      </c>
      <c r="H413" s="30" t="n">
        <v>-2.51</v>
      </c>
      <c r="I413" s="30" t="n">
        <v>207743</v>
      </c>
      <c r="J413" s="30" t="inlineStr">
        <is>
          <t>533047</t>
        </is>
      </c>
    </row>
    <row r="414">
      <c r="A414" s="30" t="inlineStr">
        <is>
          <t>NELCO</t>
        </is>
      </c>
      <c r="B414" s="30" t="inlineStr">
        <is>
          <t>Nelco Limited</t>
        </is>
      </c>
      <c r="C414" s="30" t="inlineStr">
        <is>
          <t>telecom</t>
        </is>
      </c>
      <c r="D414" s="30" t="inlineStr">
        <is>
          <t>telecommunications - service provider</t>
        </is>
      </c>
      <c r="E414" s="30" t="inlineStr">
        <is>
          <t>smallcap</t>
        </is>
      </c>
      <c r="F414" s="30" t="n">
        <v>2244.87</v>
      </c>
      <c r="G414" s="30" t="n">
        <v>958.9</v>
      </c>
      <c r="H414" s="30" t="n">
        <v>-2.53</v>
      </c>
      <c r="I414" s="30" t="n">
        <v>512118</v>
      </c>
      <c r="J414" s="30" t="inlineStr">
        <is>
          <t>504112</t>
        </is>
      </c>
    </row>
    <row r="415">
      <c r="A415" s="30" t="inlineStr">
        <is>
          <t>UJJIVANSFB</t>
        </is>
      </c>
      <c r="B415" s="30" t="inlineStr">
        <is>
          <t>Ujjivan Small Finance Bank Ltd</t>
        </is>
      </c>
      <c r="C415" s="30" t="inlineStr">
        <is>
          <t>bank</t>
        </is>
      </c>
      <c r="D415" s="30" t="inlineStr">
        <is>
          <t>banks - private sector</t>
        </is>
      </c>
      <c r="E415" s="30" t="inlineStr">
        <is>
          <t>midcap</t>
        </is>
      </c>
      <c r="F415" s="30" t="n">
        <v>14015.57</v>
      </c>
      <c r="G415" s="30" t="n">
        <v>70.11</v>
      </c>
      <c r="H415" s="30" t="n">
        <v>-2.69</v>
      </c>
      <c r="I415" s="30" t="n">
        <v>8655745</v>
      </c>
      <c r="J415" s="30" t="inlineStr">
        <is>
          <t>542904</t>
        </is>
      </c>
    </row>
    <row r="416">
      <c r="A416" s="30" t="inlineStr">
        <is>
          <t>SUBEXLTD</t>
        </is>
      </c>
      <c r="B416" s="30" t="inlineStr">
        <is>
          <t>Subex Ltd</t>
        </is>
      </c>
      <c r="C416" s="30" t="inlineStr">
        <is>
          <t>i.t</t>
        </is>
      </c>
      <c r="D416" s="30" t="inlineStr">
        <is>
          <t>computers - software - medium / small</t>
        </is>
      </c>
      <c r="E416" s="30" t="inlineStr">
        <is>
          <t>smallcap</t>
        </is>
      </c>
      <c r="F416" s="30" t="n">
        <v>794.11</v>
      </c>
      <c r="G416" s="30" t="n">
        <v>13.74</v>
      </c>
      <c r="H416" s="30" t="n">
        <v>-2.76</v>
      </c>
      <c r="I416" s="30" t="n">
        <v>1417435</v>
      </c>
      <c r="J416" s="30" t="inlineStr">
        <is>
          <t>532348</t>
        </is>
      </c>
    </row>
    <row r="417">
      <c r="A417" s="30" t="inlineStr">
        <is>
          <t>PARAS</t>
        </is>
      </c>
      <c r="B417" s="30" t="inlineStr">
        <is>
          <t>Paras Defence and Space Technologies Ltd</t>
        </is>
      </c>
      <c r="C417" s="30" t="inlineStr">
        <is>
          <t>aerospace &amp; defence</t>
        </is>
      </c>
      <c r="D417" s="30" t="inlineStr">
        <is>
          <t>engineering</t>
        </is>
      </c>
      <c r="E417" s="30" t="inlineStr">
        <is>
          <t>midcap</t>
        </is>
      </c>
      <c r="F417" s="30" t="n">
        <v>10610.93</v>
      </c>
      <c r="G417" s="30" t="n">
        <v>1277.1</v>
      </c>
      <c r="H417" s="30" t="n">
        <v>-3.01</v>
      </c>
      <c r="I417" s="30" t="n">
        <v>1254142</v>
      </c>
      <c r="J417" s="30" t="inlineStr">
        <is>
          <t>543367</t>
        </is>
      </c>
    </row>
    <row r="418">
      <c r="A418" s="30" t="inlineStr">
        <is>
          <t>PRICOLLTD</t>
        </is>
      </c>
      <c r="B418" s="30" t="inlineStr">
        <is>
          <t>Pricol Ltd.</t>
        </is>
      </c>
      <c r="C418" s="30" t="inlineStr">
        <is>
          <t>auto</t>
        </is>
      </c>
      <c r="D418" s="30" t="inlineStr">
        <is>
          <t>auto ancillaries</t>
        </is>
      </c>
      <c r="E418" s="30" t="inlineStr">
        <is>
          <t>midcap</t>
        </is>
      </c>
      <c r="F418" s="30" t="n">
        <v>9280.67</v>
      </c>
      <c r="G418" s="30" t="n">
        <v>737.9</v>
      </c>
      <c r="H418" s="30" t="n">
        <v>-3.09</v>
      </c>
      <c r="I418" s="30" t="n">
        <v>553113</v>
      </c>
      <c r="J418" s="30" t="inlineStr">
        <is>
          <t>540293</t>
        </is>
      </c>
    </row>
    <row r="419">
      <c r="A419" s="30" t="inlineStr">
        <is>
          <t>GARFIBRES</t>
        </is>
      </c>
      <c r="B419" s="30" t="inlineStr">
        <is>
          <t>Garware Technical Fibres Ltd</t>
        </is>
      </c>
      <c r="C419" s="30" t="inlineStr">
        <is>
          <t>textiles</t>
        </is>
      </c>
      <c r="D419" s="30" t="inlineStr">
        <is>
          <t>textiles - products</t>
        </is>
      </c>
      <c r="E419" s="30" t="inlineStr">
        <is>
          <t>midcap</t>
        </is>
      </c>
      <c r="F419" s="30" t="n">
        <v>8191.23</v>
      </c>
      <c r="G419" s="30" t="n">
        <v>811.85</v>
      </c>
      <c r="H419" s="30" t="n">
        <v>-3.22</v>
      </c>
      <c r="I419" s="30" t="n">
        <v>62817</v>
      </c>
      <c r="J419" s="30" t="inlineStr">
        <is>
          <t>509557</t>
        </is>
      </c>
    </row>
    <row r="420">
      <c r="A420" s="30" t="inlineStr">
        <is>
          <t>RITCO</t>
        </is>
      </c>
      <c r="B420" s="30" t="inlineStr">
        <is>
          <t>Ritco Logistics Ltd</t>
        </is>
      </c>
      <c r="C420" s="30" t="inlineStr">
        <is>
          <t>transportation</t>
        </is>
      </c>
      <c r="D420" s="30" t="inlineStr">
        <is>
          <t>miscellaneous</t>
        </is>
      </c>
      <c r="E420" s="30" t="inlineStr">
        <is>
          <t>smallcap</t>
        </is>
      </c>
      <c r="F420" s="30" t="n">
        <v>876</v>
      </c>
      <c r="G420" s="30" t="n">
        <v>296</v>
      </c>
      <c r="H420" s="30" t="n">
        <v>-3.28</v>
      </c>
      <c r="I420" s="30" t="n">
        <v>261336</v>
      </c>
      <c r="J420" s="30" t="inlineStr">
        <is>
          <t>542383</t>
        </is>
      </c>
    </row>
    <row r="421">
      <c r="A421" s="30" t="inlineStr">
        <is>
          <t>KECL</t>
        </is>
      </c>
      <c r="B421" s="30" t="inlineStr">
        <is>
          <t>Kirloskar Electric Company Limited</t>
        </is>
      </c>
      <c r="C421" s="30" t="inlineStr">
        <is>
          <t>industrials</t>
        </is>
      </c>
      <c r="D421" s="30" t="inlineStr">
        <is>
          <t>electric equipment</t>
        </is>
      </c>
      <c r="E421" s="30" t="inlineStr">
        <is>
          <t>smallcap</t>
        </is>
      </c>
      <c r="F421" s="30" t="n">
        <v>985.52</v>
      </c>
      <c r="G421" s="30" t="n">
        <v>143.51</v>
      </c>
      <c r="H421" s="30" t="n">
        <v>-3.29</v>
      </c>
      <c r="I421" s="30" t="n">
        <v>324299</v>
      </c>
      <c r="J421" s="30" t="inlineStr">
        <is>
          <t>533193</t>
        </is>
      </c>
    </row>
    <row r="422">
      <c r="A422" s="30" t="inlineStr">
        <is>
          <t>SAILIFE</t>
        </is>
      </c>
      <c r="B422" s="30" t="inlineStr">
        <is>
          <t>Sai Life Sciences Ltd</t>
        </is>
      </c>
      <c r="C422" s="30" t="inlineStr">
        <is>
          <t>healthcare</t>
        </is>
      </c>
      <c r="D422" s="30" t="inlineStr">
        <is>
          <t>pharmaceuticals - indian - bulk drugs &amp; formln</t>
        </is>
      </c>
      <c r="E422" s="30" t="inlineStr">
        <is>
          <t>largecap</t>
        </is>
      </c>
      <c r="F422" s="30" t="n">
        <v>30006.63</v>
      </c>
      <c r="G422" s="30" t="n">
        <v>1365.2</v>
      </c>
      <c r="H422" s="30" t="n">
        <v>-3.42</v>
      </c>
      <c r="I422" s="30" t="n">
        <v>931517</v>
      </c>
      <c r="J422" s="30" t="inlineStr">
        <is>
          <t>544306</t>
        </is>
      </c>
    </row>
    <row r="423">
      <c r="A423" s="30" t="inlineStr">
        <is>
          <t>SHALPAINTS</t>
        </is>
      </c>
      <c r="B423" s="30" t="inlineStr">
        <is>
          <t>Shalimar Paints Limited</t>
        </is>
      </c>
      <c r="C423" s="30" t="inlineStr">
        <is>
          <t>building materials</t>
        </is>
      </c>
      <c r="D423" s="30" t="inlineStr">
        <is>
          <t>paints / varnishes</t>
        </is>
      </c>
      <c r="E423" s="30" t="inlineStr">
        <is>
          <t>smallcap</t>
        </is>
      </c>
      <c r="F423" s="30" t="n">
        <v>738.08</v>
      </c>
      <c r="G423" s="30" t="n">
        <v>85</v>
      </c>
      <c r="H423" s="30" t="n">
        <v>-3.6</v>
      </c>
      <c r="I423" s="30" t="n">
        <v>163127</v>
      </c>
      <c r="J423" s="30" t="inlineStr">
        <is>
          <t>509874</t>
        </is>
      </c>
    </row>
    <row r="424">
      <c r="A424" s="30" t="inlineStr">
        <is>
          <t>MOLDTECH</t>
        </is>
      </c>
      <c r="B424" s="30" t="inlineStr">
        <is>
          <t>Mold-tek Technologies Limited</t>
        </is>
      </c>
      <c r="C424" s="30" t="inlineStr">
        <is>
          <t>realty</t>
        </is>
      </c>
      <c r="D424" s="30" t="inlineStr">
        <is>
          <t>engineering - turnkey services</t>
        </is>
      </c>
      <c r="E424" s="30" t="inlineStr">
        <is>
          <t>smallcap</t>
        </is>
      </c>
      <c r="F424" s="30" t="n">
        <v>572.0700000000001</v>
      </c>
      <c r="G424" s="30" t="n">
        <v>191.41</v>
      </c>
      <c r="H424" s="30" t="n">
        <v>-3.62</v>
      </c>
      <c r="I424" s="30" t="n">
        <v>1238319</v>
      </c>
      <c r="J424" s="30" t="inlineStr">
        <is>
          <t>526263</t>
        </is>
      </c>
    </row>
    <row r="425">
      <c r="A425" s="30" t="inlineStr">
        <is>
          <t>BAJAJFINSV</t>
        </is>
      </c>
      <c r="B425" s="30" t="inlineStr">
        <is>
          <t>Bajaj Finserv Limited</t>
        </is>
      </c>
      <c r="C425" s="30" t="inlineStr">
        <is>
          <t>financials</t>
        </is>
      </c>
      <c r="D425" s="30" t="inlineStr">
        <is>
          <t>finance &amp; investments</t>
        </is>
      </c>
      <c r="E425" s="30" t="inlineStr">
        <is>
          <t>largecap</t>
        </is>
      </c>
      <c r="F425" s="30" t="n">
        <v>333874.73</v>
      </c>
      <c r="G425" s="30" t="n">
        <v>2008.9</v>
      </c>
      <c r="H425" s="30" t="n">
        <v>-3.7</v>
      </c>
      <c r="I425" s="30" t="n">
        <v>4757544</v>
      </c>
      <c r="J425" s="30" t="inlineStr">
        <is>
          <t>532978</t>
        </is>
      </c>
    </row>
    <row r="426">
      <c r="A426" s="30" t="inlineStr">
        <is>
          <t>CHOLAFIN</t>
        </is>
      </c>
      <c r="B426" s="30" t="inlineStr">
        <is>
          <t>Cholamandalam Investment And Finance Company Limited</t>
        </is>
      </c>
      <c r="C426" s="30" t="inlineStr">
        <is>
          <t>financials</t>
        </is>
      </c>
      <c r="D426" s="30" t="inlineStr">
        <is>
          <t>finance &amp; investments</t>
        </is>
      </c>
      <c r="E426" s="30" t="inlineStr">
        <is>
          <t>largecap</t>
        </is>
      </c>
      <c r="F426" s="30" t="n">
        <v>165401.81</v>
      </c>
      <c r="G426" s="30" t="n">
        <v>1866.2</v>
      </c>
      <c r="H426" s="30" t="n">
        <v>-3.8</v>
      </c>
      <c r="I426" s="30" t="n">
        <v>3165147</v>
      </c>
      <c r="J426" s="30" t="inlineStr">
        <is>
          <t>511243</t>
        </is>
      </c>
    </row>
    <row r="427">
      <c r="A427" s="30" t="inlineStr">
        <is>
          <t>MANAKSTEEL</t>
        </is>
      </c>
      <c r="B427" s="30" t="inlineStr">
        <is>
          <t>Manaksia Steels Limited</t>
        </is>
      </c>
      <c r="C427" s="30" t="inlineStr">
        <is>
          <t>metals &amp; mining</t>
        </is>
      </c>
      <c r="D427" s="30" t="inlineStr">
        <is>
          <t>steel - medium / small</t>
        </is>
      </c>
      <c r="E427" s="30" t="inlineStr">
        <is>
          <t>smallcap</t>
        </is>
      </c>
      <c r="F427" s="30" t="n">
        <v>577.55</v>
      </c>
      <c r="G427" s="30" t="n">
        <v>84.43000000000001</v>
      </c>
      <c r="H427" s="30" t="n">
        <v>-4.2</v>
      </c>
      <c r="I427" s="30" t="n">
        <v>176000</v>
      </c>
      <c r="J427" s="30" t="inlineStr">
        <is>
          <t>539044</t>
        </is>
      </c>
    </row>
    <row r="428">
      <c r="A428" s="30" t="inlineStr">
        <is>
          <t>NAVINFLUOR</t>
        </is>
      </c>
      <c r="B428" s="30" t="inlineStr">
        <is>
          <t>Navin Fluorine International Limited</t>
        </is>
      </c>
      <c r="C428" s="30" t="inlineStr">
        <is>
          <t>chemicals</t>
        </is>
      </c>
      <c r="D428" s="30" t="inlineStr">
        <is>
          <t>chemicals</t>
        </is>
      </c>
      <c r="E428" s="30" t="inlineStr">
        <is>
          <t>largecap</t>
        </is>
      </c>
      <c r="F428" s="30" t="n">
        <v>44366.85</v>
      </c>
      <c r="G428" s="30" t="n">
        <v>8271</v>
      </c>
      <c r="H428" s="30" t="n">
        <v>-4.38</v>
      </c>
      <c r="I428" s="30" t="n">
        <v>590351</v>
      </c>
      <c r="J428" s="30" t="inlineStr">
        <is>
          <t>532504</t>
        </is>
      </c>
    </row>
    <row r="429">
      <c r="A429" s="30" t="inlineStr">
        <is>
          <t>SOTL</t>
        </is>
      </c>
      <c r="B429" s="30" t="inlineStr">
        <is>
          <t>Savita Oil Technologies Limited</t>
        </is>
      </c>
      <c r="C429" s="30" t="inlineStr">
        <is>
          <t>energy</t>
        </is>
      </c>
      <c r="D429" s="30" t="inlineStr">
        <is>
          <t>petrochemicals</t>
        </is>
      </c>
      <c r="E429" s="30" t="inlineStr">
        <is>
          <t>midcap</t>
        </is>
      </c>
      <c r="F429" s="30" t="n">
        <v>5361.08</v>
      </c>
      <c r="G429" s="30" t="n">
        <v>745.9</v>
      </c>
      <c r="H429" s="30" t="n">
        <v>-4.61</v>
      </c>
      <c r="I429" s="30" t="n">
        <v>1447007</v>
      </c>
      <c r="J429" s="30" t="inlineStr">
        <is>
          <t>524667</t>
        </is>
      </c>
    </row>
    <row r="430">
      <c r="A430" s="30" t="inlineStr">
        <is>
          <t>GAEL</t>
        </is>
      </c>
      <c r="B430" s="30" t="inlineStr">
        <is>
          <t>Gujarat Ambuja Exports Limited</t>
        </is>
      </c>
      <c r="C430" s="30" t="inlineStr">
        <is>
          <t>fmcg</t>
        </is>
      </c>
      <c r="D430" s="30" t="inlineStr">
        <is>
          <t>miscellaneous</t>
        </is>
      </c>
      <c r="E430" s="30" t="inlineStr">
        <is>
          <t>midcap</t>
        </is>
      </c>
      <c r="F430" s="30" t="n">
        <v>8151.5</v>
      </c>
      <c r="G430" s="30" t="n">
        <v>169.22</v>
      </c>
      <c r="H430" s="30" t="n">
        <v>-4.78</v>
      </c>
      <c r="I430" s="30" t="n">
        <v>1955074</v>
      </c>
      <c r="J430" s="30" t="inlineStr">
        <is>
          <t>524226</t>
        </is>
      </c>
    </row>
    <row r="431">
      <c r="A431" s="30" t="inlineStr">
        <is>
          <t>UNIVASTU</t>
        </is>
      </c>
      <c r="B431" s="30" t="inlineStr">
        <is>
          <t>Univastu India Ltd</t>
        </is>
      </c>
      <c r="C431" s="30" t="inlineStr">
        <is>
          <t>realty</t>
        </is>
      </c>
      <c r="D431" s="30" t="inlineStr">
        <is>
          <t>construction</t>
        </is>
      </c>
      <c r="E431" s="30" t="inlineStr">
        <is>
          <t>smallcap</t>
        </is>
      </c>
      <c r="F431" s="30" t="n">
        <v>509.39</v>
      </c>
      <c r="G431" s="30" t="n">
        <v>134.75</v>
      </c>
      <c r="H431" s="30" t="n">
        <v>-4.8</v>
      </c>
      <c r="I431" s="30" t="n">
        <v>362857</v>
      </c>
      <c r="J431" s="30" t="inlineStr">
        <is>
          <t>538442</t>
        </is>
      </c>
    </row>
    <row r="432">
      <c r="A432" s="30" t="inlineStr">
        <is>
          <t>SPECTRUM</t>
        </is>
      </c>
      <c r="B432" s="30" t="inlineStr">
        <is>
          <t>Spectrum Electrical Industries Ltd</t>
        </is>
      </c>
      <c r="C432" s="30" t="inlineStr">
        <is>
          <t>industrials</t>
        </is>
      </c>
      <c r="D432" s="30" t="inlineStr">
        <is>
          <t>electric equipment</t>
        </is>
      </c>
      <c r="E432" s="30" t="inlineStr">
        <is>
          <t>smallcap</t>
        </is>
      </c>
      <c r="F432" s="30" t="n">
        <v>4035.31</v>
      </c>
      <c r="G432" s="30" t="n">
        <v>2440.7</v>
      </c>
      <c r="H432" s="30" t="n">
        <v>-4.96</v>
      </c>
      <c r="I432" s="30" t="n">
        <v>14749</v>
      </c>
      <c r="J432" s="30" t="inlineStr">
        <is>
          <t>535112</t>
        </is>
      </c>
    </row>
    <row r="433">
      <c r="A433" s="30" t="inlineStr">
        <is>
          <t>E2E</t>
        </is>
      </c>
      <c r="B433" s="30" t="inlineStr">
        <is>
          <t>E2E Networks Ltd</t>
        </is>
      </c>
      <c r="C433" s="30" t="inlineStr">
        <is>
          <t>i.t</t>
        </is>
      </c>
      <c r="D433" s="30" t="inlineStr">
        <is>
          <t>computers - software - medium / small</t>
        </is>
      </c>
      <c r="E433" s="30" t="inlineStr">
        <is>
          <t>midcap</t>
        </is>
      </c>
      <c r="F433" s="30" t="n">
        <v>12451.07</v>
      </c>
      <c r="G433" s="30" t="n">
        <v>575.45</v>
      </c>
      <c r="H433" s="30" t="n">
        <v>-4.99</v>
      </c>
      <c r="I433" s="30" t="n">
        <v>2106622</v>
      </c>
      <c r="J433" s="30" t="inlineStr">
        <is>
          <t>535080</t>
        </is>
      </c>
    </row>
    <row r="434">
      <c r="A434" s="30" t="inlineStr">
        <is>
          <t>HMVL</t>
        </is>
      </c>
      <c r="B434" s="30" t="inlineStr">
        <is>
          <t>Hindustan Media Ventures Limited</t>
        </is>
      </c>
      <c r="C434" s="30" t="inlineStr">
        <is>
          <t>media</t>
        </is>
      </c>
      <c r="D434" s="30" t="inlineStr">
        <is>
          <t>entertainment / electronic media software</t>
        </is>
      </c>
      <c r="E434" s="30" t="inlineStr">
        <is>
          <t>smallcap</t>
        </is>
      </c>
      <c r="F434" s="30" t="n">
        <v>764.78</v>
      </c>
      <c r="G434" s="30" t="n">
        <v>98.62</v>
      </c>
      <c r="H434" s="30" t="n">
        <v>-5</v>
      </c>
      <c r="I434" s="30" t="n">
        <v>14288</v>
      </c>
      <c r="J434" s="30" t="inlineStr">
        <is>
          <t>533217</t>
        </is>
      </c>
    </row>
    <row r="435">
      <c r="A435" s="30" t="inlineStr">
        <is>
          <t>HUHTAMAKI</t>
        </is>
      </c>
      <c r="B435" s="30" t="inlineStr">
        <is>
          <t>Huhtamaki India Ltd</t>
        </is>
      </c>
      <c r="C435" s="30" t="inlineStr">
        <is>
          <t>industrials</t>
        </is>
      </c>
      <c r="D435" s="30" t="inlineStr">
        <is>
          <t>packaging</t>
        </is>
      </c>
      <c r="E435" s="30" t="inlineStr">
        <is>
          <t>smallcap</t>
        </is>
      </c>
      <c r="F435" s="30" t="n">
        <v>2189.76</v>
      </c>
      <c r="G435" s="30" t="n">
        <v>274.95</v>
      </c>
      <c r="H435" s="30" t="n">
        <v>-5.17</v>
      </c>
      <c r="I435" s="30" t="n">
        <v>323516</v>
      </c>
      <c r="J435" s="30" t="inlineStr">
        <is>
          <t>509820</t>
        </is>
      </c>
    </row>
    <row r="436">
      <c r="A436" s="30" t="inlineStr">
        <is>
          <t>ESAFSFB</t>
        </is>
      </c>
      <c r="B436" s="30" t="inlineStr">
        <is>
          <t>ESAF Small Finance Bank Ltd</t>
        </is>
      </c>
      <c r="C436" s="30" t="inlineStr">
        <is>
          <t>bank</t>
        </is>
      </c>
      <c r="D436" s="30" t="inlineStr">
        <is>
          <t>banks - private sector</t>
        </is>
      </c>
      <c r="E436" s="30" t="inlineStr">
        <is>
          <t>smallcap</t>
        </is>
      </c>
      <c r="F436" s="30" t="n">
        <v>2194.86</v>
      </c>
      <c r="G436" s="30" t="n">
        <v>40.27</v>
      </c>
      <c r="H436" s="30" t="n">
        <v>-5.34</v>
      </c>
      <c r="I436" s="30" t="n">
        <v>4836597</v>
      </c>
      <c r="J436" s="30" t="inlineStr">
        <is>
          <t>544020</t>
        </is>
      </c>
    </row>
    <row r="437">
      <c r="A437" s="30" t="inlineStr">
        <is>
          <t>SHAILY</t>
        </is>
      </c>
      <c r="B437" s="30" t="inlineStr">
        <is>
          <t>Shaily Engineering Plastics Ltd</t>
        </is>
      </c>
      <c r="C437" s="30" t="inlineStr">
        <is>
          <t>plastic products</t>
        </is>
      </c>
      <c r="D437" s="30" t="inlineStr">
        <is>
          <t>plastics products</t>
        </is>
      </c>
      <c r="E437" s="30" t="inlineStr">
        <is>
          <t>midcap</t>
        </is>
      </c>
      <c r="F437" s="30" t="n">
        <v>15483.38</v>
      </c>
      <c r="G437" s="30" t="n">
        <v>3162.3</v>
      </c>
      <c r="H437" s="30" t="n">
        <v>-6.06</v>
      </c>
      <c r="I437" s="30" t="n">
        <v>268206</v>
      </c>
      <c r="J437" s="30" t="inlineStr">
        <is>
          <t>501423</t>
        </is>
      </c>
    </row>
    <row r="438">
      <c r="A438" s="30" t="inlineStr">
        <is>
          <t>KABRAEXTRU</t>
        </is>
      </c>
      <c r="B438" s="30" t="inlineStr">
        <is>
          <t>Kabra Extrusion Technik Limited</t>
        </is>
      </c>
      <c r="C438" s="30" t="inlineStr">
        <is>
          <t>industrials</t>
        </is>
      </c>
      <c r="D438" s="30" t="inlineStr">
        <is>
          <t>engineering</t>
        </is>
      </c>
      <c r="E438" s="30" t="inlineStr">
        <is>
          <t>smallcap</t>
        </is>
      </c>
      <c r="F438" s="30" t="n">
        <v>1670.3</v>
      </c>
      <c r="G438" s="30" t="n">
        <v>448.6</v>
      </c>
      <c r="H438" s="30" t="n">
        <v>-6.07</v>
      </c>
      <c r="I438" s="30" t="n">
        <v>810718</v>
      </c>
      <c r="J438" s="30" t="inlineStr">
        <is>
          <t>524109</t>
        </is>
      </c>
    </row>
    <row r="439">
      <c r="A439" s="30" t="inlineStr">
        <is>
          <t>ASKAUTOLTD</t>
        </is>
      </c>
      <c r="B439" s="30" t="inlineStr">
        <is>
          <t>ASK Automotive Ltd</t>
        </is>
      </c>
      <c r="C439" s="30" t="inlineStr">
        <is>
          <t>auto</t>
        </is>
      </c>
      <c r="D439" s="30" t="inlineStr">
        <is>
          <t>auto ancillaries</t>
        </is>
      </c>
      <c r="E439" s="30" t="inlineStr">
        <is>
          <t>midcap</t>
        </is>
      </c>
      <c r="F439" s="30" t="n">
        <v>13382.04</v>
      </c>
      <c r="G439" s="30" t="n">
        <v>634.95</v>
      </c>
      <c r="H439" s="30" t="n">
        <v>-6.46</v>
      </c>
      <c r="I439" s="30" t="n">
        <v>1290605</v>
      </c>
      <c r="J439" s="30" t="inlineStr">
        <is>
          <t>544022</t>
        </is>
      </c>
    </row>
  </sheetData>
  <autoFilter ref="A1:J4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UNIPARTS</t>
        </is>
      </c>
      <c r="E2" s="30" t="inlineStr">
        <is>
          <t>Uniparts India Ltd</t>
        </is>
      </c>
      <c r="F2" s="30" t="inlineStr">
        <is>
          <t>Castings, Forgings &amp; Fastners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29</v>
      </c>
      <c r="K2" s="30" t="n">
        <v>29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HAPPYFORGE</t>
        </is>
      </c>
      <c r="E3" s="30" t="inlineStr">
        <is>
          <t>Happy Forgings Ltd</t>
        </is>
      </c>
      <c r="F3" s="30" t="inlineStr">
        <is>
          <t>unknown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0</v>
      </c>
      <c r="K3" s="30" t="n">
        <v>25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FIEMIND</t>
        </is>
      </c>
      <c r="E4" s="30" t="inlineStr">
        <is>
          <t>Fiem Industries Limited</t>
        </is>
      </c>
      <c r="F4" s="30" t="inlineStr">
        <is>
          <t>Auto Ancillaries - 2&amp;3 Wheelers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25</v>
      </c>
      <c r="K4" s="30" t="n">
        <v>14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SBCL</t>
        </is>
      </c>
      <c r="E5" s="30" t="inlineStr">
        <is>
          <t>Shivalik Bimetal Controls Ltd</t>
        </is>
      </c>
      <c r="F5" s="30" t="inlineStr">
        <is>
          <t>Shunt Resistors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21</v>
      </c>
      <c r="K5" s="30" t="n">
        <v>21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SKYGOLD</t>
        </is>
      </c>
      <c r="E6" s="30" t="inlineStr">
        <is>
          <t>Sky Gold Ltd</t>
        </is>
      </c>
      <c r="F6" s="30" t="inlineStr">
        <is>
          <t>Diamond, Gems &amp; Jewellery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27</v>
      </c>
      <c r="K6" s="30" t="n">
        <v>20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UEL</t>
        </is>
      </c>
      <c r="E7" s="30" t="inlineStr">
        <is>
          <t>Ujaas Energy Ltd</t>
        </is>
      </c>
      <c r="F7" s="30" t="inlineStr">
        <is>
          <t>Capital Goods - Transformers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5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LLOYDSME</t>
        </is>
      </c>
      <c r="E8" s="30" t="inlineStr">
        <is>
          <t>Lloyds Metals &amp; Energy Ltd</t>
        </is>
      </c>
      <c r="F8" s="30" t="inlineStr">
        <is>
          <t>Mining/Minerals - Iron Ore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20</v>
      </c>
      <c r="K8" s="30" t="n">
        <v>18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MENONBE</t>
        </is>
      </c>
      <c r="E9" s="30" t="inlineStr">
        <is>
          <t>Menon Bearings Limited</t>
        </is>
      </c>
      <c r="F9" s="30" t="inlineStr">
        <is>
          <t>Auto Ancillaries - Bearings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20</v>
      </c>
      <c r="K9" s="30" t="n">
        <v>26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E2E</t>
        </is>
      </c>
      <c r="E10" s="30" t="inlineStr">
        <is>
          <t>E2E Networks Ltd</t>
        </is>
      </c>
      <c r="F10" s="30" t="inlineStr">
        <is>
          <t>Data Centre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20</v>
      </c>
      <c r="K10" s="30" t="n">
        <v>14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SAKAR</t>
        </is>
      </c>
      <c r="E11" s="30" t="inlineStr">
        <is>
          <t>Sakar Healthcare Ltd</t>
        </is>
      </c>
      <c r="F11" s="30" t="inlineStr">
        <is>
          <t>Hospitals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22</v>
      </c>
      <c r="K11" s="30" t="n">
        <v>22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TMB</t>
        </is>
      </c>
      <c r="E12" s="30" t="inlineStr">
        <is>
          <t>Tamilnad Mercantile Bank Ltd</t>
        </is>
      </c>
      <c r="F12" s="30" t="inlineStr">
        <is>
          <t>Banks - Private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20</v>
      </c>
      <c r="K12" s="30" t="n">
        <v>25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UJJIVANSFB</t>
        </is>
      </c>
      <c r="E13" s="30" t="inlineStr">
        <is>
          <t>Ujjivan Small Finance Bank Ltd</t>
        </is>
      </c>
      <c r="F13" s="30" t="inlineStr">
        <is>
          <t>Banks - Small Finance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20</v>
      </c>
      <c r="K13" s="30" t="n">
        <v>22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REDINGTON</t>
        </is>
      </c>
      <c r="E14" s="30" t="inlineStr">
        <is>
          <t>Redington (india) Limited</t>
        </is>
      </c>
      <c r="F14" s="30" t="inlineStr">
        <is>
          <t>Computer - Hardware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23</v>
      </c>
      <c r="K14" s="30" t="n">
        <v>19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ATHERENERG</t>
        </is>
      </c>
      <c r="E15" s="30" t="inlineStr">
        <is>
          <t>Ather Energy Ltd</t>
        </is>
      </c>
      <c r="F15" s="30" t="inlineStr">
        <is>
          <t>Auto - 2 &amp; 3 Wheelers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22</v>
      </c>
      <c r="K15" s="30" t="n">
        <v>22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RPTECH</t>
        </is>
      </c>
      <c r="E16" s="30" t="inlineStr">
        <is>
          <t>Rashi Peripherals Ltd</t>
        </is>
      </c>
      <c r="F16" s="30" t="inlineStr">
        <is>
          <t>Trading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26</v>
      </c>
      <c r="K16" s="30" t="n">
        <v>28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AUROPHARMA</t>
        </is>
      </c>
      <c r="E17" s="30" t="inlineStr">
        <is>
          <t>Aurobindo Pharma Limited</t>
        </is>
      </c>
      <c r="F17" s="30" t="inlineStr">
        <is>
          <t>Pharma - Formulators</t>
        </is>
      </c>
      <c r="G17" s="30" t="n">
        <v>2</v>
      </c>
      <c r="H17" s="30" t="inlineStr">
        <is>
          <t>52W Breakout</t>
        </is>
      </c>
      <c r="I17" s="30" t="inlineStr">
        <is>
          <t>Yes</t>
        </is>
      </c>
      <c r="J17" s="30" t="n">
        <v>11</v>
      </c>
      <c r="K17" s="30" t="n">
        <v>18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M&amp;MFIN</t>
        </is>
      </c>
      <c r="E18" s="30" t="inlineStr">
        <is>
          <t>Mahindra &amp; Mahindra Financial Services Limited</t>
        </is>
      </c>
      <c r="F18" s="30" t="inlineStr">
        <is>
          <t>Finance &amp; Investments - CV Finance</t>
        </is>
      </c>
      <c r="G18" s="30" t="n">
        <v>2</v>
      </c>
      <c r="H18" s="30" t="inlineStr">
        <is>
          <t>52W Breakout</t>
        </is>
      </c>
      <c r="I18" s="30" t="inlineStr">
        <is>
          <t>Yes</t>
        </is>
      </c>
      <c r="J18" s="30" t="n">
        <v>17</v>
      </c>
      <c r="K18" s="30" t="n">
        <v>13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TFCILTD</t>
        </is>
      </c>
      <c r="E19" s="30" t="inlineStr">
        <is>
          <t>Tourism Finance Corporation Of India Limited</t>
        </is>
      </c>
      <c r="F19" s="30" t="inlineStr">
        <is>
          <t>Finance - PSU Lending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26</v>
      </c>
      <c r="K19" s="30" t="n">
        <v>21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ESAFSFB</t>
        </is>
      </c>
      <c r="E20" s="30" t="inlineStr">
        <is>
          <t>ESAF Small Finance Bank Ltd</t>
        </is>
      </c>
      <c r="F20" s="30" t="inlineStr">
        <is>
          <t>Banks - Small Finance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21</v>
      </c>
      <c r="K20" s="30" t="n">
        <v>27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RATEGAIN</t>
        </is>
      </c>
      <c r="E21" s="30" t="inlineStr">
        <is>
          <t>Rategain Travel Technologies Ltd</t>
        </is>
      </c>
      <c r="F21" s="30" t="inlineStr">
        <is>
          <t>IT Product Companies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22</v>
      </c>
      <c r="K21" s="30" t="n">
        <v>23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SANGHVIMOV</t>
        </is>
      </c>
      <c r="E22" s="30" t="inlineStr">
        <is>
          <t>Sanghvi Movers Limited</t>
        </is>
      </c>
      <c r="F22" s="30" t="inlineStr">
        <is>
          <t>Capital Goods - EPC/Cranes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21</v>
      </c>
      <c r="K22" s="30" t="n">
        <v>22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AETHER</t>
        </is>
      </c>
      <c r="E23" s="30" t="inlineStr">
        <is>
          <t>Aether Industries Ltd</t>
        </is>
      </c>
      <c r="F23" s="30" t="inlineStr">
        <is>
          <t>Speciality Chemicals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19</v>
      </c>
      <c r="K23" s="30" t="n">
        <v>26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SJS</t>
        </is>
      </c>
      <c r="E24" s="30" t="inlineStr">
        <is>
          <t>S J S Enterprises Ltd</t>
        </is>
      </c>
      <c r="F24" s="30" t="inlineStr">
        <is>
          <t>Auto Ancillaries - Diversified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24</v>
      </c>
      <c r="K24" s="30" t="n">
        <v>29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PGIL</t>
        </is>
      </c>
      <c r="E25" s="30" t="inlineStr">
        <is>
          <t>Pearl Global Industries Limited</t>
        </is>
      </c>
      <c r="F25" s="30" t="inlineStr">
        <is>
          <t>Textiles - Readymade Apparel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30</v>
      </c>
      <c r="K25" s="30" t="n">
        <v>23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CUPID</t>
        </is>
      </c>
      <c r="E26" s="30" t="inlineStr">
        <is>
          <t>Cupid Limited</t>
        </is>
      </c>
      <c r="F26" s="30" t="inlineStr">
        <is>
          <t>Contraceptives/Protectives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19</v>
      </c>
      <c r="K26" s="30" t="n">
        <v>30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AEGISLOG</t>
        </is>
      </c>
      <c r="E27" s="30" t="inlineStr">
        <is>
          <t>Aegis Logistics Ltd</t>
        </is>
      </c>
      <c r="F27" s="30" t="inlineStr">
        <is>
          <t>Logistics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22</v>
      </c>
      <c r="K27" s="30" t="n">
        <v>27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CENTENKA</t>
        </is>
      </c>
      <c r="E28" s="30" t="inlineStr">
        <is>
          <t>Century Enka Limited</t>
        </is>
      </c>
      <c r="F28" s="30" t="inlineStr">
        <is>
          <t>Textiles - Manmade Fibre - PFY/PSF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24</v>
      </c>
      <c r="K28" s="30" t="n">
        <v>29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NESTLEIND</t>
        </is>
      </c>
      <c r="E29" s="30" t="inlineStr">
        <is>
          <t>Nestle India Limited</t>
        </is>
      </c>
      <c r="F29" s="30" t="inlineStr">
        <is>
          <t>FMCG - Dairy Products</t>
        </is>
      </c>
      <c r="G29" s="30" t="n">
        <v>2</v>
      </c>
      <c r="H29" s="30" t="inlineStr">
        <is>
          <t>52W Breakout</t>
        </is>
      </c>
      <c r="I29" s="30" t="inlineStr">
        <is>
          <t>Yes</t>
        </is>
      </c>
      <c r="J29" s="30" t="n">
        <v>11</v>
      </c>
      <c r="K29" s="30" t="n">
        <v>13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SPORTKING</t>
        </is>
      </c>
      <c r="E30" s="30" t="inlineStr">
        <is>
          <t>Sportking India Ltd</t>
        </is>
      </c>
      <c r="F30" s="30" t="inlineStr">
        <is>
          <t>Textiles - Spinning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24</v>
      </c>
      <c r="K30" s="30" t="n">
        <v>21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SONACOMS</t>
        </is>
      </c>
      <c r="E31" s="30" t="inlineStr">
        <is>
          <t>Sona BLW Precision Forgings Ltd</t>
        </is>
      </c>
      <c r="F31" s="30" t="inlineStr">
        <is>
          <t>Castings, Forgings &amp; Fastners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17</v>
      </c>
      <c r="K31" s="30" t="n">
        <v>24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MONARCH</t>
        </is>
      </c>
      <c r="E32" s="30" t="inlineStr">
        <is>
          <t>Monarch Networth Capital Ltd</t>
        </is>
      </c>
      <c r="F32" s="30" t="inlineStr">
        <is>
          <t>Finance - Capital Markets - Brokers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21</v>
      </c>
      <c r="K32" s="30" t="n">
        <v>26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SHILPAMED</t>
        </is>
      </c>
      <c r="E33" s="30" t="inlineStr">
        <is>
          <t>Shilpa Medicare Limited</t>
        </is>
      </c>
      <c r="F33" s="30" t="inlineStr">
        <is>
          <t>Pharma - API &amp; CRAMS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28</v>
      </c>
      <c r="K33" s="30" t="n">
        <v>25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THELEELA</t>
        </is>
      </c>
      <c r="E34" s="30" t="inlineStr">
        <is>
          <t>Leela Palaces Hotels &amp; Resorts Ltd</t>
        </is>
      </c>
      <c r="F34" s="30" t="inlineStr">
        <is>
          <t>Hotels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22</v>
      </c>
      <c r="K34" s="30" t="n">
        <v>23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AVALON</t>
        </is>
      </c>
      <c r="E35" s="30" t="inlineStr">
        <is>
          <t>Avalon Technologies Ltd</t>
        </is>
      </c>
      <c r="F35" s="30" t="inlineStr">
        <is>
          <t>Consumer Electronics - EMS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26</v>
      </c>
      <c r="K35" s="30" t="n">
        <v>21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RRKABEL</t>
        </is>
      </c>
      <c r="E36" s="30" t="inlineStr">
        <is>
          <t>R R Kabel Ltd</t>
        </is>
      </c>
      <c r="F36" s="30" t="inlineStr">
        <is>
          <t>Cables - Power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23</v>
      </c>
      <c r="K36" s="30" t="n">
        <v>29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GHCLTEXTIL</t>
        </is>
      </c>
      <c r="E37" s="30" t="inlineStr">
        <is>
          <t>GHCL Textiles Ltd</t>
        </is>
      </c>
      <c r="F37" s="30" t="inlineStr">
        <is>
          <t>Textiles - General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23</v>
      </c>
      <c r="K37" s="30" t="n">
        <v>17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NYKAA</t>
        </is>
      </c>
      <c r="E38" s="30" t="inlineStr">
        <is>
          <t>FSN E-Commerce Ventures Ltd</t>
        </is>
      </c>
      <c r="F38" s="30" t="inlineStr">
        <is>
          <t>New age - Platform - E-Retail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20</v>
      </c>
      <c r="K38" s="30" t="n">
        <v>28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UFBL</t>
        </is>
      </c>
      <c r="E39" s="30" t="inlineStr">
        <is>
          <t>United Foodbrands Ltd</t>
        </is>
      </c>
      <c r="F39" s="30" t="inlineStr">
        <is>
          <t>Quick Service Restaurant - QSR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21</v>
      </c>
      <c r="K39" s="30" t="n">
        <v>24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MPSLTD</t>
        </is>
      </c>
      <c r="E40" s="30" t="inlineStr">
        <is>
          <t>Mps Limited</t>
        </is>
      </c>
      <c r="F40" s="30" t="inlineStr">
        <is>
          <t>E-Commerce - Platform - Utility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23</v>
      </c>
      <c r="K40" s="30" t="n">
        <v>12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KENNAMET</t>
        </is>
      </c>
      <c r="E41" s="30" t="inlineStr">
        <is>
          <t>Kennametal India Ltd</t>
        </is>
      </c>
      <c r="F41" s="30" t="inlineStr">
        <is>
          <t>Castings, Forgings &amp; Fastners</t>
        </is>
      </c>
      <c r="G41" s="30" t="n">
        <v>2</v>
      </c>
      <c r="H41" s="30" t="inlineStr">
        <is>
          <t>52W Breakout</t>
        </is>
      </c>
      <c r="I41" s="30" t="inlineStr">
        <is>
          <t>Yes</t>
        </is>
      </c>
      <c r="J41" s="30" t="n">
        <v>12</v>
      </c>
      <c r="K41" s="30" t="n">
        <v>15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SANSERA</t>
        </is>
      </c>
      <c r="E42" s="30" t="inlineStr">
        <is>
          <t>Sansera Engineering Ltd</t>
        </is>
      </c>
      <c r="F42" s="30" t="inlineStr">
        <is>
          <t>Auto Ancillaries - Diversified</t>
        </is>
      </c>
      <c r="G42" s="30" t="n">
        <v>2</v>
      </c>
      <c r="H42" s="30" t="inlineStr">
        <is>
          <t>52W Breakout</t>
        </is>
      </c>
      <c r="I42" s="30" t="inlineStr">
        <is>
          <t>Yes</t>
        </is>
      </c>
      <c r="J42" s="30" t="n">
        <v>16</v>
      </c>
      <c r="K42" s="30" t="n">
        <v>26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LAURUSLABS</t>
        </is>
      </c>
      <c r="E43" s="30" t="inlineStr">
        <is>
          <t>Laurus Labs Limited</t>
        </is>
      </c>
      <c r="F43" s="30" t="inlineStr">
        <is>
          <t>Pharma - API &amp; CRAMS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22</v>
      </c>
      <c r="K43" s="30" t="n">
        <v>30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OFSS</t>
        </is>
      </c>
      <c r="E44" s="30" t="inlineStr">
        <is>
          <t>Oracle Financial Services Software Limited</t>
        </is>
      </c>
      <c r="F44" s="30" t="inlineStr">
        <is>
          <t>IT Product Companies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23</v>
      </c>
      <c r="K44" s="30" t="n">
        <v>16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KERNEX</t>
        </is>
      </c>
      <c r="E45" s="30" t="inlineStr">
        <is>
          <t>Kernex Microsystems (india) Limited</t>
        </is>
      </c>
      <c r="F45" s="30" t="inlineStr">
        <is>
          <t>Railways - Kavach/Springs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20</v>
      </c>
      <c r="K45" s="30" t="n">
        <v>28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MACPOWER</t>
        </is>
      </c>
      <c r="E46" s="30" t="inlineStr">
        <is>
          <t>Macpower CNC Machines Ltd</t>
        </is>
      </c>
      <c r="F46" s="30" t="inlineStr">
        <is>
          <t>CNC - Machines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28</v>
      </c>
      <c r="K46" s="30" t="n">
        <v>21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LALPATHLAB</t>
        </is>
      </c>
      <c r="E47" s="30" t="inlineStr">
        <is>
          <t>Dr. Lal Path Labs Ltd.</t>
        </is>
      </c>
      <c r="F47" s="30" t="inlineStr">
        <is>
          <t>Diagnostics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16</v>
      </c>
      <c r="K47" s="30" t="n">
        <v>26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CRAFTSMAN</t>
        </is>
      </c>
      <c r="E48" s="30" t="inlineStr">
        <is>
          <t>Craftsman Automation Ltd</t>
        </is>
      </c>
      <c r="F48" s="30" t="inlineStr">
        <is>
          <t>Auto &amp; Auto Ancl - CV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22</v>
      </c>
      <c r="K48" s="30" t="n">
        <v>25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SOTL</t>
        </is>
      </c>
      <c r="E49" s="30" t="inlineStr">
        <is>
          <t>Savita Oil Technologies Limited</t>
        </is>
      </c>
      <c r="F49" s="30" t="inlineStr">
        <is>
          <t>Petrochem - Others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30</v>
      </c>
      <c r="K49" s="30" t="n">
        <v>23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KDDL</t>
        </is>
      </c>
      <c r="E50" s="30" t="inlineStr">
        <is>
          <t>Kddl Limited</t>
        </is>
      </c>
      <c r="F50" s="30" t="inlineStr">
        <is>
          <t>Watches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21</v>
      </c>
      <c r="K50" s="30" t="n">
        <v>24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UNIMECH</t>
        </is>
      </c>
      <c r="E51" s="30" t="inlineStr">
        <is>
          <t>Unimech Aerospace and Manufacturing Ltd</t>
        </is>
      </c>
      <c r="F51" s="30" t="inlineStr">
        <is>
          <t>Engineering - Heavy - General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24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JGCHEM</t>
        </is>
      </c>
      <c r="E52" s="30" t="inlineStr">
        <is>
          <t>J.G.Chemicals Ltd</t>
        </is>
      </c>
      <c r="F52" s="30" t="inlineStr">
        <is>
          <t>Chemicals - Inorganic</t>
        </is>
      </c>
      <c r="G52" s="30" t="n">
        <v>2</v>
      </c>
      <c r="H52" s="30" t="inlineStr">
        <is>
          <t>52W Breakout</t>
        </is>
      </c>
      <c r="I52" s="30" t="inlineStr">
        <is>
          <t>Yes</t>
        </is>
      </c>
      <c r="J52" s="30" t="n">
        <v>16</v>
      </c>
      <c r="K52" s="30" t="n">
        <v>14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MOTHERSON</t>
        </is>
      </c>
      <c r="E53" s="30" t="inlineStr">
        <is>
          <t>Samvardhana Motherson International Ltd</t>
        </is>
      </c>
      <c r="F53" s="30" t="inlineStr">
        <is>
          <t>Auto Ancillaries - Diversified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17</v>
      </c>
      <c r="K53" s="30" t="n">
        <v>25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SHRIRAMFIN</t>
        </is>
      </c>
      <c r="E54" s="30" t="inlineStr">
        <is>
          <t>Shriram Finance Ltd</t>
        </is>
      </c>
      <c r="F54" s="30" t="inlineStr">
        <is>
          <t>Finance &amp; Investments - CV Finance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20</v>
      </c>
      <c r="K54" s="30" t="n">
        <v>20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NEULANDLAB</t>
        </is>
      </c>
      <c r="E55" s="30" t="inlineStr">
        <is>
          <t>Neuland Laboratories Limited</t>
        </is>
      </c>
      <c r="F55" s="30" t="inlineStr">
        <is>
          <t>Pharma - API &amp; CRAMS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27</v>
      </c>
      <c r="K55" s="30" t="n">
        <v>26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ASTERDM</t>
        </is>
      </c>
      <c r="E56" s="30" t="inlineStr">
        <is>
          <t>Aster DM Healthcare Ltd</t>
        </is>
      </c>
      <c r="F56" s="30" t="inlineStr">
        <is>
          <t>Hospitals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10</v>
      </c>
      <c r="K56" s="30" t="n">
        <v>19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SIGMAADV</t>
        </is>
      </c>
      <c r="E57" s="30" t="inlineStr">
        <is>
          <t>Sigma Advanced System Ltd</t>
        </is>
      </c>
      <c r="F57" s="30" t="inlineStr">
        <is>
          <t>Aerospace &amp; Defence - Equipments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20</v>
      </c>
      <c r="K57" s="30" t="n">
        <v>24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YASHO</t>
        </is>
      </c>
      <c r="E58" s="30" t="inlineStr">
        <is>
          <t>Yasho Industries Ltd</t>
        </is>
      </c>
      <c r="F58" s="30" t="inlineStr">
        <is>
          <t>Speciality Chemicals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25</v>
      </c>
      <c r="K58" s="30" t="n">
        <v>30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KRISHANA</t>
        </is>
      </c>
      <c r="E59" s="30" t="inlineStr">
        <is>
          <t>Krishana Phoschem Ltd</t>
        </is>
      </c>
      <c r="F59" s="30" t="inlineStr">
        <is>
          <t>Fertilisers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22</v>
      </c>
      <c r="K59" s="30" t="n">
        <v>19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IRISDOREME</t>
        </is>
      </c>
      <c r="E60" s="30" t="inlineStr">
        <is>
          <t>Iris Clothings Ltd</t>
        </is>
      </c>
      <c r="F60" s="30" t="inlineStr">
        <is>
          <t>Textiles - Readymade Apparel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21</v>
      </c>
      <c r="K60" s="30" t="n">
        <v>28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CHENNPETRO</t>
        </is>
      </c>
      <c r="E61" s="30" t="inlineStr">
        <is>
          <t>Chennai Petroleum Corporation Limited</t>
        </is>
      </c>
      <c r="F61" s="30" t="inlineStr">
        <is>
          <t>Refineries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22</v>
      </c>
      <c r="K61" s="30" t="n">
        <v>19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DIVISLAB</t>
        </is>
      </c>
      <c r="E62" s="30" t="inlineStr">
        <is>
          <t>Divi's Laboratories Limited</t>
        </is>
      </c>
      <c r="F62" s="30" t="inlineStr">
        <is>
          <t>unknown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0</v>
      </c>
      <c r="K62" s="30" t="n">
        <v>18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KALYANKJIL</t>
        </is>
      </c>
      <c r="E63" s="30" t="inlineStr">
        <is>
          <t>Kalyan Jewellers India Ltd</t>
        </is>
      </c>
      <c r="F63" s="30" t="inlineStr">
        <is>
          <t>Diamond, Gems &amp; Jewellery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21</v>
      </c>
      <c r="K63" s="30" t="n">
        <v>14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MOREPENLAB</t>
        </is>
      </c>
      <c r="E64" s="30" t="inlineStr">
        <is>
          <t>Morepen Laboratories Limited</t>
        </is>
      </c>
      <c r="F64" s="30" t="inlineStr">
        <is>
          <t>Pharma - API &amp; CRAMS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24</v>
      </c>
      <c r="K64" s="30" t="n">
        <v>9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DIACABS</t>
        </is>
      </c>
      <c r="E65" s="30" t="inlineStr">
        <is>
          <t>Diamond Power Infrastructure Ltd</t>
        </is>
      </c>
      <c r="F65" s="30" t="inlineStr">
        <is>
          <t>Cables - Power</t>
        </is>
      </c>
      <c r="G65" s="30" t="n">
        <v>2</v>
      </c>
      <c r="H65" s="30" t="inlineStr">
        <is>
          <t>52W Breakout</t>
        </is>
      </c>
      <c r="I65" s="30" t="inlineStr">
        <is>
          <t>Yes</t>
        </is>
      </c>
      <c r="J65" s="30" t="n">
        <v>18</v>
      </c>
      <c r="K65" s="30" t="n">
        <v>28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RBA</t>
        </is>
      </c>
      <c r="E66" s="30" t="inlineStr">
        <is>
          <t>Restaurant Brands Asia Ltd</t>
        </is>
      </c>
      <c r="F66" s="30" t="inlineStr">
        <is>
          <t>Quick Service Restaurant - QSR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22</v>
      </c>
      <c r="K66" s="30" t="n">
        <v>14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KABRAEXTRU</t>
        </is>
      </c>
      <c r="E67" s="30" t="inlineStr">
        <is>
          <t>Kabra Extrusion Technik Limited</t>
        </is>
      </c>
      <c r="F67" s="30" t="inlineStr">
        <is>
          <t>Capital Goods - Engineering Heavy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21</v>
      </c>
      <c r="K67" s="30" t="n">
        <v>16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SYRMA</t>
        </is>
      </c>
      <c r="E68" s="30" t="inlineStr">
        <is>
          <t>Syrma SGS Technology Ltd</t>
        </is>
      </c>
      <c r="F68" s="30" t="inlineStr">
        <is>
          <t>Consumer Electronics - EMS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19</v>
      </c>
      <c r="K68" s="30" t="n">
        <v>20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COMSYN</t>
        </is>
      </c>
      <c r="E69" s="30" t="inlineStr">
        <is>
          <t>Commercial Syn Bags Ltd</t>
        </is>
      </c>
      <c r="F69" s="30" t="inlineStr">
        <is>
          <t>Packaging - Polysacks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2</v>
      </c>
      <c r="K69" s="30" t="n">
        <v>16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COFORGE</t>
        </is>
      </c>
      <c r="E70" s="30" t="inlineStr">
        <is>
          <t>Coforge (Niit Tech) Ltd</t>
        </is>
      </c>
      <c r="F70" s="30" t="inlineStr">
        <is>
          <t>IT - Software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8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ASKAUTOLTD</t>
        </is>
      </c>
      <c r="E71" s="30" t="inlineStr">
        <is>
          <t>ASK Automotive Ltd</t>
        </is>
      </c>
      <c r="F71" s="30" t="inlineStr">
        <is>
          <t>Auto Ancillaries - 2 Wheelers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23</v>
      </c>
      <c r="K71" s="30" t="n">
        <v>19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PAYTM</t>
        </is>
      </c>
      <c r="E72" s="30" t="inlineStr">
        <is>
          <t>One 97 Communications Ltd</t>
        </is>
      </c>
      <c r="F72" s="30" t="inlineStr">
        <is>
          <t>E-Commerce - Platform - Utility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20</v>
      </c>
      <c r="K72" s="30" t="n">
        <v>17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LLOYDSENT</t>
        </is>
      </c>
      <c r="E73" s="30" t="inlineStr">
        <is>
          <t>Lloyds Enterprises Ltd</t>
        </is>
      </c>
      <c r="F73" s="30" t="inlineStr">
        <is>
          <t>Trading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19</v>
      </c>
      <c r="K73" s="30" t="n">
        <v>13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MAHLIFE</t>
        </is>
      </c>
      <c r="E74" s="30" t="inlineStr">
        <is>
          <t>Mahindra Lifespace Developers Limited</t>
        </is>
      </c>
      <c r="F74" s="30" t="inlineStr">
        <is>
          <t>Construction &amp; Contracting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22</v>
      </c>
      <c r="K74" s="30" t="n">
        <v>22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LODHA</t>
        </is>
      </c>
      <c r="E75" s="30" t="inlineStr">
        <is>
          <t>Lodha Developers Ltd</t>
        </is>
      </c>
      <c r="F75" s="30" t="inlineStr">
        <is>
          <t>Realty - National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19</v>
      </c>
      <c r="K75" s="30" t="n">
        <v>11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ARVSMART</t>
        </is>
      </c>
      <c r="E76" s="30" t="inlineStr">
        <is>
          <t>Arvind Smartspaces Limited</t>
        </is>
      </c>
      <c r="F76" s="30" t="inlineStr">
        <is>
          <t>Realty - Construction &amp; Contracting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22</v>
      </c>
      <c r="K76" s="30" t="n">
        <v>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ROSSTECH</t>
        </is>
      </c>
      <c r="E77" s="30" t="inlineStr">
        <is>
          <t>Rossell Techsys Ltd</t>
        </is>
      </c>
      <c r="F77" s="30" t="inlineStr">
        <is>
          <t>Aerospace &amp; Defence - Equipments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21</v>
      </c>
      <c r="K77" s="30" t="n">
        <v>7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ETHOSLTD</t>
        </is>
      </c>
      <c r="E78" s="30" t="inlineStr">
        <is>
          <t>Ethos Ltd</t>
        </is>
      </c>
      <c r="F78" s="30" t="inlineStr">
        <is>
          <t>Watches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21</v>
      </c>
      <c r="K78" s="30" t="n">
        <v>8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EMIL</t>
        </is>
      </c>
      <c r="E79" s="30" t="inlineStr">
        <is>
          <t>Electronics Mart India Ltd</t>
        </is>
      </c>
      <c r="F79" s="30" t="inlineStr">
        <is>
          <t>Retail - Electronics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27</v>
      </c>
      <c r="K79" s="30" t="n">
        <v>3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BHARATFORG</t>
        </is>
      </c>
      <c r="E80" s="30" t="inlineStr">
        <is>
          <t>Bharat Forge Limited</t>
        </is>
      </c>
      <c r="F80" s="30" t="inlineStr">
        <is>
          <t>Castings, Forgings &amp; Fastners</t>
        </is>
      </c>
      <c r="G80" s="30" t="n">
        <v>2</v>
      </c>
      <c r="H80" s="30" t="inlineStr">
        <is>
          <t>52W Breakout</t>
        </is>
      </c>
      <c r="I80" s="30" t="inlineStr">
        <is>
          <t>Yes</t>
        </is>
      </c>
      <c r="J80" s="30" t="n">
        <v>9</v>
      </c>
      <c r="K80" s="30" t="n">
        <v>30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TRAVELFOOD</t>
        </is>
      </c>
      <c r="E81" s="30" t="inlineStr">
        <is>
          <t>Travel Food Services Ltd</t>
        </is>
      </c>
      <c r="F81" s="30" t="inlineStr">
        <is>
          <t>Hotels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4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PNGJL</t>
        </is>
      </c>
      <c r="E82" s="30" t="inlineStr">
        <is>
          <t>P N Gadgil Jewellers Ltd</t>
        </is>
      </c>
      <c r="F82" s="30" t="inlineStr">
        <is>
          <t>Diamond, Gems &amp; Jewellery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13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LLOYDSENGG</t>
        </is>
      </c>
      <c r="E83" s="30" t="inlineStr">
        <is>
          <t>Lloyds Engineering Works Ltd</t>
        </is>
      </c>
      <c r="F83" s="30" t="inlineStr">
        <is>
          <t>Capital Goods - Electrical Equipment</t>
        </is>
      </c>
      <c r="G83" s="30" t="n">
        <v>2</v>
      </c>
      <c r="H83" s="30" t="inlineStr">
        <is>
          <t>52W Breakout</t>
        </is>
      </c>
      <c r="I83" s="30" t="inlineStr">
        <is>
          <t>Yes</t>
        </is>
      </c>
      <c r="J83" s="30" t="n">
        <v>16</v>
      </c>
      <c r="K83" s="30" t="n">
        <v>23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NAVINFLUOR</t>
        </is>
      </c>
      <c r="E84" s="30" t="inlineStr">
        <is>
          <t>Navin Fluorine International Limited</t>
        </is>
      </c>
      <c r="F84" s="30" t="inlineStr">
        <is>
          <t>Chemicals - Flourine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21</v>
      </c>
      <c r="K84" s="30" t="n">
        <v>20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DEEPINDS</t>
        </is>
      </c>
      <c r="E85" s="30" t="inlineStr">
        <is>
          <t>Deep Industries Ltd</t>
        </is>
      </c>
      <c r="F85" s="30" t="inlineStr">
        <is>
          <t>Oil Drilling &amp; Exploration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23</v>
      </c>
      <c r="K85" s="30" t="n">
        <v>10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GRASIM</t>
        </is>
      </c>
      <c r="E86" s="30" t="inlineStr">
        <is>
          <t>Grasim Industries Limited</t>
        </is>
      </c>
      <c r="F86" s="30" t="inlineStr">
        <is>
          <t>Diversified</t>
        </is>
      </c>
      <c r="G86" s="30" t="n">
        <v>2</v>
      </c>
      <c r="H86" s="30" t="inlineStr">
        <is>
          <t>52W Breakout</t>
        </is>
      </c>
      <c r="I86" s="30" t="inlineStr">
        <is>
          <t>Yes</t>
        </is>
      </c>
      <c r="J86" s="30" t="n">
        <v>12</v>
      </c>
      <c r="K86" s="30" t="n">
        <v>19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APCOTEXIND</t>
        </is>
      </c>
      <c r="E87" s="30" t="inlineStr">
        <is>
          <t>Apcotex Industries Limited</t>
        </is>
      </c>
      <c r="F87" s="30" t="inlineStr">
        <is>
          <t>Rubber Processing/Rubber Products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21</v>
      </c>
      <c r="K87" s="30" t="n">
        <v>25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RKFORGE</t>
        </is>
      </c>
      <c r="E88" s="30" t="inlineStr">
        <is>
          <t>Ramkrishna Forgings Limited</t>
        </is>
      </c>
      <c r="F88" s="30" t="inlineStr">
        <is>
          <t>Castings, Forgings &amp; Fastners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20</v>
      </c>
      <c r="K88" s="30" t="n">
        <v>17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ASIANENE</t>
        </is>
      </c>
      <c r="E89" s="30" t="inlineStr">
        <is>
          <t>Asian Energy Services Ltd</t>
        </is>
      </c>
      <c r="F89" s="30" t="inlineStr">
        <is>
          <t>Oil Drilling &amp; Exploration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19</v>
      </c>
      <c r="K89" s="30" t="n">
        <v>20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PRICOLLTD</t>
        </is>
      </c>
      <c r="E90" s="30" t="inlineStr">
        <is>
          <t>Pricol Ltd.</t>
        </is>
      </c>
      <c r="F90" s="30" t="inlineStr">
        <is>
          <t>Auto Ancillaries - 2 Wheelers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21</v>
      </c>
      <c r="K90" s="30" t="n">
        <v>19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DEEPAKNTR</t>
        </is>
      </c>
      <c r="E91" s="30" t="inlineStr">
        <is>
          <t>Deepak Nitrite Limited</t>
        </is>
      </c>
      <c r="F91" s="30" t="inlineStr">
        <is>
          <t>Chemicals - Inorganic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20</v>
      </c>
      <c r="K91" s="30" t="n">
        <v>7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KAPSTON</t>
        </is>
      </c>
      <c r="E92" s="30" t="inlineStr">
        <is>
          <t>Kapston Services Ltd</t>
        </is>
      </c>
      <c r="F92" s="30" t="inlineStr">
        <is>
          <t>Services - Others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18</v>
      </c>
      <c r="K92" s="30" t="n">
        <v>27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IMFA</t>
        </is>
      </c>
      <c r="E93" s="30" t="inlineStr">
        <is>
          <t>Indian Metals &amp; Ferro Alloys Limited</t>
        </is>
      </c>
      <c r="F93" s="30" t="inlineStr">
        <is>
          <t>Mining/Minerals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20</v>
      </c>
      <c r="K93" s="30" t="n">
        <v>6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GAEL</t>
        </is>
      </c>
      <c r="E94" s="30" t="inlineStr">
        <is>
          <t>Gujarat Ambuja Exports Limited</t>
        </is>
      </c>
      <c r="F94" s="30" t="inlineStr">
        <is>
          <t>Agricultural Processing - Maize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24</v>
      </c>
      <c r="K94" s="30" t="n">
        <v>14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9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IF(B2=0,"",RANK(B2,$B$2:$B$396,0))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681.03</v>
      </c>
      <c r="I2" s="31" t="n">
        <v>637.5</v>
      </c>
      <c r="J2" s="31" t="n">
        <v>-1.71</v>
      </c>
      <c r="K2" s="31" t="n">
        <v>62762</v>
      </c>
      <c r="L2" s="30" t="n">
        <v>96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73.51000000000001</v>
      </c>
      <c r="P2" s="31" t="n">
        <v>58.88</v>
      </c>
      <c r="Q2" s="31" t="n">
        <v>448.71</v>
      </c>
      <c r="R2" s="30" t="inlineStr">
        <is>
          <t>Volume Spike &amp; Near 52W High Breakout</t>
        </is>
      </c>
      <c r="S2" s="30" t="inlineStr">
        <is>
          <t>Nifty FMCG</t>
        </is>
      </c>
      <c r="T2" s="31" t="n">
        <v>-9.43</v>
      </c>
      <c r="U2" s="31" t="n">
        <v>116.66</v>
      </c>
      <c r="V2" s="31" t="n">
        <v>139.21</v>
      </c>
      <c r="W2" s="31" t="n">
        <v>42.06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IF(B3=0,"",RANK(B3,$B$2:$B$396,0))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TINNARUBR</t>
        </is>
      </c>
      <c r="D3" s="30" t="inlineStr">
        <is>
          <t>Tinna Rubber &amp; Infrastructure Ltd</t>
        </is>
      </c>
      <c r="E3" s="30" t="inlineStr">
        <is>
          <t>fmcg</t>
        </is>
      </c>
      <c r="F3" s="30" t="inlineStr">
        <is>
          <t>miscellaneous</t>
        </is>
      </c>
      <c r="G3" s="30" t="inlineStr">
        <is>
          <t>smallcap</t>
        </is>
      </c>
      <c r="H3" s="31" t="n">
        <v>1982.81</v>
      </c>
      <c r="I3" s="31" t="n">
        <v>1105.2</v>
      </c>
      <c r="J3" s="31" t="n">
        <v>0.42</v>
      </c>
      <c r="K3" s="31" t="n">
        <v>24643</v>
      </c>
      <c r="L3" s="30" t="n">
        <v>75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68.92</v>
      </c>
      <c r="P3" s="31" t="n">
        <v>40.53</v>
      </c>
      <c r="Q3" s="31" t="n">
        <v>782.79</v>
      </c>
      <c r="R3" s="30" t="inlineStr">
        <is>
          <t>Near 52W High Breakout</t>
        </is>
      </c>
      <c r="S3" s="30" t="inlineStr">
        <is>
          <t>Nifty FMCG</t>
        </is>
      </c>
      <c r="T3" s="31" t="n">
        <v>-9.43</v>
      </c>
      <c r="U3" s="31" t="n">
        <v>20.37</v>
      </c>
      <c r="V3" s="31" t="n">
        <v>32.9</v>
      </c>
      <c r="W3" s="31" t="n">
        <v>19.26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IF(B4=0,"",RANK(B4,$B$2:$B$396,0))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MENONBE</t>
        </is>
      </c>
      <c r="D4" s="30" t="inlineStr">
        <is>
          <t>Menon Bearings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1287.91</v>
      </c>
      <c r="I4" s="31" t="n">
        <v>237.8</v>
      </c>
      <c r="J4" s="31" t="n">
        <v>3.47</v>
      </c>
      <c r="K4" s="31" t="n">
        <v>55577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80.84</v>
      </c>
      <c r="P4" s="31" t="n">
        <v>51.95</v>
      </c>
      <c r="Q4" s="31" t="n">
        <v>181.38</v>
      </c>
      <c r="R4" s="30" t="inlineStr">
        <is>
          <t>Near 52W High Breakout</t>
        </is>
      </c>
      <c r="S4" s="30" t="inlineStr">
        <is>
          <t>Nifty Auto</t>
        </is>
      </c>
      <c r="T4" s="31" t="n">
        <v>24.67</v>
      </c>
      <c r="U4" s="31" t="n">
        <v>86.76000000000001</v>
      </c>
      <c r="V4" s="31" t="n">
        <v>49.8</v>
      </c>
      <c r="W4" s="31" t="n">
        <v>39.17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IF(B5=0,"",RANK(B5,$B$2:$B$396,0))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E2E</t>
        </is>
      </c>
      <c r="D5" s="30" t="inlineStr">
        <is>
          <t>E2E Networks Ltd</t>
        </is>
      </c>
      <c r="E5" s="30" t="inlineStr">
        <is>
          <t>i.t</t>
        </is>
      </c>
      <c r="F5" s="30" t="inlineStr">
        <is>
          <t>computers - software - medium / small</t>
        </is>
      </c>
      <c r="G5" s="30" t="inlineStr">
        <is>
          <t>midcap</t>
        </is>
      </c>
      <c r="H5" s="31" t="n">
        <v>12451.07</v>
      </c>
      <c r="I5" s="31" t="n">
        <v>575.45</v>
      </c>
      <c r="J5" s="31" t="n">
        <v>-4.99</v>
      </c>
      <c r="K5" s="31" t="n">
        <v>2106622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72.8</v>
      </c>
      <c r="P5" s="31" t="n">
        <v>46.94</v>
      </c>
      <c r="Q5" s="31" t="n">
        <v>395.17</v>
      </c>
      <c r="R5" s="30" t="inlineStr">
        <is>
          <t>Near 52W High Breakout</t>
        </is>
      </c>
      <c r="S5" s="30" t="inlineStr">
        <is>
          <t>Nifty IT</t>
        </is>
      </c>
      <c r="T5" s="31" t="n">
        <v>-8.289999999999999</v>
      </c>
      <c r="U5" s="31" t="n">
        <v>183.89</v>
      </c>
      <c r="V5" s="31" t="n">
        <v>209.55</v>
      </c>
      <c r="W5" s="31" t="n">
        <v>41.12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IF(B6=0,"",RANK(B6,$B$2:$B$396,0))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CONFIPET</t>
        </is>
      </c>
      <c r="D6" s="30" t="inlineStr">
        <is>
          <t>Confidence Petroleum India Ltd</t>
        </is>
      </c>
      <c r="E6" s="30" t="inlineStr">
        <is>
          <t>miscellaneous</t>
        </is>
      </c>
      <c r="F6" s="30" t="inlineStr">
        <is>
          <t>miscellaneous</t>
        </is>
      </c>
      <c r="G6" s="30" t="inlineStr">
        <is>
          <t>smallcap</t>
        </is>
      </c>
      <c r="H6" s="31" t="n">
        <v>2637.66</v>
      </c>
      <c r="I6" s="31" t="n">
        <v>81.28</v>
      </c>
      <c r="J6" s="31" t="n">
        <v>2.38</v>
      </c>
      <c r="K6" s="31" t="n">
        <v>1311767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72.69</v>
      </c>
      <c r="P6" s="31" t="n">
        <v>67.89</v>
      </c>
      <c r="Q6" s="31" t="n">
        <v>56.92</v>
      </c>
      <c r="R6" s="30" t="inlineStr">
        <is>
          <t>Near 52W High Breakout</t>
        </is>
      </c>
      <c r="S6" s="30" t="inlineStr">
        <is>
          <t>Nifty 50</t>
        </is>
      </c>
      <c r="T6" s="31" t="n">
        <v>0.85</v>
      </c>
      <c r="U6" s="31" t="n">
        <v>66.91</v>
      </c>
      <c r="V6" s="31" t="n">
        <v>65.5</v>
      </c>
      <c r="W6" s="31" t="n">
        <v>26.52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IF(B7=0,"",RANK(B7,$B$2:$B$396,0))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RACLGEAR</t>
        </is>
      </c>
      <c r="D7" s="30" t="inlineStr">
        <is>
          <t>RACL Geartech Ltd</t>
        </is>
      </c>
      <c r="E7" s="30" t="inlineStr">
        <is>
          <t>auto</t>
        </is>
      </c>
      <c r="F7" s="30" t="inlineStr">
        <is>
          <t>auto ancillaries</t>
        </is>
      </c>
      <c r="G7" s="30" t="inlineStr">
        <is>
          <t>smallcap</t>
        </is>
      </c>
      <c r="H7" s="31" t="n">
        <v>1738.74</v>
      </c>
      <c r="I7" s="31" t="n">
        <v>1482.7</v>
      </c>
      <c r="J7" s="31" t="n">
        <v>0.52</v>
      </c>
      <c r="K7" s="31" t="n">
        <v>77550</v>
      </c>
      <c r="L7" s="30" t="n">
        <v>57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60.19</v>
      </c>
      <c r="P7" s="31" t="n">
        <v>49.58</v>
      </c>
      <c r="Q7" s="31" t="n">
        <v>1011.66</v>
      </c>
      <c r="R7" s="30" t="inlineStr">
        <is>
          <t>Volume Spike &amp; Near 52W High Breakout</t>
        </is>
      </c>
      <c r="S7" s="30" t="inlineStr">
        <is>
          <t>Nifty Auto</t>
        </is>
      </c>
      <c r="T7" s="31" t="n">
        <v>24.67</v>
      </c>
      <c r="U7" s="31" t="n">
        <v>48.28</v>
      </c>
      <c r="V7" s="31" t="n">
        <v>18.94</v>
      </c>
      <c r="W7" s="31" t="n">
        <v>13.46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IF(B8=0,"",RANK(B8,$B$2:$B$396,0))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FCL</t>
        </is>
      </c>
      <c r="D8" s="30" t="inlineStr">
        <is>
          <t>Fineotex Chemical Limited</t>
        </is>
      </c>
      <c r="E8" s="30" t="inlineStr">
        <is>
          <t>chemicals</t>
        </is>
      </c>
      <c r="F8" s="30" t="inlineStr">
        <is>
          <t>chemicals</t>
        </is>
      </c>
      <c r="G8" s="30" t="inlineStr">
        <is>
          <t>smallcap</t>
        </is>
      </c>
      <c r="H8" s="31" t="n">
        <v>4861.79</v>
      </c>
      <c r="I8" s="31" t="n">
        <v>41.64</v>
      </c>
      <c r="J8" s="31" t="n">
        <v>-0.26</v>
      </c>
      <c r="K8" s="31" t="n">
        <v>12595408</v>
      </c>
      <c r="L8" s="30" t="n">
        <v>81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65.34</v>
      </c>
      <c r="P8" s="31" t="n">
        <v>49.96</v>
      </c>
      <c r="Q8" s="31" t="n">
        <v>30.78</v>
      </c>
      <c r="R8" s="30" t="inlineStr">
        <is>
          <t>Near 52W High Breakout</t>
        </is>
      </c>
      <c r="S8" s="30" t="inlineStr">
        <is>
          <t>Nifty 50</t>
        </is>
      </c>
      <c r="T8" s="31" t="n">
        <v>0.85</v>
      </c>
      <c r="U8" s="31" t="n">
        <v>77.59999999999999</v>
      </c>
      <c r="V8" s="31" t="n">
        <v>76.09999999999999</v>
      </c>
      <c r="W8" s="31" t="n">
        <v>23.65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IF(B9=0,"",RANK(B9,$B$2:$B$396,0))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AUROPHARMA</t>
        </is>
      </c>
      <c r="D9" s="30" t="inlineStr">
        <is>
          <t>Aurobindo Pharma Limited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largecap</t>
        </is>
      </c>
      <c r="H9" s="31" t="n">
        <v>91421.78999999999</v>
      </c>
      <c r="I9" s="31" t="n">
        <v>1658</v>
      </c>
      <c r="J9" s="31" t="n">
        <v>4.35</v>
      </c>
      <c r="K9" s="31" t="n">
        <v>3972345</v>
      </c>
      <c r="L9" s="30" t="n">
        <v>54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71.95999999999999</v>
      </c>
      <c r="P9" s="31" t="n">
        <v>43.7</v>
      </c>
      <c r="Q9" s="31" t="n">
        <v>1410.63</v>
      </c>
      <c r="R9" s="30" t="inlineStr">
        <is>
          <t>Near 52W High Breakout</t>
        </is>
      </c>
      <c r="S9" s="30" t="inlineStr">
        <is>
          <t>Nifty Pharma</t>
        </is>
      </c>
      <c r="T9" s="31" t="n">
        <v>24.01</v>
      </c>
      <c r="U9" s="31" t="n">
        <v>59.1</v>
      </c>
      <c r="V9" s="31" t="n">
        <v>28.29</v>
      </c>
      <c r="W9" s="31" t="n">
        <v>12.33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IF(B10=0,"",RANK(B10,$B$2:$B$396,0))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GOKULAGRO</t>
        </is>
      </c>
      <c r="D10" s="30" t="inlineStr">
        <is>
          <t>Gokul Agro Resources Limited</t>
        </is>
      </c>
      <c r="E10" s="30" t="inlineStr">
        <is>
          <t>fmcg</t>
        </is>
      </c>
      <c r="F10" s="30" t="inlineStr">
        <is>
          <t>solvent extraction</t>
        </is>
      </c>
      <c r="G10" s="30" t="inlineStr">
        <is>
          <t>midcap</t>
        </is>
      </c>
      <c r="H10" s="31" t="n">
        <v>6625.58</v>
      </c>
      <c r="I10" s="31" t="n">
        <v>229.01</v>
      </c>
      <c r="J10" s="31" t="n">
        <v>2</v>
      </c>
      <c r="K10" s="31" t="n">
        <v>343324</v>
      </c>
      <c r="L10" s="30" t="n">
        <v>45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60.29</v>
      </c>
      <c r="P10" s="31" t="n">
        <v>29.11</v>
      </c>
      <c r="Q10" s="31" t="n">
        <v>183.96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-9.43</v>
      </c>
      <c r="U10" s="31" t="n">
        <v>48.23</v>
      </c>
      <c r="V10" s="31" t="n">
        <v>63.66</v>
      </c>
      <c r="W10" s="31" t="n">
        <v>9.91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IF(B11=0,"",RANK(B11,$B$2:$B$396,0))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SAKAR</t>
        </is>
      </c>
      <c r="D11" s="30" t="inlineStr">
        <is>
          <t>Sakar Healthcare Ltd</t>
        </is>
      </c>
      <c r="E11" s="30" t="inlineStr">
        <is>
          <t>healthcare</t>
        </is>
      </c>
      <c r="F11" s="30" t="inlineStr">
        <is>
          <t>pharmaceuticals - indian - bulk drugs &amp; formln</t>
        </is>
      </c>
      <c r="G11" s="30" t="inlineStr">
        <is>
          <t>smallcap</t>
        </is>
      </c>
      <c r="H11" s="31" t="n">
        <v>2046.32</v>
      </c>
      <c r="I11" s="31" t="n">
        <v>929.3</v>
      </c>
      <c r="J11" s="31" t="n">
        <v>1.04</v>
      </c>
      <c r="K11" s="31" t="n">
        <v>82718</v>
      </c>
      <c r="L11" s="30" t="n">
        <v>95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71.51000000000001</v>
      </c>
      <c r="P11" s="31" t="n">
        <v>54.08</v>
      </c>
      <c r="Q11" s="31" t="n">
        <v>656.86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24.01</v>
      </c>
      <c r="U11" s="31" t="n">
        <v>181.31</v>
      </c>
      <c r="V11" s="31" t="n">
        <v>126.83</v>
      </c>
      <c r="W11" s="31" t="n">
        <v>38.89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IF(B12=0,"",RANK(B12,$B$2:$B$396,0))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AJANTPHARM</t>
        </is>
      </c>
      <c r="D12" s="30" t="inlineStr">
        <is>
          <t>Ajanta Pharma Limited</t>
        </is>
      </c>
      <c r="E12" s="30" t="inlineStr">
        <is>
          <t>healthcare</t>
        </is>
      </c>
      <c r="F12" s="30" t="inlineStr">
        <is>
          <t>pharmaceuticals - indian - formulations</t>
        </is>
      </c>
      <c r="G12" s="30" t="inlineStr">
        <is>
          <t>largecap</t>
        </is>
      </c>
      <c r="H12" s="31" t="n">
        <v>43357.66</v>
      </c>
      <c r="I12" s="31" t="n">
        <v>3480</v>
      </c>
      <c r="J12" s="31" t="n">
        <v>0.28</v>
      </c>
      <c r="K12" s="31" t="n">
        <v>34852</v>
      </c>
      <c r="L12" s="30" t="n">
        <v>46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70.63</v>
      </c>
      <c r="P12" s="31" t="n">
        <v>45</v>
      </c>
      <c r="Q12" s="31" t="n">
        <v>2909.05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24.01</v>
      </c>
      <c r="U12" s="31" t="n">
        <v>36.66</v>
      </c>
      <c r="V12" s="31" t="n">
        <v>10.2</v>
      </c>
      <c r="W12" s="31" t="n">
        <v>9.92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IF(B13=0,"",RANK(B13,$B$2:$B$396,0))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INDIAGLYCO</t>
        </is>
      </c>
      <c r="D13" s="30" t="inlineStr">
        <is>
          <t>India Glycols Limited</t>
        </is>
      </c>
      <c r="E13" s="30" t="inlineStr">
        <is>
          <t>fmcg</t>
        </is>
      </c>
      <c r="F13" s="30" t="inlineStr">
        <is>
          <t>breweries &amp; distilleries</t>
        </is>
      </c>
      <c r="G13" s="30" t="inlineStr">
        <is>
          <t>midcap</t>
        </is>
      </c>
      <c r="H13" s="31" t="n">
        <v>7714.78</v>
      </c>
      <c r="I13" s="31" t="n">
        <v>1145</v>
      </c>
      <c r="J13" s="31" t="n">
        <v>-0.52</v>
      </c>
      <c r="K13" s="31" t="n">
        <v>59316</v>
      </c>
      <c r="L13" s="30" t="n">
        <v>48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62.73</v>
      </c>
      <c r="P13" s="31" t="n">
        <v>27.81</v>
      </c>
      <c r="Q13" s="31" t="n">
        <v>916.04</v>
      </c>
      <c r="R13" s="30" t="inlineStr">
        <is>
          <t>Near 52W High Breakout</t>
        </is>
      </c>
      <c r="S13" s="30" t="inlineStr">
        <is>
          <t>Nifty FMCG</t>
        </is>
      </c>
      <c r="T13" s="31" t="n">
        <v>-9.43</v>
      </c>
      <c r="U13" s="31" t="n">
        <v>34.34</v>
      </c>
      <c r="V13" s="31" t="n">
        <v>48.32</v>
      </c>
      <c r="W13" s="31" t="n">
        <v>10.69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IF(B14=0,"",RANK(B14,$B$2:$B$396,0))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RPTECH</t>
        </is>
      </c>
      <c r="D14" s="30" t="inlineStr">
        <is>
          <t>Rashi Peripherals Ltd</t>
        </is>
      </c>
      <c r="E14" s="30" t="inlineStr">
        <is>
          <t>services</t>
        </is>
      </c>
      <c r="F14" s="30" t="inlineStr">
        <is>
          <t>trading</t>
        </is>
      </c>
      <c r="G14" s="30" t="inlineStr">
        <is>
          <t>midcap</t>
        </is>
      </c>
      <c r="H14" s="31" t="n">
        <v>5703.95</v>
      </c>
      <c r="I14" s="31" t="n">
        <v>894.65</v>
      </c>
      <c r="J14" s="31" t="n">
        <v>3.36</v>
      </c>
      <c r="K14" s="31" t="n">
        <v>518833</v>
      </c>
      <c r="L14" s="30" t="n">
        <v>97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82.95999999999999</v>
      </c>
      <c r="P14" s="31" t="n">
        <v>77.53</v>
      </c>
      <c r="Q14" s="31" t="n">
        <v>689.91</v>
      </c>
      <c r="R14" s="30" t="inlineStr">
        <is>
          <t>Near 52W High Breakout</t>
        </is>
      </c>
      <c r="S14" s="30" t="inlineStr">
        <is>
          <t>Nifty 50</t>
        </is>
      </c>
      <c r="T14" s="31" t="n">
        <v>0.85</v>
      </c>
      <c r="U14" s="31" t="n">
        <v>221.47</v>
      </c>
      <c r="V14" s="31" t="n">
        <v>218.76</v>
      </c>
      <c r="W14" s="31" t="n">
        <v>42.09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Less than 50%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IF(B15=0,"",RANK(B15,$B$2:$B$396,0))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ATHERENERG</t>
        </is>
      </c>
      <c r="D15" s="30" t="inlineStr">
        <is>
          <t>Ather Energy Ltd</t>
        </is>
      </c>
      <c r="E15" s="30" t="inlineStr">
        <is>
          <t>auto</t>
        </is>
      </c>
      <c r="F15" s="30" t="inlineStr">
        <is>
          <t>automobiles - scooters and 3 - wheelers</t>
        </is>
      </c>
      <c r="G15" s="30" t="inlineStr">
        <is>
          <t>largecap</t>
        </is>
      </c>
      <c r="H15" s="31" t="n">
        <v>57274.29</v>
      </c>
      <c r="I15" s="31" t="n">
        <v>1481.5</v>
      </c>
      <c r="J15" s="31" t="n">
        <v>1.95</v>
      </c>
      <c r="K15" s="31" t="n">
        <v>4646531</v>
      </c>
      <c r="L15" s="30" t="n">
        <v>98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80.06999999999999</v>
      </c>
      <c r="P15" s="31" t="n">
        <v>58.56</v>
      </c>
      <c r="Q15" s="31" t="n">
        <v>1142.55</v>
      </c>
      <c r="R15" s="30" t="inlineStr">
        <is>
          <t>Volume Spike &amp; Near 52W High Breakout</t>
        </is>
      </c>
      <c r="S15" s="30" t="inlineStr">
        <is>
          <t>Nifty Auto</t>
        </is>
      </c>
      <c r="T15" s="31" t="n">
        <v>24.67</v>
      </c>
      <c r="U15" s="31" t="n">
        <v>343.16</v>
      </c>
      <c r="V15" s="31" t="n">
        <v>255.48</v>
      </c>
      <c r="W15" s="31" t="n">
        <v>55.39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IF(B16=0,"",RANK(B16,$B$2:$B$396,0))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ICIL</t>
        </is>
      </c>
      <c r="D16" s="30" t="inlineStr">
        <is>
          <t>Indo Count Industries Limited</t>
        </is>
      </c>
      <c r="E16" s="30" t="inlineStr">
        <is>
          <t>textiles</t>
        </is>
      </c>
      <c r="F16" s="30" t="inlineStr">
        <is>
          <t>textiles - cotton/blended</t>
        </is>
      </c>
      <c r="G16" s="30" t="inlineStr">
        <is>
          <t>midcap</t>
        </is>
      </c>
      <c r="H16" s="31" t="n">
        <v>8348.98</v>
      </c>
      <c r="I16" s="31" t="n">
        <v>426.6</v>
      </c>
      <c r="J16" s="31" t="n">
        <v>1.2</v>
      </c>
      <c r="K16" s="31" t="n">
        <v>293591</v>
      </c>
      <c r="L16" s="30" t="n">
        <v>79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69.3</v>
      </c>
      <c r="P16" s="31" t="n">
        <v>52.96</v>
      </c>
      <c r="Q16" s="31" t="n">
        <v>318.52</v>
      </c>
      <c r="R16" s="30" t="inlineStr">
        <is>
          <t>Near 52W High Breakout</t>
        </is>
      </c>
      <c r="S16" s="30" t="inlineStr">
        <is>
          <t>Nifty 50</t>
        </is>
      </c>
      <c r="T16" s="31" t="n">
        <v>0.85</v>
      </c>
      <c r="U16" s="31" t="n">
        <v>84.36</v>
      </c>
      <c r="V16" s="31" t="n">
        <v>82.8</v>
      </c>
      <c r="W16" s="31" t="n">
        <v>21.77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IF(B17=0,"",RANK(B17,$B$2:$B$396,0))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REDINGTON</t>
        </is>
      </c>
      <c r="D17" s="30" t="inlineStr">
        <is>
          <t>Redington (india) Limited</t>
        </is>
      </c>
      <c r="E17" s="30" t="inlineStr">
        <is>
          <t>services</t>
        </is>
      </c>
      <c r="F17" s="30" t="inlineStr">
        <is>
          <t>trading</t>
        </is>
      </c>
      <c r="G17" s="30" t="inlineStr">
        <is>
          <t>largecap</t>
        </is>
      </c>
      <c r="H17" s="31" t="n">
        <v>27420.74</v>
      </c>
      <c r="I17" s="31" t="n">
        <v>354.85</v>
      </c>
      <c r="J17" s="31" t="n">
        <v>1.17</v>
      </c>
      <c r="K17" s="31" t="n">
        <v>3116272</v>
      </c>
      <c r="L17" s="30" t="n">
        <v>83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72.8</v>
      </c>
      <c r="P17" s="31" t="n">
        <v>27.91</v>
      </c>
      <c r="Q17" s="31" t="n">
        <v>274.06</v>
      </c>
      <c r="R17" s="30" t="inlineStr">
        <is>
          <t>Volume Spike &amp; Near 52W High Breakout</t>
        </is>
      </c>
      <c r="S17" s="30" t="inlineStr">
        <is>
          <t>Nifty 50</t>
        </is>
      </c>
      <c r="T17" s="31" t="n">
        <v>0.85</v>
      </c>
      <c r="U17" s="31" t="n">
        <v>50.41</v>
      </c>
      <c r="V17" s="31" t="n">
        <v>49.14</v>
      </c>
      <c r="W17" s="31" t="n">
        <v>24.27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IF(B18=0,"",RANK(B18,$B$2:$B$396,0))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STYLAMIND</t>
        </is>
      </c>
      <c r="D18" s="30" t="inlineStr">
        <is>
          <t>Stylam Industries Ltd</t>
        </is>
      </c>
      <c r="E18" s="30" t="inlineStr">
        <is>
          <t>building materials</t>
        </is>
      </c>
      <c r="F18" s="30" t="inlineStr">
        <is>
          <t>miscellaneous</t>
        </is>
      </c>
      <c r="G18" s="30" t="inlineStr">
        <is>
          <t>midcap</t>
        </is>
      </c>
      <c r="H18" s="31" t="n">
        <v>6091.64</v>
      </c>
      <c r="I18" s="31" t="n">
        <v>3536.5</v>
      </c>
      <c r="J18" s="31" t="n">
        <v>-1.61</v>
      </c>
      <c r="K18" s="31" t="n">
        <v>17501</v>
      </c>
      <c r="L18" s="30" t="n">
        <v>87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82.59</v>
      </c>
      <c r="P18" s="31" t="n">
        <v>73.81</v>
      </c>
      <c r="Q18" s="31" t="n">
        <v>2803.35</v>
      </c>
      <c r="R18" s="30" t="inlineStr">
        <is>
          <t>Near 52W High Breakout</t>
        </is>
      </c>
      <c r="S18" s="30" t="inlineStr">
        <is>
          <t>Nifty Infra</t>
        </is>
      </c>
      <c r="T18" s="31" t="n">
        <v>4.83</v>
      </c>
      <c r="U18" s="31" t="n">
        <v>88.01000000000001</v>
      </c>
      <c r="V18" s="31" t="n">
        <v>79.34999999999999</v>
      </c>
      <c r="W18" s="31" t="n">
        <v>26.94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IF(B19=0,"",RANK(B19,$B$2:$B$396,0))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EMCURE</t>
        </is>
      </c>
      <c r="D19" s="30" t="inlineStr">
        <is>
          <t>Emcure Pharmaceuticals Ltd</t>
        </is>
      </c>
      <c r="E19" s="30" t="inlineStr">
        <is>
          <t>healthcare</t>
        </is>
      </c>
      <c r="F19" s="30" t="inlineStr">
        <is>
          <t>pharmaceuticals - indian - bulk drugs &amp; formln</t>
        </is>
      </c>
      <c r="G19" s="30" t="inlineStr">
        <is>
          <t>largecap</t>
        </is>
      </c>
      <c r="H19" s="31" t="n">
        <v>36735.35</v>
      </c>
      <c r="I19" s="31" t="n">
        <v>1982</v>
      </c>
      <c r="J19" s="31" t="n">
        <v>2.34</v>
      </c>
      <c r="K19" s="31" t="n">
        <v>145070</v>
      </c>
      <c r="L19" s="30" t="n">
        <v>53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71.16</v>
      </c>
      <c r="P19" s="31" t="n">
        <v>60.65</v>
      </c>
      <c r="Q19" s="31" t="n">
        <v>1612.22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24.01</v>
      </c>
      <c r="U19" s="31" t="n">
        <v>43.07</v>
      </c>
      <c r="V19" s="31" t="n">
        <v>15.36</v>
      </c>
      <c r="W19" s="31" t="n">
        <v>11.8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IF(B20=0,"",RANK(B20,$B$2:$B$396,0))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MARKSANS</t>
        </is>
      </c>
      <c r="D20" s="30" t="inlineStr">
        <is>
          <t>Marksans Pharma Limited</t>
        </is>
      </c>
      <c r="E20" s="30" t="inlineStr">
        <is>
          <t>healthcare</t>
        </is>
      </c>
      <c r="F20" s="30" t="inlineStr">
        <is>
          <t>pharmaceuticals - indian - formulations</t>
        </is>
      </c>
      <c r="G20" s="30" t="inlineStr">
        <is>
          <t>midcap</t>
        </is>
      </c>
      <c r="H20" s="31" t="n">
        <v>12185.57</v>
      </c>
      <c r="I20" s="31" t="n">
        <v>273.85</v>
      </c>
      <c r="J20" s="31" t="n">
        <v>1.84</v>
      </c>
      <c r="K20" s="31" t="n">
        <v>1012212</v>
      </c>
      <c r="L20" s="30" t="n">
        <v>62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67.95999999999999</v>
      </c>
      <c r="P20" s="31" t="n">
        <v>52.36</v>
      </c>
      <c r="Q20" s="31" t="n">
        <v>211.87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24.01</v>
      </c>
      <c r="U20" s="31" t="n">
        <v>29.82</v>
      </c>
      <c r="V20" s="31" t="n">
        <v>4.68</v>
      </c>
      <c r="W20" s="31" t="n">
        <v>14.43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IF(B21=0,"",RANK(B21,$B$2:$B$396,0))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RADICO</t>
        </is>
      </c>
      <c r="D21" s="30" t="inlineStr">
        <is>
          <t>Radico Khaitan Limited</t>
        </is>
      </c>
      <c r="E21" s="30" t="inlineStr">
        <is>
          <t>fmcg</t>
        </is>
      </c>
      <c r="F21" s="30" t="inlineStr">
        <is>
          <t>breweries &amp; distilleries</t>
        </is>
      </c>
      <c r="G21" s="30" t="inlineStr">
        <is>
          <t>largecap</t>
        </is>
      </c>
      <c r="H21" s="31" t="n">
        <v>59867.31</v>
      </c>
      <c r="I21" s="31" t="n">
        <v>4499</v>
      </c>
      <c r="J21" s="31" t="n">
        <v>0.65</v>
      </c>
      <c r="K21" s="31" t="n">
        <v>594183</v>
      </c>
      <c r="L21" s="30" t="n">
        <v>76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85.47</v>
      </c>
      <c r="P21" s="31" t="n">
        <v>60.43</v>
      </c>
      <c r="Q21" s="31" t="n">
        <v>3828.11</v>
      </c>
      <c r="R21" s="30" t="inlineStr">
        <is>
          <t>Near 52W High Breakout</t>
        </is>
      </c>
      <c r="S21" s="30" t="inlineStr">
        <is>
          <t>Nifty FMCG</t>
        </is>
      </c>
      <c r="T21" s="31" t="n">
        <v>-9.43</v>
      </c>
      <c r="U21" s="31" t="n">
        <v>66.87</v>
      </c>
      <c r="V21" s="31" t="n">
        <v>84.23999999999999</v>
      </c>
      <c r="W21" s="31" t="n">
        <v>20.34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IF(B22=0,"",RANK(B22,$B$2:$B$396,0))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RATEGAIN</t>
        </is>
      </c>
      <c r="D22" s="30" t="inlineStr">
        <is>
          <t>Rategain Travel Technologies Ltd</t>
        </is>
      </c>
      <c r="E22" s="30" t="inlineStr">
        <is>
          <t>i.t</t>
        </is>
      </c>
      <c r="F22" s="30" t="inlineStr">
        <is>
          <t>computers - software - medium / small</t>
        </is>
      </c>
      <c r="G22" s="30" t="inlineStr">
        <is>
          <t>midcap</t>
        </is>
      </c>
      <c r="H22" s="31" t="n">
        <v>11190.62</v>
      </c>
      <c r="I22" s="31" t="n">
        <v>949.15</v>
      </c>
      <c r="J22" s="31" t="n">
        <v>0.44</v>
      </c>
      <c r="K22" s="31" t="n">
        <v>909627</v>
      </c>
      <c r="L22" s="30" t="n">
        <v>87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73.01000000000001</v>
      </c>
      <c r="P22" s="31" t="n">
        <v>41.84</v>
      </c>
      <c r="Q22" s="31" t="n">
        <v>721.67</v>
      </c>
      <c r="R22" s="30" t="inlineStr">
        <is>
          <t>Volume Spike &amp; Near 52W High Breakout</t>
        </is>
      </c>
      <c r="S22" s="30" t="inlineStr">
        <is>
          <t>Nifty IT</t>
        </is>
      </c>
      <c r="T22" s="31" t="n">
        <v>-8.289999999999999</v>
      </c>
      <c r="U22" s="31" t="n">
        <v>100.24</v>
      </c>
      <c r="V22" s="31" t="n">
        <v>118.34</v>
      </c>
      <c r="W22" s="31" t="n">
        <v>27.29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IF(B23=0,"",RANK(B23,$B$2:$B$396,0))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HMVL</t>
        </is>
      </c>
      <c r="D23" s="30" t="inlineStr">
        <is>
          <t>Hindustan Media Ventures Limited</t>
        </is>
      </c>
      <c r="E23" s="30" t="inlineStr">
        <is>
          <t>media</t>
        </is>
      </c>
      <c r="F23" s="30" t="inlineStr">
        <is>
          <t>entertainment / electronic media software</t>
        </is>
      </c>
      <c r="G23" s="30" t="inlineStr">
        <is>
          <t>smallcap</t>
        </is>
      </c>
      <c r="H23" s="31" t="n">
        <v>764.78</v>
      </c>
      <c r="I23" s="31" t="n">
        <v>98.62</v>
      </c>
      <c r="J23" s="31" t="n">
        <v>-5</v>
      </c>
      <c r="K23" s="31" t="n">
        <v>14288</v>
      </c>
      <c r="L23" s="30" t="n">
        <v>61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74.54000000000001</v>
      </c>
      <c r="P23" s="31" t="n">
        <v>34.66</v>
      </c>
      <c r="Q23" s="31" t="n">
        <v>76.45</v>
      </c>
      <c r="R23" s="30" t="inlineStr">
        <is>
          <t>Volume Spike &amp; Near 52W High Breakout</t>
        </is>
      </c>
      <c r="S23" s="30" t="inlineStr">
        <is>
          <t>Nifty IT</t>
        </is>
      </c>
      <c r="T23" s="31" t="n">
        <v>-8.289999999999999</v>
      </c>
      <c r="U23" s="31" t="n">
        <v>13.89</v>
      </c>
      <c r="V23" s="31" t="n">
        <v>24.18</v>
      </c>
      <c r="W23" s="31" t="n">
        <v>14.26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IF(B24=0,"",RANK(B24,$B$2:$B$396,0))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PGIL</t>
        </is>
      </c>
      <c r="D24" s="30" t="inlineStr">
        <is>
          <t>Pearl Global Industries Limited</t>
        </is>
      </c>
      <c r="E24" s="30" t="inlineStr">
        <is>
          <t>consumer discretionary</t>
        </is>
      </c>
      <c r="F24" s="30" t="inlineStr">
        <is>
          <t>textiles - products</t>
        </is>
      </c>
      <c r="G24" s="30" t="inlineStr">
        <is>
          <t>midcap</t>
        </is>
      </c>
      <c r="H24" s="31" t="n">
        <v>10259.8</v>
      </c>
      <c r="I24" s="31" t="n">
        <v>2464.1</v>
      </c>
      <c r="J24" s="31" t="n">
        <v>10.92</v>
      </c>
      <c r="K24" s="31" t="n">
        <v>2215967</v>
      </c>
      <c r="L24" s="30" t="n">
        <v>87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75.8</v>
      </c>
      <c r="P24" s="31" t="n">
        <v>50.76</v>
      </c>
      <c r="Q24" s="31" t="n">
        <v>1898.3</v>
      </c>
      <c r="R24" s="30" t="inlineStr">
        <is>
          <t>Volume Spike &amp; Near 52W High Breakout</t>
        </is>
      </c>
      <c r="S24" s="30" t="inlineStr">
        <is>
          <t>Nifty 50</t>
        </is>
      </c>
      <c r="T24" s="31" t="n">
        <v>0.85</v>
      </c>
      <c r="U24" s="31" t="n">
        <v>86.56999999999999</v>
      </c>
      <c r="V24" s="31" t="n">
        <v>84.98999999999999</v>
      </c>
      <c r="W24" s="31" t="n">
        <v>26.71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IF(B25=0,"",RANK(B25,$B$2:$B$396,0))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AMBIKCO</t>
        </is>
      </c>
      <c r="D25" s="30" t="inlineStr">
        <is>
          <t>Ambika Cotton Mills Limited</t>
        </is>
      </c>
      <c r="E25" s="30" t="inlineStr">
        <is>
          <t>textiles</t>
        </is>
      </c>
      <c r="F25" s="30" t="inlineStr">
        <is>
          <t>textiles - cotton/blended</t>
        </is>
      </c>
      <c r="G25" s="30" t="inlineStr">
        <is>
          <t>smallcap</t>
        </is>
      </c>
      <c r="H25" s="31" t="n">
        <v>1045.39</v>
      </c>
      <c r="I25" s="31" t="n">
        <v>1904.3</v>
      </c>
      <c r="J25" s="31" t="n">
        <v>4.29</v>
      </c>
      <c r="K25" s="31" t="n">
        <v>83658</v>
      </c>
      <c r="L25" s="30" t="n">
        <v>50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74.66</v>
      </c>
      <c r="P25" s="31" t="n">
        <v>39.32</v>
      </c>
      <c r="Q25" s="31" t="n">
        <v>1547.3</v>
      </c>
      <c r="R25" s="30" t="inlineStr">
        <is>
          <t>Volume Spike &amp; Near 52W High Breakout</t>
        </is>
      </c>
      <c r="S25" s="30" t="inlineStr">
        <is>
          <t>Nifty 50</t>
        </is>
      </c>
      <c r="T25" s="31" t="n">
        <v>0.85</v>
      </c>
      <c r="U25" s="31" t="n">
        <v>40.63</v>
      </c>
      <c r="V25" s="31" t="n">
        <v>39.45</v>
      </c>
      <c r="W25" s="31" t="n">
        <v>11.03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IF(B26=0,"",RANK(B26,$B$2:$B$396,0))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APARINDS</t>
        </is>
      </c>
      <c r="D26" s="30" t="inlineStr">
        <is>
          <t>Apar Industries Limited</t>
        </is>
      </c>
      <c r="E26" s="30" t="inlineStr">
        <is>
          <t>industrials</t>
        </is>
      </c>
      <c r="F26" s="30" t="inlineStr">
        <is>
          <t>electric equipment</t>
        </is>
      </c>
      <c r="G26" s="30" t="inlineStr">
        <is>
          <t>largecap</t>
        </is>
      </c>
      <c r="H26" s="31" t="n">
        <v>64784.97</v>
      </c>
      <c r="I26" s="31" t="n">
        <v>16631</v>
      </c>
      <c r="J26" s="31" t="n">
        <v>3.13</v>
      </c>
      <c r="K26" s="31" t="n">
        <v>177454</v>
      </c>
      <c r="L26" s="30" t="n">
        <v>77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71.31999999999999</v>
      </c>
      <c r="P26" s="31" t="n">
        <v>42.07</v>
      </c>
      <c r="Q26" s="31" t="n">
        <v>12662.68</v>
      </c>
      <c r="R26" s="30" t="inlineStr">
        <is>
          <t>Near 52W High Breakout</t>
        </is>
      </c>
      <c r="S26" s="30" t="inlineStr">
        <is>
          <t>Nifty 50</t>
        </is>
      </c>
      <c r="T26" s="31" t="n">
        <v>0.85</v>
      </c>
      <c r="U26" s="31" t="n">
        <v>91.23999999999999</v>
      </c>
      <c r="V26" s="31" t="n">
        <v>89.62</v>
      </c>
      <c r="W26" s="31" t="n">
        <v>20.89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IF(B27=0,"",RANK(B27,$B$2:$B$396,0))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NETWEB</t>
        </is>
      </c>
      <c r="D27" s="30" t="inlineStr">
        <is>
          <t>Netweb Technologies India Ltd</t>
        </is>
      </c>
      <c r="E27" s="30" t="inlineStr">
        <is>
          <t>i.t</t>
        </is>
      </c>
      <c r="F27" s="30" t="inlineStr">
        <is>
          <t>computers - hardware</t>
        </is>
      </c>
      <c r="G27" s="30" t="inlineStr">
        <is>
          <t>largecap</t>
        </is>
      </c>
      <c r="H27" s="31" t="n">
        <v>27422.63</v>
      </c>
      <c r="I27" s="31" t="n">
        <v>4939.2</v>
      </c>
      <c r="J27" s="31" t="n">
        <v>2.56</v>
      </c>
      <c r="K27" s="31" t="n">
        <v>1296942</v>
      </c>
      <c r="L27" s="30" t="n">
        <v>81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63.16</v>
      </c>
      <c r="P27" s="31" t="n">
        <v>40.96</v>
      </c>
      <c r="Q27" s="31" t="n">
        <v>3715.31</v>
      </c>
      <c r="R27" s="30" t="inlineStr">
        <is>
          <t>Near 52W High Breakout</t>
        </is>
      </c>
      <c r="S27" s="30" t="inlineStr">
        <is>
          <t>Nifty IT</t>
        </is>
      </c>
      <c r="T27" s="31" t="n">
        <v>-8.289999999999999</v>
      </c>
      <c r="U27" s="31" t="n">
        <v>135.11</v>
      </c>
      <c r="V27" s="31" t="n">
        <v>156.35</v>
      </c>
      <c r="W27" s="31" t="n">
        <v>23.89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IF(B28=0,"",RANK(B28,$B$2:$B$396,0))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SANGHVIMOV</t>
        </is>
      </c>
      <c r="D28" s="30" t="inlineStr">
        <is>
          <t>Sanghvi Movers Limited</t>
        </is>
      </c>
      <c r="E28" s="30" t="inlineStr">
        <is>
          <t>miscellaneous</t>
        </is>
      </c>
      <c r="F28" s="30" t="inlineStr">
        <is>
          <t>miscellaneous</t>
        </is>
      </c>
      <c r="G28" s="30" t="inlineStr">
        <is>
          <t>smallcap</t>
        </is>
      </c>
      <c r="H28" s="31" t="n">
        <v>4169.07</v>
      </c>
      <c r="I28" s="31" t="n">
        <v>488.4</v>
      </c>
      <c r="J28" s="31" t="n">
        <v>1.42</v>
      </c>
      <c r="K28" s="31" t="n">
        <v>515125</v>
      </c>
      <c r="L28" s="30" t="n">
        <v>77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68.11</v>
      </c>
      <c r="P28" s="31" t="n">
        <v>38.5</v>
      </c>
      <c r="Q28" s="31" t="n">
        <v>360.25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0.85</v>
      </c>
      <c r="U28" s="31" t="n">
        <v>59.61</v>
      </c>
      <c r="V28" s="31" t="n">
        <v>58.27</v>
      </c>
      <c r="W28" s="31" t="n">
        <v>20.53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IF(B29=0,"",RANK(B29,$B$2:$B$396,0))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NITINSPIN</t>
        </is>
      </c>
      <c r="D29" s="30" t="inlineStr">
        <is>
          <t>Nitin Spinners Limited</t>
        </is>
      </c>
      <c r="E29" s="30" t="inlineStr">
        <is>
          <t>textiles</t>
        </is>
      </c>
      <c r="F29" s="30" t="inlineStr">
        <is>
          <t>textiles - cotton/blended</t>
        </is>
      </c>
      <c r="G29" s="30" t="inlineStr">
        <is>
          <t>smallcap</t>
        </is>
      </c>
      <c r="H29" s="31" t="n">
        <v>3217.75</v>
      </c>
      <c r="I29" s="31" t="n">
        <v>577.4</v>
      </c>
      <c r="J29" s="31" t="n">
        <v>0.88</v>
      </c>
      <c r="K29" s="31" t="n">
        <v>69102</v>
      </c>
      <c r="L29" s="30" t="n">
        <v>69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70.8</v>
      </c>
      <c r="P29" s="31" t="n">
        <v>69.89</v>
      </c>
      <c r="Q29" s="31" t="n">
        <v>454.3</v>
      </c>
      <c r="R29" s="30" t="inlineStr">
        <is>
          <t>Near 52W High Breakout</t>
        </is>
      </c>
      <c r="S29" s="30" t="inlineStr">
        <is>
          <t>Nifty 50</t>
        </is>
      </c>
      <c r="T29" s="31" t="n">
        <v>0.85</v>
      </c>
      <c r="U29" s="31" t="n">
        <v>73.06999999999999</v>
      </c>
      <c r="V29" s="31" t="n">
        <v>71.61</v>
      </c>
      <c r="W29" s="31" t="n">
        <v>16.89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Between 0.7 to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IF(B30=0,"",RANK(B30,$B$2:$B$396,0))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WSTCSTPAPR</t>
        </is>
      </c>
      <c r="D30" s="30" t="inlineStr">
        <is>
          <t>West Coast Paper Mills Limited</t>
        </is>
      </c>
      <c r="E30" s="30" t="inlineStr">
        <is>
          <t>building materials</t>
        </is>
      </c>
      <c r="F30" s="30" t="inlineStr">
        <is>
          <t>paper</t>
        </is>
      </c>
      <c r="G30" s="30" t="inlineStr">
        <is>
          <t>smallcap</t>
        </is>
      </c>
      <c r="H30" s="31" t="n">
        <v>3925.62</v>
      </c>
      <c r="I30" s="31" t="n">
        <v>599.1</v>
      </c>
      <c r="J30" s="31" t="n">
        <v>0.8</v>
      </c>
      <c r="K30" s="31" t="n">
        <v>129197</v>
      </c>
      <c r="L30" s="30" t="n">
        <v>40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68.61</v>
      </c>
      <c r="P30" s="31" t="n">
        <v>40.52</v>
      </c>
      <c r="Q30" s="31" t="n">
        <v>473.41</v>
      </c>
      <c r="R30" s="30" t="inlineStr">
        <is>
          <t>Near 52W High Breakout</t>
        </is>
      </c>
      <c r="S30" s="30" t="inlineStr">
        <is>
          <t>Nifty Infra</t>
        </is>
      </c>
      <c r="T30" s="31" t="n">
        <v>4.83</v>
      </c>
      <c r="U30" s="31" t="n">
        <v>11.56</v>
      </c>
      <c r="V30" s="31" t="n">
        <v>6.42</v>
      </c>
      <c r="W30" s="31" t="n">
        <v>8.460000000000001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Between 12 to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IF(B31=0,"",RANK(B31,$B$2:$B$396,0))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JAMNAAUTO</t>
        </is>
      </c>
      <c r="D31" s="30" t="inlineStr">
        <is>
          <t>Jamna Auto Industries Limited</t>
        </is>
      </c>
      <c r="E31" s="30" t="inlineStr">
        <is>
          <t>auto</t>
        </is>
      </c>
      <c r="F31" s="30" t="inlineStr">
        <is>
          <t>auto ancillaries</t>
        </is>
      </c>
      <c r="G31" s="30" t="inlineStr">
        <is>
          <t>midcap</t>
        </is>
      </c>
      <c r="H31" s="31" t="n">
        <v>5755.73</v>
      </c>
      <c r="I31" s="31" t="n">
        <v>144.7</v>
      </c>
      <c r="J31" s="31" t="n">
        <v>0.51</v>
      </c>
      <c r="K31" s="31" t="n">
        <v>6566071</v>
      </c>
      <c r="L31" s="30" t="n">
        <v>58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61.78</v>
      </c>
      <c r="P31" s="31" t="n">
        <v>27.6</v>
      </c>
      <c r="Q31" s="31" t="n">
        <v>111.14</v>
      </c>
      <c r="R31" s="30" t="inlineStr">
        <is>
          <t>Volume Spike &amp; Near 52W High Breakout</t>
        </is>
      </c>
      <c r="S31" s="30" t="inlineStr">
        <is>
          <t>Nifty Auto</t>
        </is>
      </c>
      <c r="T31" s="31" t="n">
        <v>24.67</v>
      </c>
      <c r="U31" s="31" t="n">
        <v>57.97</v>
      </c>
      <c r="V31" s="31" t="n">
        <v>26.71</v>
      </c>
      <c r="W31" s="31" t="n">
        <v>13.5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IF(B32=0,"",RANK(B32,$B$2:$B$396,0))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AETHER</t>
        </is>
      </c>
      <c r="D32" s="30" t="inlineStr">
        <is>
          <t>Aether Industries Ltd</t>
        </is>
      </c>
      <c r="E32" s="30" t="inlineStr">
        <is>
          <t>chemicals</t>
        </is>
      </c>
      <c r="F32" s="30" t="inlineStr">
        <is>
          <t>chemicals</t>
        </is>
      </c>
      <c r="G32" s="30" t="inlineStr">
        <is>
          <t>largecap</t>
        </is>
      </c>
      <c r="H32" s="31" t="n">
        <v>21026.98</v>
      </c>
      <c r="I32" s="31" t="n">
        <v>1591.6</v>
      </c>
      <c r="J32" s="31" t="n">
        <v>0.45</v>
      </c>
      <c r="K32" s="31" t="n">
        <v>165723</v>
      </c>
      <c r="L32" s="30" t="n">
        <v>82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74.94</v>
      </c>
      <c r="P32" s="31" t="n">
        <v>45.72</v>
      </c>
      <c r="Q32" s="31" t="n">
        <v>1270.37</v>
      </c>
      <c r="R32" s="30" t="inlineStr">
        <is>
          <t>Near 52W High Breakout</t>
        </is>
      </c>
      <c r="S32" s="30" t="inlineStr">
        <is>
          <t>Nifty 50</t>
        </is>
      </c>
      <c r="T32" s="31" t="n">
        <v>0.85</v>
      </c>
      <c r="U32" s="31" t="n">
        <v>116.82</v>
      </c>
      <c r="V32" s="31" t="n">
        <v>114.99</v>
      </c>
      <c r="W32" s="31" t="n">
        <v>24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IF(B33=0,"",RANK(B33,$B$2:$B$396,0))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BAJAJ-AUTO</t>
        </is>
      </c>
      <c r="D33" s="30" t="inlineStr">
        <is>
          <t>Bajaj Auto Limited</t>
        </is>
      </c>
      <c r="E33" s="30" t="inlineStr">
        <is>
          <t>auto</t>
        </is>
      </c>
      <c r="F33" s="30" t="inlineStr">
        <is>
          <t>automobiles - scooters and 3 - wheelers</t>
        </is>
      </c>
      <c r="G33" s="30" t="inlineStr">
        <is>
          <t>largecap</t>
        </is>
      </c>
      <c r="H33" s="31" t="n">
        <v>324776.49</v>
      </c>
      <c r="I33" s="31" t="n">
        <v>11662</v>
      </c>
      <c r="J33" s="31" t="n">
        <v>0.36</v>
      </c>
      <c r="K33" s="31" t="n">
        <v>413851</v>
      </c>
      <c r="L33" s="30" t="n">
        <v>56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72.97</v>
      </c>
      <c r="P33" s="31" t="n">
        <v>22.7</v>
      </c>
      <c r="Q33" s="31" t="n">
        <v>10117.87</v>
      </c>
      <c r="R33" s="30" t="inlineStr">
        <is>
          <t>Near 52W High Breakout</t>
        </is>
      </c>
      <c r="S33" s="30" t="inlineStr">
        <is>
          <t>Nifty Auto</t>
        </is>
      </c>
      <c r="T33" s="31" t="n">
        <v>24.67</v>
      </c>
      <c r="U33" s="31" t="n">
        <v>46.44</v>
      </c>
      <c r="V33" s="31" t="n">
        <v>17.47</v>
      </c>
      <c r="W33" s="31" t="n">
        <v>12.97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IF(B34=0,"",RANK(B34,$B$2:$B$396,0))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SJS</t>
        </is>
      </c>
      <c r="D34" s="30" t="inlineStr">
        <is>
          <t>S J S Enterprises Ltd</t>
        </is>
      </c>
      <c r="E34" s="30" t="inlineStr">
        <is>
          <t>auto</t>
        </is>
      </c>
      <c r="F34" s="30" t="inlineStr">
        <is>
          <t>plastics products</t>
        </is>
      </c>
      <c r="G34" s="30" t="inlineStr">
        <is>
          <t>midcap</t>
        </is>
      </c>
      <c r="H34" s="31" t="n">
        <v>7801.9</v>
      </c>
      <c r="I34" s="31" t="n">
        <v>2446.1</v>
      </c>
      <c r="J34" s="31" t="n">
        <v>0.34</v>
      </c>
      <c r="K34" s="31" t="n">
        <v>198030</v>
      </c>
      <c r="L34" s="30" t="n">
        <v>86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71.73</v>
      </c>
      <c r="P34" s="31" t="n">
        <v>42.12</v>
      </c>
      <c r="Q34" s="31" t="n">
        <v>1965.48</v>
      </c>
      <c r="R34" s="30" t="inlineStr">
        <is>
          <t>Volume Spike &amp; Near 52W High Breakout</t>
        </is>
      </c>
      <c r="S34" s="30" t="inlineStr">
        <is>
          <t>Nifty Auto</t>
        </is>
      </c>
      <c r="T34" s="31" t="n">
        <v>24.67</v>
      </c>
      <c r="U34" s="31" t="n">
        <v>96.09999999999999</v>
      </c>
      <c r="V34" s="31" t="n">
        <v>57.3</v>
      </c>
      <c r="W34" s="31" t="n">
        <v>26.18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IF(B35=0,"",RANK(B35,$B$2:$B$396,0))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SANGAMIND</t>
        </is>
      </c>
      <c r="D35" s="30" t="inlineStr">
        <is>
          <t>Sangam (india) Limited</t>
        </is>
      </c>
      <c r="E35" s="30" t="inlineStr">
        <is>
          <t>textiles</t>
        </is>
      </c>
      <c r="F35" s="30" t="inlineStr">
        <is>
          <t>textiles - spinning - synthetic / blended</t>
        </is>
      </c>
      <c r="G35" s="30" t="inlineStr">
        <is>
          <t>smallcap</t>
        </is>
      </c>
      <c r="H35" s="31" t="n">
        <v>3092.68</v>
      </c>
      <c r="I35" s="31" t="n">
        <v>610</v>
      </c>
      <c r="J35" s="31" t="n">
        <v>-0.89</v>
      </c>
      <c r="K35" s="31" t="n">
        <v>17798</v>
      </c>
      <c r="L35" s="30" t="n">
        <v>63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71.23999999999999</v>
      </c>
      <c r="P35" s="31" t="n">
        <v>47.83</v>
      </c>
      <c r="Q35" s="31" t="n">
        <v>503.18</v>
      </c>
      <c r="R35" s="30" t="inlineStr">
        <is>
          <t>Near 52W High Breakout</t>
        </is>
      </c>
      <c r="S35" s="30" t="inlineStr">
        <is>
          <t>Nifty 50</t>
        </is>
      </c>
      <c r="T35" s="31" t="n">
        <v>0.85</v>
      </c>
      <c r="U35" s="31" t="n">
        <v>66.37</v>
      </c>
      <c r="V35" s="31" t="n">
        <v>64.95999999999999</v>
      </c>
      <c r="W35" s="31" t="n">
        <v>14.69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IF(B36=0,"",RANK(B36,$B$2:$B$396,0))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HSCL</t>
        </is>
      </c>
      <c r="D36" s="30" t="inlineStr">
        <is>
          <t>Himadri Speciality Chemical Limited</t>
        </is>
      </c>
      <c r="E36" s="30" t="inlineStr">
        <is>
          <t>chemicals</t>
        </is>
      </c>
      <c r="F36" s="30" t="inlineStr">
        <is>
          <t>chemicals</t>
        </is>
      </c>
      <c r="G36" s="30" t="inlineStr">
        <is>
          <t>largecap</t>
        </is>
      </c>
      <c r="H36" s="31" t="n">
        <v>38395.62</v>
      </c>
      <c r="I36" s="31" t="n">
        <v>752.65</v>
      </c>
      <c r="J36" s="31" t="n">
        <v>-1.1</v>
      </c>
      <c r="K36" s="31" t="n">
        <v>4327683</v>
      </c>
      <c r="L36" s="30" t="n">
        <v>65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70.09</v>
      </c>
      <c r="P36" s="31" t="n">
        <v>44.17</v>
      </c>
      <c r="Q36" s="31" t="n">
        <v>617.8099999999999</v>
      </c>
      <c r="R36" s="30" t="inlineStr">
        <is>
          <t>Near 52W High Breakout</t>
        </is>
      </c>
      <c r="S36" s="30" t="inlineStr">
        <is>
          <t>Nifty 50</t>
        </is>
      </c>
      <c r="T36" s="31" t="n">
        <v>0.85</v>
      </c>
      <c r="U36" s="31" t="n">
        <v>67.72</v>
      </c>
      <c r="V36" s="31" t="n">
        <v>66.31</v>
      </c>
      <c r="W36" s="31" t="n">
        <v>15.55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IF(B37=0,"",RANK(B37,$B$2:$B$396,0))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MPSLTD</t>
        </is>
      </c>
      <c r="D37" s="30" t="inlineStr">
        <is>
          <t>Mps Limited</t>
        </is>
      </c>
      <c r="E37" s="30" t="inlineStr">
        <is>
          <t>i.t</t>
        </is>
      </c>
      <c r="F37" s="30" t="inlineStr">
        <is>
          <t>computers - software - medium / small</t>
        </is>
      </c>
      <c r="G37" s="30" t="inlineStr">
        <is>
          <t>smallcap</t>
        </is>
      </c>
      <c r="H37" s="31" t="n">
        <v>4727.88</v>
      </c>
      <c r="I37" s="31" t="n">
        <v>2931.2</v>
      </c>
      <c r="J37" s="31" t="n">
        <v>6.05</v>
      </c>
      <c r="K37" s="31" t="n">
        <v>130153</v>
      </c>
      <c r="L37" s="30" t="n">
        <v>83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77.14</v>
      </c>
      <c r="P37" s="31" t="n">
        <v>30.74</v>
      </c>
      <c r="Q37" s="31" t="n">
        <v>2308.56</v>
      </c>
      <c r="R37" s="30" t="inlineStr">
        <is>
          <t>Near 52W High Breakout</t>
        </is>
      </c>
      <c r="S37" s="30" t="inlineStr">
        <is>
          <t>Nifty IT</t>
        </is>
      </c>
      <c r="T37" s="31" t="n">
        <v>-8.289999999999999</v>
      </c>
      <c r="U37" s="31" t="n">
        <v>32.1</v>
      </c>
      <c r="V37" s="31" t="n">
        <v>44.03</v>
      </c>
      <c r="W37" s="31" t="n">
        <v>24.58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IF(B38=0,"",RANK(B38,$B$2:$B$396,0))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THYROCARE</t>
        </is>
      </c>
      <c r="D38" s="30" t="inlineStr">
        <is>
          <t>Thyrocare Technologies Limited</t>
        </is>
      </c>
      <c r="E38" s="30" t="inlineStr">
        <is>
          <t>healthcare</t>
        </is>
      </c>
      <c r="F38" s="30" t="inlineStr">
        <is>
          <t>healthcare</t>
        </is>
      </c>
      <c r="G38" s="30" t="inlineStr">
        <is>
          <t>midcap</t>
        </is>
      </c>
      <c r="H38" s="31" t="n">
        <v>9518.879999999999</v>
      </c>
      <c r="I38" s="31" t="n">
        <v>603.25</v>
      </c>
      <c r="J38" s="31" t="n">
        <v>0.87</v>
      </c>
      <c r="K38" s="31" t="n">
        <v>208882</v>
      </c>
      <c r="L38" s="30" t="n">
        <v>55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71.44</v>
      </c>
      <c r="P38" s="31" t="n">
        <v>55.75</v>
      </c>
      <c r="Q38" s="31" t="n">
        <v>463.78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24.01</v>
      </c>
      <c r="U38" s="31" t="n">
        <v>37.85</v>
      </c>
      <c r="V38" s="31" t="n">
        <v>11.16</v>
      </c>
      <c r="W38" s="31" t="n">
        <v>12.65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Between 1.5 to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IF(B39=0,"",RANK(B39,$B$2:$B$396,0))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NESTLEIND</t>
        </is>
      </c>
      <c r="D39" s="30" t="inlineStr">
        <is>
          <t>Nestle India Limited</t>
        </is>
      </c>
      <c r="E39" s="30" t="inlineStr">
        <is>
          <t>fmcg</t>
        </is>
      </c>
      <c r="F39" s="30" t="inlineStr">
        <is>
          <t>food - processing - mnc</t>
        </is>
      </c>
      <c r="G39" s="30" t="inlineStr">
        <is>
          <t>largecap</t>
        </is>
      </c>
      <c r="H39" s="31" t="n">
        <v>295996.25</v>
      </c>
      <c r="I39" s="31" t="n">
        <v>1540</v>
      </c>
      <c r="J39" s="31" t="n">
        <v>0.33</v>
      </c>
      <c r="K39" s="31" t="n">
        <v>2943795</v>
      </c>
      <c r="L39" s="30" t="n">
        <v>39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70.95</v>
      </c>
      <c r="P39" s="31" t="n">
        <v>35.02</v>
      </c>
      <c r="Q39" s="31" t="n">
        <v>1341.64</v>
      </c>
      <c r="R39" s="30" t="inlineStr">
        <is>
          <t>Near 52W High Breakout</t>
        </is>
      </c>
      <c r="S39" s="30" t="inlineStr">
        <is>
          <t>Nifty FMCG</t>
        </is>
      </c>
      <c r="T39" s="31" t="n">
        <v>-9.43</v>
      </c>
      <c r="U39" s="31" t="n">
        <v>36.79</v>
      </c>
      <c r="V39" s="31" t="n">
        <v>51.03</v>
      </c>
      <c r="W39" s="31" t="n">
        <v>8.369999999999999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B2C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IF(B40=0,"",RANK(B40,$B$2:$B$396,0))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CUPID</t>
        </is>
      </c>
      <c r="D40" s="30" t="inlineStr">
        <is>
          <t>Cupid Limited</t>
        </is>
      </c>
      <c r="E40" s="30" t="inlineStr">
        <is>
          <t>fmcg</t>
        </is>
      </c>
      <c r="F40" s="30" t="inlineStr">
        <is>
          <t>personal care - indian</t>
        </is>
      </c>
      <c r="G40" s="30" t="inlineStr">
        <is>
          <t>largecap</t>
        </is>
      </c>
      <c r="H40" s="31" t="n">
        <v>35312.13</v>
      </c>
      <c r="I40" s="31" t="n">
        <v>262.13</v>
      </c>
      <c r="J40" s="31" t="n">
        <v>-0.18</v>
      </c>
      <c r="K40" s="31" t="n">
        <v>46030388</v>
      </c>
      <c r="L40" s="30" t="n">
        <v>99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91.88</v>
      </c>
      <c r="P40" s="31" t="n">
        <v>69.43000000000001</v>
      </c>
      <c r="Q40" s="31" t="n">
        <v>209.03</v>
      </c>
      <c r="R40" s="30" t="inlineStr">
        <is>
          <t>Near 52W High Breakout</t>
        </is>
      </c>
      <c r="S40" s="30" t="inlineStr">
        <is>
          <t>Nifty FMCG</t>
        </is>
      </c>
      <c r="T40" s="31" t="n">
        <v>-9.43</v>
      </c>
      <c r="U40" s="31" t="n">
        <v>786.11</v>
      </c>
      <c r="V40" s="31" t="n">
        <v>878.33</v>
      </c>
      <c r="W40" s="31" t="n">
        <v>86.77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B2C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IF(B41=0,"",RANK(B41,$B$2:$B$396,0))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GLAND</t>
        </is>
      </c>
      <c r="D41" s="30" t="inlineStr">
        <is>
          <t>Gland Pharma Ltd</t>
        </is>
      </c>
      <c r="E41" s="30" t="inlineStr">
        <is>
          <t>healthcare</t>
        </is>
      </c>
      <c r="F41" s="30" t="inlineStr">
        <is>
          <t>pharmaceuticals - indian - formulations</t>
        </is>
      </c>
      <c r="G41" s="30" t="inlineStr">
        <is>
          <t>largecap</t>
        </is>
      </c>
      <c r="H41" s="31" t="n">
        <v>43026.43</v>
      </c>
      <c r="I41" s="31" t="n">
        <v>2601</v>
      </c>
      <c r="J41" s="31" t="n">
        <v>-0.28</v>
      </c>
      <c r="K41" s="31" t="n">
        <v>317745</v>
      </c>
      <c r="L41" s="30" t="n">
        <v>63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72.23999999999999</v>
      </c>
      <c r="P41" s="31" t="n">
        <v>56.42</v>
      </c>
      <c r="Q41" s="31" t="n">
        <v>2120.46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24.01</v>
      </c>
      <c r="U41" s="31" t="n">
        <v>35.7</v>
      </c>
      <c r="V41" s="31" t="n">
        <v>9.42</v>
      </c>
      <c r="W41" s="31" t="n">
        <v>14.52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IF(B42=0,"",RANK(B42,$B$2:$B$396,0))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BHARATSE</t>
        </is>
      </c>
      <c r="D42" s="30" t="inlineStr">
        <is>
          <t>Bharat Seats Ltd</t>
        </is>
      </c>
      <c r="E42" s="30" t="inlineStr">
        <is>
          <t>auto</t>
        </is>
      </c>
      <c r="F42" s="30" t="inlineStr">
        <is>
          <t>auto ancillaries</t>
        </is>
      </c>
      <c r="G42" s="30" t="inlineStr">
        <is>
          <t>smallcap</t>
        </is>
      </c>
      <c r="H42" s="31" t="n">
        <v>1403.39</v>
      </c>
      <c r="I42" s="31" t="n">
        <v>240.89</v>
      </c>
      <c r="J42" s="31" t="n">
        <v>7.8</v>
      </c>
      <c r="K42" s="31" t="n">
        <v>751798</v>
      </c>
      <c r="L42" s="30" t="n">
        <v>94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64.97</v>
      </c>
      <c r="P42" s="31" t="n">
        <v>33.1</v>
      </c>
      <c r="Q42" s="31" t="n">
        <v>165.47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24.67</v>
      </c>
      <c r="U42" s="31" t="n">
        <v>131.96</v>
      </c>
      <c r="V42" s="31" t="n">
        <v>86.06</v>
      </c>
      <c r="W42" s="31" t="n">
        <v>35.02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Between 12 to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IF(B43=0,"",RANK(B43,$B$2:$B$396,0))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GOCLCORP</t>
        </is>
      </c>
      <c r="D43" s="30" t="inlineStr">
        <is>
          <t>Gocl Corporation Limited</t>
        </is>
      </c>
      <c r="E43" s="30" t="inlineStr">
        <is>
          <t>miscellaneous</t>
        </is>
      </c>
      <c r="F43" s="30" t="inlineStr">
        <is>
          <t>diversified - medium / small</t>
        </is>
      </c>
      <c r="G43" s="30" t="inlineStr">
        <is>
          <t>smallcap</t>
        </is>
      </c>
      <c r="H43" s="31" t="n">
        <v>2035.2</v>
      </c>
      <c r="I43" s="31" t="n">
        <v>438.25</v>
      </c>
      <c r="J43" s="31" t="n">
        <v>6.75</v>
      </c>
      <c r="K43" s="31" t="n">
        <v>1950704</v>
      </c>
      <c r="L43" s="30" t="n">
        <v>59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67.48999999999999</v>
      </c>
      <c r="P43" s="31" t="n">
        <v>41.87</v>
      </c>
      <c r="Q43" s="31" t="n">
        <v>331.13</v>
      </c>
      <c r="R43" s="30" t="inlineStr">
        <is>
          <t>Volume Spike &amp; Near 52W High Breakout</t>
        </is>
      </c>
      <c r="S43" s="30" t="inlineStr">
        <is>
          <t>Nifty 50</t>
        </is>
      </c>
      <c r="T43" s="31" t="n">
        <v>0.85</v>
      </c>
      <c r="U43" s="31" t="n">
        <v>30.43</v>
      </c>
      <c r="V43" s="31" t="n">
        <v>29.33</v>
      </c>
      <c r="W43" s="31" t="n">
        <v>13.85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IF(B44=0,"",RANK(B44,$B$2:$B$396,0))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UNIPARTS</t>
        </is>
      </c>
      <c r="D44" s="30" t="inlineStr">
        <is>
          <t>Uniparts India Ltd</t>
        </is>
      </c>
      <c r="E44" s="30" t="inlineStr">
        <is>
          <t>industrials</t>
        </is>
      </c>
      <c r="F44" s="30" t="inlineStr">
        <is>
          <t>engineering</t>
        </is>
      </c>
      <c r="G44" s="30" t="inlineStr">
        <is>
          <t>smallcap</t>
        </is>
      </c>
      <c r="H44" s="31" t="n">
        <v>3527.93</v>
      </c>
      <c r="I44" s="31" t="n">
        <v>814.6</v>
      </c>
      <c r="J44" s="31" t="n">
        <v>4.24</v>
      </c>
      <c r="K44" s="31" t="n">
        <v>275162</v>
      </c>
      <c r="L44" s="30" t="n">
        <v>92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78.87</v>
      </c>
      <c r="P44" s="31" t="n">
        <v>59.62</v>
      </c>
      <c r="Q44" s="31" t="n">
        <v>649.28</v>
      </c>
      <c r="R44" s="30" t="inlineStr">
        <is>
          <t>Volume Spike &amp; Near 52W High Breakout</t>
        </is>
      </c>
      <c r="S44" s="30" t="inlineStr">
        <is>
          <t>Nifty 50</t>
        </is>
      </c>
      <c r="T44" s="31" t="n">
        <v>0.85</v>
      </c>
      <c r="U44" s="31" t="n">
        <v>159.52</v>
      </c>
      <c r="V44" s="31" t="n">
        <v>157.33</v>
      </c>
      <c r="W44" s="31" t="n">
        <v>31.72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IF(B45=0,"",RANK(B45,$B$2:$B$396,0))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SPORTKING</t>
        </is>
      </c>
      <c r="D45" s="30" t="inlineStr">
        <is>
          <t>Sportking India Ltd</t>
        </is>
      </c>
      <c r="E45" s="30" t="inlineStr">
        <is>
          <t>textiles</t>
        </is>
      </c>
      <c r="F45" s="30" t="inlineStr">
        <is>
          <t>textiles - spinning - synthetic / blended</t>
        </is>
      </c>
      <c r="G45" s="30" t="inlineStr">
        <is>
          <t>smallcap</t>
        </is>
      </c>
      <c r="H45" s="31" t="n">
        <v>2626.07</v>
      </c>
      <c r="I45" s="31" t="n">
        <v>214.34</v>
      </c>
      <c r="J45" s="31" t="n">
        <v>3.72</v>
      </c>
      <c r="K45" s="31" t="n">
        <v>742162</v>
      </c>
      <c r="L45" s="30" t="n">
        <v>86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75.15000000000001</v>
      </c>
      <c r="P45" s="31" t="n">
        <v>71.13</v>
      </c>
      <c r="Q45" s="31" t="n">
        <v>155.04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0.85</v>
      </c>
      <c r="U45" s="31" t="n">
        <v>103.72</v>
      </c>
      <c r="V45" s="31" t="n">
        <v>102</v>
      </c>
      <c r="W45" s="31" t="n">
        <v>25.86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IF(B46=0,"",RANK(B46,$B$2:$B$396,0))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NRBBEARING</t>
        </is>
      </c>
      <c r="D46" s="30" t="inlineStr">
        <is>
          <t>Nrb Bearing Limited</t>
        </is>
      </c>
      <c r="E46" s="30" t="inlineStr">
        <is>
          <t>industrials</t>
        </is>
      </c>
      <c r="F46" s="30" t="inlineStr">
        <is>
          <t>bearings</t>
        </is>
      </c>
      <c r="G46" s="30" t="inlineStr">
        <is>
          <t>smallcap</t>
        </is>
      </c>
      <c r="H46" s="31" t="n">
        <v>4318.87</v>
      </c>
      <c r="I46" s="31" t="n">
        <v>461.5</v>
      </c>
      <c r="J46" s="31" t="n">
        <v>3.57</v>
      </c>
      <c r="K46" s="31" t="n">
        <v>662113</v>
      </c>
      <c r="L46" s="30" t="n">
        <v>79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74.78</v>
      </c>
      <c r="P46" s="31" t="n">
        <v>48.72</v>
      </c>
      <c r="Q46" s="31" t="n">
        <v>356.4</v>
      </c>
      <c r="R46" s="30" t="inlineStr">
        <is>
          <t>Near 52W High Breakout</t>
        </is>
      </c>
      <c r="S46" s="30" t="inlineStr">
        <is>
          <t>Nifty 50</t>
        </is>
      </c>
      <c r="T46" s="31" t="n">
        <v>0.85</v>
      </c>
      <c r="U46" s="31" t="n">
        <v>71.51000000000001</v>
      </c>
      <c r="V46" s="31" t="n">
        <v>70.06999999999999</v>
      </c>
      <c r="W46" s="31" t="n">
        <v>21.92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IF(B47=0,"",RANK(B47,$B$2:$B$396,0))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SONACOMS</t>
        </is>
      </c>
      <c r="D47" s="30" t="inlineStr">
        <is>
          <t>Sona BLW Precision Forgings Ltd</t>
        </is>
      </c>
      <c r="E47" s="30" t="inlineStr">
        <is>
          <t>auto</t>
        </is>
      </c>
      <c r="F47" s="30" t="inlineStr">
        <is>
          <t>auto ancillaries</t>
        </is>
      </c>
      <c r="G47" s="30" t="inlineStr">
        <is>
          <t>largecap</t>
        </is>
      </c>
      <c r="H47" s="31" t="n">
        <v>49265.16</v>
      </c>
      <c r="I47" s="31" t="n">
        <v>818.05</v>
      </c>
      <c r="J47" s="31" t="n">
        <v>3.29</v>
      </c>
      <c r="K47" s="31" t="n">
        <v>7484791</v>
      </c>
      <c r="L47" s="30" t="n">
        <v>80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82.97</v>
      </c>
      <c r="P47" s="31" t="n">
        <v>46.85</v>
      </c>
      <c r="Q47" s="31" t="n">
        <v>695.6</v>
      </c>
      <c r="R47" s="30" t="inlineStr">
        <is>
          <t>Near 52W High Breakout</t>
        </is>
      </c>
      <c r="S47" s="30" t="inlineStr">
        <is>
          <t>Nifty Auto</t>
        </is>
      </c>
      <c r="T47" s="31" t="n">
        <v>24.67</v>
      </c>
      <c r="U47" s="31" t="n">
        <v>75.33</v>
      </c>
      <c r="V47" s="31" t="n">
        <v>40.64</v>
      </c>
      <c r="W47" s="31" t="n">
        <v>22.4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IF(B48=0,"",RANK(B48,$B$2:$B$396,0))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FILATEX</t>
        </is>
      </c>
      <c r="D48" s="30" t="inlineStr">
        <is>
          <t>Filatex India Limited</t>
        </is>
      </c>
      <c r="E48" s="30" t="inlineStr">
        <is>
          <t>textiles</t>
        </is>
      </c>
      <c r="F48" s="30" t="inlineStr">
        <is>
          <t>textiles - manmade</t>
        </is>
      </c>
      <c r="G48" s="30" t="inlineStr">
        <is>
          <t>smallcap</t>
        </is>
      </c>
      <c r="H48" s="31" t="n">
        <v>3632.84</v>
      </c>
      <c r="I48" s="31" t="n">
        <v>83.33</v>
      </c>
      <c r="J48" s="31" t="n">
        <v>1.86</v>
      </c>
      <c r="K48" s="31" t="n">
        <v>3999271</v>
      </c>
      <c r="L48" s="30" t="n">
        <v>92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76.11</v>
      </c>
      <c r="P48" s="31" t="n">
        <v>30.51</v>
      </c>
      <c r="Q48" s="31" t="n">
        <v>62.94</v>
      </c>
      <c r="R48" s="30" t="inlineStr">
        <is>
          <t>Volume Spike &amp; Near 52W High Breakout</t>
        </is>
      </c>
      <c r="S48" s="30" t="inlineStr">
        <is>
          <t>Nifty 50</t>
        </is>
      </c>
      <c r="T48" s="31" t="n">
        <v>0.85</v>
      </c>
      <c r="U48" s="31" t="n">
        <v>58.07</v>
      </c>
      <c r="V48" s="31" t="n">
        <v>56.73</v>
      </c>
      <c r="W48" s="31" t="n">
        <v>32.16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Between 12 to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IF(B49=0,"",RANK(B49,$B$2:$B$396,0))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HAPPYFORGE</t>
        </is>
      </c>
      <c r="D49" s="30" t="inlineStr">
        <is>
          <t>Happy Forgings Ltd</t>
        </is>
      </c>
      <c r="E49" s="30" t="inlineStr">
        <is>
          <t>industrials</t>
        </is>
      </c>
      <c r="F49" s="30" t="inlineStr">
        <is>
          <t>castings &amp; forgings</t>
        </is>
      </c>
      <c r="G49" s="30" t="inlineStr">
        <is>
          <t>midcap</t>
        </is>
      </c>
      <c r="H49" s="31" t="n">
        <v>17648.82</v>
      </c>
      <c r="I49" s="31" t="n">
        <v>1895</v>
      </c>
      <c r="J49" s="31" t="n">
        <v>1.34</v>
      </c>
      <c r="K49" s="31" t="n">
        <v>125748</v>
      </c>
      <c r="L49" s="30" t="n">
        <v>84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82.34</v>
      </c>
      <c r="P49" s="31" t="n">
        <v>50.68</v>
      </c>
      <c r="Q49" s="31" t="n">
        <v>1550.96</v>
      </c>
      <c r="R49" s="30" t="inlineStr">
        <is>
          <t>Volume Spike &amp; Near 52W High Breakout</t>
        </is>
      </c>
      <c r="S49" s="30" t="inlineStr">
        <is>
          <t>Nifty Infra</t>
        </is>
      </c>
      <c r="T49" s="31" t="n">
        <v>4.83</v>
      </c>
      <c r="U49" s="31" t="n">
        <v>98.84999999999999</v>
      </c>
      <c r="V49" s="31" t="n">
        <v>89.7</v>
      </c>
      <c r="W49" s="31" t="n">
        <v>24.95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IF(B50=0,"",RANK(B50,$B$2:$B$396,0))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CENTENKA</t>
        </is>
      </c>
      <c r="D50" s="30" t="inlineStr">
        <is>
          <t>Century Enka Limited</t>
        </is>
      </c>
      <c r="E50" s="30" t="inlineStr">
        <is>
          <t>textiles</t>
        </is>
      </c>
      <c r="F50" s="30" t="inlineStr">
        <is>
          <t>textiles - manmade</t>
        </is>
      </c>
      <c r="G50" s="30" t="inlineStr">
        <is>
          <t>smallcap</t>
        </is>
      </c>
      <c r="H50" s="31" t="n">
        <v>1316.94</v>
      </c>
      <c r="I50" s="31" t="n">
        <v>610.25</v>
      </c>
      <c r="J50" s="31" t="n">
        <v>1.25</v>
      </c>
      <c r="K50" s="31" t="n">
        <v>85833</v>
      </c>
      <c r="L50" s="30" t="n">
        <v>56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70.97</v>
      </c>
      <c r="P50" s="31" t="n">
        <v>60.76</v>
      </c>
      <c r="Q50" s="31" t="n">
        <v>467.22</v>
      </c>
      <c r="R50" s="30" t="inlineStr">
        <is>
          <t>Near 52W High Breakout</t>
        </is>
      </c>
      <c r="S50" s="30" t="inlineStr">
        <is>
          <t>Nifty 50</t>
        </is>
      </c>
      <c r="T50" s="31" t="n">
        <v>0.85</v>
      </c>
      <c r="U50" s="31" t="n">
        <v>23.22</v>
      </c>
      <c r="V50" s="31" t="n">
        <v>22.18</v>
      </c>
      <c r="W50" s="31" t="n">
        <v>13.14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IF(B51=0,"",RANK(B51,$B$2:$B$396,0))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STLTECH</t>
        </is>
      </c>
      <c r="D51" s="30" t="inlineStr">
        <is>
          <t>Sterlite Technologies Limited</t>
        </is>
      </c>
      <c r="E51" s="30" t="inlineStr">
        <is>
          <t>industrials</t>
        </is>
      </c>
      <c r="F51" s="30" t="inlineStr">
        <is>
          <t>cables - telephone</t>
        </is>
      </c>
      <c r="G51" s="30" t="inlineStr">
        <is>
          <t>largecap</t>
        </is>
      </c>
      <c r="H51" s="31" t="n">
        <v>32573.31</v>
      </c>
      <c r="I51" s="31" t="n">
        <v>638.9</v>
      </c>
      <c r="J51" s="31" t="n">
        <v>0.8</v>
      </c>
      <c r="K51" s="31" t="n">
        <v>1674020</v>
      </c>
      <c r="L51" s="30" t="n">
        <v>99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73.76000000000001</v>
      </c>
      <c r="P51" s="31" t="n">
        <v>81.48</v>
      </c>
      <c r="Q51" s="31" t="n">
        <v>453.69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4.83</v>
      </c>
      <c r="U51" s="31" t="n">
        <v>444.72</v>
      </c>
      <c r="V51" s="31" t="n">
        <v>419.63</v>
      </c>
      <c r="W51" s="31" t="n">
        <v>91.40000000000001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IF(B52=0,"",RANK(B52,$B$2:$B$396,0))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HITECHCORP</t>
        </is>
      </c>
      <c r="D52" s="30" t="inlineStr">
        <is>
          <t>Hitech Corporation</t>
        </is>
      </c>
      <c r="E52" s="30" t="inlineStr">
        <is>
          <t>industrials</t>
        </is>
      </c>
      <c r="F52" s="30" t="inlineStr">
        <is>
          <t>packaging</t>
        </is>
      </c>
      <c r="G52" s="30" t="inlineStr">
        <is>
          <t>smallcap</t>
        </is>
      </c>
      <c r="H52" s="31" t="n">
        <v>549.79</v>
      </c>
      <c r="I52" s="31" t="n">
        <v>322.05</v>
      </c>
      <c r="J52" s="31" t="n">
        <v>0.61</v>
      </c>
      <c r="K52" s="31" t="n">
        <v>4477</v>
      </c>
      <c r="L52" s="30" t="n">
        <v>97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80.31</v>
      </c>
      <c r="P52" s="31" t="n">
        <v>54.86</v>
      </c>
      <c r="Q52" s="31" t="n">
        <v>259.53</v>
      </c>
      <c r="R52" s="30" t="inlineStr">
        <is>
          <t>Near 52W High Breakout</t>
        </is>
      </c>
      <c r="S52" s="30" t="inlineStr">
        <is>
          <t>Nifty 50</t>
        </is>
      </c>
      <c r="T52" s="31" t="n">
        <v>0.85</v>
      </c>
      <c r="U52" s="31" t="n">
        <v>78.37</v>
      </c>
      <c r="V52" s="31" t="n">
        <v>76.87</v>
      </c>
      <c r="W52" s="31" t="n">
        <v>47.28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IF(B53=0,"",RANK(B53,$B$2:$B$396,0))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TALBROAUTO</t>
        </is>
      </c>
      <c r="D53" s="30" t="inlineStr">
        <is>
          <t>Talbros Automotive Components Limited</t>
        </is>
      </c>
      <c r="E53" s="30" t="inlineStr">
        <is>
          <t>auto</t>
        </is>
      </c>
      <c r="F53" s="30" t="inlineStr">
        <is>
          <t>auto ancillaries</t>
        </is>
      </c>
      <c r="G53" s="30" t="inlineStr">
        <is>
          <t>smallcap</t>
        </is>
      </c>
      <c r="H53" s="31" t="n">
        <v>2697.52</v>
      </c>
      <c r="I53" s="31" t="n">
        <v>439.35</v>
      </c>
      <c r="J53" s="31" t="n">
        <v>0.54</v>
      </c>
      <c r="K53" s="31" t="n">
        <v>120446</v>
      </c>
      <c r="L53" s="30" t="n">
        <v>81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75.68000000000001</v>
      </c>
      <c r="P53" s="31" t="n">
        <v>42.93</v>
      </c>
      <c r="Q53" s="31" t="n">
        <v>337.26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24.67</v>
      </c>
      <c r="U53" s="31" t="n">
        <v>55.59</v>
      </c>
      <c r="V53" s="31" t="n">
        <v>24.81</v>
      </c>
      <c r="W53" s="31" t="n">
        <v>23.37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Between 12 to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Between 50% to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IF(B54=0,"",RANK(B54,$B$2:$B$396,0))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GANESHBE</t>
        </is>
      </c>
      <c r="D54" s="30" t="inlineStr">
        <is>
          <t>Ganesh Benzoplast Ltd</t>
        </is>
      </c>
      <c r="E54" s="30" t="inlineStr">
        <is>
          <t>miscellaneous</t>
        </is>
      </c>
      <c r="F54" s="30" t="inlineStr">
        <is>
          <t>miscellaneous</t>
        </is>
      </c>
      <c r="G54" s="30" t="inlineStr">
        <is>
          <t>smallcap</t>
        </is>
      </c>
      <c r="H54" s="31" t="n">
        <v>864.02</v>
      </c>
      <c r="I54" s="31" t="n">
        <v>120.41</v>
      </c>
      <c r="J54" s="31" t="n">
        <v>0.33</v>
      </c>
      <c r="K54" s="31" t="n">
        <v>173267</v>
      </c>
      <c r="L54" s="30" t="n">
        <v>48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67.83</v>
      </c>
      <c r="P54" s="31" t="n">
        <v>28.62</v>
      </c>
      <c r="Q54" s="31" t="n">
        <v>86.52</v>
      </c>
      <c r="R54" s="30" t="inlineStr">
        <is>
          <t>Near 52W High Breakout</t>
        </is>
      </c>
      <c r="S54" s="30" t="inlineStr">
        <is>
          <t>Nifty Energy</t>
        </is>
      </c>
      <c r="T54" s="31" t="n">
        <v>9.93</v>
      </c>
      <c r="U54" s="31" t="n">
        <v>25.21</v>
      </c>
      <c r="V54" s="31" t="n">
        <v>13.9</v>
      </c>
      <c r="W54" s="31" t="n">
        <v>10.69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IF(B55=0,"",RANK(B55,$B$2:$B$396,0))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PLASTIBLEN</t>
        </is>
      </c>
      <c r="D55" s="30" t="inlineStr">
        <is>
          <t>Plastiblends India Limited</t>
        </is>
      </c>
      <c r="E55" s="30" t="inlineStr">
        <is>
          <t>chemicals</t>
        </is>
      </c>
      <c r="F55" s="30" t="inlineStr">
        <is>
          <t>chemicals</t>
        </is>
      </c>
      <c r="G55" s="30" t="inlineStr">
        <is>
          <t>smallcap</t>
        </is>
      </c>
      <c r="H55" s="31" t="n">
        <v>513.26</v>
      </c>
      <c r="I55" s="31" t="n">
        <v>197.69</v>
      </c>
      <c r="J55" s="31" t="n">
        <v>0.1</v>
      </c>
      <c r="K55" s="31" t="n">
        <v>40895</v>
      </c>
      <c r="L55" s="30" t="n">
        <v>19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65.20999999999999</v>
      </c>
      <c r="P55" s="31" t="n">
        <v>26.81</v>
      </c>
      <c r="Q55" s="31" t="n">
        <v>154.27</v>
      </c>
      <c r="R55" s="30" t="inlineStr">
        <is>
          <t>Near 52W High Breakout</t>
        </is>
      </c>
      <c r="S55" s="30" t="inlineStr">
        <is>
          <t>Nifty 50</t>
        </is>
      </c>
      <c r="T55" s="31" t="n">
        <v>0.85</v>
      </c>
      <c r="U55" s="31" t="n">
        <v>3.79</v>
      </c>
      <c r="V55" s="31" t="n">
        <v>2.91</v>
      </c>
      <c r="W55" s="31" t="n">
        <v>3.51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IF(B56=0,"",RANK(B56,$B$2:$B$396,0))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ATULAUTO</t>
        </is>
      </c>
      <c r="D56" s="30" t="inlineStr">
        <is>
          <t>Atul Auto Limited</t>
        </is>
      </c>
      <c r="E56" s="30" t="inlineStr">
        <is>
          <t>auto</t>
        </is>
      </c>
      <c r="F56" s="30" t="inlineStr">
        <is>
          <t>automobiles - scooters and 3 - wheelers</t>
        </is>
      </c>
      <c r="G56" s="30" t="inlineStr">
        <is>
          <t>smallcap</t>
        </is>
      </c>
      <c r="H56" s="31" t="n">
        <v>1608.33</v>
      </c>
      <c r="I56" s="31" t="n">
        <v>576.9</v>
      </c>
      <c r="J56" s="31" t="n">
        <v>-0.46</v>
      </c>
      <c r="K56" s="31" t="n">
        <v>297801</v>
      </c>
      <c r="L56" s="30" t="n">
        <v>43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66.94</v>
      </c>
      <c r="P56" s="31" t="n">
        <v>28.23</v>
      </c>
      <c r="Q56" s="31" t="n">
        <v>443.75</v>
      </c>
      <c r="R56" s="30" t="inlineStr">
        <is>
          <t>Volume Spike &amp; Near 52W High Breakout</t>
        </is>
      </c>
      <c r="S56" s="30" t="inlineStr">
        <is>
          <t>Nifty Auto</t>
        </is>
      </c>
      <c r="T56" s="31" t="n">
        <v>24.67</v>
      </c>
      <c r="U56" s="31" t="n">
        <v>26.08</v>
      </c>
      <c r="V56" s="31" t="n">
        <v>1.14</v>
      </c>
      <c r="W56" s="31" t="n">
        <v>9.210000000000001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IF(B57=0,"",RANK(B57,$B$2:$B$396,0))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VERANDA</t>
        </is>
      </c>
      <c r="D57" s="30" t="inlineStr">
        <is>
          <t>Veranda Learning Solutions Ltd</t>
        </is>
      </c>
      <c r="E57" s="30" t="inlineStr">
        <is>
          <t>services</t>
        </is>
      </c>
      <c r="F57" s="30" t="inlineStr">
        <is>
          <t>miscellaneous</t>
        </is>
      </c>
      <c r="G57" s="30" t="inlineStr">
        <is>
          <t>smallcap</t>
        </is>
      </c>
      <c r="H57" s="31" t="n">
        <v>2487.96</v>
      </c>
      <c r="I57" s="31" t="n">
        <v>256.6</v>
      </c>
      <c r="J57" s="31" t="n">
        <v>-0.66</v>
      </c>
      <c r="K57" s="31" t="n">
        <v>222459</v>
      </c>
      <c r="L57" s="30" t="n">
        <v>34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63.46</v>
      </c>
      <c r="P57" s="31" t="n">
        <v>29.19</v>
      </c>
      <c r="Q57" s="31" t="n">
        <v>187.75</v>
      </c>
      <c r="R57" s="30" t="inlineStr">
        <is>
          <t>Near 52W High Breakout</t>
        </is>
      </c>
      <c r="S57" s="30" t="inlineStr">
        <is>
          <t>Nifty 50</t>
        </is>
      </c>
      <c r="T57" s="31" t="n">
        <v>0.85</v>
      </c>
      <c r="U57" s="31" t="n">
        <v>12.07</v>
      </c>
      <c r="V57" s="31" t="n">
        <v>11.13</v>
      </c>
      <c r="W57" s="31" t="n">
        <v>6.62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IF(B58=0,"",RANK(B58,$B$2:$B$396,0))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ADOR</t>
        </is>
      </c>
      <c r="D58" s="30" t="inlineStr">
        <is>
          <t>Ador Welding Ltd</t>
        </is>
      </c>
      <c r="E58" s="30" t="inlineStr">
        <is>
          <t>industrials</t>
        </is>
      </c>
      <c r="F58" s="30" t="inlineStr">
        <is>
          <t>electrodes - welding equipment</t>
        </is>
      </c>
      <c r="G58" s="30" t="inlineStr">
        <is>
          <t>smallcap</t>
        </is>
      </c>
      <c r="H58" s="31" t="n">
        <v>2583.97</v>
      </c>
      <c r="I58" s="31" t="n">
        <v>1465</v>
      </c>
      <c r="J58" s="31" t="n">
        <v>-1.33</v>
      </c>
      <c r="K58" s="31" t="n">
        <v>23430</v>
      </c>
      <c r="L58" s="30" t="n">
        <v>70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79.98</v>
      </c>
      <c r="P58" s="31" t="n">
        <v>46.91</v>
      </c>
      <c r="Q58" s="31" t="n">
        <v>1205.36</v>
      </c>
      <c r="R58" s="30" t="inlineStr">
        <is>
          <t>Near 52W High Breakout</t>
        </is>
      </c>
      <c r="S58" s="30" t="inlineStr">
        <is>
          <t>Nifty 50</t>
        </is>
      </c>
      <c r="T58" s="31" t="n">
        <v>0.85</v>
      </c>
      <c r="U58" s="31" t="n">
        <v>48.93</v>
      </c>
      <c r="V58" s="31" t="n">
        <v>47.67</v>
      </c>
      <c r="W58" s="31" t="n">
        <v>17.24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IF(B59=0,"",RANK(B59,$B$2:$B$396,0))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QUESS</t>
        </is>
      </c>
      <c r="D59" s="30" t="inlineStr">
        <is>
          <t>Quess Corp Limited</t>
        </is>
      </c>
      <c r="E59" s="30" t="inlineStr">
        <is>
          <t>miscellaneous</t>
        </is>
      </c>
      <c r="F59" s="30" t="inlineStr">
        <is>
          <t>diversified - large</t>
        </is>
      </c>
      <c r="G59" s="30" t="inlineStr">
        <is>
          <t>smallcap</t>
        </is>
      </c>
      <c r="H59" s="31" t="n">
        <v>4708.57</v>
      </c>
      <c r="I59" s="31" t="n">
        <v>309.3</v>
      </c>
      <c r="J59" s="31" t="n">
        <v>-1.89</v>
      </c>
      <c r="K59" s="31" t="n">
        <v>388684</v>
      </c>
      <c r="L59" s="30" t="n">
        <v>58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70.7</v>
      </c>
      <c r="P59" s="31" t="n">
        <v>46.43</v>
      </c>
      <c r="Q59" s="31" t="n">
        <v>256.83</v>
      </c>
      <c r="R59" s="30" t="inlineStr">
        <is>
          <t>Earnings / Momentum Support</t>
        </is>
      </c>
      <c r="S59" s="30" t="inlineStr">
        <is>
          <t>Nifty 50</t>
        </is>
      </c>
      <c r="T59" s="31" t="n">
        <v>0.85</v>
      </c>
      <c r="U59" s="31" t="n">
        <v>21.89</v>
      </c>
      <c r="V59" s="31" t="n">
        <v>20.86</v>
      </c>
      <c r="W59" s="31" t="n">
        <v>13.69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IF(B60=0,"",RANK(B60,$B$2:$B$396,0))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AEGISLOG</t>
        </is>
      </c>
      <c r="D60" s="30" t="inlineStr">
        <is>
          <t>Aegis Logistics Ltd</t>
        </is>
      </c>
      <c r="E60" s="30" t="inlineStr">
        <is>
          <t>services</t>
        </is>
      </c>
      <c r="F60" s="30" t="inlineStr">
        <is>
          <t>trading</t>
        </is>
      </c>
      <c r="G60" s="30" t="inlineStr">
        <is>
          <t>largecap</t>
        </is>
      </c>
      <c r="H60" s="31" t="n">
        <v>49140</v>
      </c>
      <c r="I60" s="31" t="n">
        <v>1371</v>
      </c>
      <c r="J60" s="31" t="n">
        <v>-2.07</v>
      </c>
      <c r="K60" s="31" t="n">
        <v>1673750</v>
      </c>
      <c r="L60" s="30" t="n">
        <v>94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76.15000000000001</v>
      </c>
      <c r="P60" s="31" t="n">
        <v>49.23</v>
      </c>
      <c r="Q60" s="31" t="n">
        <v>1010.12</v>
      </c>
      <c r="R60" s="30" t="inlineStr">
        <is>
          <t>Near 52W High Breakout</t>
        </is>
      </c>
      <c r="S60" s="30" t="inlineStr">
        <is>
          <t>Nifty 50</t>
        </is>
      </c>
      <c r="T60" s="31" t="n">
        <v>0.85</v>
      </c>
      <c r="U60" s="31" t="n">
        <v>93.36</v>
      </c>
      <c r="V60" s="31" t="n">
        <v>91.73</v>
      </c>
      <c r="W60" s="31" t="n">
        <v>36.86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IF(B61=0,"",RANK(B61,$B$2:$B$396,0))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SPECTRUM</t>
        </is>
      </c>
      <c r="D61" s="30" t="inlineStr">
        <is>
          <t>Spectrum Electrical Industries Ltd</t>
        </is>
      </c>
      <c r="E61" s="30" t="inlineStr">
        <is>
          <t>industrials</t>
        </is>
      </c>
      <c r="F61" s="30" t="inlineStr">
        <is>
          <t>electric equipment</t>
        </is>
      </c>
      <c r="G61" s="30" t="inlineStr">
        <is>
          <t>smallcap</t>
        </is>
      </c>
      <c r="H61" s="31" t="n">
        <v>4035.31</v>
      </c>
      <c r="I61" s="31" t="n">
        <v>2440.7</v>
      </c>
      <c r="J61" s="31" t="n">
        <v>-4.96</v>
      </c>
      <c r="K61" s="31" t="n">
        <v>14749</v>
      </c>
      <c r="L61" s="30" t="n">
        <v>96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77.34</v>
      </c>
      <c r="P61" s="31" t="n">
        <v>53.17</v>
      </c>
      <c r="Q61" s="31" t="n">
        <v>1734.34</v>
      </c>
      <c r="R61" s="30" t="inlineStr">
        <is>
          <t>Near 52W High Breakout</t>
        </is>
      </c>
      <c r="S61" s="30" t="inlineStr">
        <is>
          <t>Nifty Infra</t>
        </is>
      </c>
      <c r="T61" s="31" t="n">
        <v>4.83</v>
      </c>
      <c r="U61" s="31" t="n">
        <v>55.94</v>
      </c>
      <c r="V61" s="31" t="n">
        <v>48.75</v>
      </c>
      <c r="W61" s="31" t="n">
        <v>40.06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IF(B62=0,"",RANK(B62,$B$2:$B$396,0))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SHILPAMED</t>
        </is>
      </c>
      <c r="D62" s="30" t="inlineStr">
        <is>
          <t>Shilpa Medicare Limited</t>
        </is>
      </c>
      <c r="E62" s="30" t="inlineStr">
        <is>
          <t>healthcare</t>
        </is>
      </c>
      <c r="F62" s="30" t="inlineStr">
        <is>
          <t>pharmaceuticals - indian - formulations</t>
        </is>
      </c>
      <c r="G62" s="30" t="inlineStr">
        <is>
          <t>midcap</t>
        </is>
      </c>
      <c r="H62" s="31" t="n">
        <v>14449.58</v>
      </c>
      <c r="I62" s="31" t="n">
        <v>759.75</v>
      </c>
      <c r="J62" s="31" t="n">
        <v>2.84</v>
      </c>
      <c r="K62" s="31" t="n">
        <v>6303820</v>
      </c>
      <c r="L62" s="30" t="n">
        <v>92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86.81</v>
      </c>
      <c r="P62" s="31" t="n">
        <v>70.91</v>
      </c>
      <c r="Q62" s="31" t="n">
        <v>601.59</v>
      </c>
      <c r="R62" s="30" t="inlineStr">
        <is>
          <t>Volume Spike &amp; Near 52W High Breakout</t>
        </is>
      </c>
      <c r="S62" s="30" t="inlineStr">
        <is>
          <t>Nifty Pharma</t>
        </is>
      </c>
      <c r="T62" s="31" t="n">
        <v>24.01</v>
      </c>
      <c r="U62" s="31" t="n">
        <v>82.84999999999999</v>
      </c>
      <c r="V62" s="31" t="n">
        <v>47.45</v>
      </c>
      <c r="W62" s="31" t="n">
        <v>32.09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IF(B63=0,"",RANK(B63,$B$2:$B$396,0))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VENKEYS</t>
        </is>
      </c>
      <c r="D63" s="30" t="inlineStr">
        <is>
          <t>Venky's (india) Limited</t>
        </is>
      </c>
      <c r="E63" s="30" t="inlineStr">
        <is>
          <t>fmcg</t>
        </is>
      </c>
      <c r="F63" s="30" t="inlineStr">
        <is>
          <t>miscellaneous</t>
        </is>
      </c>
      <c r="G63" s="30" t="inlineStr">
        <is>
          <t>smallcap</t>
        </is>
      </c>
      <c r="H63" s="31" t="n">
        <v>2204.81</v>
      </c>
      <c r="I63" s="31" t="n">
        <v>1561.1</v>
      </c>
      <c r="J63" s="31" t="n">
        <v>-0.26</v>
      </c>
      <c r="K63" s="31" t="n">
        <v>22629</v>
      </c>
      <c r="L63" s="30" t="n">
        <v>10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57.85</v>
      </c>
      <c r="P63" s="31" t="n">
        <v>36.94</v>
      </c>
      <c r="Q63" s="31" t="n">
        <v>1301.32</v>
      </c>
      <c r="R63" s="30" t="inlineStr">
        <is>
          <t>Near 52W High Breakout</t>
        </is>
      </c>
      <c r="S63" s="30" t="inlineStr">
        <is>
          <t>Nifty FMCG</t>
        </is>
      </c>
      <c r="T63" s="31" t="n">
        <v>-9.43</v>
      </c>
      <c r="U63" s="31" t="n">
        <v>2.5</v>
      </c>
      <c r="V63" s="31" t="n">
        <v>13.17</v>
      </c>
      <c r="W63" s="31" t="n">
        <v>1.26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B2C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IF(B64=0,"",RANK(B64,$B$2:$B$396,0))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ENRIN</t>
        </is>
      </c>
      <c r="D64" s="30" t="inlineStr">
        <is>
          <t>Siemens Energy India Ltd</t>
        </is>
      </c>
      <c r="E64" s="30" t="inlineStr">
        <is>
          <t>power &amp; utilities</t>
        </is>
      </c>
      <c r="F64" s="30" t="inlineStr">
        <is>
          <t>power generation and supply</t>
        </is>
      </c>
      <c r="G64" s="30" t="inlineStr">
        <is>
          <t>largecap</t>
        </is>
      </c>
      <c r="H64" s="31" t="n">
        <v>115817.51</v>
      </c>
      <c r="I64" s="31" t="n">
        <v>3648.8</v>
      </c>
      <c r="J64" s="31" t="n">
        <v>12.19</v>
      </c>
      <c r="K64" s="31" t="n">
        <v>7974018</v>
      </c>
      <c r="L64" s="30" t="n">
        <v>35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58.47</v>
      </c>
      <c r="P64" s="31" t="n">
        <v>23.79</v>
      </c>
      <c r="Q64" s="31" t="n">
        <v>2959.67</v>
      </c>
      <c r="R64" s="30" t="inlineStr">
        <is>
          <t>Volume Spike / Accumulation</t>
        </is>
      </c>
      <c r="S64" s="30" t="inlineStr">
        <is>
          <t>Nifty IT</t>
        </is>
      </c>
      <c r="T64" s="31" t="n">
        <v>-8.289999999999999</v>
      </c>
      <c r="U64" s="31" t="n">
        <v>18.51</v>
      </c>
      <c r="V64" s="31" t="n">
        <v>29.22</v>
      </c>
      <c r="W64" s="31" t="n">
        <v>7.02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IF(B65=0,"",RANK(B65,$B$2:$B$396,0))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AVALON</t>
        </is>
      </c>
      <c r="D65" s="30" t="inlineStr">
        <is>
          <t>Avalon Technologies Ltd</t>
        </is>
      </c>
      <c r="E65" s="30" t="inlineStr">
        <is>
          <t>consumer discretionary</t>
        </is>
      </c>
      <c r="F65" s="30" t="inlineStr">
        <is>
          <t>electronics - components</t>
        </is>
      </c>
      <c r="G65" s="30" t="inlineStr">
        <is>
          <t>midcap</t>
        </is>
      </c>
      <c r="H65" s="31" t="n">
        <v>11855.75</v>
      </c>
      <c r="I65" s="31" t="n">
        <v>1965.3</v>
      </c>
      <c r="J65" s="31" t="n">
        <v>10.75</v>
      </c>
      <c r="K65" s="31" t="n">
        <v>1877232</v>
      </c>
      <c r="L65" s="30" t="n">
        <v>87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79.86</v>
      </c>
      <c r="P65" s="31" t="n">
        <v>58.42</v>
      </c>
      <c r="Q65" s="31" t="n">
        <v>1498.36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0.85</v>
      </c>
      <c r="U65" s="31" t="n">
        <v>119.41</v>
      </c>
      <c r="V65" s="31" t="n">
        <v>117.56</v>
      </c>
      <c r="W65" s="31" t="n">
        <v>26.65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IF(B66=0,"",RANK(B66,$B$2:$B$396,0))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KENNAMET</t>
        </is>
      </c>
      <c r="D66" s="30" t="inlineStr">
        <is>
          <t>Kennametal India Ltd</t>
        </is>
      </c>
      <c r="E66" s="30" t="inlineStr">
        <is>
          <t>industrials</t>
        </is>
      </c>
      <c r="F66" s="30" t="inlineStr">
        <is>
          <t>castings &amp; forgings</t>
        </is>
      </c>
      <c r="G66" s="30" t="inlineStr">
        <is>
          <t>midcap</t>
        </is>
      </c>
      <c r="H66" s="31" t="n">
        <v>6865.34</v>
      </c>
      <c r="I66" s="31" t="n">
        <v>3309.9</v>
      </c>
      <c r="J66" s="31" t="n">
        <v>5.96</v>
      </c>
      <c r="K66" s="31" t="n">
        <v>37533</v>
      </c>
      <c r="L66" s="30" t="n">
        <v>68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70.47</v>
      </c>
      <c r="P66" s="31" t="n">
        <v>44.68</v>
      </c>
      <c r="Q66" s="31" t="n">
        <v>2601.43</v>
      </c>
      <c r="R66" s="30" t="inlineStr">
        <is>
          <t>Near 52W High Breakout</t>
        </is>
      </c>
      <c r="S66" s="30" t="inlineStr">
        <is>
          <t>Nifty Infra</t>
        </is>
      </c>
      <c r="T66" s="31" t="n">
        <v>4.83</v>
      </c>
      <c r="U66" s="31" t="n">
        <v>46.44</v>
      </c>
      <c r="V66" s="31" t="n">
        <v>39.7</v>
      </c>
      <c r="W66" s="31" t="n">
        <v>16.38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IF(B67=0,"",RANK(B67,$B$2:$B$396,0))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DIVGIITTS</t>
        </is>
      </c>
      <c r="D67" s="30" t="inlineStr">
        <is>
          <t>Divgi Torqtransfer Systems Ltd</t>
        </is>
      </c>
      <c r="E67" s="30" t="inlineStr">
        <is>
          <t>auto</t>
        </is>
      </c>
      <c r="F67" s="30" t="inlineStr">
        <is>
          <t>auto ancillaries</t>
        </is>
      </c>
      <c r="G67" s="30" t="inlineStr">
        <is>
          <t>smallcap</t>
        </is>
      </c>
      <c r="H67" s="31" t="n">
        <v>3023.43</v>
      </c>
      <c r="I67" s="31" t="n">
        <v>1047.25</v>
      </c>
      <c r="J67" s="31" t="n">
        <v>5.93</v>
      </c>
      <c r="K67" s="31" t="n">
        <v>189136</v>
      </c>
      <c r="L67" s="30" t="n">
        <v>75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68.97</v>
      </c>
      <c r="P67" s="31" t="n">
        <v>42.37</v>
      </c>
      <c r="Q67" s="31" t="n">
        <v>791.85</v>
      </c>
      <c r="R67" s="30" t="inlineStr">
        <is>
          <t>Near 52W High Breakout</t>
        </is>
      </c>
      <c r="S67" s="30" t="inlineStr">
        <is>
          <t>Nifty Auto</t>
        </is>
      </c>
      <c r="T67" s="31" t="n">
        <v>24.67</v>
      </c>
      <c r="U67" s="31" t="n">
        <v>62.98</v>
      </c>
      <c r="V67" s="31" t="n">
        <v>30.73</v>
      </c>
      <c r="W67" s="31" t="n">
        <v>19.45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IF(B68=0,"",RANK(B68,$B$2:$B$396,0))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FIEMIND</t>
        </is>
      </c>
      <c r="D68" s="30" t="inlineStr">
        <is>
          <t>Fiem Industries Limited</t>
        </is>
      </c>
      <c r="E68" s="30" t="inlineStr">
        <is>
          <t>auto</t>
        </is>
      </c>
      <c r="F68" s="30" t="inlineStr">
        <is>
          <t>auto ancillaries</t>
        </is>
      </c>
      <c r="G68" s="30" t="inlineStr">
        <is>
          <t>midcap</t>
        </is>
      </c>
      <c r="H68" s="31" t="n">
        <v>6525.96</v>
      </c>
      <c r="I68" s="31" t="n">
        <v>2580.3</v>
      </c>
      <c r="J68" s="31" t="n">
        <v>4.07</v>
      </c>
      <c r="K68" s="31" t="n">
        <v>195760</v>
      </c>
      <c r="L68" s="30" t="n">
        <v>47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72.28</v>
      </c>
      <c r="P68" s="31" t="n">
        <v>25.4</v>
      </c>
      <c r="Q68" s="31" t="n">
        <v>2124.88</v>
      </c>
      <c r="R68" s="30" t="inlineStr">
        <is>
          <t>Volume Spike &amp; Near 52W High Breakout</t>
        </is>
      </c>
      <c r="S68" s="30" t="inlineStr">
        <is>
          <t>Nifty Auto</t>
        </is>
      </c>
      <c r="T68" s="31" t="n">
        <v>24.67</v>
      </c>
      <c r="U68" s="31" t="n">
        <v>32.12</v>
      </c>
      <c r="V68" s="31" t="n">
        <v>5.98</v>
      </c>
      <c r="W68" s="31" t="n">
        <v>10.13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Less than 50%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IF(B69=0,"",RANK(B69,$B$2:$B$396,0))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KINGFA</t>
        </is>
      </c>
      <c r="D69" s="30" t="inlineStr">
        <is>
          <t>Kingfa Science &amp; Technology (india) Limited</t>
        </is>
      </c>
      <c r="E69" s="30" t="inlineStr">
        <is>
          <t>plastic products</t>
        </is>
      </c>
      <c r="F69" s="30" t="inlineStr">
        <is>
          <t>plastics products</t>
        </is>
      </c>
      <c r="G69" s="30" t="inlineStr">
        <is>
          <t>midcap</t>
        </is>
      </c>
      <c r="H69" s="31" t="n">
        <v>7241.86</v>
      </c>
      <c r="I69" s="31" t="n">
        <v>5549.5</v>
      </c>
      <c r="J69" s="31" t="n">
        <v>3.85</v>
      </c>
      <c r="K69" s="31" t="n">
        <v>46554</v>
      </c>
      <c r="L69" s="30" t="n">
        <v>51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64</v>
      </c>
      <c r="P69" s="31" t="n">
        <v>29.82</v>
      </c>
      <c r="Q69" s="31" t="n">
        <v>4380.07</v>
      </c>
      <c r="R69" s="30" t="inlineStr">
        <is>
          <t>Volume Spike &amp; Near 52W High Breakout</t>
        </is>
      </c>
      <c r="S69" s="30" t="inlineStr">
        <is>
          <t>Nifty 50</t>
        </is>
      </c>
      <c r="T69" s="31" t="n">
        <v>0.85</v>
      </c>
      <c r="U69" s="31" t="n">
        <v>59.32</v>
      </c>
      <c r="V69" s="31" t="n">
        <v>57.98</v>
      </c>
      <c r="W69" s="31" t="n">
        <v>11.26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Less than 50%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IF(B70=0,"",RANK(B70,$B$2:$B$396,0))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ARVIND</t>
        </is>
      </c>
      <c r="D70" s="30" t="inlineStr">
        <is>
          <t>Arvind Limited</t>
        </is>
      </c>
      <c r="E70" s="30" t="inlineStr">
        <is>
          <t>textiles</t>
        </is>
      </c>
      <c r="F70" s="30" t="inlineStr">
        <is>
          <t>textiles - cotton/blended</t>
        </is>
      </c>
      <c r="G70" s="30" t="inlineStr">
        <is>
          <t>midcap</t>
        </is>
      </c>
      <c r="H70" s="31" t="n">
        <v>14315.45</v>
      </c>
      <c r="I70" s="31" t="n">
        <v>560.55</v>
      </c>
      <c r="J70" s="31" t="n">
        <v>2.65</v>
      </c>
      <c r="K70" s="31" t="n">
        <v>620498</v>
      </c>
      <c r="L70" s="30" t="n">
        <v>76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69.73999999999999</v>
      </c>
      <c r="P70" s="31" t="n">
        <v>61.03</v>
      </c>
      <c r="Q70" s="31" t="n">
        <v>452.28</v>
      </c>
      <c r="R70" s="30" t="inlineStr">
        <is>
          <t>Near 52W High Breakout</t>
        </is>
      </c>
      <c r="S70" s="30" t="inlineStr">
        <is>
          <t>Nifty 50</t>
        </is>
      </c>
      <c r="T70" s="31" t="n">
        <v>0.85</v>
      </c>
      <c r="U70" s="31" t="n">
        <v>87.59999999999999</v>
      </c>
      <c r="V70" s="31" t="n">
        <v>86.02</v>
      </c>
      <c r="W70" s="31" t="n">
        <v>19.58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Less than 12%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IF(B71=0,"",RANK(B71,$B$2:$B$396,0))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BIRLACABLE</t>
        </is>
      </c>
      <c r="D71" s="30" t="inlineStr">
        <is>
          <t>Birla Cable Limited</t>
        </is>
      </c>
      <c r="E71" s="30" t="inlineStr">
        <is>
          <t>industrials</t>
        </is>
      </c>
      <c r="F71" s="30" t="inlineStr">
        <is>
          <t>cables - telephone</t>
        </is>
      </c>
      <c r="G71" s="30" t="inlineStr">
        <is>
          <t>smallcap</t>
        </is>
      </c>
      <c r="H71" s="31" t="n">
        <v>743.16</v>
      </c>
      <c r="I71" s="31" t="n">
        <v>254.21</v>
      </c>
      <c r="J71" s="31" t="n">
        <v>2.62</v>
      </c>
      <c r="K71" s="31" t="n">
        <v>618154</v>
      </c>
      <c r="L71" s="30" t="n">
        <v>83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68.34999999999999</v>
      </c>
      <c r="P71" s="31" t="n">
        <v>43.58</v>
      </c>
      <c r="Q71" s="31" t="n">
        <v>180.19</v>
      </c>
      <c r="R71" s="30" t="inlineStr">
        <is>
          <t>Volume Spike &amp; Near 52W High Breakout</t>
        </is>
      </c>
      <c r="S71" s="30" t="inlineStr">
        <is>
          <t>Nifty Infra</t>
        </is>
      </c>
      <c r="T71" s="31" t="n">
        <v>4.83</v>
      </c>
      <c r="U71" s="31" t="n">
        <v>49.42</v>
      </c>
      <c r="V71" s="31" t="n">
        <v>42.54</v>
      </c>
      <c r="W71" s="31" t="n">
        <v>24.61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IF(B72=0,"",RANK(B72,$B$2:$B$396,0))</f>
        <v/>
      </c>
      <c r="B72" s="31">
        <f>SUM(N72,Y72,AA72,AC72,AE72,AG72,AI72,AK72,AM72,AO72,AQ72,AS72,AU72,AW72,AY72,BA72,BC72,BE72,BG72,BI72,BK72,BM72,BO72,BQ72,BS72,BU72,BW72,BY72,CA72,CC72,CE72)</f>
        <v/>
      </c>
      <c r="C72" s="32" t="inlineStr">
        <is>
          <t>ROLEXRINGS</t>
        </is>
      </c>
      <c r="D72" s="32" t="inlineStr">
        <is>
          <t>Rolex Rings Ltd</t>
        </is>
      </c>
      <c r="E72" s="30" t="inlineStr">
        <is>
          <t>auto</t>
        </is>
      </c>
      <c r="F72" s="30" t="inlineStr">
        <is>
          <t>auto ancillaries</t>
        </is>
      </c>
      <c r="G72" s="30" t="inlineStr">
        <is>
          <t>smallcap</t>
        </is>
      </c>
      <c r="H72" s="31" t="n">
        <v>4161.25</v>
      </c>
      <c r="I72" s="31" t="n">
        <v>156.68</v>
      </c>
      <c r="J72" s="31" t="n">
        <v>2.54</v>
      </c>
      <c r="K72" s="31" t="n">
        <v>6820562</v>
      </c>
      <c r="L72" s="30" t="n">
        <v>14</v>
      </c>
      <c r="M72" s="30" t="inlineStr">
        <is>
          <t>Underperforming</t>
        </is>
      </c>
      <c r="N72" s="31">
        <f>IF(M72="Underperforming",-5,IF(L72&gt;=95,15,IF(L72&gt;=90,10,IF(L72&gt;=80,5,0))))</f>
        <v/>
      </c>
      <c r="O72" s="31" t="n">
        <v>58.53</v>
      </c>
      <c r="P72" s="31" t="n">
        <v>34.66</v>
      </c>
      <c r="Q72" s="31" t="n">
        <v>119.17</v>
      </c>
      <c r="R72" s="30" t="inlineStr">
        <is>
          <t>Volume Spike &amp; Near 52W High Breakout</t>
        </is>
      </c>
      <c r="S72" s="30" t="inlineStr">
        <is>
          <t>Nifty Auto</t>
        </is>
      </c>
      <c r="T72" s="31" t="n">
        <v>24.67</v>
      </c>
      <c r="U72" s="31" t="n">
        <v>6.32</v>
      </c>
      <c r="V72" s="31" t="n">
        <v>-14.71</v>
      </c>
      <c r="W72" s="31" t="n">
        <v>2.38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IF(B73=0,"",RANK(B73,$B$2:$B$396,0))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SANSERA</t>
        </is>
      </c>
      <c r="D73" s="30" t="inlineStr">
        <is>
          <t>Sansera Engineering Ltd</t>
        </is>
      </c>
      <c r="E73" s="30" t="inlineStr">
        <is>
          <t>auto</t>
        </is>
      </c>
      <c r="F73" s="30" t="inlineStr">
        <is>
          <t>auto ancillaries</t>
        </is>
      </c>
      <c r="G73" s="30" t="inlineStr">
        <is>
          <t>largecap</t>
        </is>
      </c>
      <c r="H73" s="31" t="n">
        <v>23634.1</v>
      </c>
      <c r="I73" s="31" t="n">
        <v>3863.8</v>
      </c>
      <c r="J73" s="31" t="n">
        <v>2.02</v>
      </c>
      <c r="K73" s="31" t="n">
        <v>196227</v>
      </c>
      <c r="L73" s="30" t="n">
        <v>94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82.81</v>
      </c>
      <c r="P73" s="31" t="n">
        <v>54.02</v>
      </c>
      <c r="Q73" s="31" t="n">
        <v>3110.58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24.67</v>
      </c>
      <c r="U73" s="31" t="n">
        <v>185.55</v>
      </c>
      <c r="V73" s="31" t="n">
        <v>129.05</v>
      </c>
      <c r="W73" s="31" t="n">
        <v>35.88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IF(B74=0,"",RANK(B74,$B$2:$B$396,0))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GHCLTEXTIL</t>
        </is>
      </c>
      <c r="D74" s="30" t="inlineStr">
        <is>
          <t>GHCL Textiles Ltd</t>
        </is>
      </c>
      <c r="E74" s="30" t="inlineStr">
        <is>
          <t>textiles</t>
        </is>
      </c>
      <c r="F74" s="30" t="inlineStr">
        <is>
          <t>textiles - spinning - synthetic / blended</t>
        </is>
      </c>
      <c r="G74" s="30" t="inlineStr">
        <is>
          <t>smallcap</t>
        </is>
      </c>
      <c r="H74" s="31" t="n">
        <v>1147.03</v>
      </c>
      <c r="I74" s="31" t="n">
        <v>121.71</v>
      </c>
      <c r="J74" s="31" t="n">
        <v>1.43</v>
      </c>
      <c r="K74" s="31" t="n">
        <v>1140359</v>
      </c>
      <c r="L74" s="30" t="n">
        <v>69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73.45999999999999</v>
      </c>
      <c r="P74" s="31" t="n">
        <v>30.32</v>
      </c>
      <c r="Q74" s="31" t="n">
        <v>93.78</v>
      </c>
      <c r="R74" s="30" t="inlineStr">
        <is>
          <t>Near 52W High Breakout</t>
        </is>
      </c>
      <c r="S74" s="30" t="inlineStr">
        <is>
          <t>Nifty 50</t>
        </is>
      </c>
      <c r="T74" s="31" t="n">
        <v>0.85</v>
      </c>
      <c r="U74" s="31" t="n">
        <v>53.55</v>
      </c>
      <c r="V74" s="31" t="n">
        <v>52.25</v>
      </c>
      <c r="W74" s="31" t="n">
        <v>16.52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IF(B75=0,"",RANK(B75,$B$2:$B$396,0))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THELEELA</t>
        </is>
      </c>
      <c r="D75" s="30" t="inlineStr">
        <is>
          <t>Leela Palaces Hotels &amp; Resorts Ltd</t>
        </is>
      </c>
      <c r="E75" s="30" t="inlineStr">
        <is>
          <t>services</t>
        </is>
      </c>
      <c r="F75" s="30" t="inlineStr">
        <is>
          <t>hotels</t>
        </is>
      </c>
      <c r="G75" s="30" t="inlineStr">
        <is>
          <t>midcap</t>
        </is>
      </c>
      <c r="H75" s="31" t="n">
        <v>17065.25</v>
      </c>
      <c r="I75" s="31" t="n">
        <v>518</v>
      </c>
      <c r="J75" s="31" t="n">
        <v>1.37</v>
      </c>
      <c r="K75" s="31" t="n">
        <v>495585</v>
      </c>
      <c r="L75" s="30" t="n">
        <v>39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65.38</v>
      </c>
      <c r="P75" s="31" t="n">
        <v>23.57</v>
      </c>
      <c r="Q75" s="31" t="n">
        <v>420.12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0.85</v>
      </c>
      <c r="U75" s="31" t="n">
        <v>19.18</v>
      </c>
      <c r="V75" s="31" t="n">
        <v>18.17</v>
      </c>
      <c r="W75" s="31" t="n">
        <v>8.42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IF(B76=0,"",RANK(B76,$B$2:$B$396,0))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JINDWORLD</t>
        </is>
      </c>
      <c r="D76" s="30" t="inlineStr">
        <is>
          <t>Jindal Worldwide Limited</t>
        </is>
      </c>
      <c r="E76" s="30" t="inlineStr">
        <is>
          <t>textiles</t>
        </is>
      </c>
      <c r="F76" s="30" t="inlineStr">
        <is>
          <t>textiles - products</t>
        </is>
      </c>
      <c r="G76" s="30" t="inlineStr">
        <is>
          <t>smallcap</t>
        </is>
      </c>
      <c r="H76" s="31" t="n">
        <v>3860.02</v>
      </c>
      <c r="I76" s="31" t="n">
        <v>38.93</v>
      </c>
      <c r="J76" s="31" t="n">
        <v>1.12</v>
      </c>
      <c r="K76" s="31" t="n">
        <v>10633658</v>
      </c>
      <c r="L76" s="30" t="n">
        <v>56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68.34999999999999</v>
      </c>
      <c r="P76" s="31" t="n">
        <v>31.13</v>
      </c>
      <c r="Q76" s="31" t="n">
        <v>26.79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0.85</v>
      </c>
      <c r="U76" s="31" t="n">
        <v>9.66</v>
      </c>
      <c r="V76" s="31" t="n">
        <v>8.74</v>
      </c>
      <c r="W76" s="31" t="n">
        <v>12.89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IF(B77=0,"",RANK(B77,$B$2:$B$396,0))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WELCORP</t>
        </is>
      </c>
      <c r="D77" s="30" t="inlineStr">
        <is>
          <t>Welspun Corp Limited</t>
        </is>
      </c>
      <c r="E77" s="30" t="inlineStr">
        <is>
          <t>industrials</t>
        </is>
      </c>
      <c r="F77" s="30" t="inlineStr">
        <is>
          <t>steel - large</t>
        </is>
      </c>
      <c r="G77" s="30" t="inlineStr">
        <is>
          <t>largecap</t>
        </is>
      </c>
      <c r="H77" s="31" t="n">
        <v>47999.35</v>
      </c>
      <c r="I77" s="31" t="n">
        <v>1840</v>
      </c>
      <c r="J77" s="31" t="n">
        <v>1.12</v>
      </c>
      <c r="K77" s="31" t="n">
        <v>718142</v>
      </c>
      <c r="L77" s="30" t="n">
        <v>89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88.33</v>
      </c>
      <c r="P77" s="31" t="n">
        <v>69.92</v>
      </c>
      <c r="Q77" s="31" t="n">
        <v>1520.4</v>
      </c>
      <c r="R77" s="30" t="inlineStr">
        <is>
          <t>Near 52W High Breakout</t>
        </is>
      </c>
      <c r="S77" s="30" t="inlineStr">
        <is>
          <t>Nifty Metal</t>
        </is>
      </c>
      <c r="T77" s="31" t="n">
        <v>39.94</v>
      </c>
      <c r="U77" s="31" t="n">
        <v>108.13</v>
      </c>
      <c r="V77" s="31" t="n">
        <v>48.72</v>
      </c>
      <c r="W77" s="31" t="n">
        <v>30.53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IF(B78=0,"",RANK(B78,$B$2:$B$396,0))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SHRIPISTON</t>
        </is>
      </c>
      <c r="D78" s="30" t="inlineStr">
        <is>
          <t>Shriram Pistons &amp; Rings Limited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midcap</t>
        </is>
      </c>
      <c r="H78" s="31" t="n">
        <v>19053.31</v>
      </c>
      <c r="I78" s="31" t="n">
        <v>4350</v>
      </c>
      <c r="J78" s="31" t="n">
        <v>0.57</v>
      </c>
      <c r="K78" s="31" t="n">
        <v>56486</v>
      </c>
      <c r="L78" s="30" t="n">
        <v>74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72.94</v>
      </c>
      <c r="P78" s="31" t="n">
        <v>41.11</v>
      </c>
      <c r="Q78" s="31" t="n">
        <v>3492.94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24.67</v>
      </c>
      <c r="U78" s="31" t="n">
        <v>82.23</v>
      </c>
      <c r="V78" s="31" t="n">
        <v>46.17</v>
      </c>
      <c r="W78" s="31" t="n">
        <v>18.7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IF(B79=0,"",RANK(B79,$B$2:$B$396,0))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KANORICHEM</t>
        </is>
      </c>
      <c r="D79" s="30" t="inlineStr">
        <is>
          <t>Kanoria Chemicals &amp; Industries Limited</t>
        </is>
      </c>
      <c r="E79" s="30" t="inlineStr">
        <is>
          <t>chemicals</t>
        </is>
      </c>
      <c r="F79" s="30" t="inlineStr">
        <is>
          <t>chemicals</t>
        </is>
      </c>
      <c r="G79" s="30" t="inlineStr">
        <is>
          <t>smallcap</t>
        </is>
      </c>
      <c r="H79" s="31" t="n">
        <v>660.08</v>
      </c>
      <c r="I79" s="31" t="n">
        <v>151.4</v>
      </c>
      <c r="J79" s="31" t="n">
        <v>0.22</v>
      </c>
      <c r="K79" s="31" t="n">
        <v>17065</v>
      </c>
      <c r="L79" s="30" t="n">
        <v>85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70.45999999999999</v>
      </c>
      <c r="P79" s="31" t="n">
        <v>53.41</v>
      </c>
      <c r="Q79" s="31" t="n">
        <v>119.85</v>
      </c>
      <c r="R79" s="30" t="inlineStr">
        <is>
          <t>Earnings / Momentum Support</t>
        </is>
      </c>
      <c r="S79" s="30" t="inlineStr">
        <is>
          <t>Nifty 50</t>
        </is>
      </c>
      <c r="T79" s="31" t="n">
        <v>0.85</v>
      </c>
      <c r="U79" s="31" t="n">
        <v>72.55</v>
      </c>
      <c r="V79" s="31" t="n">
        <v>71.09999999999999</v>
      </c>
      <c r="W79" s="31" t="n">
        <v>25.42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IF(B80=0,"",RANK(B80,$B$2:$B$396,0))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RRKABEL</t>
        </is>
      </c>
      <c r="D80" s="30" t="inlineStr">
        <is>
          <t>R R Kabel Ltd</t>
        </is>
      </c>
      <c r="E80" s="30" t="inlineStr">
        <is>
          <t>industrials</t>
        </is>
      </c>
      <c r="F80" s="30" t="inlineStr">
        <is>
          <t>cables - power</t>
        </is>
      </c>
      <c r="G80" s="30" t="inlineStr">
        <is>
          <t>largecap</t>
        </is>
      </c>
      <c r="H80" s="31" t="n">
        <v>31266.89</v>
      </c>
      <c r="I80" s="31" t="n">
        <v>2759.5</v>
      </c>
      <c r="J80" s="31" t="n">
        <v>-0.18</v>
      </c>
      <c r="K80" s="31" t="n">
        <v>287032</v>
      </c>
      <c r="L80" s="30" t="n">
        <v>94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77.01000000000001</v>
      </c>
      <c r="P80" s="31" t="n">
        <v>66.44</v>
      </c>
      <c r="Q80" s="31" t="n">
        <v>2177.15</v>
      </c>
      <c r="R80" s="30" t="inlineStr">
        <is>
          <t>Near 52W High Breakout</t>
        </is>
      </c>
      <c r="S80" s="30" t="inlineStr">
        <is>
          <t>Nifty Energy</t>
        </is>
      </c>
      <c r="T80" s="31" t="n">
        <v>9.93</v>
      </c>
      <c r="U80" s="31" t="n">
        <v>98.70999999999999</v>
      </c>
      <c r="V80" s="31" t="n">
        <v>80.77</v>
      </c>
      <c r="W80" s="31" t="n">
        <v>37.67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IF(B81=0,"",RANK(B81,$B$2:$B$396,0))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SSWL</t>
        </is>
      </c>
      <c r="D81" s="30" t="inlineStr">
        <is>
          <t>Steel Strips Wheels Limited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smallcap</t>
        </is>
      </c>
      <c r="H81" s="31" t="n">
        <v>4860.02</v>
      </c>
      <c r="I81" s="31" t="n">
        <v>308.5</v>
      </c>
      <c r="J81" s="31" t="n">
        <v>-0.23</v>
      </c>
      <c r="K81" s="31" t="n">
        <v>658489</v>
      </c>
      <c r="L81" s="30" t="n">
        <v>70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75.48</v>
      </c>
      <c r="P81" s="31" t="n">
        <v>24.49</v>
      </c>
      <c r="Q81" s="31" t="n">
        <v>244.81</v>
      </c>
      <c r="R81" s="30" t="inlineStr">
        <is>
          <t>Near 52W High Breakout</t>
        </is>
      </c>
      <c r="S81" s="30" t="inlineStr">
        <is>
          <t>Nifty Auto</t>
        </is>
      </c>
      <c r="T81" s="31" t="n">
        <v>24.67</v>
      </c>
      <c r="U81" s="31" t="n">
        <v>28.81</v>
      </c>
      <c r="V81" s="31" t="n">
        <v>3.32</v>
      </c>
      <c r="W81" s="31" t="n">
        <v>17.2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IF(B82=0,"",RANK(B82,$B$2:$B$396,0))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IDEAFORGE</t>
        </is>
      </c>
      <c r="D82" s="30" t="inlineStr">
        <is>
          <t>Ideaforge Technology Ltd</t>
        </is>
      </c>
      <c r="E82" s="30" t="inlineStr">
        <is>
          <t>aerospace &amp; defence</t>
        </is>
      </c>
      <c r="F82" s="30" t="inlineStr">
        <is>
          <t>engineering</t>
        </is>
      </c>
      <c r="G82" s="30" t="inlineStr">
        <is>
          <t>smallcap</t>
        </is>
      </c>
      <c r="H82" s="31" t="n">
        <v>4551.2</v>
      </c>
      <c r="I82" s="31" t="n">
        <v>911.65</v>
      </c>
      <c r="J82" s="31" t="n">
        <v>-0.47</v>
      </c>
      <c r="K82" s="31" t="n">
        <v>251143</v>
      </c>
      <c r="L82" s="30" t="n">
        <v>93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65.75</v>
      </c>
      <c r="P82" s="31" t="n">
        <v>67.84999999999999</v>
      </c>
      <c r="Q82" s="31" t="n">
        <v>674.74</v>
      </c>
      <c r="R82" s="30" t="inlineStr">
        <is>
          <t>Near 52W High Breakout</t>
        </is>
      </c>
      <c r="S82" s="30" t="inlineStr">
        <is>
          <t>Nifty Infra</t>
        </is>
      </c>
      <c r="T82" s="31" t="n">
        <v>4.83</v>
      </c>
      <c r="U82" s="31" t="n">
        <v>93.23</v>
      </c>
      <c r="V82" s="31" t="n">
        <v>84.33</v>
      </c>
      <c r="W82" s="31" t="n">
        <v>33.65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Negative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IF(B83=0,"",RANK(B83,$B$2:$B$396,0))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UFBL</t>
        </is>
      </c>
      <c r="D83" s="30" t="inlineStr">
        <is>
          <t>United Foodbrands Ltd</t>
        </is>
      </c>
      <c r="E83" s="30" t="inlineStr">
        <is>
          <t>consumer discretionary</t>
        </is>
      </c>
      <c r="F83" s="30" t="inlineStr">
        <is>
          <t>hotels</t>
        </is>
      </c>
      <c r="G83" s="30" t="inlineStr">
        <is>
          <t>smallcap</t>
        </is>
      </c>
      <c r="H83" s="31" t="n">
        <v>3143.72</v>
      </c>
      <c r="I83" s="31" t="n">
        <v>797.5</v>
      </c>
      <c r="J83" s="31" t="n">
        <v>-0.85</v>
      </c>
      <c r="K83" s="31" t="n">
        <v>325409</v>
      </c>
      <c r="L83" s="30" t="n">
        <v>98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79.81999999999999</v>
      </c>
      <c r="P83" s="31" t="n">
        <v>56.09</v>
      </c>
      <c r="Q83" s="31" t="n">
        <v>600.0599999999999</v>
      </c>
      <c r="R83" s="30" t="inlineStr">
        <is>
          <t>Volume Spike &amp; Near 52W High Breakout</t>
        </is>
      </c>
      <c r="S83" s="30" t="inlineStr">
        <is>
          <t>Nifty 50</t>
        </is>
      </c>
      <c r="T83" s="31" t="n">
        <v>0.85</v>
      </c>
      <c r="U83" s="31" t="n">
        <v>218.89</v>
      </c>
      <c r="V83" s="31" t="n">
        <v>216.2</v>
      </c>
      <c r="W83" s="31" t="n">
        <v>55.72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More than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IF(B84=0,"",RANK(B84,$B$2:$B$396,0))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OCCLLTD</t>
        </is>
      </c>
      <c r="D84" s="30" t="inlineStr">
        <is>
          <t>OCCL Ltd</t>
        </is>
      </c>
      <c r="E84" s="30" t="inlineStr">
        <is>
          <t>chemicals</t>
        </is>
      </c>
      <c r="F84" s="30" t="inlineStr">
        <is>
          <t>chemicals</t>
        </is>
      </c>
      <c r="G84" s="30" t="inlineStr">
        <is>
          <t>smallcap</t>
        </is>
      </c>
      <c r="H84" s="31" t="n">
        <v>813.1900000000001</v>
      </c>
      <c r="I84" s="31" t="n">
        <v>159.6</v>
      </c>
      <c r="J84" s="31" t="n">
        <v>-1.97</v>
      </c>
      <c r="K84" s="31" t="n">
        <v>153036</v>
      </c>
      <c r="L84" s="30" t="n">
        <v>70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76.97</v>
      </c>
      <c r="P84" s="31" t="n">
        <v>35.83</v>
      </c>
      <c r="Q84" s="31" t="n">
        <v>115.75</v>
      </c>
      <c r="R84" s="30" t="inlineStr">
        <is>
          <t>Near 52W High Breakout</t>
        </is>
      </c>
      <c r="S84" s="30" t="inlineStr">
        <is>
          <t>Nifty 50</t>
        </is>
      </c>
      <c r="T84" s="31" t="n">
        <v>0.85</v>
      </c>
      <c r="U84" s="31" t="n">
        <v>18.15</v>
      </c>
      <c r="V84" s="31" t="n">
        <v>17.16</v>
      </c>
      <c r="W84" s="31" t="n">
        <v>17.21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IF(B85=0,"",RANK(B85,$B$2:$B$396,0))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SHAILY</t>
        </is>
      </c>
      <c r="D85" s="30" t="inlineStr">
        <is>
          <t>Shaily Engineering Plastics Ltd</t>
        </is>
      </c>
      <c r="E85" s="30" t="inlineStr">
        <is>
          <t>plastic products</t>
        </is>
      </c>
      <c r="F85" s="30" t="inlineStr">
        <is>
          <t>plastics products</t>
        </is>
      </c>
      <c r="G85" s="30" t="inlineStr">
        <is>
          <t>midcap</t>
        </is>
      </c>
      <c r="H85" s="31" t="n">
        <v>15483.38</v>
      </c>
      <c r="I85" s="31" t="n">
        <v>3162.3</v>
      </c>
      <c r="J85" s="31" t="n">
        <v>-6.06</v>
      </c>
      <c r="K85" s="31" t="n">
        <v>268206</v>
      </c>
      <c r="L85" s="30" t="n">
        <v>78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66.75</v>
      </c>
      <c r="P85" s="31" t="n">
        <v>28.55</v>
      </c>
      <c r="Q85" s="31" t="n">
        <v>2331.44</v>
      </c>
      <c r="R85" s="30" t="inlineStr">
        <is>
          <t>Near 52W High Breakout</t>
        </is>
      </c>
      <c r="S85" s="30" t="inlineStr">
        <is>
          <t>Nifty 50</t>
        </is>
      </c>
      <c r="T85" s="31" t="n">
        <v>0.85</v>
      </c>
      <c r="U85" s="31" t="n">
        <v>97.8</v>
      </c>
      <c r="V85" s="31" t="n">
        <v>96.13</v>
      </c>
      <c r="W85" s="31" t="n">
        <v>21.08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IF(B86=0,"",RANK(B86,$B$2:$B$396,0))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DIAMONDYD</t>
        </is>
      </c>
      <c r="D86" s="30" t="inlineStr">
        <is>
          <t>Prataap Snacks Ltd</t>
        </is>
      </c>
      <c r="E86" s="30" t="inlineStr">
        <is>
          <t>fmcg</t>
        </is>
      </c>
      <c r="F86" s="30" t="inlineStr">
        <is>
          <t>food - processing - indian</t>
        </is>
      </c>
      <c r="G86" s="30" t="inlineStr">
        <is>
          <t>smallcap</t>
        </is>
      </c>
      <c r="H86" s="31" t="n">
        <v>2788.45</v>
      </c>
      <c r="I86" s="31" t="n">
        <v>1227.4</v>
      </c>
      <c r="J86" s="31" t="n">
        <v>5.25</v>
      </c>
      <c r="K86" s="31" t="n">
        <v>445511</v>
      </c>
      <c r="L86" s="30" t="n">
        <v>44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63.52</v>
      </c>
      <c r="P86" s="31" t="n">
        <v>25.53</v>
      </c>
      <c r="Q86" s="31" t="n">
        <v>983.4400000000001</v>
      </c>
      <c r="R86" s="30" t="inlineStr">
        <is>
          <t>Volume Spike &amp; Near 52W High Breakout</t>
        </is>
      </c>
      <c r="S86" s="30" t="inlineStr">
        <is>
          <t>Nifty FMCG</t>
        </is>
      </c>
      <c r="T86" s="31" t="n">
        <v>-9.43</v>
      </c>
      <c r="U86" s="31" t="n">
        <v>23.39</v>
      </c>
      <c r="V86" s="31" t="n">
        <v>36.24</v>
      </c>
      <c r="W86" s="31" t="n">
        <v>9.539999999999999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B2C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Between 50% to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IF(B87=0,"",RANK(B87,$B$2:$B$396,0))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SUPRIYA</t>
        </is>
      </c>
      <c r="D87" s="30" t="inlineStr">
        <is>
          <t>Supriya Lifescience Ltd</t>
        </is>
      </c>
      <c r="E87" s="30" t="inlineStr">
        <is>
          <t>healthcare</t>
        </is>
      </c>
      <c r="F87" s="30" t="inlineStr">
        <is>
          <t>pharmaceuticals - indian - bulk drugs &amp; formln</t>
        </is>
      </c>
      <c r="G87" s="30" t="inlineStr">
        <is>
          <t>midcap</t>
        </is>
      </c>
      <c r="H87" s="31" t="n">
        <v>7169.81</v>
      </c>
      <c r="I87" s="31" t="n">
        <v>923.45</v>
      </c>
      <c r="J87" s="31" t="n">
        <v>3.66</v>
      </c>
      <c r="K87" s="31" t="n">
        <v>234139</v>
      </c>
      <c r="L87" s="30" t="n">
        <v>62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61.96</v>
      </c>
      <c r="P87" s="31" t="n">
        <v>45.07</v>
      </c>
      <c r="Q87" s="31" t="n">
        <v>732.5700000000001</v>
      </c>
      <c r="R87" s="30" t="inlineStr">
        <is>
          <t>Earnings / Momentum Support</t>
        </is>
      </c>
      <c r="S87" s="30" t="inlineStr">
        <is>
          <t>Nifty Pharma</t>
        </is>
      </c>
      <c r="T87" s="31" t="n">
        <v>24.01</v>
      </c>
      <c r="U87" s="31" t="n">
        <v>40.61</v>
      </c>
      <c r="V87" s="31" t="n">
        <v>13.38</v>
      </c>
      <c r="W87" s="31" t="n">
        <v>14.38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Between 50% to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IF(B88=0,"",RANK(B88,$B$2:$B$396,0))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IOLCP</t>
        </is>
      </c>
      <c r="D88" s="30" t="inlineStr">
        <is>
          <t>Iol Chemicals And Pharmaceuticals Limited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smallcap</t>
        </is>
      </c>
      <c r="H88" s="31" t="n">
        <v>4789.78</v>
      </c>
      <c r="I88" s="31" t="n">
        <v>167.85</v>
      </c>
      <c r="J88" s="31" t="n">
        <v>2.86</v>
      </c>
      <c r="K88" s="31" t="n">
        <v>4529410</v>
      </c>
      <c r="L88" s="30" t="n">
        <v>91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72.36</v>
      </c>
      <c r="P88" s="31" t="n">
        <v>73.13</v>
      </c>
      <c r="Q88" s="31" t="n">
        <v>124.78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24.01</v>
      </c>
      <c r="U88" s="31" t="n">
        <v>83.54000000000001</v>
      </c>
      <c r="V88" s="31" t="n">
        <v>48</v>
      </c>
      <c r="W88" s="31" t="n">
        <v>31.52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IF(B89=0,"",RANK(B89,$B$2:$B$396,0))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WOCKPHARMA</t>
        </is>
      </c>
      <c r="D89" s="30" t="inlineStr">
        <is>
          <t>Wockhardt Limited</t>
        </is>
      </c>
      <c r="E89" s="30" t="inlineStr">
        <is>
          <t>healthcare</t>
        </is>
      </c>
      <c r="F89" s="30" t="inlineStr">
        <is>
          <t>pharmaceuticals - indian - bulk drugs &amp; formln</t>
        </is>
      </c>
      <c r="G89" s="30" t="inlineStr">
        <is>
          <t>largecap</t>
        </is>
      </c>
      <c r="H89" s="31" t="n">
        <v>32092.2</v>
      </c>
      <c r="I89" s="31" t="n">
        <v>2021</v>
      </c>
      <c r="J89" s="31" t="n">
        <v>2.33</v>
      </c>
      <c r="K89" s="31" t="n">
        <v>547996</v>
      </c>
      <c r="L89" s="30" t="n">
        <v>54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65.97</v>
      </c>
      <c r="P89" s="31" t="n">
        <v>52.29</v>
      </c>
      <c r="Q89" s="31" t="n">
        <v>1535.92</v>
      </c>
      <c r="R89" s="30" t="inlineStr">
        <is>
          <t>Near 52W High Breakout</t>
        </is>
      </c>
      <c r="S89" s="30" t="inlineStr">
        <is>
          <t>Nifty Pharma</t>
        </is>
      </c>
      <c r="T89" s="31" t="n">
        <v>24.01</v>
      </c>
      <c r="U89" s="31" t="n">
        <v>37.28</v>
      </c>
      <c r="V89" s="31" t="n">
        <v>10.69</v>
      </c>
      <c r="W89" s="31" t="n">
        <v>12.38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Between 50% to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IF(B90=0,"",RANK(B90,$B$2:$B$396,0))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LAURUSLABS</t>
        </is>
      </c>
      <c r="D90" s="30" t="inlineStr">
        <is>
          <t>Laurus Labs Limited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largecap</t>
        </is>
      </c>
      <c r="H90" s="31" t="n">
        <v>98865.67</v>
      </c>
      <c r="I90" s="31" t="n">
        <v>1844.3</v>
      </c>
      <c r="J90" s="31" t="n">
        <v>0.78</v>
      </c>
      <c r="K90" s="31" t="n">
        <v>3079765</v>
      </c>
      <c r="L90" s="30" t="n">
        <v>88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86.31999999999999</v>
      </c>
      <c r="P90" s="31" t="n">
        <v>62.24</v>
      </c>
      <c r="Q90" s="31" t="n">
        <v>1581.98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24.01</v>
      </c>
      <c r="U90" s="31" t="n">
        <v>124.82</v>
      </c>
      <c r="V90" s="31" t="n">
        <v>81.28</v>
      </c>
      <c r="W90" s="31" t="n">
        <v>29.21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IF(B91=0,"",RANK(B91,$B$2:$B$396,0))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BALRAMCHIN</t>
        </is>
      </c>
      <c r="D91" s="30" t="inlineStr">
        <is>
          <t>Balrampur Chini Mills Limited</t>
        </is>
      </c>
      <c r="E91" s="30" t="inlineStr">
        <is>
          <t>fmcg</t>
        </is>
      </c>
      <c r="F91" s="30" t="inlineStr">
        <is>
          <t>sugar</t>
        </is>
      </c>
      <c r="G91" s="30" t="inlineStr">
        <is>
          <t>midcap</t>
        </is>
      </c>
      <c r="H91" s="31" t="n">
        <v>13295.05</v>
      </c>
      <c r="I91" s="31" t="n">
        <v>633.45</v>
      </c>
      <c r="J91" s="31" t="n">
        <v>0.66</v>
      </c>
      <c r="K91" s="31" t="n">
        <v>394390</v>
      </c>
      <c r="L91" s="30" t="n">
        <v>37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74.94</v>
      </c>
      <c r="P91" s="31" t="n">
        <v>41.73</v>
      </c>
      <c r="Q91" s="31" t="n">
        <v>518.46</v>
      </c>
      <c r="R91" s="30" t="inlineStr">
        <is>
          <t>Volume Spike &amp; Near 52W High Breakout</t>
        </is>
      </c>
      <c r="S91" s="30" t="inlineStr">
        <is>
          <t>Nifty FMCG</t>
        </is>
      </c>
      <c r="T91" s="31" t="n">
        <v>-9.43</v>
      </c>
      <c r="U91" s="31" t="n">
        <v>8.32</v>
      </c>
      <c r="V91" s="31" t="n">
        <v>19.6</v>
      </c>
      <c r="W91" s="31" t="n">
        <v>7.77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B2C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Between 0.7 to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IF(B92=0,"",RANK(B92,$B$2:$B$396,0))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ALIVUS</t>
        </is>
      </c>
      <c r="D92" s="30" t="inlineStr">
        <is>
          <t>Alivus Life Sciences Ltd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midcap</t>
        </is>
      </c>
      <c r="H92" s="31" t="n">
        <v>16265.02</v>
      </c>
      <c r="I92" s="31" t="n">
        <v>1329.8</v>
      </c>
      <c r="J92" s="31" t="n">
        <v>0.35</v>
      </c>
      <c r="K92" s="31" t="n">
        <v>85368</v>
      </c>
      <c r="L92" s="30" t="n">
        <v>52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76.01000000000001</v>
      </c>
      <c r="P92" s="31" t="n">
        <v>37.45</v>
      </c>
      <c r="Q92" s="31" t="n">
        <v>1074.74</v>
      </c>
      <c r="R92" s="30" t="inlineStr">
        <is>
          <t>Volume Spike &amp; Near 52W High Breakout</t>
        </is>
      </c>
      <c r="S92" s="30" t="inlineStr">
        <is>
          <t>Nifty Pharma</t>
        </is>
      </c>
      <c r="T92" s="31" t="n">
        <v>24.01</v>
      </c>
      <c r="U92" s="31" t="n">
        <v>43.01</v>
      </c>
      <c r="V92" s="31" t="n">
        <v>15.32</v>
      </c>
      <c r="W92" s="31" t="n">
        <v>11.55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IF(B93=0,"",RANK(B93,$B$2:$B$396,0))</f>
        <v/>
      </c>
      <c r="B93" s="31">
        <f>SUM(N93,Y93,AA93,AC93,AE93,AG93,AI93,AK93,AM93,AO93,AQ93,AS93,AU93,AW93,AY93,BA93,BC93,BE93,BG93,BI93,BK93,BM93,BO93,BQ93,BS93,BU93,BW93,BY93,CA93,CC93,CE93)</f>
        <v/>
      </c>
      <c r="C93" s="32" t="inlineStr">
        <is>
          <t>LALPATHLAB</t>
        </is>
      </c>
      <c r="D93" s="32" t="inlineStr">
        <is>
          <t>Dr. Lal Path Labs Ltd.</t>
        </is>
      </c>
      <c r="E93" s="30" t="inlineStr">
        <is>
          <t>healthcare</t>
        </is>
      </c>
      <c r="F93" s="30" t="inlineStr">
        <is>
          <t>healthcare</t>
        </is>
      </c>
      <c r="G93" s="30" t="inlineStr">
        <is>
          <t>largecap</t>
        </is>
      </c>
      <c r="H93" s="31" t="n">
        <v>32320.56</v>
      </c>
      <c r="I93" s="31" t="n">
        <v>1931.6</v>
      </c>
      <c r="J93" s="31" t="n">
        <v>0.19</v>
      </c>
      <c r="K93" s="31" t="n">
        <v>158460</v>
      </c>
      <c r="L93" s="30" t="n">
        <v>38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74.77</v>
      </c>
      <c r="P93" s="31" t="n">
        <v>40.58</v>
      </c>
      <c r="Q93" s="31" t="n">
        <v>1599.23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24.01</v>
      </c>
      <c r="U93" s="31" t="n">
        <v>22.29</v>
      </c>
      <c r="V93" s="31" t="n">
        <v>-1.39</v>
      </c>
      <c r="W93" s="31" t="n">
        <v>8.08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IF(B94=0,"",RANK(B94,$B$2:$B$396,0))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TECHM</t>
        </is>
      </c>
      <c r="D94" s="30" t="inlineStr">
        <is>
          <t>Tech Mahindra Limited</t>
        </is>
      </c>
      <c r="E94" s="30" t="inlineStr">
        <is>
          <t>i.t</t>
        </is>
      </c>
      <c r="F94" s="30" t="inlineStr">
        <is>
          <t>computers - software - large</t>
        </is>
      </c>
      <c r="G94" s="30" t="inlineStr">
        <is>
          <t>largecap</t>
        </is>
      </c>
      <c r="H94" s="31" t="n">
        <v>159965.06</v>
      </c>
      <c r="I94" s="31" t="n">
        <v>1635</v>
      </c>
      <c r="J94" s="31" t="n">
        <v>0.17</v>
      </c>
      <c r="K94" s="31" t="n">
        <v>11888511</v>
      </c>
      <c r="L94" s="30" t="n">
        <v>32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63.44</v>
      </c>
      <c r="P94" s="31" t="n">
        <v>14.46</v>
      </c>
      <c r="Q94" s="31" t="n">
        <v>1358.5</v>
      </c>
      <c r="R94" s="30" t="inlineStr">
        <is>
          <t>Near 52W High Breakout</t>
        </is>
      </c>
      <c r="S94" s="30" t="inlineStr">
        <is>
          <t>Nifty IT</t>
        </is>
      </c>
      <c r="T94" s="31" t="n">
        <v>-8.289999999999999</v>
      </c>
      <c r="U94" s="31" t="n">
        <v>14.5</v>
      </c>
      <c r="V94" s="31" t="n">
        <v>24.85</v>
      </c>
      <c r="W94" s="31" t="n">
        <v>6.22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0 to 20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IF(B95=0,"",RANK(B95,$B$2:$B$396,0))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PICCADIL</t>
        </is>
      </c>
      <c r="D95" s="30" t="inlineStr">
        <is>
          <t>Piccadily Agro Industries Ltd</t>
        </is>
      </c>
      <c r="E95" s="30" t="inlineStr">
        <is>
          <t>fmcg</t>
        </is>
      </c>
      <c r="F95" s="30" t="inlineStr">
        <is>
          <t>breweries &amp; distilleries</t>
        </is>
      </c>
      <c r="G95" s="30" t="inlineStr">
        <is>
          <t>midcap</t>
        </is>
      </c>
      <c r="H95" s="31" t="n">
        <v>7355.45</v>
      </c>
      <c r="I95" s="31" t="n">
        <v>743.15</v>
      </c>
      <c r="J95" s="31" t="n">
        <v>-0.41</v>
      </c>
      <c r="K95" s="31" t="n">
        <v>145966</v>
      </c>
      <c r="L95" s="30" t="n">
        <v>38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69.04000000000001</v>
      </c>
      <c r="P95" s="31" t="n">
        <v>44.39</v>
      </c>
      <c r="Q95" s="31" t="n">
        <v>577.84</v>
      </c>
      <c r="R95" s="30" t="inlineStr">
        <is>
          <t>Near 52W High Breakout</t>
        </is>
      </c>
      <c r="S95" s="30" t="inlineStr">
        <is>
          <t>Nifty FMCG</t>
        </is>
      </c>
      <c r="T95" s="31" t="n">
        <v>-9.43</v>
      </c>
      <c r="U95" s="31" t="n">
        <v>22.23</v>
      </c>
      <c r="V95" s="31" t="n">
        <v>34.95</v>
      </c>
      <c r="W95" s="31" t="n">
        <v>8.17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Less than 12%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Between 50% to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IF(B96=0,"",RANK(B96,$B$2:$B$396,0))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NGLFINE</t>
        </is>
      </c>
      <c r="D96" s="30" t="inlineStr">
        <is>
          <t>NGL Fine Chem Ltd</t>
        </is>
      </c>
      <c r="E96" s="30" t="inlineStr">
        <is>
          <t>healthcare</t>
        </is>
      </c>
      <c r="F96" s="30" t="inlineStr">
        <is>
          <t>pharmaceuticals - indian - bulk drugs</t>
        </is>
      </c>
      <c r="G96" s="30" t="inlineStr">
        <is>
          <t>smallcap</t>
        </is>
      </c>
      <c r="H96" s="31" t="n">
        <v>2118.14</v>
      </c>
      <c r="I96" s="31" t="n">
        <v>3400</v>
      </c>
      <c r="J96" s="31" t="n">
        <v>-0.83</v>
      </c>
      <c r="K96" s="31" t="n">
        <v>4632</v>
      </c>
      <c r="L96" s="30" t="n">
        <v>93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79.78</v>
      </c>
      <c r="P96" s="31" t="n">
        <v>68.23</v>
      </c>
      <c r="Q96" s="31" t="n">
        <v>2439.65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24.01</v>
      </c>
      <c r="U96" s="31" t="n">
        <v>182.96</v>
      </c>
      <c r="V96" s="31" t="n">
        <v>128.16</v>
      </c>
      <c r="W96" s="31" t="n">
        <v>33.73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Between 50% to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IF(B97=0,"",RANK(B97,$B$2:$B$396,0))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MOTHERSON</t>
        </is>
      </c>
      <c r="D97" s="30" t="inlineStr">
        <is>
          <t>Samvardhana Motherson International Ltd</t>
        </is>
      </c>
      <c r="E97" s="30" t="inlineStr">
        <is>
          <t>auto</t>
        </is>
      </c>
      <c r="F97" s="30" t="inlineStr">
        <is>
          <t>auto ancillaries</t>
        </is>
      </c>
      <c r="G97" s="30" t="inlineStr">
        <is>
          <t>largecap</t>
        </is>
      </c>
      <c r="H97" s="31" t="n">
        <v>163593.86</v>
      </c>
      <c r="I97" s="31" t="n">
        <v>168.5</v>
      </c>
      <c r="J97" s="31" t="n">
        <v>8.710000000000001</v>
      </c>
      <c r="K97" s="31" t="n">
        <v>230129225</v>
      </c>
      <c r="L97" s="30" t="n">
        <v>73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74.54000000000001</v>
      </c>
      <c r="P97" s="31" t="n">
        <v>35.09</v>
      </c>
      <c r="Q97" s="31" t="n">
        <v>138</v>
      </c>
      <c r="R97" s="30" t="inlineStr">
        <is>
          <t>Volume Spike &amp; Near 52W High Breakout</t>
        </is>
      </c>
      <c r="S97" s="30" t="inlineStr">
        <is>
          <t>Nifty Auto</t>
        </is>
      </c>
      <c r="T97" s="31" t="n">
        <v>24.67</v>
      </c>
      <c r="U97" s="31" t="n">
        <v>68.73999999999999</v>
      </c>
      <c r="V97" s="31" t="n">
        <v>35.35</v>
      </c>
      <c r="W97" s="31" t="n">
        <v>18.56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IF(B98=0,"",RANK(B98,$B$2:$B$396,0))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UNIMECH</t>
        </is>
      </c>
      <c r="D98" s="30" t="inlineStr">
        <is>
          <t>Unimech Aerospace and Manufacturing Ltd</t>
        </is>
      </c>
      <c r="E98" s="30" t="inlineStr">
        <is>
          <t>aerospace &amp; defence</t>
        </is>
      </c>
      <c r="F98" s="30" t="inlineStr">
        <is>
          <t>engineering</t>
        </is>
      </c>
      <c r="G98" s="30" t="inlineStr">
        <is>
          <t>midcap</t>
        </is>
      </c>
      <c r="H98" s="31" t="n">
        <v>6797.02</v>
      </c>
      <c r="I98" s="31" t="n">
        <v>1446.7</v>
      </c>
      <c r="J98" s="31" t="n">
        <v>8.25</v>
      </c>
      <c r="K98" s="31" t="n">
        <v>630827</v>
      </c>
      <c r="L98" s="30" t="n">
        <v>63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70.56</v>
      </c>
      <c r="P98" s="31" t="n">
        <v>31.03</v>
      </c>
      <c r="Q98" s="31" t="n">
        <v>1077.23</v>
      </c>
      <c r="R98" s="30" t="inlineStr">
        <is>
          <t>Volume Spike &amp; Near 52W High Breakout</t>
        </is>
      </c>
      <c r="S98" s="30" t="inlineStr">
        <is>
          <t>Nifty 50</t>
        </is>
      </c>
      <c r="T98" s="31" t="n">
        <v>0.85</v>
      </c>
      <c r="U98" s="31" t="n">
        <v>34.65</v>
      </c>
      <c r="V98" s="31" t="n">
        <v>33.52</v>
      </c>
      <c r="W98" s="31" t="n">
        <v>15.02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IF(B99=0,"",RANK(B99,$B$2:$B$396,0))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MACPOWER</t>
        </is>
      </c>
      <c r="D99" s="30" t="inlineStr">
        <is>
          <t>Macpower CNC Machines Ltd</t>
        </is>
      </c>
      <c r="E99" s="30" t="inlineStr">
        <is>
          <t>industrials</t>
        </is>
      </c>
      <c r="F99" s="30" t="inlineStr">
        <is>
          <t>engineering</t>
        </is>
      </c>
      <c r="G99" s="30" t="inlineStr">
        <is>
          <t>smallcap</t>
        </is>
      </c>
      <c r="H99" s="31" t="n">
        <v>1581.66</v>
      </c>
      <c r="I99" s="31" t="n">
        <v>1682</v>
      </c>
      <c r="J99" s="31" t="n">
        <v>6.39</v>
      </c>
      <c r="K99" s="31" t="n">
        <v>148338</v>
      </c>
      <c r="L99" s="30" t="n">
        <v>84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73.45</v>
      </c>
      <c r="P99" s="31" t="n">
        <v>30.26</v>
      </c>
      <c r="Q99" s="31" t="n">
        <v>1199.7</v>
      </c>
      <c r="R99" s="30" t="inlineStr">
        <is>
          <t>Near 52W High Breakout</t>
        </is>
      </c>
      <c r="S99" s="30" t="inlineStr">
        <is>
          <t>Nifty 50</t>
        </is>
      </c>
      <c r="T99" s="31" t="n">
        <v>0.85</v>
      </c>
      <c r="U99" s="31" t="n">
        <v>105.66</v>
      </c>
      <c r="V99" s="31" t="n">
        <v>103.92</v>
      </c>
      <c r="W99" s="31" t="n">
        <v>24.91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IF(B100=0,"",RANK(B100,$B$2:$B$396,0))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KDDL</t>
        </is>
      </c>
      <c r="D100" s="30" t="inlineStr">
        <is>
          <t>Kddl Limited</t>
        </is>
      </c>
      <c r="E100" s="30" t="inlineStr">
        <is>
          <t>consumer discretionary</t>
        </is>
      </c>
      <c r="F100" s="30" t="inlineStr">
        <is>
          <t>miscellaneous</t>
        </is>
      </c>
      <c r="G100" s="30" t="inlineStr">
        <is>
          <t>smallcap</t>
        </is>
      </c>
      <c r="H100" s="31" t="n">
        <v>4558.24</v>
      </c>
      <c r="I100" s="31" t="n">
        <v>3843.9</v>
      </c>
      <c r="J100" s="31" t="n">
        <v>3.72</v>
      </c>
      <c r="K100" s="31" t="n">
        <v>53669</v>
      </c>
      <c r="L100" s="30" t="n">
        <v>78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76.45999999999999</v>
      </c>
      <c r="P100" s="31" t="n">
        <v>36.34</v>
      </c>
      <c r="Q100" s="31" t="n">
        <v>2921.82</v>
      </c>
      <c r="R100" s="30" t="inlineStr">
        <is>
          <t>Volume Spike &amp; Near 52W High Breakout</t>
        </is>
      </c>
      <c r="S100" s="30" t="inlineStr">
        <is>
          <t>Nifty 50</t>
        </is>
      </c>
      <c r="T100" s="31" t="n">
        <v>0.85</v>
      </c>
      <c r="U100" s="31" t="n">
        <v>48.46</v>
      </c>
      <c r="V100" s="31" t="n">
        <v>47.21</v>
      </c>
      <c r="W100" s="31" t="n">
        <v>21.55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IF(B101=0,"",RANK(B101,$B$2:$B$396,0))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CYIENTDLM</t>
        </is>
      </c>
      <c r="D101" s="30" t="inlineStr">
        <is>
          <t>Cyient DLM Ltd</t>
        </is>
      </c>
      <c r="E101" s="30" t="inlineStr">
        <is>
          <t>consumer discretionary</t>
        </is>
      </c>
      <c r="F101" s="30" t="inlineStr">
        <is>
          <t>electronics - components</t>
        </is>
      </c>
      <c r="G101" s="30" t="inlineStr">
        <is>
          <t>midcap</t>
        </is>
      </c>
      <c r="H101" s="31" t="n">
        <v>5259.15</v>
      </c>
      <c r="I101" s="31" t="n">
        <v>685.55</v>
      </c>
      <c r="J101" s="31" t="n">
        <v>3.48</v>
      </c>
      <c r="K101" s="31" t="n">
        <v>839379</v>
      </c>
      <c r="L101" s="30" t="n">
        <v>84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83.7</v>
      </c>
      <c r="P101" s="31" t="n">
        <v>56.87</v>
      </c>
      <c r="Q101" s="31" t="n">
        <v>525.86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0.85</v>
      </c>
      <c r="U101" s="31" t="n">
        <v>61.14</v>
      </c>
      <c r="V101" s="31" t="n">
        <v>59.78</v>
      </c>
      <c r="W101" s="31" t="n">
        <v>24.83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IF(B102=0,"",RANK(B102,$B$2:$B$396,0))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EXIDEIND</t>
        </is>
      </c>
      <c r="D102" s="30" t="inlineStr">
        <is>
          <t>Exide Industries Limited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largecap</t>
        </is>
      </c>
      <c r="H102" s="31" t="n">
        <v>40311.25</v>
      </c>
      <c r="I102" s="31" t="n">
        <v>490</v>
      </c>
      <c r="J102" s="31" t="n">
        <v>3.32</v>
      </c>
      <c r="K102" s="31" t="n">
        <v>7853774</v>
      </c>
      <c r="L102" s="30" t="n">
        <v>66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78.65000000000001</v>
      </c>
      <c r="P102" s="31" t="n">
        <v>40.04</v>
      </c>
      <c r="Q102" s="31" t="n">
        <v>406.82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24.67</v>
      </c>
      <c r="U102" s="31" t="n">
        <v>29.36</v>
      </c>
      <c r="V102" s="31" t="n">
        <v>3.76</v>
      </c>
      <c r="W102" s="31" t="n">
        <v>15.69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Above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Between 1.5 to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IF(B103=0,"",RANK(B103,$B$2:$B$396,0))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JGCHEM</t>
        </is>
      </c>
      <c r="D103" s="30" t="inlineStr">
        <is>
          <t>J.G.Chemicals Ltd</t>
        </is>
      </c>
      <c r="E103" s="30" t="inlineStr">
        <is>
          <t>chemicals</t>
        </is>
      </c>
      <c r="F103" s="30" t="inlineStr">
        <is>
          <t>chemicals</t>
        </is>
      </c>
      <c r="G103" s="30" t="inlineStr">
        <is>
          <t>smallcap</t>
        </is>
      </c>
      <c r="H103" s="31" t="n">
        <v>2114.09</v>
      </c>
      <c r="I103" s="31" t="n">
        <v>552.8</v>
      </c>
      <c r="J103" s="31" t="n">
        <v>2.47</v>
      </c>
      <c r="K103" s="31" t="n">
        <v>349535</v>
      </c>
      <c r="L103" s="30" t="n">
        <v>52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73.23</v>
      </c>
      <c r="P103" s="31" t="n">
        <v>28.3</v>
      </c>
      <c r="Q103" s="31" t="n">
        <v>430.76</v>
      </c>
      <c r="R103" s="30" t="inlineStr">
        <is>
          <t>Volume Spike &amp; Near 52W High Breakout</t>
        </is>
      </c>
      <c r="S103" s="30" t="inlineStr">
        <is>
          <t>Nifty 50</t>
        </is>
      </c>
      <c r="T103" s="31" t="n">
        <v>0.85</v>
      </c>
      <c r="U103" s="31" t="n">
        <v>15.33</v>
      </c>
      <c r="V103" s="31" t="n">
        <v>14.36</v>
      </c>
      <c r="W103" s="31" t="n">
        <v>11.43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Between 1.5 to 2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IF(B104=0,"",RANK(B104,$B$2:$B$396,0))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ASTRAMICRO</t>
        </is>
      </c>
      <c r="D104" s="30" t="inlineStr">
        <is>
          <t>Astra Microwave Products Limited</t>
        </is>
      </c>
      <c r="E104" s="30" t="inlineStr">
        <is>
          <t>aerospace &amp; defence</t>
        </is>
      </c>
      <c r="F104" s="30" t="inlineStr">
        <is>
          <t>telecommunications - equipment</t>
        </is>
      </c>
      <c r="G104" s="30" t="inlineStr">
        <is>
          <t>midcap</t>
        </is>
      </c>
      <c r="H104" s="31" t="n">
        <v>17110.99</v>
      </c>
      <c r="I104" s="31" t="n">
        <v>1840</v>
      </c>
      <c r="J104" s="31" t="n">
        <v>2.1</v>
      </c>
      <c r="K104" s="31" t="n">
        <v>224659</v>
      </c>
      <c r="L104" s="30" t="n">
        <v>88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76</v>
      </c>
      <c r="P104" s="31" t="n">
        <v>57.19</v>
      </c>
      <c r="Q104" s="31" t="n">
        <v>1469.75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0.85</v>
      </c>
      <c r="U104" s="31" t="n">
        <v>93.08</v>
      </c>
      <c r="V104" s="31" t="n">
        <v>91.45</v>
      </c>
      <c r="W104" s="31" t="n">
        <v>28.77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Oligopoly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Yes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IF(B105=0,"",RANK(B105,$B$2:$B$396,0))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SWANDEF</t>
        </is>
      </c>
      <c r="D105" s="30" t="inlineStr">
        <is>
          <t>Swan Defence and Heavy Industries Ltd</t>
        </is>
      </c>
      <c r="E105" s="30" t="inlineStr">
        <is>
          <t>transportation</t>
        </is>
      </c>
      <c r="F105" s="30" t="inlineStr">
        <is>
          <t>miscellaneous</t>
        </is>
      </c>
      <c r="G105" s="30" t="inlineStr">
        <is>
          <t>midcap</t>
        </is>
      </c>
      <c r="H105" s="31" t="n">
        <v>13955.5</v>
      </c>
      <c r="I105" s="31" t="n">
        <v>2694.9</v>
      </c>
      <c r="J105" s="31" t="n">
        <v>1.73</v>
      </c>
      <c r="K105" s="31" t="n">
        <v>20022</v>
      </c>
      <c r="L105" s="30" t="n">
        <v>98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74.79000000000001</v>
      </c>
      <c r="P105" s="31" t="n">
        <v>52.09</v>
      </c>
      <c r="Q105" s="31" t="n">
        <v>2105.33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0.85</v>
      </c>
      <c r="U105" s="31" t="n">
        <v>698.13</v>
      </c>
      <c r="V105" s="31" t="n">
        <v>691.4</v>
      </c>
      <c r="W105" s="31" t="n">
        <v>71.67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Negative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More than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IF(B106=0,"",RANK(B106,$B$2:$B$396,0))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BELRISE</t>
        </is>
      </c>
      <c r="D106" s="30" t="inlineStr">
        <is>
          <t>Belrise Industries Ltd</t>
        </is>
      </c>
      <c r="E106" s="30" t="inlineStr">
        <is>
          <t>auto</t>
        </is>
      </c>
      <c r="F106" s="30" t="inlineStr">
        <is>
          <t>auto ancillaries</t>
        </is>
      </c>
      <c r="G106" s="30" t="inlineStr">
        <is>
          <t>largecap</t>
        </is>
      </c>
      <c r="H106" s="31" t="n">
        <v>23657.5</v>
      </c>
      <c r="I106" s="31" t="n">
        <v>248.21</v>
      </c>
      <c r="J106" s="31" t="n">
        <v>1.47</v>
      </c>
      <c r="K106" s="31" t="n">
        <v>6171893</v>
      </c>
      <c r="L106" s="30" t="n">
        <v>71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69.59</v>
      </c>
      <c r="P106" s="31" t="n">
        <v>46.65</v>
      </c>
      <c r="Q106" s="31" t="n">
        <v>200.82</v>
      </c>
      <c r="R106" s="30" t="inlineStr">
        <is>
          <t>Near 52W High Breakout</t>
        </is>
      </c>
      <c r="S106" s="30" t="inlineStr">
        <is>
          <t>Nifty Auto</t>
        </is>
      </c>
      <c r="T106" s="31" t="n">
        <v>24.67</v>
      </c>
      <c r="U106" s="31" t="n">
        <v>90.39</v>
      </c>
      <c r="V106" s="31" t="n">
        <v>52.71</v>
      </c>
      <c r="W106" s="31" t="n">
        <v>17.65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Less than 12%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IF(B107=0,"",RANK(B107,$B$2:$B$396,0))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GRINDWELL</t>
        </is>
      </c>
      <c r="D107" s="30" t="inlineStr">
        <is>
          <t>Grindwell Norton Limited</t>
        </is>
      </c>
      <c r="E107" s="30" t="inlineStr">
        <is>
          <t>industrials</t>
        </is>
      </c>
      <c r="F107" s="30" t="inlineStr">
        <is>
          <t>abrasives and grinding wheels</t>
        </is>
      </c>
      <c r="G107" s="30" t="inlineStr">
        <is>
          <t>largecap</t>
        </is>
      </c>
      <c r="H107" s="31" t="n">
        <v>23335.35</v>
      </c>
      <c r="I107" s="31" t="n">
        <v>2133.8</v>
      </c>
      <c r="J107" s="31" t="n">
        <v>1.24</v>
      </c>
      <c r="K107" s="31" t="n">
        <v>44739</v>
      </c>
      <c r="L107" s="30" t="n">
        <v>60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64.88</v>
      </c>
      <c r="P107" s="31" t="n">
        <v>50.09</v>
      </c>
      <c r="Q107" s="31" t="n">
        <v>1727.03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0.85</v>
      </c>
      <c r="U107" s="31" t="n">
        <v>46.73</v>
      </c>
      <c r="V107" s="31" t="n">
        <v>45.5</v>
      </c>
      <c r="W107" s="31" t="n">
        <v>13.99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IF(B108=0,"",RANK(B108,$B$2:$B$396,0))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SOLARINDS</t>
        </is>
      </c>
      <c r="D108" s="30" t="inlineStr">
        <is>
          <t>Solar Industries India Limited</t>
        </is>
      </c>
      <c r="E108" s="30" t="inlineStr">
        <is>
          <t>aerospace &amp; defence</t>
        </is>
      </c>
      <c r="F108" s="30" t="inlineStr">
        <is>
          <t>chemicals</t>
        </is>
      </c>
      <c r="G108" s="30" t="inlineStr">
        <is>
          <t>largecap</t>
        </is>
      </c>
      <c r="H108" s="31" t="n">
        <v>167370.41</v>
      </c>
      <c r="I108" s="31" t="n">
        <v>18650</v>
      </c>
      <c r="J108" s="31" t="n">
        <v>0.83</v>
      </c>
      <c r="K108" s="31" t="n">
        <v>96633</v>
      </c>
      <c r="L108" s="30" t="n">
        <v>42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64.59</v>
      </c>
      <c r="P108" s="31" t="n">
        <v>39.56</v>
      </c>
      <c r="Q108" s="31" t="n">
        <v>15185.93</v>
      </c>
      <c r="R108" s="30" t="inlineStr">
        <is>
          <t>Near 52W High Breakout</t>
        </is>
      </c>
      <c r="S108" s="30" t="inlineStr">
        <is>
          <t>Nifty 500</t>
        </is>
      </c>
      <c r="T108" s="31" t="n">
        <v>5.65</v>
      </c>
      <c r="U108" s="31" t="n">
        <v>29.03</v>
      </c>
      <c r="V108" s="31" t="n">
        <v>22.13</v>
      </c>
      <c r="W108" s="31" t="n">
        <v>9.050000000000001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Less than 50%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IF(B109=0,"",RANK(B109,$B$2:$B$396,0))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KERNEX</t>
        </is>
      </c>
      <c r="D109" s="30" t="inlineStr">
        <is>
          <t>Kernex Microsystems (india) Limited</t>
        </is>
      </c>
      <c r="E109" s="30" t="inlineStr">
        <is>
          <t>consumer discretionary</t>
        </is>
      </c>
      <c r="F109" s="30" t="inlineStr">
        <is>
          <t>electronics - components</t>
        </is>
      </c>
      <c r="G109" s="30" t="inlineStr">
        <is>
          <t>smallcap</t>
        </is>
      </c>
      <c r="H109" s="31" t="n">
        <v>4087.48</v>
      </c>
      <c r="I109" s="31" t="n">
        <v>2451.8</v>
      </c>
      <c r="J109" s="31" t="n">
        <v>0.79</v>
      </c>
      <c r="K109" s="31" t="n">
        <v>140532</v>
      </c>
      <c r="L109" s="30" t="n">
        <v>90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72.41</v>
      </c>
      <c r="P109" s="31" t="n">
        <v>60.44</v>
      </c>
      <c r="Q109" s="31" t="n">
        <v>1771.12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0.85</v>
      </c>
      <c r="U109" s="31" t="n">
        <v>125.83</v>
      </c>
      <c r="V109" s="31" t="n">
        <v>123.92</v>
      </c>
      <c r="W109" s="31" t="n">
        <v>30.67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Negative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IF(B110=0,"",RANK(B110,$B$2:$B$396,0))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MINDACORP</t>
        </is>
      </c>
      <c r="D110" s="30" t="inlineStr">
        <is>
          <t>Minda Corporation Limited</t>
        </is>
      </c>
      <c r="E110" s="30" t="inlineStr">
        <is>
          <t>auto</t>
        </is>
      </c>
      <c r="F110" s="30" t="inlineStr">
        <is>
          <t>auto ancillaries</t>
        </is>
      </c>
      <c r="G110" s="30" t="inlineStr">
        <is>
          <t>midcap</t>
        </is>
      </c>
      <c r="H110" s="31" t="n">
        <v>17139.6</v>
      </c>
      <c r="I110" s="31" t="n">
        <v>721.65</v>
      </c>
      <c r="J110" s="31" t="n">
        <v>0.66</v>
      </c>
      <c r="K110" s="31" t="n">
        <v>228207</v>
      </c>
      <c r="L110" s="30" t="n">
        <v>65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70.59999999999999</v>
      </c>
      <c r="P110" s="31" t="n">
        <v>32.53</v>
      </c>
      <c r="Q110" s="31" t="n">
        <v>597.41</v>
      </c>
      <c r="R110" s="30" t="inlineStr">
        <is>
          <t>Near 52W High Breakout</t>
        </is>
      </c>
      <c r="S110" s="30" t="inlineStr">
        <is>
          <t>Nifty Auto</t>
        </is>
      </c>
      <c r="T110" s="31" t="n">
        <v>24.67</v>
      </c>
      <c r="U110" s="31" t="n">
        <v>41.64</v>
      </c>
      <c r="V110" s="31" t="n">
        <v>13.61</v>
      </c>
      <c r="W110" s="31" t="n">
        <v>15.54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IF(B111=0,"",RANK(B111,$B$2:$B$396,0))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KMEW</t>
        </is>
      </c>
      <c r="D111" s="30" t="inlineStr">
        <is>
          <t>Knowledge Marine &amp; Engineering Works Ltd</t>
        </is>
      </c>
      <c r="E111" s="30" t="inlineStr">
        <is>
          <t>transportation</t>
        </is>
      </c>
      <c r="F111" s="30" t="inlineStr">
        <is>
          <t>miscellaneous</t>
        </is>
      </c>
      <c r="G111" s="30" t="inlineStr">
        <is>
          <t>midcap</t>
        </is>
      </c>
      <c r="H111" s="31" t="n">
        <v>6157.96</v>
      </c>
      <c r="I111" s="31" t="n">
        <v>2528.4</v>
      </c>
      <c r="J111" s="31" t="n">
        <v>0.37</v>
      </c>
      <c r="K111" s="31" t="n">
        <v>35788</v>
      </c>
      <c r="L111" s="30" t="n">
        <v>91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73.06</v>
      </c>
      <c r="P111" s="31" t="n">
        <v>49.76</v>
      </c>
      <c r="Q111" s="31" t="n">
        <v>1821.13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0.85</v>
      </c>
      <c r="U111" s="31" t="n">
        <v>210.39</v>
      </c>
      <c r="V111" s="31" t="n">
        <v>207.77</v>
      </c>
      <c r="W111" s="31" t="n">
        <v>30.85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Negative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IF(B112=0,"",RANK(B112,$B$2:$B$396,0))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NYKAA</t>
        </is>
      </c>
      <c r="D112" s="30" t="inlineStr">
        <is>
          <t>FSN E-Commerce Ventures Ltd</t>
        </is>
      </c>
      <c r="E112" s="30" t="inlineStr">
        <is>
          <t>i.t</t>
        </is>
      </c>
      <c r="F112" s="30" t="inlineStr">
        <is>
          <t>trading</t>
        </is>
      </c>
      <c r="G112" s="30" t="inlineStr">
        <is>
          <t>largecap</t>
        </is>
      </c>
      <c r="H112" s="31" t="n">
        <v>95064.64</v>
      </c>
      <c r="I112" s="31" t="n">
        <v>332</v>
      </c>
      <c r="J112" s="31" t="n">
        <v>0.02</v>
      </c>
      <c r="K112" s="31" t="n">
        <v>9090033</v>
      </c>
      <c r="L112" s="30" t="n">
        <v>64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71.41</v>
      </c>
      <c r="P112" s="31" t="n">
        <v>40.97</v>
      </c>
      <c r="Q112" s="31" t="n">
        <v>283.21</v>
      </c>
      <c r="R112" s="30" t="inlineStr">
        <is>
          <t>Near 52W High Breakout</t>
        </is>
      </c>
      <c r="S112" s="30" t="inlineStr">
        <is>
          <t>Nifty IT</t>
        </is>
      </c>
      <c r="T112" s="31" t="n">
        <v>-8.289999999999999</v>
      </c>
      <c r="U112" s="31" t="n">
        <v>64.25</v>
      </c>
      <c r="V112" s="31" t="n">
        <v>79.09</v>
      </c>
      <c r="W112" s="31" t="n">
        <v>15.24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Between 0.7 to 1.2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IF(B113=0,"",RANK(B113,$B$2:$B$396,0))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USHAMART</t>
        </is>
      </c>
      <c r="D113" s="30" t="inlineStr">
        <is>
          <t>Usha Martin Limited</t>
        </is>
      </c>
      <c r="E113" s="30" t="inlineStr">
        <is>
          <t>metals &amp; mining</t>
        </is>
      </c>
      <c r="F113" s="30" t="inlineStr">
        <is>
          <t>steel - medium / small</t>
        </is>
      </c>
      <c r="G113" s="30" t="inlineStr">
        <is>
          <t>midcap</t>
        </is>
      </c>
      <c r="H113" s="31" t="n">
        <v>15714.02</v>
      </c>
      <c r="I113" s="31" t="n">
        <v>515.05</v>
      </c>
      <c r="J113" s="31" t="n">
        <v>-0.12</v>
      </c>
      <c r="K113" s="31" t="n">
        <v>205861</v>
      </c>
      <c r="L113" s="30" t="n">
        <v>49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64.2</v>
      </c>
      <c r="P113" s="31" t="n">
        <v>48.37</v>
      </c>
      <c r="Q113" s="31" t="n">
        <v>418.56</v>
      </c>
      <c r="R113" s="30" t="inlineStr">
        <is>
          <t>Near 52W High Breakout</t>
        </is>
      </c>
      <c r="S113" s="30" t="inlineStr">
        <is>
          <t>Nifty Metal</t>
        </is>
      </c>
      <c r="T113" s="31" t="n">
        <v>39.94</v>
      </c>
      <c r="U113" s="31" t="n">
        <v>41.19</v>
      </c>
      <c r="V113" s="31" t="n">
        <v>0.89</v>
      </c>
      <c r="W113" s="31" t="n">
        <v>10.94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Cyclical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Volatile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IF(B114=0,"",RANK(B114,$B$2:$B$396,0))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UNIVCABLES</t>
        </is>
      </c>
      <c r="D114" s="30" t="inlineStr">
        <is>
          <t>Universal Cables Limited</t>
        </is>
      </c>
      <c r="E114" s="30" t="inlineStr">
        <is>
          <t>industrials</t>
        </is>
      </c>
      <c r="F114" s="30" t="inlineStr">
        <is>
          <t>cables - power</t>
        </is>
      </c>
      <c r="G114" s="30" t="inlineStr">
        <is>
          <t>smallcap</t>
        </is>
      </c>
      <c r="H114" s="31" t="n">
        <v>4913.91</v>
      </c>
      <c r="I114" s="31" t="n">
        <v>1411.2</v>
      </c>
      <c r="J114" s="31" t="n">
        <v>-0.36</v>
      </c>
      <c r="K114" s="31" t="n">
        <v>164516</v>
      </c>
      <c r="L114" s="30" t="n">
        <v>91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70.68000000000001</v>
      </c>
      <c r="P114" s="31" t="n">
        <v>57.63</v>
      </c>
      <c r="Q114" s="31" t="n">
        <v>992.47</v>
      </c>
      <c r="R114" s="30" t="inlineStr">
        <is>
          <t>Near 52W High Breakout</t>
        </is>
      </c>
      <c r="S114" s="30" t="inlineStr">
        <is>
          <t>Nifty Energy</t>
        </is>
      </c>
      <c r="T114" s="31" t="n">
        <v>9.93</v>
      </c>
      <c r="U114" s="31" t="n">
        <v>91</v>
      </c>
      <c r="V114" s="31" t="n">
        <v>73.75</v>
      </c>
      <c r="W114" s="31" t="n">
        <v>31.65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Less than 12%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Less than 50%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IF(B115=0,"",RANK(B115,$B$2:$B$396,0))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AIAENG</t>
        </is>
      </c>
      <c r="D115" s="30" t="inlineStr">
        <is>
          <t>Aia Engineering Limited</t>
        </is>
      </c>
      <c r="E115" s="30" t="inlineStr">
        <is>
          <t>industrials</t>
        </is>
      </c>
      <c r="F115" s="30" t="inlineStr">
        <is>
          <t>castings &amp; forgings</t>
        </is>
      </c>
      <c r="G115" s="30" t="inlineStr">
        <is>
          <t>largecap</t>
        </is>
      </c>
      <c r="H115" s="31" t="n">
        <v>44750.85</v>
      </c>
      <c r="I115" s="31" t="n">
        <v>4776</v>
      </c>
      <c r="J115" s="31" t="n">
        <v>-0.4</v>
      </c>
      <c r="K115" s="31" t="n">
        <v>46225</v>
      </c>
      <c r="L115" s="30" t="n">
        <v>58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65.06999999999999</v>
      </c>
      <c r="P115" s="31" t="n">
        <v>34.39</v>
      </c>
      <c r="Q115" s="31" t="n">
        <v>3926.46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0.85</v>
      </c>
      <c r="U115" s="31" t="n">
        <v>55.44</v>
      </c>
      <c r="V115" s="31" t="n">
        <v>54.13</v>
      </c>
      <c r="W115" s="31" t="n">
        <v>13.6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Less than 50%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IF(B116=0,"",RANK(B116,$B$2:$B$396,0))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JKPAPER</t>
        </is>
      </c>
      <c r="D116" s="30" t="inlineStr">
        <is>
          <t>Jk Paper Limited</t>
        </is>
      </c>
      <c r="E116" s="30" t="inlineStr">
        <is>
          <t>building materials</t>
        </is>
      </c>
      <c r="F116" s="30" t="inlineStr">
        <is>
          <t>paper</t>
        </is>
      </c>
      <c r="G116" s="30" t="inlineStr">
        <is>
          <t>midcap</t>
        </is>
      </c>
      <c r="H116" s="31" t="n">
        <v>7056.93</v>
      </c>
      <c r="I116" s="31" t="n">
        <v>387.05</v>
      </c>
      <c r="J116" s="31" t="n">
        <v>-0.55</v>
      </c>
      <c r="K116" s="31" t="n">
        <v>213330</v>
      </c>
      <c r="L116" s="30" t="n">
        <v>15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57.51</v>
      </c>
      <c r="P116" s="31" t="n">
        <v>23.44</v>
      </c>
      <c r="Q116" s="31" t="n">
        <v>319.97</v>
      </c>
      <c r="R116" s="30" t="inlineStr">
        <is>
          <t>Earnings / Momentum Support</t>
        </is>
      </c>
      <c r="S116" s="30" t="inlineStr">
        <is>
          <t>Nifty Infra</t>
        </is>
      </c>
      <c r="T116" s="31" t="n">
        <v>4.83</v>
      </c>
      <c r="U116" s="31" t="n">
        <v>4.92</v>
      </c>
      <c r="V116" s="31" t="n">
        <v>0.09</v>
      </c>
      <c r="W116" s="31" t="n">
        <v>2.63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IF(B117=0,"",RANK(B117,$B$2:$B$396,0))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GNA</t>
        </is>
      </c>
      <c r="D117" s="30" t="inlineStr">
        <is>
          <t>Gna Axles Limited</t>
        </is>
      </c>
      <c r="E117" s="30" t="inlineStr">
        <is>
          <t>auto</t>
        </is>
      </c>
      <c r="F117" s="30" t="inlineStr">
        <is>
          <t>auto ancillaries</t>
        </is>
      </c>
      <c r="G117" s="30" t="inlineStr">
        <is>
          <t>smallcap</t>
        </is>
      </c>
      <c r="H117" s="31" t="n">
        <v>2276.41</v>
      </c>
      <c r="I117" s="31" t="n">
        <v>527.2</v>
      </c>
      <c r="J117" s="31" t="n">
        <v>-0.58</v>
      </c>
      <c r="K117" s="31" t="n">
        <v>480348</v>
      </c>
      <c r="L117" s="30" t="n">
        <v>69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65.63</v>
      </c>
      <c r="P117" s="31" t="n">
        <v>27.68</v>
      </c>
      <c r="Q117" s="31" t="n">
        <v>416.19</v>
      </c>
      <c r="R117" s="30" t="inlineStr">
        <is>
          <t>Earnings / Momentum Support</t>
        </is>
      </c>
      <c r="S117" s="30" t="inlineStr">
        <is>
          <t>Nifty Auto</t>
        </is>
      </c>
      <c r="T117" s="31" t="n">
        <v>24.67</v>
      </c>
      <c r="U117" s="31" t="n">
        <v>69.53</v>
      </c>
      <c r="V117" s="31" t="n">
        <v>35.99</v>
      </c>
      <c r="W117" s="31" t="n">
        <v>16.4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IF(B118=0,"",RANK(B118,$B$2:$B$396,0))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DIFFNKG</t>
        </is>
      </c>
      <c r="D118" s="30" t="inlineStr">
        <is>
          <t>Diffusion Engineers Ltd</t>
        </is>
      </c>
      <c r="E118" s="30" t="inlineStr">
        <is>
          <t>industrials</t>
        </is>
      </c>
      <c r="F118" s="30" t="inlineStr">
        <is>
          <t>electrodes - welding equipment</t>
        </is>
      </c>
      <c r="G118" s="30" t="inlineStr">
        <is>
          <t>smallcap</t>
        </is>
      </c>
      <c r="H118" s="31" t="n">
        <v>1661.35</v>
      </c>
      <c r="I118" s="31" t="n">
        <v>441</v>
      </c>
      <c r="J118" s="31" t="n">
        <v>-0.65</v>
      </c>
      <c r="K118" s="31" t="n">
        <v>134462</v>
      </c>
      <c r="L118" s="30" t="n">
        <v>71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69.20999999999999</v>
      </c>
      <c r="P118" s="31" t="n">
        <v>34.81</v>
      </c>
      <c r="Q118" s="31" t="n">
        <v>330.35</v>
      </c>
      <c r="R118" s="30" t="inlineStr">
        <is>
          <t>Volume Spike &amp; Near 52W High Breakout</t>
        </is>
      </c>
      <c r="S118" s="30" t="inlineStr">
        <is>
          <t>Nifty Infra</t>
        </is>
      </c>
      <c r="T118" s="31" t="n">
        <v>4.83</v>
      </c>
      <c r="U118" s="31" t="n">
        <v>30.63</v>
      </c>
      <c r="V118" s="31" t="n">
        <v>24.61</v>
      </c>
      <c r="W118" s="31" t="n">
        <v>17.58</v>
      </c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Less than 50%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IF(B119=0,"",RANK(B119,$B$2:$B$396,0))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PRECWIRE</t>
        </is>
      </c>
      <c r="D119" s="30" t="inlineStr">
        <is>
          <t>Precision Wires India Limited</t>
        </is>
      </c>
      <c r="E119" s="30" t="inlineStr">
        <is>
          <t>metals &amp; mining</t>
        </is>
      </c>
      <c r="F119" s="30" t="inlineStr">
        <is>
          <t>mining / minerals / metals</t>
        </is>
      </c>
      <c r="G119" s="30" t="inlineStr">
        <is>
          <t>midcap</t>
        </is>
      </c>
      <c r="H119" s="31" t="n">
        <v>7658.74</v>
      </c>
      <c r="I119" s="31" t="n">
        <v>413.8</v>
      </c>
      <c r="J119" s="31" t="n">
        <v>-1.23</v>
      </c>
      <c r="K119" s="31" t="n">
        <v>391595</v>
      </c>
      <c r="L119" s="30" t="n">
        <v>80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60.75</v>
      </c>
      <c r="P119" s="31" t="n">
        <v>46.48</v>
      </c>
      <c r="Q119" s="31" t="n">
        <v>301.79</v>
      </c>
      <c r="R119" s="30" t="inlineStr">
        <is>
          <t>Volume Spike &amp; Near 52W High Breakout</t>
        </is>
      </c>
      <c r="S119" s="30" t="inlineStr">
        <is>
          <t>Nifty Metal</t>
        </is>
      </c>
      <c r="T119" s="31" t="n">
        <v>39.94</v>
      </c>
      <c r="U119" s="31" t="n">
        <v>128.39</v>
      </c>
      <c r="V119" s="31" t="n">
        <v>63.2</v>
      </c>
      <c r="W119" s="31" t="n">
        <v>22.36</v>
      </c>
      <c r="X119" s="30" t="inlineStr">
        <is>
          <t>Cyclical in an Upturn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Cyclical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Volatile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IF(B120=0,"",RANK(B120,$B$2:$B$396,0))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TATVA</t>
        </is>
      </c>
      <c r="D120" s="30" t="inlineStr">
        <is>
          <t>Tatva Chintan Pharma Chem Ltd</t>
        </is>
      </c>
      <c r="E120" s="30" t="inlineStr">
        <is>
          <t>chemicals</t>
        </is>
      </c>
      <c r="F120" s="30" t="inlineStr">
        <is>
          <t>chemicals</t>
        </is>
      </c>
      <c r="G120" s="30" t="inlineStr">
        <is>
          <t>smallcap</t>
        </is>
      </c>
      <c r="H120" s="31" t="n">
        <v>4049.4</v>
      </c>
      <c r="I120" s="31" t="n">
        <v>1708.2</v>
      </c>
      <c r="J120" s="31" t="n">
        <v>-1.32</v>
      </c>
      <c r="K120" s="31" t="n">
        <v>77697</v>
      </c>
      <c r="L120" s="30" t="n">
        <v>73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70.44</v>
      </c>
      <c r="P120" s="31" t="n">
        <v>24.54</v>
      </c>
      <c r="Q120" s="31" t="n">
        <v>1357.3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0.85</v>
      </c>
      <c r="U120" s="31" t="n">
        <v>65.09999999999999</v>
      </c>
      <c r="V120" s="31" t="n">
        <v>63.71</v>
      </c>
      <c r="W120" s="31" t="n">
        <v>18.56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IF(B121=0,"",RANK(B121,$B$2:$B$396,0))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CRAFTSMAN</t>
        </is>
      </c>
      <c r="D121" s="30" t="inlineStr">
        <is>
          <t>Craftsman Automation Ltd</t>
        </is>
      </c>
      <c r="E121" s="30" t="inlineStr">
        <is>
          <t>auto</t>
        </is>
      </c>
      <c r="F121" s="30" t="inlineStr">
        <is>
          <t>auto ancillaries</t>
        </is>
      </c>
      <c r="G121" s="30" t="inlineStr">
        <is>
          <t>largecap</t>
        </is>
      </c>
      <c r="H121" s="31" t="n">
        <v>27606</v>
      </c>
      <c r="I121" s="31" t="n">
        <v>10399</v>
      </c>
      <c r="J121" s="31" t="n">
        <v>-1.48</v>
      </c>
      <c r="K121" s="31" t="n">
        <v>37554</v>
      </c>
      <c r="L121" s="30" t="n">
        <v>75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70.76000000000001</v>
      </c>
      <c r="P121" s="31" t="n">
        <v>61.53</v>
      </c>
      <c r="Q121" s="31" t="n">
        <v>8491.860000000001</v>
      </c>
      <c r="R121" s="30" t="inlineStr">
        <is>
          <t>Near 52W High Breakout</t>
        </is>
      </c>
      <c r="S121" s="30" t="inlineStr">
        <is>
          <t>Nifty Auto</t>
        </is>
      </c>
      <c r="T121" s="31" t="n">
        <v>24.67</v>
      </c>
      <c r="U121" s="31" t="n">
        <v>67.22</v>
      </c>
      <c r="V121" s="31" t="n">
        <v>34.14</v>
      </c>
      <c r="W121" s="31" t="n">
        <v>19.35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Between 0.7 to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IF(B122=0,"",RANK(B122,$B$2:$B$396,0))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PIDILITIND</t>
        </is>
      </c>
      <c r="D122" s="30" t="inlineStr">
        <is>
          <t>Pidilite Industries Limited</t>
        </is>
      </c>
      <c r="E122" s="30" t="inlineStr">
        <is>
          <t>chemicals</t>
        </is>
      </c>
      <c r="F122" s="30" t="inlineStr">
        <is>
          <t>chemicals</t>
        </is>
      </c>
      <c r="G122" s="30" t="inlineStr">
        <is>
          <t>largecap</t>
        </is>
      </c>
      <c r="H122" s="31" t="n">
        <v>171596.92</v>
      </c>
      <c r="I122" s="31" t="n">
        <v>1660</v>
      </c>
      <c r="J122" s="31" t="n">
        <v>-1.54</v>
      </c>
      <c r="K122" s="31" t="n">
        <v>1801597</v>
      </c>
      <c r="L122" s="30" t="n">
        <v>23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71.09</v>
      </c>
      <c r="P122" s="31" t="n">
        <v>25.57</v>
      </c>
      <c r="Q122" s="31" t="n">
        <v>1454.47</v>
      </c>
      <c r="R122" s="30" t="inlineStr">
        <is>
          <t>Volume Spike &amp; Near 52W High Breakout</t>
        </is>
      </c>
      <c r="S122" s="30" t="inlineStr">
        <is>
          <t>Nifty 500</t>
        </is>
      </c>
      <c r="T122" s="31" t="n">
        <v>5.65</v>
      </c>
      <c r="U122" s="31" t="n">
        <v>8.52</v>
      </c>
      <c r="V122" s="31" t="n">
        <v>2.72</v>
      </c>
      <c r="W122" s="31" t="n">
        <v>4.49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IF(B123=0,"",RANK(B123,$B$2:$B$396,0))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NILKAMAL</t>
        </is>
      </c>
      <c r="D123" s="30" t="inlineStr">
        <is>
          <t>Nilkamal Limited</t>
        </is>
      </c>
      <c r="E123" s="30" t="inlineStr">
        <is>
          <t>plastic products</t>
        </is>
      </c>
      <c r="F123" s="30" t="inlineStr">
        <is>
          <t>plastics products</t>
        </is>
      </c>
      <c r="G123" s="30" t="inlineStr">
        <is>
          <t>smallcap</t>
        </is>
      </c>
      <c r="H123" s="31" t="n">
        <v>2651.29</v>
      </c>
      <c r="I123" s="31" t="n">
        <v>1746.3</v>
      </c>
      <c r="J123" s="31" t="n">
        <v>-1.71</v>
      </c>
      <c r="K123" s="31" t="n">
        <v>42100</v>
      </c>
      <c r="L123" s="30" t="n">
        <v>47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76.70999999999999</v>
      </c>
      <c r="P123" s="31" t="n">
        <v>25.32</v>
      </c>
      <c r="Q123" s="31" t="n">
        <v>1391.7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0.85</v>
      </c>
      <c r="U123" s="31" t="n">
        <v>8.029999999999999</v>
      </c>
      <c r="V123" s="31" t="n">
        <v>7.12</v>
      </c>
      <c r="W123" s="31" t="n">
        <v>10.19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IF(B124=0,"",RANK(B124,$B$2:$B$396,0))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SOTL</t>
        </is>
      </c>
      <c r="D124" s="30" t="inlineStr">
        <is>
          <t>Savita Oil Technologies Limited</t>
        </is>
      </c>
      <c r="E124" s="30" t="inlineStr">
        <is>
          <t>energy</t>
        </is>
      </c>
      <c r="F124" s="30" t="inlineStr">
        <is>
          <t>petrochemicals</t>
        </is>
      </c>
      <c r="G124" s="30" t="inlineStr">
        <is>
          <t>midcap</t>
        </is>
      </c>
      <c r="H124" s="31" t="n">
        <v>5361.08</v>
      </c>
      <c r="I124" s="31" t="n">
        <v>745.9</v>
      </c>
      <c r="J124" s="31" t="n">
        <v>-4.61</v>
      </c>
      <c r="K124" s="31" t="n">
        <v>1447007</v>
      </c>
      <c r="L124" s="30" t="n">
        <v>96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72.3</v>
      </c>
      <c r="P124" s="31" t="n">
        <v>47.96</v>
      </c>
      <c r="Q124" s="31" t="n">
        <v>544.62</v>
      </c>
      <c r="R124" s="30" t="inlineStr">
        <is>
          <t>Volume Spike &amp; Near 52W High Breakout</t>
        </is>
      </c>
      <c r="S124" s="30" t="inlineStr">
        <is>
          <t>Nifty Energy</t>
        </is>
      </c>
      <c r="T124" s="31" t="n">
        <v>9.93</v>
      </c>
      <c r="U124" s="31" t="n">
        <v>89.09999999999999</v>
      </c>
      <c r="V124" s="31" t="n">
        <v>72.02</v>
      </c>
      <c r="W124" s="31" t="n">
        <v>41.21</v>
      </c>
      <c r="X124" s="30" t="inlineStr">
        <is>
          <t>Cyclical in an Upturn</t>
        </is>
      </c>
      <c r="Y124" s="30">
        <f>IF(X124="Growing Industry",10,IF(X124="Cyclical in an Upturn",5,0))</f>
        <v/>
      </c>
      <c r="Z124" s="30" t="inlineStr">
        <is>
          <t>Oligopoly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Yes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Cyclical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Volatile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IF(B125=0,"",RANK(B125,$B$2:$B$396,0))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UNIVASTU</t>
        </is>
      </c>
      <c r="D125" s="30" t="inlineStr">
        <is>
          <t>Univastu India Ltd</t>
        </is>
      </c>
      <c r="E125" s="30" t="inlineStr">
        <is>
          <t>realty</t>
        </is>
      </c>
      <c r="F125" s="30" t="inlineStr">
        <is>
          <t>construction</t>
        </is>
      </c>
      <c r="G125" s="30" t="inlineStr">
        <is>
          <t>smallcap</t>
        </is>
      </c>
      <c r="H125" s="31" t="n">
        <v>509.39</v>
      </c>
      <c r="I125" s="31" t="n">
        <v>134.75</v>
      </c>
      <c r="J125" s="31" t="n">
        <v>-4.8</v>
      </c>
      <c r="K125" s="31" t="n">
        <v>362857</v>
      </c>
      <c r="L125" s="30" t="n">
        <v>93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84.53</v>
      </c>
      <c r="P125" s="31" t="n">
        <v>65.43000000000001</v>
      </c>
      <c r="Q125" s="31" t="n">
        <v>102.41</v>
      </c>
      <c r="R125" s="30" t="inlineStr">
        <is>
          <t>Near 52W High Breakout</t>
        </is>
      </c>
      <c r="S125" s="30" t="inlineStr">
        <is>
          <t>Nifty Realty</t>
        </is>
      </c>
      <c r="T125" s="31" t="n">
        <v>-6.8</v>
      </c>
      <c r="U125" s="31" t="n">
        <v>49.94</v>
      </c>
      <c r="V125" s="31" t="n">
        <v>60.88</v>
      </c>
      <c r="W125" s="31" t="n">
        <v>33.76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Above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IF(B126=0,"",RANK(B126,$B$2:$B$396,0))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NEULANDLAB</t>
        </is>
      </c>
      <c r="D126" s="30" t="inlineStr">
        <is>
          <t>Neuland Laboratories Limited</t>
        </is>
      </c>
      <c r="E126" s="30" t="inlineStr">
        <is>
          <t>healthcare</t>
        </is>
      </c>
      <c r="F126" s="30" t="inlineStr">
        <is>
          <t>pharmaceuticals - indian - bulk drugs</t>
        </is>
      </c>
      <c r="G126" s="30" t="inlineStr">
        <is>
          <t>largecap</t>
        </is>
      </c>
      <c r="H126" s="31" t="n">
        <v>27639.43</v>
      </c>
      <c r="I126" s="31" t="n">
        <v>22855</v>
      </c>
      <c r="J126" s="31" t="n">
        <v>6.09</v>
      </c>
      <c r="K126" s="31" t="n">
        <v>313887</v>
      </c>
      <c r="L126" s="30" t="n">
        <v>77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76.59</v>
      </c>
      <c r="P126" s="31" t="n">
        <v>50.27</v>
      </c>
      <c r="Q126" s="31" t="n">
        <v>18261.81</v>
      </c>
      <c r="R126" s="30" t="inlineStr">
        <is>
          <t>Volume Spike &amp; Near 52W High Breakout</t>
        </is>
      </c>
      <c r="S126" s="30" t="inlineStr">
        <is>
          <t>Nifty Pharma</t>
        </is>
      </c>
      <c r="T126" s="31" t="n">
        <v>24.01</v>
      </c>
      <c r="U126" s="31" t="n">
        <v>74.8</v>
      </c>
      <c r="V126" s="31" t="n">
        <v>40.95</v>
      </c>
      <c r="W126" s="31" t="n">
        <v>20.8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IF(B127=0,"",RANK(B127,$B$2:$B$396,0))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ASTERDM</t>
        </is>
      </c>
      <c r="D127" s="30" t="inlineStr">
        <is>
          <t>Aster DM Healthcare Ltd</t>
        </is>
      </c>
      <c r="E127" s="30" t="inlineStr">
        <is>
          <t>healthcare</t>
        </is>
      </c>
      <c r="F127" s="30" t="inlineStr">
        <is>
          <t>healthcare</t>
        </is>
      </c>
      <c r="G127" s="30" t="inlineStr">
        <is>
          <t>largecap</t>
        </is>
      </c>
      <c r="H127" s="31" t="n">
        <v>73608.38</v>
      </c>
      <c r="I127" s="31" t="n">
        <v>869.7</v>
      </c>
      <c r="J127" s="31" t="n">
        <v>2.99</v>
      </c>
      <c r="K127" s="31" t="n">
        <v>1037107</v>
      </c>
      <c r="L127" s="30" t="n">
        <v>58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69.48999999999999</v>
      </c>
      <c r="P127" s="31" t="n">
        <v>48.8</v>
      </c>
      <c r="Q127" s="31" t="n">
        <v>713.92</v>
      </c>
      <c r="R127" s="30" t="inlineStr">
        <is>
          <t>Volume Spike &amp; Near 52W High Breakout</t>
        </is>
      </c>
      <c r="S127" s="30" t="inlineStr">
        <is>
          <t>Nifty Pharma</t>
        </is>
      </c>
      <c r="T127" s="31" t="n">
        <v>24.01</v>
      </c>
      <c r="U127" s="31" t="n">
        <v>50.74</v>
      </c>
      <c r="V127" s="31" t="n">
        <v>21.55</v>
      </c>
      <c r="W127" s="31" t="n">
        <v>13.51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IF(B128=0,"",RANK(B128,$B$2:$B$396,0))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DBOL</t>
        </is>
      </c>
      <c r="D128" s="30" t="inlineStr">
        <is>
          <t>Dhampur Bio Organics Ltd</t>
        </is>
      </c>
      <c r="E128" s="30" t="inlineStr">
        <is>
          <t>fmcg</t>
        </is>
      </c>
      <c r="F128" s="30" t="inlineStr">
        <is>
          <t>sugar</t>
        </is>
      </c>
      <c r="G128" s="30" t="inlineStr">
        <is>
          <t>smallcap</t>
        </is>
      </c>
      <c r="H128" s="31" t="n">
        <v>736.37</v>
      </c>
      <c r="I128" s="31" t="n">
        <v>113.7</v>
      </c>
      <c r="J128" s="31" t="n">
        <v>2.51</v>
      </c>
      <c r="K128" s="31" t="n">
        <v>159595</v>
      </c>
      <c r="L128" s="30" t="n">
        <v>29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56.88</v>
      </c>
      <c r="P128" s="31" t="n">
        <v>36.38</v>
      </c>
      <c r="Q128" s="31" t="n">
        <v>83.81999999999999</v>
      </c>
      <c r="R128" s="30" t="inlineStr">
        <is>
          <t>Volume Spike / Accumulation</t>
        </is>
      </c>
      <c r="S128" s="30" t="inlineStr">
        <is>
          <t>Nifty FMCG</t>
        </is>
      </c>
      <c r="T128" s="31" t="n">
        <v>-9.43</v>
      </c>
      <c r="U128" s="31" t="n">
        <v>30.41</v>
      </c>
      <c r="V128" s="31" t="n">
        <v>43.98</v>
      </c>
      <c r="W128" s="31" t="n">
        <v>5.68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B2C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Between 0.7 to 1.2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IF(B129=0,"",RANK(B129,$B$2:$B$396,0))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AVTNPL</t>
        </is>
      </c>
      <c r="D129" s="30" t="inlineStr">
        <is>
          <t>Avt Natural Products Limited</t>
        </is>
      </c>
      <c r="E129" s="30" t="inlineStr">
        <is>
          <t>fmcg</t>
        </is>
      </c>
      <c r="F129" s="30" t="inlineStr">
        <is>
          <t>solvent extraction</t>
        </is>
      </c>
      <c r="G129" s="30" t="inlineStr">
        <is>
          <t>smallcap</t>
        </is>
      </c>
      <c r="H129" s="31" t="n">
        <v>1090.2</v>
      </c>
      <c r="I129" s="31" t="n">
        <v>72.5</v>
      </c>
      <c r="J129" s="31" t="n">
        <v>1.27</v>
      </c>
      <c r="K129" s="31" t="n">
        <v>41803</v>
      </c>
      <c r="L129" s="30" t="n">
        <v>7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58.02</v>
      </c>
      <c r="P129" s="31" t="n">
        <v>31.44</v>
      </c>
      <c r="Q129" s="31" t="n">
        <v>57.94</v>
      </c>
      <c r="R129" s="30" t="inlineStr">
        <is>
          <t>Earnings / Momentum Support</t>
        </is>
      </c>
      <c r="S129" s="30" t="inlineStr">
        <is>
          <t>Nifty FMCG</t>
        </is>
      </c>
      <c r="T129" s="31" t="n">
        <v>-9.43</v>
      </c>
      <c r="U129" s="31" t="n">
        <v>-4.97</v>
      </c>
      <c r="V129" s="31" t="n">
        <v>4.92</v>
      </c>
      <c r="W129" s="31" t="n">
        <v>0.62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B2C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Less than 50%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IF(B130=0,"",RANK(B130,$B$2:$B$396,0))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MANORAMA</t>
        </is>
      </c>
      <c r="D130" s="30" t="inlineStr">
        <is>
          <t>Manorama Industries Ltd</t>
        </is>
      </c>
      <c r="E130" s="30" t="inlineStr">
        <is>
          <t>fmcg</t>
        </is>
      </c>
      <c r="F130" s="30" t="inlineStr">
        <is>
          <t>food - processing - indian</t>
        </is>
      </c>
      <c r="G130" s="30" t="inlineStr">
        <is>
          <t>midcap</t>
        </is>
      </c>
      <c r="H130" s="31" t="n">
        <v>9696.07</v>
      </c>
      <c r="I130" s="31" t="n">
        <v>1636.2</v>
      </c>
      <c r="J130" s="31" t="n">
        <v>0.76</v>
      </c>
      <c r="K130" s="31" t="n">
        <v>450153</v>
      </c>
      <c r="L130" s="30" t="n">
        <v>29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62.66</v>
      </c>
      <c r="P130" s="31" t="n">
        <v>14.51</v>
      </c>
      <c r="Q130" s="31" t="n">
        <v>1282.83</v>
      </c>
      <c r="R130" s="30" t="inlineStr">
        <is>
          <t>Near 52W High Breakout</t>
        </is>
      </c>
      <c r="S130" s="30" t="inlineStr">
        <is>
          <t>Nifty FMCG</t>
        </is>
      </c>
      <c r="T130" s="31" t="n">
        <v>-9.43</v>
      </c>
      <c r="U130" s="31" t="n">
        <v>3.81</v>
      </c>
      <c r="V130" s="31" t="n">
        <v>14.62</v>
      </c>
      <c r="W130" s="31" t="n">
        <v>5.66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B2C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0 to 20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Between 50% to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IF(B131=0,"",RANK(B131,$B$2:$B$396,0))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KEI</t>
        </is>
      </c>
      <c r="D131" s="30" t="inlineStr">
        <is>
          <t>Kei Industries Limited</t>
        </is>
      </c>
      <c r="E131" s="30" t="inlineStr">
        <is>
          <t>industrials</t>
        </is>
      </c>
      <c r="F131" s="30" t="inlineStr">
        <is>
          <t>cables - power</t>
        </is>
      </c>
      <c r="G131" s="30" t="inlineStr">
        <is>
          <t>largecap</t>
        </is>
      </c>
      <c r="H131" s="31" t="n">
        <v>53488.53</v>
      </c>
      <c r="I131" s="31" t="n">
        <v>5600</v>
      </c>
      <c r="J131" s="31" t="n">
        <v>0.09</v>
      </c>
      <c r="K131" s="31" t="n">
        <v>543635</v>
      </c>
      <c r="L131" s="30" t="n">
        <v>52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64.12</v>
      </c>
      <c r="P131" s="31" t="n">
        <v>25.74</v>
      </c>
      <c r="Q131" s="31" t="n">
        <v>4486.79</v>
      </c>
      <c r="R131" s="30" t="inlineStr">
        <is>
          <t>Volume Spike &amp; Near 52W High Breakout</t>
        </is>
      </c>
      <c r="S131" s="30" t="inlineStr">
        <is>
          <t>Nifty Energy</t>
        </is>
      </c>
      <c r="T131" s="31" t="n">
        <v>9.93</v>
      </c>
      <c r="U131" s="31" t="n">
        <v>44.43</v>
      </c>
      <c r="V131" s="31" t="n">
        <v>31.39</v>
      </c>
      <c r="W131" s="31" t="n">
        <v>11.55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Fully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Yes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Yes, More Than 10%</t>
        </is>
      </c>
      <c r="CE131" s="30">
        <f>IF(CD131="Yes, more than 10%",-10,IF(CD131="No",10,0))</f>
        <v/>
      </c>
    </row>
    <row r="132">
      <c r="A132" s="30">
        <f>IF(B132=0,"",RANK(B132,$B$2:$B$396,0))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63MOONS</t>
        </is>
      </c>
      <c r="D132" s="30" t="inlineStr">
        <is>
          <t>63 Moons Technologies Ltd</t>
        </is>
      </c>
      <c r="E132" s="30" t="inlineStr">
        <is>
          <t>i.t</t>
        </is>
      </c>
      <c r="F132" s="30" t="inlineStr">
        <is>
          <t>computers - software - medium / small</t>
        </is>
      </c>
      <c r="G132" s="30" t="inlineStr">
        <is>
          <t>smallcap</t>
        </is>
      </c>
      <c r="H132" s="31" t="n">
        <v>3954.46</v>
      </c>
      <c r="I132" s="31" t="n">
        <v>857.75</v>
      </c>
      <c r="J132" s="31" t="n">
        <v>-0.05</v>
      </c>
      <c r="K132" s="31" t="n">
        <v>473840</v>
      </c>
      <c r="L132" s="30" t="n">
        <v>19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65.70999999999999</v>
      </c>
      <c r="P132" s="31" t="n">
        <v>18.5</v>
      </c>
      <c r="Q132" s="31" t="n">
        <v>620.4</v>
      </c>
      <c r="R132" s="30" t="inlineStr">
        <is>
          <t>Volume Spike / Accumulation</t>
        </is>
      </c>
      <c r="S132" s="30" t="inlineStr">
        <is>
          <t>Nifty IT</t>
        </is>
      </c>
      <c r="T132" s="31" t="n">
        <v>-8.289999999999999</v>
      </c>
      <c r="U132" s="31" t="n">
        <v>-5.96</v>
      </c>
      <c r="V132" s="31" t="n">
        <v>2.54</v>
      </c>
      <c r="W132" s="31" t="n">
        <v>3.59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0 to 20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IF(B133=0,"",RANK(B133,$B$2:$B$396,0))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DIVISLAB</t>
        </is>
      </c>
      <c r="D133" s="30" t="inlineStr">
        <is>
          <t>Divi's Laboratories Limited</t>
        </is>
      </c>
      <c r="E133" s="30" t="inlineStr">
        <is>
          <t>healthcare</t>
        </is>
      </c>
      <c r="F133" s="30" t="inlineStr">
        <is>
          <t>pharmaceuticals - indian - bulk drugs</t>
        </is>
      </c>
      <c r="G133" s="30" t="inlineStr">
        <is>
          <t>largecap</t>
        </is>
      </c>
      <c r="H133" s="31" t="n">
        <v>221639.72</v>
      </c>
      <c r="I133" s="31" t="n">
        <v>8275</v>
      </c>
      <c r="J133" s="31" t="n">
        <v>-0.89</v>
      </c>
      <c r="K133" s="31" t="n">
        <v>498905</v>
      </c>
      <c r="L133" s="30" t="n">
        <v>55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82.15000000000001</v>
      </c>
      <c r="P133" s="31" t="n">
        <v>28.21</v>
      </c>
      <c r="Q133" s="31" t="n">
        <v>7170.05</v>
      </c>
      <c r="R133" s="30" t="inlineStr">
        <is>
          <t>Volume Spike &amp; Near 52W High Breakout</t>
        </is>
      </c>
      <c r="S133" s="30" t="inlineStr">
        <is>
          <t>Nifty Pharma</t>
        </is>
      </c>
      <c r="T133" s="31" t="n">
        <v>24.01</v>
      </c>
      <c r="U133" s="31" t="n">
        <v>40.49</v>
      </c>
      <c r="V133" s="31" t="n">
        <v>13.28</v>
      </c>
      <c r="W133" s="31" t="n">
        <v>12.42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Yes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Above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IF(B134=0,"",RANK(B134,$B$2:$B$396,0))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VADILALIND</t>
        </is>
      </c>
      <c r="D134" s="30" t="inlineStr">
        <is>
          <t>Vadilal Industries Limited</t>
        </is>
      </c>
      <c r="E134" s="30" t="inlineStr">
        <is>
          <t>fmcg</t>
        </is>
      </c>
      <c r="F134" s="30" t="inlineStr">
        <is>
          <t>food - processing - indian</t>
        </is>
      </c>
      <c r="G134" s="30" t="inlineStr">
        <is>
          <t>midcap</t>
        </is>
      </c>
      <c r="H134" s="31" t="n">
        <v>5266.88</v>
      </c>
      <c r="I134" s="31" t="n">
        <v>7207.5</v>
      </c>
      <c r="J134" s="31" t="n">
        <v>-1.64</v>
      </c>
      <c r="K134" s="31" t="n">
        <v>26601</v>
      </c>
      <c r="L134" s="30" t="n">
        <v>78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75.67</v>
      </c>
      <c r="P134" s="31" t="n">
        <v>36.93</v>
      </c>
      <c r="Q134" s="31" t="n">
        <v>5857.87</v>
      </c>
      <c r="R134" s="30" t="inlineStr">
        <is>
          <t>Near 52W High Breakout</t>
        </is>
      </c>
      <c r="S134" s="30" t="inlineStr">
        <is>
          <t>Nifty FMCG</t>
        </is>
      </c>
      <c r="T134" s="31" t="n">
        <v>-9.43</v>
      </c>
      <c r="U134" s="31" t="n">
        <v>31.75</v>
      </c>
      <c r="V134" s="31" t="n">
        <v>45.47</v>
      </c>
      <c r="W134" s="31" t="n">
        <v>21.7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B2C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IF(B135=0,"",RANK(B135,$B$2:$B$396,0))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SUBEXLTD</t>
        </is>
      </c>
      <c r="D135" s="30" t="inlineStr">
        <is>
          <t>Subex Ltd</t>
        </is>
      </c>
      <c r="E135" s="30" t="inlineStr">
        <is>
          <t>i.t</t>
        </is>
      </c>
      <c r="F135" s="30" t="inlineStr">
        <is>
          <t>computers - software - medium / small</t>
        </is>
      </c>
      <c r="G135" s="30" t="inlineStr">
        <is>
          <t>smallcap</t>
        </is>
      </c>
      <c r="H135" s="31" t="n">
        <v>794.11</v>
      </c>
      <c r="I135" s="31" t="n">
        <v>13.74</v>
      </c>
      <c r="J135" s="31" t="n">
        <v>-2.76</v>
      </c>
      <c r="K135" s="31" t="n">
        <v>1417435</v>
      </c>
      <c r="L135" s="30" t="n">
        <v>36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62.3</v>
      </c>
      <c r="P135" s="31" t="n">
        <v>24.01</v>
      </c>
      <c r="Q135" s="31" t="n">
        <v>9.539999999999999</v>
      </c>
      <c r="R135" s="30" t="inlineStr">
        <is>
          <t>Volume Spike &amp; Near 52W High Breakout</t>
        </is>
      </c>
      <c r="S135" s="30" t="inlineStr">
        <is>
          <t>Nifty IT</t>
        </is>
      </c>
      <c r="T135" s="31" t="n">
        <v>-8.289999999999999</v>
      </c>
      <c r="U135" s="31" t="n">
        <v>11.17</v>
      </c>
      <c r="V135" s="31" t="n">
        <v>21.21</v>
      </c>
      <c r="W135" s="31" t="n">
        <v>7.04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Between 12 to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IF(B136=0,"",RANK(B136,$B$2:$B$396,0))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NRAIL</t>
        </is>
      </c>
      <c r="D136" s="30" t="inlineStr">
        <is>
          <t>N R Agarwal Industries Ltd</t>
        </is>
      </c>
      <c r="E136" s="30" t="inlineStr">
        <is>
          <t>building materials</t>
        </is>
      </c>
      <c r="F136" s="30" t="inlineStr">
        <is>
          <t>paper</t>
        </is>
      </c>
      <c r="G136" s="30" t="inlineStr">
        <is>
          <t>smallcap</t>
        </is>
      </c>
      <c r="H136" s="31" t="n">
        <v>887.8</v>
      </c>
      <c r="I136" s="31" t="n">
        <v>544.55</v>
      </c>
      <c r="J136" s="31" t="n">
        <v>4.39</v>
      </c>
      <c r="K136" s="31" t="n">
        <v>66674</v>
      </c>
      <c r="L136" s="30" t="n">
        <v>59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62.61</v>
      </c>
      <c r="P136" s="31" t="n">
        <v>22.7</v>
      </c>
      <c r="Q136" s="31" t="n">
        <v>384.63</v>
      </c>
      <c r="R136" s="30" t="inlineStr">
        <is>
          <t>Volume Spike &amp; Near 52W High Breakout</t>
        </is>
      </c>
      <c r="S136" s="30" t="inlineStr">
        <is>
          <t>Nifty Infra</t>
        </is>
      </c>
      <c r="T136" s="31" t="n">
        <v>4.83</v>
      </c>
      <c r="U136" s="31" t="n">
        <v>58.18</v>
      </c>
      <c r="V136" s="31" t="n">
        <v>50.9</v>
      </c>
      <c r="W136" s="31" t="n">
        <v>13.74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Between 0.7 to 1.2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IF(B137=0,"",RANK(B137,$B$2:$B$396,0))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NAHARSPING</t>
        </is>
      </c>
      <c r="D137" s="30" t="inlineStr">
        <is>
          <t>Nahar Spinning Mills Limited</t>
        </is>
      </c>
      <c r="E137" s="30" t="inlineStr">
        <is>
          <t>textiles</t>
        </is>
      </c>
      <c r="F137" s="30" t="inlineStr">
        <is>
          <t>textiles - cotton/blended</t>
        </is>
      </c>
      <c r="G137" s="30" t="inlineStr">
        <is>
          <t>smallcap</t>
        </is>
      </c>
      <c r="H137" s="31" t="n">
        <v>1117.3</v>
      </c>
      <c r="I137" s="31" t="n">
        <v>316.25</v>
      </c>
      <c r="J137" s="31" t="n">
        <v>2.08</v>
      </c>
      <c r="K137" s="31" t="n">
        <v>66266</v>
      </c>
      <c r="L137" s="30" t="n">
        <v>60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71.67</v>
      </c>
      <c r="P137" s="31" t="n">
        <v>26.14</v>
      </c>
      <c r="Q137" s="31" t="n">
        <v>245.11</v>
      </c>
      <c r="R137" s="30" t="inlineStr">
        <is>
          <t>Volume Spike &amp; Near 52W High Breakout</t>
        </is>
      </c>
      <c r="S137" s="30" t="inlineStr">
        <is>
          <t>Nifty 50</t>
        </is>
      </c>
      <c r="T137" s="31" t="n">
        <v>0.85</v>
      </c>
      <c r="U137" s="31" t="n">
        <v>55.01</v>
      </c>
      <c r="V137" s="31" t="n">
        <v>53.7</v>
      </c>
      <c r="W137" s="31" t="n">
        <v>14.12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IF(B138=0,"",RANK(B138,$B$2:$B$396,0))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KALYANKJIL</t>
        </is>
      </c>
      <c r="D138" s="30" t="inlineStr">
        <is>
          <t>Kalyan Jewellers India Ltd</t>
        </is>
      </c>
      <c r="E138" s="30" t="inlineStr">
        <is>
          <t>consumer discretionary</t>
        </is>
      </c>
      <c r="F138" s="30" t="inlineStr">
        <is>
          <t>diamond cutting / jewellery</t>
        </is>
      </c>
      <c r="G138" s="30" t="inlineStr">
        <is>
          <t>largecap</t>
        </is>
      </c>
      <c r="H138" s="31" t="n">
        <v>61757.86</v>
      </c>
      <c r="I138" s="31" t="n">
        <v>606.3</v>
      </c>
      <c r="J138" s="31" t="n">
        <v>1.39</v>
      </c>
      <c r="K138" s="31" t="n">
        <v>66447775</v>
      </c>
      <c r="L138" s="30" t="n">
        <v>59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71.69</v>
      </c>
      <c r="P138" s="31" t="n">
        <v>29.53</v>
      </c>
      <c r="Q138" s="31" t="n">
        <v>461.1</v>
      </c>
      <c r="R138" s="30" t="inlineStr">
        <is>
          <t>Near 52W High Breakout</t>
        </is>
      </c>
      <c r="S138" s="30" t="inlineStr">
        <is>
          <t>Nifty 50</t>
        </is>
      </c>
      <c r="T138" s="31" t="n">
        <v>0.85</v>
      </c>
      <c r="U138" s="31" t="n">
        <v>15.14</v>
      </c>
      <c r="V138" s="31" t="n">
        <v>14.17</v>
      </c>
      <c r="W138" s="31" t="n">
        <v>13.76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Between 0.7 to 1.2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IF(B139=0,"",RANK(B139,$B$2:$B$396,0))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IRISDOREME</t>
        </is>
      </c>
      <c r="D139" s="30" t="inlineStr">
        <is>
          <t>Iris Clothings Ltd</t>
        </is>
      </c>
      <c r="E139" s="30" t="inlineStr">
        <is>
          <t>consumer discretionary</t>
        </is>
      </c>
      <c r="F139" s="30" t="inlineStr">
        <is>
          <t>textiles - products</t>
        </is>
      </c>
      <c r="G139" s="30" t="inlineStr">
        <is>
          <t>smallcap</t>
        </is>
      </c>
      <c r="H139" s="31" t="n">
        <v>1028.17</v>
      </c>
      <c r="I139" s="31" t="n">
        <v>54.75</v>
      </c>
      <c r="J139" s="31" t="n">
        <v>1.35</v>
      </c>
      <c r="K139" s="31" t="n">
        <v>697724</v>
      </c>
      <c r="L139" s="30" t="n">
        <v>77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82.45999999999999</v>
      </c>
      <c r="P139" s="31" t="n">
        <v>35.7</v>
      </c>
      <c r="Q139" s="31" t="n">
        <v>41.32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0.85</v>
      </c>
      <c r="U139" s="31" t="n">
        <v>65.31</v>
      </c>
      <c r="V139" s="31" t="n">
        <v>63.92</v>
      </c>
      <c r="W139" s="31" t="n">
        <v>21.02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IF(B140=0,"",RANK(B140,$B$2:$B$396,0))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SIGMAADV</t>
        </is>
      </c>
      <c r="D140" s="30" t="inlineStr">
        <is>
          <t>Sigma Advanced System Ltd</t>
        </is>
      </c>
      <c r="E140" s="30" t="inlineStr">
        <is>
          <t>aerospace &amp; defence</t>
        </is>
      </c>
      <c r="F140" s="30" t="inlineStr">
        <is>
          <t>electronics - components</t>
        </is>
      </c>
      <c r="G140" s="30" t="inlineStr">
        <is>
          <t>midcap</t>
        </is>
      </c>
      <c r="H140" s="31" t="n">
        <v>13114.08</v>
      </c>
      <c r="I140" s="31" t="n">
        <v>700.95</v>
      </c>
      <c r="J140" s="31" t="n">
        <v>1.29</v>
      </c>
      <c r="K140" s="31" t="n">
        <v>177711</v>
      </c>
      <c r="L140" s="30" t="n">
        <v>98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78.31999999999999</v>
      </c>
      <c r="P140" s="31" t="n">
        <v>67.31999999999999</v>
      </c>
      <c r="Q140" s="31" t="n">
        <v>518.37</v>
      </c>
      <c r="R140" s="30" t="inlineStr">
        <is>
          <t>Near 52W High Breakout</t>
        </is>
      </c>
      <c r="S140" s="30" t="inlineStr">
        <is>
          <t>Nifty 50</t>
        </is>
      </c>
      <c r="T140" s="31" t="n">
        <v>0.85</v>
      </c>
      <c r="U140" s="31" t="n">
        <v>493.47</v>
      </c>
      <c r="V140" s="31" t="n">
        <v>488.46</v>
      </c>
      <c r="W140" s="31" t="n">
        <v>74.59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Negative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Between 0.7 to 1.2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IF(B141=0,"",RANK(B141,$B$2:$B$396,0))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EICHERMOT</t>
        </is>
      </c>
      <c r="D141" s="30" t="inlineStr">
        <is>
          <t>Eicher Motors Limited</t>
        </is>
      </c>
      <c r="E141" s="30" t="inlineStr">
        <is>
          <t>auto</t>
        </is>
      </c>
      <c r="F141" s="30" t="inlineStr">
        <is>
          <t>automobiles - motorcycles / mopeds</t>
        </is>
      </c>
      <c r="G141" s="30" t="inlineStr">
        <is>
          <t>largecap</t>
        </is>
      </c>
      <c r="H141" s="31" t="n">
        <v>218705.91</v>
      </c>
      <c r="I141" s="31" t="n">
        <v>8020</v>
      </c>
      <c r="J141" s="31" t="n">
        <v>0.66</v>
      </c>
      <c r="K141" s="31" t="n">
        <v>663772</v>
      </c>
      <c r="L141" s="30" t="n">
        <v>54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64.95</v>
      </c>
      <c r="P141" s="31" t="n">
        <v>8.300000000000001</v>
      </c>
      <c r="Q141" s="31" t="n">
        <v>6861.36</v>
      </c>
      <c r="R141" s="30" t="inlineStr">
        <is>
          <t>Near 52W High Breakout</t>
        </is>
      </c>
      <c r="S141" s="30" t="inlineStr">
        <is>
          <t>Nifty Auto</t>
        </is>
      </c>
      <c r="T141" s="31" t="n">
        <v>24.67</v>
      </c>
      <c r="U141" s="31" t="n">
        <v>51.1</v>
      </c>
      <c r="V141" s="31" t="n">
        <v>21.2</v>
      </c>
      <c r="W141" s="31" t="n">
        <v>11.87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0 to 20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Between 1.5 to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IF(B142=0,"",RANK(B142,$B$2:$B$396,0))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YASHO</t>
        </is>
      </c>
      <c r="D142" s="30" t="inlineStr">
        <is>
          <t>Yasho Industries Ltd</t>
        </is>
      </c>
      <c r="E142" s="30" t="inlineStr">
        <is>
          <t>chemicals</t>
        </is>
      </c>
      <c r="F142" s="30" t="inlineStr">
        <is>
          <t>chemicals</t>
        </is>
      </c>
      <c r="G142" s="30" t="inlineStr">
        <is>
          <t>midcap</t>
        </is>
      </c>
      <c r="H142" s="31" t="n">
        <v>5023.11</v>
      </c>
      <c r="I142" s="31" t="n">
        <v>4175</v>
      </c>
      <c r="J142" s="31" t="n">
        <v>0.21</v>
      </c>
      <c r="K142" s="31" t="n">
        <v>31318</v>
      </c>
      <c r="L142" s="30" t="n">
        <v>98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91.54000000000001</v>
      </c>
      <c r="P142" s="31" t="n">
        <v>60.14</v>
      </c>
      <c r="Q142" s="31" t="n">
        <v>3142.86</v>
      </c>
      <c r="R142" s="30" t="inlineStr">
        <is>
          <t>Volume Spike &amp; Near 52W High Breakout</t>
        </is>
      </c>
      <c r="S142" s="30" t="inlineStr">
        <is>
          <t>Nifty 50</t>
        </is>
      </c>
      <c r="T142" s="31" t="n">
        <v>0.85</v>
      </c>
      <c r="U142" s="31" t="n">
        <v>135.53</v>
      </c>
      <c r="V142" s="31" t="n">
        <v>133.54</v>
      </c>
      <c r="W142" s="31" t="n">
        <v>64.93000000000001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Above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More than 1.2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IF(B143=0,"",RANK(B143,$B$2:$B$396,0))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2" t="inlineStr">
        <is>
          <t>MIDHANI</t>
        </is>
      </c>
      <c r="D143" s="32" t="inlineStr">
        <is>
          <t>Mishra Dhatu Nigam Ltd</t>
        </is>
      </c>
      <c r="E143" s="30" t="inlineStr">
        <is>
          <t>aerospace &amp; defence</t>
        </is>
      </c>
      <c r="F143" s="30" t="inlineStr">
        <is>
          <t>steel - medium / small</t>
        </is>
      </c>
      <c r="G143" s="30" t="inlineStr">
        <is>
          <t>midcap</t>
        </is>
      </c>
      <c r="H143" s="31" t="n">
        <v>8135.24</v>
      </c>
      <c r="I143" s="31" t="n">
        <v>435.15</v>
      </c>
      <c r="J143" s="31" t="n">
        <v>0.21</v>
      </c>
      <c r="K143" s="31" t="n">
        <v>508711</v>
      </c>
      <c r="L143" s="30" t="n">
        <v>27</v>
      </c>
      <c r="M143" s="30" t="inlineStr">
        <is>
          <t>Underperforming</t>
        </is>
      </c>
      <c r="N143" s="31">
        <f>IF(M143="Underperforming",-5,IF(L143&gt;=95,15,IF(L143&gt;=90,10,IF(L143&gt;=80,5,0))))</f>
        <v/>
      </c>
      <c r="O143" s="31" t="n">
        <v>60.63</v>
      </c>
      <c r="P143" s="31" t="n">
        <v>26.79</v>
      </c>
      <c r="Q143" s="31" t="n">
        <v>334.83</v>
      </c>
      <c r="R143" s="30" t="inlineStr">
        <is>
          <t>Near 52W High Breakout</t>
        </is>
      </c>
      <c r="S143" s="30" t="inlineStr">
        <is>
          <t>Nifty Metal</t>
        </is>
      </c>
      <c r="T143" s="31" t="n">
        <v>39.94</v>
      </c>
      <c r="U143" s="31" t="n">
        <v>7.94</v>
      </c>
      <c r="V143" s="31" t="n">
        <v>-22.87</v>
      </c>
      <c r="W143" s="31" t="n">
        <v>5.32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Between 1.5 to 2</t>
        </is>
      </c>
      <c r="BU143" s="30">
        <f>IF(BT143="Above 2",0,IF(BT143="Between 1.5 to 2",5,IF(BT143="Less than 1.5",10,0)))</f>
        <v/>
      </c>
      <c r="BV143" s="30" t="inlineStr">
        <is>
          <t>Between 50% to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IF(B144=0,"",RANK(B144,$B$2:$B$396,0))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HAL</t>
        </is>
      </c>
      <c r="D144" s="30" t="inlineStr">
        <is>
          <t>Hindustan Aeronautics Ltd</t>
        </is>
      </c>
      <c r="E144" s="30" t="inlineStr">
        <is>
          <t>aerospace &amp; defence</t>
        </is>
      </c>
      <c r="F144" s="30" t="inlineStr">
        <is>
          <t>engineering</t>
        </is>
      </c>
      <c r="G144" s="30" t="inlineStr">
        <is>
          <t>largecap</t>
        </is>
      </c>
      <c r="H144" s="31" t="n">
        <v>329037.3</v>
      </c>
      <c r="I144" s="31" t="n">
        <v>4910</v>
      </c>
      <c r="J144" s="31" t="n">
        <v>-0.2</v>
      </c>
      <c r="K144" s="31" t="n">
        <v>2152548</v>
      </c>
      <c r="L144" s="30" t="n">
        <v>17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65.34</v>
      </c>
      <c r="P144" s="31" t="n">
        <v>22.22</v>
      </c>
      <c r="Q144" s="31" t="n">
        <v>4167.71</v>
      </c>
      <c r="R144" s="30" t="inlineStr">
        <is>
          <t>Volume Spike &amp; Near 52W High Breakout</t>
        </is>
      </c>
      <c r="S144" s="30" t="inlineStr">
        <is>
          <t>Nifty 500</t>
        </is>
      </c>
      <c r="T144" s="31" t="n">
        <v>5.65</v>
      </c>
      <c r="U144" s="31" t="n">
        <v>11.86</v>
      </c>
      <c r="V144" s="31" t="n">
        <v>5.88</v>
      </c>
      <c r="W144" s="31" t="n">
        <v>3.25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IF(B145=0,"",RANK(B145,$B$2:$B$396,0))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POLYPLEX</t>
        </is>
      </c>
      <c r="D145" s="32" t="inlineStr">
        <is>
          <t>Polyplex Corporation Limited</t>
        </is>
      </c>
      <c r="E145" s="30" t="inlineStr">
        <is>
          <t>industrials</t>
        </is>
      </c>
      <c r="F145" s="30" t="inlineStr">
        <is>
          <t>packaging</t>
        </is>
      </c>
      <c r="G145" s="30" t="inlineStr">
        <is>
          <t>smallcap</t>
        </is>
      </c>
      <c r="H145" s="31" t="n">
        <v>3500.57</v>
      </c>
      <c r="I145" s="31" t="n">
        <v>1112.2</v>
      </c>
      <c r="J145" s="31" t="n">
        <v>-0.26</v>
      </c>
      <c r="K145" s="31" t="n">
        <v>46724</v>
      </c>
      <c r="L145" s="30" t="n">
        <v>31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67.97</v>
      </c>
      <c r="P145" s="31" t="n">
        <v>46.43</v>
      </c>
      <c r="Q145" s="31" t="n">
        <v>915.27</v>
      </c>
      <c r="R145" s="30" t="inlineStr">
        <is>
          <t>Near 52W High Breakout</t>
        </is>
      </c>
      <c r="S145" s="30" t="inlineStr">
        <is>
          <t>Nifty Infra</t>
        </is>
      </c>
      <c r="T145" s="31" t="n">
        <v>4.83</v>
      </c>
      <c r="U145" s="31" t="n">
        <v>-0.73</v>
      </c>
      <c r="V145" s="31" t="n">
        <v>-5.3</v>
      </c>
      <c r="W145" s="31" t="n">
        <v>6</v>
      </c>
      <c r="X145" s="30" t="inlineStr">
        <is>
          <t>Cyclical in an Upturn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IF(B146=0,"",RANK(B146,$B$2:$B$396,0))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KRISHANA</t>
        </is>
      </c>
      <c r="D146" s="30" t="inlineStr">
        <is>
          <t>Krishana Phoschem Ltd</t>
        </is>
      </c>
      <c r="E146" s="30" t="inlineStr">
        <is>
          <t>chemicals</t>
        </is>
      </c>
      <c r="F146" s="30" t="inlineStr">
        <is>
          <t>fertilizers</t>
        </is>
      </c>
      <c r="G146" s="30" t="inlineStr">
        <is>
          <t>smallcap</t>
        </is>
      </c>
      <c r="H146" s="31" t="n">
        <v>1109.25</v>
      </c>
      <c r="I146" s="31" t="n">
        <v>178.86</v>
      </c>
      <c r="J146" s="31" t="n">
        <v>-0.31</v>
      </c>
      <c r="K146" s="31" t="n">
        <v>291541</v>
      </c>
      <c r="L146" s="30" t="n">
        <v>73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76.51000000000001</v>
      </c>
      <c r="P146" s="31" t="n">
        <v>45.36</v>
      </c>
      <c r="Q146" s="31" t="n">
        <v>139.55</v>
      </c>
      <c r="R146" s="30" t="inlineStr">
        <is>
          <t>Near 52W High Breakout</t>
        </is>
      </c>
      <c r="S146" s="30" t="inlineStr">
        <is>
          <t>Nifty 50</t>
        </is>
      </c>
      <c r="T146" s="31" t="n">
        <v>0.85</v>
      </c>
      <c r="U146" s="31" t="n">
        <v>74.06</v>
      </c>
      <c r="V146" s="31" t="n">
        <v>72.59</v>
      </c>
      <c r="W146" s="31" t="n">
        <v>18.62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Above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More than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IF(B147=0,"",RANK(B147,$B$2:$B$396,0))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OAL</t>
        </is>
      </c>
      <c r="D147" s="30" t="inlineStr">
        <is>
          <t>Oriental Aromatics Ltd</t>
        </is>
      </c>
      <c r="E147" s="30" t="inlineStr">
        <is>
          <t>chemicals</t>
        </is>
      </c>
      <c r="F147" s="30" t="inlineStr">
        <is>
          <t>chemicals</t>
        </is>
      </c>
      <c r="G147" s="30" t="inlineStr">
        <is>
          <t>smallcap</t>
        </is>
      </c>
      <c r="H147" s="31" t="n">
        <v>1282.03</v>
      </c>
      <c r="I147" s="31" t="n">
        <v>378</v>
      </c>
      <c r="J147" s="31" t="n">
        <v>-0.77</v>
      </c>
      <c r="K147" s="31" t="n">
        <v>14430</v>
      </c>
      <c r="L147" s="30" t="n">
        <v>32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65.16</v>
      </c>
      <c r="P147" s="31" t="n">
        <v>26.19</v>
      </c>
      <c r="Q147" s="31" t="n">
        <v>280.83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0.85</v>
      </c>
      <c r="U147" s="31" t="n">
        <v>7.95</v>
      </c>
      <c r="V147" s="31" t="n">
        <v>7.03</v>
      </c>
      <c r="W147" s="31" t="n">
        <v>6.23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IF(B148=0,"",RANK(B148,$B$2:$B$396,0))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2" t="inlineStr">
        <is>
          <t>SUPRAJIT</t>
        </is>
      </c>
      <c r="D148" s="32" t="inlineStr">
        <is>
          <t>Suprajit Engineering Limited</t>
        </is>
      </c>
      <c r="E148" s="30" t="inlineStr">
        <is>
          <t>auto</t>
        </is>
      </c>
      <c r="F148" s="30" t="inlineStr">
        <is>
          <t>auto ancillaries</t>
        </is>
      </c>
      <c r="G148" s="30" t="inlineStr">
        <is>
          <t>midcap</t>
        </is>
      </c>
      <c r="H148" s="31" t="n">
        <v>7236.46</v>
      </c>
      <c r="I148" s="31" t="n">
        <v>521.8</v>
      </c>
      <c r="J148" s="31" t="n">
        <v>-1.09</v>
      </c>
      <c r="K148" s="31" t="n">
        <v>505093</v>
      </c>
      <c r="L148" s="30" t="n">
        <v>38</v>
      </c>
      <c r="M148" s="30" t="inlineStr">
        <is>
          <t>Underperforming</t>
        </is>
      </c>
      <c r="N148" s="31">
        <f>IF(M148="Underperforming",-5,IF(L148&gt;=95,15,IF(L148&gt;=90,10,IF(L148&gt;=80,5,0))))</f>
        <v/>
      </c>
      <c r="O148" s="31" t="n">
        <v>64.43000000000001</v>
      </c>
      <c r="P148" s="31" t="n">
        <v>40.52</v>
      </c>
      <c r="Q148" s="31" t="n">
        <v>421.49</v>
      </c>
      <c r="R148" s="30" t="inlineStr">
        <is>
          <t>Volume Spike &amp; Near 52W High Breakout</t>
        </is>
      </c>
      <c r="S148" s="30" t="inlineStr">
        <is>
          <t>Nifty Auto</t>
        </is>
      </c>
      <c r="T148" s="31" t="n">
        <v>24.67</v>
      </c>
      <c r="U148" s="31" t="n">
        <v>12.66</v>
      </c>
      <c r="V148" s="31" t="n">
        <v>-9.630000000000001</v>
      </c>
      <c r="W148" s="31" t="n">
        <v>8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Less than 50%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IF(B149=0,"",RANK(B149,$B$2:$B$396,0))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GULFOILLUB</t>
        </is>
      </c>
      <c r="D149" s="30" t="inlineStr">
        <is>
          <t>Gulf Oil Lubricants India Limited</t>
        </is>
      </c>
      <c r="E149" s="30" t="inlineStr">
        <is>
          <t>chemicals</t>
        </is>
      </c>
      <c r="F149" s="30" t="inlineStr">
        <is>
          <t>chemicals</t>
        </is>
      </c>
      <c r="G149" s="30" t="inlineStr">
        <is>
          <t>midcap</t>
        </is>
      </c>
      <c r="H149" s="31" t="n">
        <v>5964.3</v>
      </c>
      <c r="I149" s="31" t="n">
        <v>1189.5</v>
      </c>
      <c r="J149" s="31" t="n">
        <v>-1.25</v>
      </c>
      <c r="K149" s="31" t="n">
        <v>77748</v>
      </c>
      <c r="L149" s="30" t="n">
        <v>28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63.83</v>
      </c>
      <c r="P149" s="31" t="n">
        <v>18.52</v>
      </c>
      <c r="Q149" s="31" t="n">
        <v>962.83</v>
      </c>
      <c r="R149" s="30" t="inlineStr">
        <is>
          <t>Volume Spike &amp; Near 52W High Breakout</t>
        </is>
      </c>
      <c r="S149" s="30" t="inlineStr">
        <is>
          <t>Nifty 50</t>
        </is>
      </c>
      <c r="T149" s="31" t="n">
        <v>0.85</v>
      </c>
      <c r="U149" s="31" t="n">
        <v>5.69</v>
      </c>
      <c r="V149" s="31" t="n">
        <v>4.8</v>
      </c>
      <c r="W149" s="31" t="n">
        <v>5.4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IF(B150=0,"",RANK(B150,$B$2:$B$396,0))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CHENNPETRO</t>
        </is>
      </c>
      <c r="D150" s="30" t="inlineStr">
        <is>
          <t>Chennai Petroleum Corporation Limited</t>
        </is>
      </c>
      <c r="E150" s="30" t="inlineStr">
        <is>
          <t>energy</t>
        </is>
      </c>
      <c r="F150" s="30" t="inlineStr">
        <is>
          <t>refineries</t>
        </is>
      </c>
      <c r="G150" s="30" t="inlineStr">
        <is>
          <t>midcap</t>
        </is>
      </c>
      <c r="H150" s="31" t="n">
        <v>19243.82</v>
      </c>
      <c r="I150" s="31" t="n">
        <v>1275.4</v>
      </c>
      <c r="J150" s="31" t="n">
        <v>-1.31</v>
      </c>
      <c r="K150" s="31" t="n">
        <v>1468654</v>
      </c>
      <c r="L150" s="30" t="n">
        <v>77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70.3</v>
      </c>
      <c r="P150" s="31" t="n">
        <v>48.79</v>
      </c>
      <c r="Q150" s="31" t="n">
        <v>944.41</v>
      </c>
      <c r="R150" s="30" t="inlineStr">
        <is>
          <t>Near 52W High Breakout</t>
        </is>
      </c>
      <c r="S150" s="30" t="inlineStr">
        <is>
          <t>Nifty Energy</t>
        </is>
      </c>
      <c r="T150" s="31" t="n">
        <v>9.93</v>
      </c>
      <c r="U150" s="31" t="n">
        <v>96.55</v>
      </c>
      <c r="V150" s="31" t="n">
        <v>78.8</v>
      </c>
      <c r="W150" s="31" t="n">
        <v>20.65</v>
      </c>
      <c r="X150" s="30" t="inlineStr">
        <is>
          <t>Cyclical in an Upturn</t>
        </is>
      </c>
      <c r="Y150" s="30">
        <f>IF(X150="Growing Industry",10,IF(X150="Cyclical in an Upturn",5,0))</f>
        <v/>
      </c>
      <c r="Z150" s="30" t="inlineStr">
        <is>
          <t>Oligopoly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Yes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Cyclical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Volatile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IF(B151=0,"",RANK(B151,$B$2:$B$396,0))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HEG</t>
        </is>
      </c>
      <c r="D151" s="30" t="inlineStr">
        <is>
          <t>Heg Limited</t>
        </is>
      </c>
      <c r="E151" s="30" t="inlineStr">
        <is>
          <t>industrials</t>
        </is>
      </c>
      <c r="F151" s="30" t="inlineStr">
        <is>
          <t>electrodes - graphites</t>
        </is>
      </c>
      <c r="G151" s="30" t="inlineStr">
        <is>
          <t>midcap</t>
        </is>
      </c>
      <c r="H151" s="31" t="n">
        <v>13220.89</v>
      </c>
      <c r="I151" s="31" t="n">
        <v>674</v>
      </c>
      <c r="J151" s="31" t="n">
        <v>-1.62</v>
      </c>
      <c r="K151" s="31" t="n">
        <v>597390</v>
      </c>
      <c r="L151" s="30" t="n">
        <v>42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65.45999999999999</v>
      </c>
      <c r="P151" s="31" t="n">
        <v>26.2</v>
      </c>
      <c r="Q151" s="31" t="n">
        <v>515.37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0.85</v>
      </c>
      <c r="U151" s="31" t="n">
        <v>34.48</v>
      </c>
      <c r="V151" s="31" t="n">
        <v>33.35</v>
      </c>
      <c r="W151" s="31" t="n">
        <v>8.99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Between 12 to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IF(B152=0,"",RANK(B152,$B$2:$B$396,0))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2" t="inlineStr">
        <is>
          <t>DPABHUSHAN</t>
        </is>
      </c>
      <c r="D152" s="32" t="inlineStr">
        <is>
          <t>D.P. Abhushan Ltd</t>
        </is>
      </c>
      <c r="E152" s="30" t="inlineStr">
        <is>
          <t>consumer discretionary</t>
        </is>
      </c>
      <c r="F152" s="30" t="inlineStr">
        <is>
          <t>diamond cutting / jewellery</t>
        </is>
      </c>
      <c r="G152" s="30" t="inlineStr">
        <is>
          <t>smallcap</t>
        </is>
      </c>
      <c r="H152" s="31" t="n">
        <v>3330.14</v>
      </c>
      <c r="I152" s="31" t="n">
        <v>1435</v>
      </c>
      <c r="J152" s="31" t="n">
        <v>-1.63</v>
      </c>
      <c r="K152" s="31" t="n">
        <v>15349</v>
      </c>
      <c r="L152" s="30" t="n">
        <v>25</v>
      </c>
      <c r="M152" s="30" t="inlineStr">
        <is>
          <t>Underperforming</t>
        </is>
      </c>
      <c r="N152" s="31">
        <f>IF(M152="Underperforming",-5,IF(L152&gt;=95,15,IF(L152&gt;=90,10,IF(L152&gt;=80,5,0))))</f>
        <v/>
      </c>
      <c r="O152" s="31" t="n">
        <v>66.77</v>
      </c>
      <c r="P152" s="31" t="n">
        <v>31.65</v>
      </c>
      <c r="Q152" s="31" t="n">
        <v>1044.14</v>
      </c>
      <c r="R152" s="30" t="inlineStr">
        <is>
          <t>Earnings / Momentum Support</t>
        </is>
      </c>
      <c r="S152" s="30" t="inlineStr">
        <is>
          <t>Nifty 50</t>
        </is>
      </c>
      <c r="T152" s="31" t="n">
        <v>0.85</v>
      </c>
      <c r="U152" s="31" t="n">
        <v>-11.11</v>
      </c>
      <c r="V152" s="31" t="n">
        <v>-11.86</v>
      </c>
      <c r="W152" s="31" t="n">
        <v>5.09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IF(B153=0,"",RANK(B153,$B$2:$B$396,0))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IGPL</t>
        </is>
      </c>
      <c r="D153" s="30" t="inlineStr">
        <is>
          <t>Ig Petrochemicals Limited</t>
        </is>
      </c>
      <c r="E153" s="30" t="inlineStr">
        <is>
          <t>chemicals</t>
        </is>
      </c>
      <c r="F153" s="30" t="inlineStr">
        <is>
          <t>chemicals</t>
        </is>
      </c>
      <c r="G153" s="30" t="inlineStr">
        <is>
          <t>smallcap</t>
        </is>
      </c>
      <c r="H153" s="31" t="n">
        <v>1548.98</v>
      </c>
      <c r="I153" s="31" t="n">
        <v>492.9</v>
      </c>
      <c r="J153" s="31" t="n">
        <v>-2.01</v>
      </c>
      <c r="K153" s="31" t="n">
        <v>77130</v>
      </c>
      <c r="L153" s="30" t="n">
        <v>22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65.86</v>
      </c>
      <c r="P153" s="31" t="n">
        <v>22.23</v>
      </c>
      <c r="Q153" s="31" t="n">
        <v>384.28</v>
      </c>
      <c r="R153" s="30" t="inlineStr">
        <is>
          <t>Volume Spike &amp; Near 52W High Breakout</t>
        </is>
      </c>
      <c r="S153" s="30" t="inlineStr">
        <is>
          <t>Nifty 50</t>
        </is>
      </c>
      <c r="T153" s="31" t="n">
        <v>0.85</v>
      </c>
      <c r="U153" s="31" t="n">
        <v>7.58</v>
      </c>
      <c r="V153" s="31" t="n">
        <v>6.68</v>
      </c>
      <c r="W153" s="31" t="n">
        <v>4.09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IF(B154=0,"",RANK(B154,$B$2:$B$396,0))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GABRIEL</t>
        </is>
      </c>
      <c r="D154" s="30" t="inlineStr">
        <is>
          <t>Gabriel India Limited</t>
        </is>
      </c>
      <c r="E154" s="30" t="inlineStr">
        <is>
          <t>auto</t>
        </is>
      </c>
      <c r="F154" s="30" t="inlineStr">
        <is>
          <t>auto ancillaries</t>
        </is>
      </c>
      <c r="G154" s="30" t="inlineStr">
        <is>
          <t>largecap</t>
        </is>
      </c>
      <c r="H154" s="31" t="n">
        <v>27148.09</v>
      </c>
      <c r="I154" s="31" t="n">
        <v>1499.8</v>
      </c>
      <c r="J154" s="31" t="n">
        <v>-2.09</v>
      </c>
      <c r="K154" s="31" t="n">
        <v>371490</v>
      </c>
      <c r="L154" s="30" t="n">
        <v>81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75.02</v>
      </c>
      <c r="P154" s="31" t="n">
        <v>33.91</v>
      </c>
      <c r="Q154" s="31" t="n">
        <v>1168.35</v>
      </c>
      <c r="R154" s="30" t="inlineStr">
        <is>
          <t>Near 52W High Breakout</t>
        </is>
      </c>
      <c r="S154" s="30" t="inlineStr">
        <is>
          <t>Nifty Auto</t>
        </is>
      </c>
      <c r="T154" s="31" t="n">
        <v>24.67</v>
      </c>
      <c r="U154" s="31" t="n">
        <v>51.7</v>
      </c>
      <c r="V154" s="31" t="n">
        <v>21.69</v>
      </c>
      <c r="W154" s="31" t="n">
        <v>22.83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Above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IF(B155=0,"",RANK(B155,$B$2:$B$396,0))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PARAS</t>
        </is>
      </c>
      <c r="D155" s="30" t="inlineStr">
        <is>
          <t>Paras Defence and Space Technologies Ltd</t>
        </is>
      </c>
      <c r="E155" s="30" t="inlineStr">
        <is>
          <t>aerospace &amp; defence</t>
        </is>
      </c>
      <c r="F155" s="30" t="inlineStr">
        <is>
          <t>engineering</t>
        </is>
      </c>
      <c r="G155" s="30" t="inlineStr">
        <is>
          <t>midcap</t>
        </is>
      </c>
      <c r="H155" s="31" t="n">
        <v>10610.93</v>
      </c>
      <c r="I155" s="31" t="n">
        <v>1277.1</v>
      </c>
      <c r="J155" s="31" t="n">
        <v>-3.01</v>
      </c>
      <c r="K155" s="31" t="n">
        <v>1254142</v>
      </c>
      <c r="L155" s="30" t="n">
        <v>86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66.43000000000001</v>
      </c>
      <c r="P155" s="31" t="n">
        <v>59.01</v>
      </c>
      <c r="Q155" s="31" t="n">
        <v>1040.43</v>
      </c>
      <c r="R155" s="30" t="inlineStr">
        <is>
          <t>Earnings / Momentum Support</t>
        </is>
      </c>
      <c r="S155" s="30" t="inlineStr">
        <is>
          <t>Nifty 50</t>
        </is>
      </c>
      <c r="T155" s="31" t="n">
        <v>0.85</v>
      </c>
      <c r="U155" s="31" t="n">
        <v>104.5</v>
      </c>
      <c r="V155" s="31" t="n">
        <v>102.77</v>
      </c>
      <c r="W155" s="31" t="n">
        <v>26.58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Between 1.5 to 2</t>
        </is>
      </c>
      <c r="BU155" s="30">
        <f>IF(BT155="Above 2",0,IF(BT155="Between 1.5 to 2",5,IF(BT155="Less than 1.5",10,0)))</f>
        <v/>
      </c>
      <c r="BV155" s="30" t="inlineStr">
        <is>
          <t>Less than 50%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IF(B156=0,"",RANK(B156,$B$2:$B$396,0))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2" t="inlineStr">
        <is>
          <t>GARFIBRES</t>
        </is>
      </c>
      <c r="D156" s="32" t="inlineStr">
        <is>
          <t>Garware Technical Fibres Ltd</t>
        </is>
      </c>
      <c r="E156" s="30" t="inlineStr">
        <is>
          <t>textiles</t>
        </is>
      </c>
      <c r="F156" s="30" t="inlineStr">
        <is>
          <t>textiles - products</t>
        </is>
      </c>
      <c r="G156" s="30" t="inlineStr">
        <is>
          <t>midcap</t>
        </is>
      </c>
      <c r="H156" s="31" t="n">
        <v>8191.23</v>
      </c>
      <c r="I156" s="31" t="n">
        <v>811.85</v>
      </c>
      <c r="J156" s="31" t="n">
        <v>-3.22</v>
      </c>
      <c r="K156" s="31" t="n">
        <v>62817</v>
      </c>
      <c r="L156" s="30" t="n">
        <v>30</v>
      </c>
      <c r="M156" s="30" t="inlineStr">
        <is>
          <t>Underperforming</t>
        </is>
      </c>
      <c r="N156" s="31">
        <f>IF(M156="Underperforming",-5,IF(L156&gt;=95,15,IF(L156&gt;=90,10,IF(L156&gt;=80,5,0))))</f>
        <v/>
      </c>
      <c r="O156" s="31" t="n">
        <v>63.77</v>
      </c>
      <c r="P156" s="31" t="n">
        <v>35.13</v>
      </c>
      <c r="Q156" s="31" t="n">
        <v>626.61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0.85</v>
      </c>
      <c r="U156" s="31" t="n">
        <v>-1.37</v>
      </c>
      <c r="V156" s="31" t="n">
        <v>-2.2</v>
      </c>
      <c r="W156" s="31" t="n">
        <v>5.87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IF(B157=0,"",RANK(B157,$B$2:$B$396,0))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MOLDTECH</t>
        </is>
      </c>
      <c r="D157" s="30" t="inlineStr">
        <is>
          <t>Mold-tek Technologies Limited</t>
        </is>
      </c>
      <c r="E157" s="30" t="inlineStr">
        <is>
          <t>realty</t>
        </is>
      </c>
      <c r="F157" s="30" t="inlineStr">
        <is>
          <t>engineering - turnkey services</t>
        </is>
      </c>
      <c r="G157" s="30" t="inlineStr">
        <is>
          <t>smallcap</t>
        </is>
      </c>
      <c r="H157" s="31" t="n">
        <v>572.0700000000001</v>
      </c>
      <c r="I157" s="31" t="n">
        <v>191.41</v>
      </c>
      <c r="J157" s="31" t="n">
        <v>-3.62</v>
      </c>
      <c r="K157" s="31" t="n">
        <v>1238319</v>
      </c>
      <c r="L157" s="30" t="n">
        <v>72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72.36</v>
      </c>
      <c r="P157" s="31" t="n">
        <v>23.95</v>
      </c>
      <c r="Q157" s="31" t="n">
        <v>140.9</v>
      </c>
      <c r="R157" s="30" t="inlineStr">
        <is>
          <t>Volume Spike / Accumulation</t>
        </is>
      </c>
      <c r="S157" s="30" t="inlineStr">
        <is>
          <t>Nifty Realty</t>
        </is>
      </c>
      <c r="T157" s="31" t="n">
        <v>-6.8</v>
      </c>
      <c r="U157" s="31" t="n">
        <v>27.32</v>
      </c>
      <c r="V157" s="31" t="n">
        <v>36.61</v>
      </c>
      <c r="W157" s="31" t="n">
        <v>18.46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IF(B158=0,"",RANK(B158,$B$2:$B$396,0))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HUHTAMAKI</t>
        </is>
      </c>
      <c r="D158" s="30" t="inlineStr">
        <is>
          <t>Huhtamaki India Ltd</t>
        </is>
      </c>
      <c r="E158" s="30" t="inlineStr">
        <is>
          <t>industrials</t>
        </is>
      </c>
      <c r="F158" s="30" t="inlineStr">
        <is>
          <t>packaging</t>
        </is>
      </c>
      <c r="G158" s="30" t="inlineStr">
        <is>
          <t>smallcap</t>
        </is>
      </c>
      <c r="H158" s="31" t="n">
        <v>2189.76</v>
      </c>
      <c r="I158" s="31" t="n">
        <v>274.95</v>
      </c>
      <c r="J158" s="31" t="n">
        <v>-5.17</v>
      </c>
      <c r="K158" s="31" t="n">
        <v>323516</v>
      </c>
      <c r="L158" s="30" t="n">
        <v>76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65.64</v>
      </c>
      <c r="P158" s="31" t="n">
        <v>28.66</v>
      </c>
      <c r="Q158" s="31" t="n">
        <v>239.48</v>
      </c>
      <c r="R158" s="30" t="inlineStr">
        <is>
          <t>Earnings / Momentum Support</t>
        </is>
      </c>
      <c r="S158" s="30" t="inlineStr">
        <is>
          <t>Nifty Infra</t>
        </is>
      </c>
      <c r="T158" s="31" t="n">
        <v>4.83</v>
      </c>
      <c r="U158" s="31" t="n">
        <v>27.14</v>
      </c>
      <c r="V158" s="31" t="n">
        <v>21.28</v>
      </c>
      <c r="W158" s="31" t="n">
        <v>19.76</v>
      </c>
      <c r="X158" s="30" t="inlineStr">
        <is>
          <t>Cyclical in an Upturn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IF(B159=0,"",RANK(B159,$B$2:$B$396,0))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SBCL</t>
        </is>
      </c>
      <c r="D159" s="30" t="inlineStr">
        <is>
          <t>Shivalik Bimetal Controls Ltd</t>
        </is>
      </c>
      <c r="E159" s="30" t="inlineStr">
        <is>
          <t>metals &amp; mining</t>
        </is>
      </c>
      <c r="F159" s="30" t="inlineStr">
        <is>
          <t>mining / minerals / metals</t>
        </is>
      </c>
      <c r="G159" s="30" t="inlineStr">
        <is>
          <t>smallcap</t>
        </is>
      </c>
      <c r="H159" s="31" t="n">
        <v>4420.83</v>
      </c>
      <c r="I159" s="31" t="n">
        <v>920.9</v>
      </c>
      <c r="J159" s="31" t="n">
        <v>19.99</v>
      </c>
      <c r="K159" s="31" t="n">
        <v>6015282</v>
      </c>
      <c r="L159" s="30" t="n">
        <v>85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76.20999999999999</v>
      </c>
      <c r="P159" s="31" t="n">
        <v>44.96</v>
      </c>
      <c r="Q159" s="31" t="n">
        <v>701.91</v>
      </c>
      <c r="R159" s="30" t="inlineStr">
        <is>
          <t>Volume Spike &amp; Near 52W High Breakout</t>
        </is>
      </c>
      <c r="S159" s="30" t="inlineStr">
        <is>
          <t>Nifty Metal</t>
        </is>
      </c>
      <c r="T159" s="31" t="n">
        <v>39.94</v>
      </c>
      <c r="U159" s="31" t="n">
        <v>67.42</v>
      </c>
      <c r="V159" s="31" t="n">
        <v>19.64</v>
      </c>
      <c r="W159" s="31" t="n">
        <v>25.53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Monopoly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Shallow Cyclical (2 to 3 Years Growth)</t>
        </is>
      </c>
      <c r="AG159" s="30">
        <f>IF(AF159="Structural (10 Years Consistency)",10,IF(AF159="Shallow Cyclical (2 to 3 years growth)",5,0))</f>
        <v/>
      </c>
      <c r="AH159" s="30" t="inlineStr">
        <is>
          <t>Yes due to Product Mix change or Operating Leverage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Fully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Yes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Between 1.5 to 2</t>
        </is>
      </c>
      <c r="BU159" s="30">
        <f>IF(BT159="Above 2",0,IF(BT159="Between 1.5 to 2",5,IF(BT159="Less than 1.5",10,0)))</f>
        <v/>
      </c>
      <c r="BV159" s="30" t="inlineStr">
        <is>
          <t>Less than 50%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IF(B160=0,"",RANK(B160,$B$2:$B$396,0))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ONEPOINT</t>
        </is>
      </c>
      <c r="D160" s="30" t="inlineStr">
        <is>
          <t>One Point One Solutions Ltd</t>
        </is>
      </c>
      <c r="E160" s="30" t="inlineStr">
        <is>
          <t>i.t</t>
        </is>
      </c>
      <c r="F160" s="30" t="inlineStr">
        <is>
          <t>computers - software - medium / small</t>
        </is>
      </c>
      <c r="G160" s="30" t="inlineStr">
        <is>
          <t>smallcap</t>
        </is>
      </c>
      <c r="H160" s="31" t="n">
        <v>1501.37</v>
      </c>
      <c r="I160" s="31" t="n">
        <v>60.33</v>
      </c>
      <c r="J160" s="31" t="n">
        <v>5.66</v>
      </c>
      <c r="K160" s="31" t="n">
        <v>6282291</v>
      </c>
      <c r="L160" s="30" t="n">
        <v>28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59.27</v>
      </c>
      <c r="P160" s="31" t="n">
        <v>20.16</v>
      </c>
      <c r="Q160" s="31" t="n">
        <v>48.32</v>
      </c>
      <c r="R160" s="30" t="inlineStr">
        <is>
          <t>Near 52W High Breakout</t>
        </is>
      </c>
      <c r="S160" s="30" t="inlineStr">
        <is>
          <t>Nifty IT</t>
        </is>
      </c>
      <c r="T160" s="31" t="n">
        <v>-8.289999999999999</v>
      </c>
      <c r="U160" s="31" t="n">
        <v>29.41</v>
      </c>
      <c r="V160" s="31" t="n">
        <v>41.1</v>
      </c>
      <c r="W160" s="31" t="n">
        <v>5.52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Between 12 to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IF(B161=0,"",RANK(B161,$B$2:$B$396,0))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GRANULES</t>
        </is>
      </c>
      <c r="D161" s="30" t="inlineStr">
        <is>
          <t>Granules India Limited</t>
        </is>
      </c>
      <c r="E161" s="30" t="inlineStr">
        <is>
          <t>healthcare</t>
        </is>
      </c>
      <c r="F161" s="30" t="inlineStr">
        <is>
          <t>pharmaceuticals - indian - bulk drugs &amp; formln</t>
        </is>
      </c>
      <c r="G161" s="30" t="inlineStr">
        <is>
          <t>largecap</t>
        </is>
      </c>
      <c r="H161" s="31" t="n">
        <v>20781.49</v>
      </c>
      <c r="I161" s="31" t="n">
        <v>873.85</v>
      </c>
      <c r="J161" s="31" t="n">
        <v>4.2</v>
      </c>
      <c r="K161" s="31" t="n">
        <v>1146573</v>
      </c>
      <c r="L161" s="30" t="n">
        <v>74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70.40000000000001</v>
      </c>
      <c r="P161" s="31" t="n">
        <v>48.94</v>
      </c>
      <c r="Q161" s="31" t="n">
        <v>736.24</v>
      </c>
      <c r="R161" s="30" t="inlineStr">
        <is>
          <t>Near 52W High Breakout</t>
        </is>
      </c>
      <c r="S161" s="30" t="inlineStr">
        <is>
          <t>Nifty Pharma</t>
        </is>
      </c>
      <c r="T161" s="31" t="n">
        <v>24.01</v>
      </c>
      <c r="U161" s="31" t="n">
        <v>99.22</v>
      </c>
      <c r="V161" s="31" t="n">
        <v>60.64</v>
      </c>
      <c r="W161" s="31" t="n">
        <v>18.8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Negative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Less than 1.5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IF(B162=0,"",RANK(B162,$B$2:$B$396,0))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2" t="inlineStr">
        <is>
          <t>AGARWALEYE</t>
        </is>
      </c>
      <c r="D162" s="32" t="inlineStr">
        <is>
          <t>Dr Agarwals Health Care Ltd</t>
        </is>
      </c>
      <c r="E162" s="30" t="inlineStr">
        <is>
          <t>healthcare</t>
        </is>
      </c>
      <c r="F162" s="30" t="inlineStr">
        <is>
          <t>healthcare</t>
        </is>
      </c>
      <c r="G162" s="30" t="inlineStr">
        <is>
          <t>midcap</t>
        </is>
      </c>
      <c r="H162" s="31" t="n">
        <v>16873.01</v>
      </c>
      <c r="I162" s="31" t="n">
        <v>546.25</v>
      </c>
      <c r="J162" s="31" t="n">
        <v>2.62</v>
      </c>
      <c r="K162" s="31" t="n">
        <v>158709</v>
      </c>
      <c r="L162" s="30" t="n">
        <v>41</v>
      </c>
      <c r="M162" s="30" t="inlineStr">
        <is>
          <t>Underperforming</t>
        </is>
      </c>
      <c r="N162" s="31">
        <f>IF(M162="Underperforming",-5,IF(L162&gt;=95,15,IF(L162&gt;=90,10,IF(L162&gt;=80,5,0))))</f>
        <v/>
      </c>
      <c r="O162" s="31" t="n">
        <v>69.05</v>
      </c>
      <c r="P162" s="31" t="n">
        <v>21.08</v>
      </c>
      <c r="Q162" s="31" t="n">
        <v>444.93</v>
      </c>
      <c r="R162" s="30" t="inlineStr">
        <is>
          <t>Volume Spike &amp; Near 52W High Breakout</t>
        </is>
      </c>
      <c r="S162" s="30" t="inlineStr">
        <is>
          <t>Nifty Pharma</t>
        </is>
      </c>
      <c r="T162" s="31" t="n">
        <v>24.01</v>
      </c>
      <c r="U162" s="31" t="n">
        <v>22.99</v>
      </c>
      <c r="V162" s="31" t="n">
        <v>-0.83</v>
      </c>
      <c r="W162" s="31" t="n">
        <v>8.82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Yes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IF(B163=0,"",RANK(B163,$B$2:$B$396,0))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DALMIASUG</t>
        </is>
      </c>
      <c r="D163" s="30" t="inlineStr">
        <is>
          <t>Dalmia Bharat Sugar And Industries Limited</t>
        </is>
      </c>
      <c r="E163" s="30" t="inlineStr">
        <is>
          <t>fmcg</t>
        </is>
      </c>
      <c r="F163" s="30" t="inlineStr">
        <is>
          <t>sugar</t>
        </is>
      </c>
      <c r="G163" s="30" t="inlineStr">
        <is>
          <t>smallcap</t>
        </is>
      </c>
      <c r="H163" s="31" t="n">
        <v>3203.58</v>
      </c>
      <c r="I163" s="31" t="n">
        <v>404.4</v>
      </c>
      <c r="J163" s="31" t="n">
        <v>2.17</v>
      </c>
      <c r="K163" s="31" t="n">
        <v>304630</v>
      </c>
      <c r="L163" s="30" t="n">
        <v>26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64.89</v>
      </c>
      <c r="P163" s="31" t="n">
        <v>23.23</v>
      </c>
      <c r="Q163" s="31" t="n">
        <v>306.31</v>
      </c>
      <c r="R163" s="30" t="inlineStr">
        <is>
          <t>Volume Spike &amp; Near 52W High Breakout</t>
        </is>
      </c>
      <c r="S163" s="30" t="inlineStr">
        <is>
          <t>Nifty FMCG</t>
        </is>
      </c>
      <c r="T163" s="31" t="n">
        <v>-9.43</v>
      </c>
      <c r="U163" s="31" t="n">
        <v>8.93</v>
      </c>
      <c r="V163" s="31" t="n">
        <v>20.27</v>
      </c>
      <c r="W163" s="31" t="n">
        <v>5.19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B2C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Less than 12%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IF(B164=0,"",RANK(B164,$B$2:$B$396,0))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ARTEMISMED</t>
        </is>
      </c>
      <c r="D164" s="30" t="inlineStr">
        <is>
          <t>Artemis Medicare Services Ltd</t>
        </is>
      </c>
      <c r="E164" s="30" t="inlineStr">
        <is>
          <t>healthcare</t>
        </is>
      </c>
      <c r="F164" s="30" t="inlineStr">
        <is>
          <t>healthcare</t>
        </is>
      </c>
      <c r="G164" s="30" t="inlineStr">
        <is>
          <t>smallcap</t>
        </is>
      </c>
      <c r="H164" s="31" t="n">
        <v>4934.41</v>
      </c>
      <c r="I164" s="31" t="n">
        <v>316.3</v>
      </c>
      <c r="J164" s="31" t="n">
        <v>1.48</v>
      </c>
      <c r="K164" s="31" t="n">
        <v>286455</v>
      </c>
      <c r="L164" s="30" t="n">
        <v>47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71.28</v>
      </c>
      <c r="P164" s="31" t="n">
        <v>24.74</v>
      </c>
      <c r="Q164" s="31" t="n">
        <v>257.23</v>
      </c>
      <c r="R164" s="30" t="inlineStr">
        <is>
          <t>Volume Spike &amp; Near 52W High Breakout</t>
        </is>
      </c>
      <c r="S164" s="30" t="inlineStr">
        <is>
          <t>Nifty Pharma</t>
        </is>
      </c>
      <c r="T164" s="31" t="n">
        <v>24.01</v>
      </c>
      <c r="U164" s="31" t="n">
        <v>31.47</v>
      </c>
      <c r="V164" s="31" t="n">
        <v>6.01</v>
      </c>
      <c r="W164" s="31" t="n">
        <v>10.23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Yes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IF(B165=0,"",RANK(B165,$B$2:$B$396,0))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MOREPENLAB</t>
        </is>
      </c>
      <c r="D165" s="30" t="inlineStr">
        <is>
          <t>Morepen Laboratories Limited</t>
        </is>
      </c>
      <c r="E165" s="30" t="inlineStr">
        <is>
          <t>healthcare</t>
        </is>
      </c>
      <c r="F165" s="30" t="inlineStr">
        <is>
          <t>pharmaceuticals - indian - bulk drugs &amp; formln</t>
        </is>
      </c>
      <c r="G165" s="30" t="inlineStr">
        <is>
          <t>smallcap</t>
        </is>
      </c>
      <c r="H165" s="31" t="n">
        <v>4351.85</v>
      </c>
      <c r="I165" s="31" t="n">
        <v>80.25</v>
      </c>
      <c r="J165" s="31" t="n">
        <v>1.05</v>
      </c>
      <c r="K165" s="31" t="n">
        <v>36485619</v>
      </c>
      <c r="L165" s="30" t="n">
        <v>91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78.20999999999999</v>
      </c>
      <c r="P165" s="31" t="n">
        <v>30.99</v>
      </c>
      <c r="Q165" s="31" t="n">
        <v>59.27</v>
      </c>
      <c r="R165" s="30" t="inlineStr">
        <is>
          <t>Volume Spike &amp; Near 52W High Breakout</t>
        </is>
      </c>
      <c r="S165" s="30" t="inlineStr">
        <is>
          <t>Nifty Pharma</t>
        </is>
      </c>
      <c r="T165" s="31" t="n">
        <v>24.01</v>
      </c>
      <c r="U165" s="31" t="n">
        <v>70.97</v>
      </c>
      <c r="V165" s="31" t="n">
        <v>37.86</v>
      </c>
      <c r="W165" s="31" t="n">
        <v>30.85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Above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IF(B166=0,"",RANK(B166,$B$2:$B$396,0))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PPLPHARMA</t>
        </is>
      </c>
      <c r="D166" s="32" t="inlineStr">
        <is>
          <t>Piramal Pharma Ltd</t>
        </is>
      </c>
      <c r="E166" s="30" t="inlineStr">
        <is>
          <t>healthcare</t>
        </is>
      </c>
      <c r="F166" s="30" t="inlineStr">
        <is>
          <t>pharmaceuticals - indian - bulk drugs &amp; formln</t>
        </is>
      </c>
      <c r="G166" s="30" t="inlineStr">
        <is>
          <t>largecap</t>
        </is>
      </c>
      <c r="H166" s="31" t="n">
        <v>27723.99</v>
      </c>
      <c r="I166" s="31" t="n">
        <v>209.55</v>
      </c>
      <c r="J166" s="31" t="n">
        <v>0.63</v>
      </c>
      <c r="K166" s="31" t="n">
        <v>4611692</v>
      </c>
      <c r="L166" s="30" t="n">
        <v>32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71.17</v>
      </c>
      <c r="P166" s="31" t="n">
        <v>23.81</v>
      </c>
      <c r="Q166" s="31" t="n">
        <v>166.03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24.01</v>
      </c>
      <c r="U166" s="31" t="n">
        <v>10.25</v>
      </c>
      <c r="V166" s="31" t="n">
        <v>-11.1</v>
      </c>
      <c r="W166" s="31" t="n">
        <v>6.16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IF(B167=0,"",RANK(B167,$B$2:$B$396,0))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BLSE</t>
        </is>
      </c>
      <c r="D167" s="30" t="inlineStr">
        <is>
          <t>BLS E-Services Ltd</t>
        </is>
      </c>
      <c r="E167" s="30" t="inlineStr">
        <is>
          <t>i.t</t>
        </is>
      </c>
      <c r="F167" s="30" t="inlineStr">
        <is>
          <t>computers - software - medium / small</t>
        </is>
      </c>
      <c r="G167" s="30" t="inlineStr">
        <is>
          <t>smallcap</t>
        </is>
      </c>
      <c r="H167" s="31" t="n">
        <v>2886.06</v>
      </c>
      <c r="I167" s="31" t="n">
        <v>310.55</v>
      </c>
      <c r="J167" s="31" t="n">
        <v>-2.24</v>
      </c>
      <c r="K167" s="31" t="n">
        <v>843322</v>
      </c>
      <c r="L167" s="30" t="n">
        <v>85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82.84999999999999</v>
      </c>
      <c r="P167" s="31" t="n">
        <v>42.58</v>
      </c>
      <c r="Q167" s="31" t="n">
        <v>244.31</v>
      </c>
      <c r="R167" s="30" t="inlineStr">
        <is>
          <t>Near 52W High Breakout</t>
        </is>
      </c>
      <c r="S167" s="30" t="inlineStr">
        <is>
          <t>Nifty IT</t>
        </is>
      </c>
      <c r="T167" s="31" t="n">
        <v>-8.289999999999999</v>
      </c>
      <c r="U167" s="31" t="n">
        <v>72.05</v>
      </c>
      <c r="V167" s="31" t="n">
        <v>87.59999999999999</v>
      </c>
      <c r="W167" s="31" t="n">
        <v>25.08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Above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Less than 12%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Between 50% to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IF(B168=0,"",RANK(B168,$B$2:$B$396,0))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VISAKAIND</t>
        </is>
      </c>
      <c r="D168" s="30" t="inlineStr">
        <is>
          <t>Visaka Industries Limited</t>
        </is>
      </c>
      <c r="E168" s="30" t="inlineStr">
        <is>
          <t>building materials</t>
        </is>
      </c>
      <c r="F168" s="30" t="inlineStr">
        <is>
          <t>cement products</t>
        </is>
      </c>
      <c r="G168" s="30" t="inlineStr">
        <is>
          <t>smallcap</t>
        </is>
      </c>
      <c r="H168" s="31" t="n">
        <v>746.45</v>
      </c>
      <c r="I168" s="31" t="n">
        <v>98.72</v>
      </c>
      <c r="J168" s="31" t="n">
        <v>14.27</v>
      </c>
      <c r="K168" s="31" t="n">
        <v>14124593</v>
      </c>
      <c r="L168" s="30" t="n">
        <v>72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79.39</v>
      </c>
      <c r="P168" s="31" t="n">
        <v>37.34</v>
      </c>
      <c r="Q168" s="31" t="n">
        <v>77.58</v>
      </c>
      <c r="R168" s="30" t="inlineStr">
        <is>
          <t>Volume Spike &amp; Near 52W High Breakout</t>
        </is>
      </c>
      <c r="S168" s="30" t="inlineStr">
        <is>
          <t>Nifty Infra</t>
        </is>
      </c>
      <c r="T168" s="31" t="n">
        <v>4.83</v>
      </c>
      <c r="U168" s="31" t="n">
        <v>20.68</v>
      </c>
      <c r="V168" s="31" t="n">
        <v>15.12</v>
      </c>
      <c r="W168" s="31" t="n">
        <v>17.72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IF(B169=0,"",RANK(B169,$B$2:$B$396,0))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COMSYN</t>
        </is>
      </c>
      <c r="D169" s="30" t="inlineStr">
        <is>
          <t>Commercial Syn Bags Ltd</t>
        </is>
      </c>
      <c r="E169" s="30" t="inlineStr">
        <is>
          <t>industrials</t>
        </is>
      </c>
      <c r="F169" s="30" t="inlineStr">
        <is>
          <t>packaging</t>
        </is>
      </c>
      <c r="G169" s="30" t="inlineStr">
        <is>
          <t>smallcap</t>
        </is>
      </c>
      <c r="H169" s="31" t="n">
        <v>845.4299999999999</v>
      </c>
      <c r="I169" s="31" t="n">
        <v>224.83</v>
      </c>
      <c r="J169" s="31" t="n">
        <v>7.28</v>
      </c>
      <c r="K169" s="31" t="n">
        <v>1308178</v>
      </c>
      <c r="L169" s="30" t="n">
        <v>79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71.97</v>
      </c>
      <c r="P169" s="31" t="n">
        <v>55.42</v>
      </c>
      <c r="Q169" s="31" t="n">
        <v>163.62</v>
      </c>
      <c r="R169" s="30" t="inlineStr">
        <is>
          <t>Near 52W High Breakout</t>
        </is>
      </c>
      <c r="S169" s="30" t="inlineStr">
        <is>
          <t>Nifty 50</t>
        </is>
      </c>
      <c r="T169" s="31" t="n">
        <v>0.85</v>
      </c>
      <c r="U169" s="31" t="n">
        <v>68.75</v>
      </c>
      <c r="V169" s="31" t="n">
        <v>67.31999999999999</v>
      </c>
      <c r="W169" s="31" t="n">
        <v>21.99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Between 0.7 to 1.2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IF(B170=0,"",RANK(B170,$B$2:$B$396,0))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RBA</t>
        </is>
      </c>
      <c r="D170" s="30" t="inlineStr">
        <is>
          <t>Restaurant Brands Asia Ltd</t>
        </is>
      </c>
      <c r="E170" s="30" t="inlineStr">
        <is>
          <t>consumer discretionary</t>
        </is>
      </c>
      <c r="F170" s="30" t="inlineStr">
        <is>
          <t>hotels</t>
        </is>
      </c>
      <c r="G170" s="30" t="inlineStr">
        <is>
          <t>midcap</t>
        </is>
      </c>
      <c r="H170" s="31" t="n">
        <v>6423.26</v>
      </c>
      <c r="I170" s="31" t="n">
        <v>94.92</v>
      </c>
      <c r="J170" s="31" t="n">
        <v>5.17</v>
      </c>
      <c r="K170" s="31" t="n">
        <v>30111924</v>
      </c>
      <c r="L170" s="30" t="n">
        <v>56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73.39</v>
      </c>
      <c r="P170" s="31" t="n">
        <v>25.03</v>
      </c>
      <c r="Q170" s="31" t="n">
        <v>76.15000000000001</v>
      </c>
      <c r="R170" s="30" t="inlineStr">
        <is>
          <t>Volume Spike &amp; Near 52W High Breakout</t>
        </is>
      </c>
      <c r="S170" s="30" t="inlineStr">
        <is>
          <t>Nifty 50</t>
        </is>
      </c>
      <c r="T170" s="31" t="n">
        <v>0.85</v>
      </c>
      <c r="U170" s="31" t="n">
        <v>18.93</v>
      </c>
      <c r="V170" s="31" t="n">
        <v>17.93</v>
      </c>
      <c r="W170" s="31" t="n">
        <v>12.97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More than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IF(B171=0,"",RANK(B171,$B$2:$B$396,0))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DIACABS</t>
        </is>
      </c>
      <c r="D171" s="30" t="inlineStr">
        <is>
          <t>Diamond Power Infrastructure Ltd</t>
        </is>
      </c>
      <c r="E171" s="30" t="inlineStr">
        <is>
          <t>industrials</t>
        </is>
      </c>
      <c r="F171" s="30" t="inlineStr">
        <is>
          <t>cables - power</t>
        </is>
      </c>
      <c r="G171" s="30" t="inlineStr">
        <is>
          <t>midcap</t>
        </is>
      </c>
      <c r="H171" s="31" t="n">
        <v>18380.75</v>
      </c>
      <c r="I171" s="31" t="n">
        <v>364.05</v>
      </c>
      <c r="J171" s="31" t="n">
        <v>4.37</v>
      </c>
      <c r="K171" s="31" t="n">
        <v>2214308</v>
      </c>
      <c r="L171" s="30" t="n">
        <v>97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88.58</v>
      </c>
      <c r="P171" s="31" t="n">
        <v>60.16</v>
      </c>
      <c r="Q171" s="31" t="n">
        <v>280.22</v>
      </c>
      <c r="R171" s="30" t="inlineStr">
        <is>
          <t>Near 52W High Breakout</t>
        </is>
      </c>
      <c r="S171" s="30" t="inlineStr">
        <is>
          <t>Nifty Energy</t>
        </is>
      </c>
      <c r="T171" s="31" t="n">
        <v>9.93</v>
      </c>
      <c r="U171" s="31" t="n">
        <v>123.52</v>
      </c>
      <c r="V171" s="31" t="n">
        <v>103.34</v>
      </c>
      <c r="W171" s="31" t="n">
        <v>51.07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Negative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IF(B172=0,"",RANK(B172,$B$2:$B$396,0))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PARACABLES</t>
        </is>
      </c>
      <c r="D172" s="30" t="inlineStr">
        <is>
          <t>Paramount Communications Limited</t>
        </is>
      </c>
      <c r="E172" s="30" t="inlineStr">
        <is>
          <t>industrials</t>
        </is>
      </c>
      <c r="F172" s="30" t="inlineStr">
        <is>
          <t>cables - power</t>
        </is>
      </c>
      <c r="G172" s="30" t="inlineStr">
        <is>
          <t>smallcap</t>
        </is>
      </c>
      <c r="H172" s="31" t="n">
        <v>2161.21</v>
      </c>
      <c r="I172" s="31" t="n">
        <v>68.92</v>
      </c>
      <c r="J172" s="31" t="n">
        <v>4.35</v>
      </c>
      <c r="K172" s="31" t="n">
        <v>3040476</v>
      </c>
      <c r="L172" s="30" t="n">
        <v>88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64.61</v>
      </c>
      <c r="P172" s="31" t="n">
        <v>54.16</v>
      </c>
      <c r="Q172" s="31" t="n">
        <v>52.17</v>
      </c>
      <c r="R172" s="30" t="inlineStr">
        <is>
          <t>Earnings / Momentum Support</t>
        </is>
      </c>
      <c r="S172" s="30" t="inlineStr">
        <is>
          <t>Nifty Energy</t>
        </is>
      </c>
      <c r="T172" s="31" t="n">
        <v>9.93</v>
      </c>
      <c r="U172" s="31" t="n">
        <v>18.62</v>
      </c>
      <c r="V172" s="31" t="n">
        <v>7.91</v>
      </c>
      <c r="W172" s="31" t="n">
        <v>27.84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IF(B173=0,"",RANK(B173,$B$2:$B$396,0))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FINEORG</t>
        </is>
      </c>
      <c r="D173" s="30" t="inlineStr">
        <is>
          <t>Fine Organic Industries Ltd</t>
        </is>
      </c>
      <c r="E173" s="30" t="inlineStr">
        <is>
          <t>chemicals</t>
        </is>
      </c>
      <c r="F173" s="30" t="inlineStr">
        <is>
          <t>chemicals</t>
        </is>
      </c>
      <c r="G173" s="30" t="inlineStr">
        <is>
          <t>midcap</t>
        </is>
      </c>
      <c r="H173" s="31" t="n">
        <v>15296.26</v>
      </c>
      <c r="I173" s="31" t="n">
        <v>5162.1</v>
      </c>
      <c r="J173" s="31" t="n">
        <v>3.47</v>
      </c>
      <c r="K173" s="31" t="n">
        <v>54837</v>
      </c>
      <c r="L173" s="30" t="n">
        <v>21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60.29</v>
      </c>
      <c r="P173" s="31" t="n">
        <v>11.58</v>
      </c>
      <c r="Q173" s="31" t="n">
        <v>4295.92</v>
      </c>
      <c r="R173" s="30" t="inlineStr">
        <is>
          <t>Volume Spike &amp; Near 52W High Breakout</t>
        </is>
      </c>
      <c r="S173" s="30" t="inlineStr">
        <is>
          <t>Nifty 50</t>
        </is>
      </c>
      <c r="T173" s="31" t="n">
        <v>0.85</v>
      </c>
      <c r="U173" s="31" t="n">
        <v>6.93</v>
      </c>
      <c r="V173" s="31" t="n">
        <v>6.03</v>
      </c>
      <c r="W173" s="31" t="n">
        <v>3.83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Between 1.5 to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IF(B174=0,"",RANK(B174,$B$2:$B$396,0))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TDPOWERSYS</t>
        </is>
      </c>
      <c r="D174" s="30" t="inlineStr">
        <is>
          <t>Td Power Systems Limited</t>
        </is>
      </c>
      <c r="E174" s="30" t="inlineStr">
        <is>
          <t>industrials</t>
        </is>
      </c>
      <c r="F174" s="30" t="inlineStr">
        <is>
          <t>electric equipment</t>
        </is>
      </c>
      <c r="G174" s="30" t="inlineStr">
        <is>
          <t>midcap</t>
        </is>
      </c>
      <c r="H174" s="31" t="n">
        <v>19180.16</v>
      </c>
      <c r="I174" s="31" t="n">
        <v>1260.9</v>
      </c>
      <c r="J174" s="31" t="n">
        <v>2.7</v>
      </c>
      <c r="K174" s="31" t="n">
        <v>1236722</v>
      </c>
      <c r="L174" s="30" t="n">
        <v>85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61.94</v>
      </c>
      <c r="P174" s="31" t="n">
        <v>35.55</v>
      </c>
      <c r="Q174" s="31" t="n">
        <v>930</v>
      </c>
      <c r="R174" s="30" t="inlineStr">
        <is>
          <t>Near 52W High Breakout</t>
        </is>
      </c>
      <c r="S174" s="30" t="inlineStr">
        <is>
          <t>Nifty 50</t>
        </is>
      </c>
      <c r="T174" s="31" t="n">
        <v>0.85</v>
      </c>
      <c r="U174" s="31" t="n">
        <v>167.25</v>
      </c>
      <c r="V174" s="31" t="n">
        <v>164.99</v>
      </c>
      <c r="W174" s="31" t="n">
        <v>25.66</v>
      </c>
      <c r="X174" s="30" t="inlineStr">
        <is>
          <t>Cyclical in an Upturn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Less than 50%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IF(B175=0,"",RANK(B175,$B$2:$B$396,0))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HONASA</t>
        </is>
      </c>
      <c r="D175" s="30" t="inlineStr">
        <is>
          <t>Honasa Consumer Ltd</t>
        </is>
      </c>
      <c r="E175" s="30" t="inlineStr">
        <is>
          <t>services</t>
        </is>
      </c>
      <c r="F175" s="30" t="inlineStr">
        <is>
          <t>trading</t>
        </is>
      </c>
      <c r="G175" s="30" t="inlineStr">
        <is>
          <t>midcap</t>
        </is>
      </c>
      <c r="H175" s="31" t="n">
        <v>15181.32</v>
      </c>
      <c r="I175" s="31" t="n">
        <v>477.6</v>
      </c>
      <c r="J175" s="31" t="n">
        <v>2.57</v>
      </c>
      <c r="K175" s="31" t="n">
        <v>982068</v>
      </c>
      <c r="L175" s="30" t="n">
        <v>76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75.79000000000001</v>
      </c>
      <c r="P175" s="31" t="n">
        <v>56</v>
      </c>
      <c r="Q175" s="31" t="n">
        <v>388.75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0.85</v>
      </c>
      <c r="U175" s="31" t="n">
        <v>84.62</v>
      </c>
      <c r="V175" s="31" t="n">
        <v>83.06</v>
      </c>
      <c r="W175" s="31" t="n">
        <v>20.37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Above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Between 50% to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IF(B176=0,"",RANK(B176,$B$2:$B$396,0))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JSWINFRA</t>
        </is>
      </c>
      <c r="D176" s="30" t="inlineStr">
        <is>
          <t>JSW Infrastructure Ltd</t>
        </is>
      </c>
      <c r="E176" s="30" t="inlineStr">
        <is>
          <t>transportation</t>
        </is>
      </c>
      <c r="F176" s="30" t="inlineStr">
        <is>
          <t>miscellaneous</t>
        </is>
      </c>
      <c r="G176" s="30" t="inlineStr">
        <is>
          <t>largecap</t>
        </is>
      </c>
      <c r="H176" s="31" t="n">
        <v>76307.55</v>
      </c>
      <c r="I176" s="31" t="n">
        <v>335.75</v>
      </c>
      <c r="J176" s="31" t="n">
        <v>2.52</v>
      </c>
      <c r="K176" s="31" t="n">
        <v>2394420</v>
      </c>
      <c r="L176" s="30" t="n">
        <v>34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65.26000000000001</v>
      </c>
      <c r="P176" s="31" t="n">
        <v>36.82</v>
      </c>
      <c r="Q176" s="31" t="n">
        <v>275.93</v>
      </c>
      <c r="R176" s="30" t="inlineStr">
        <is>
          <t>Near 52W High Breakout</t>
        </is>
      </c>
      <c r="S176" s="30" t="inlineStr">
        <is>
          <t>Nifty 50</t>
        </is>
      </c>
      <c r="T176" s="31" t="n">
        <v>0.85</v>
      </c>
      <c r="U176" s="31" t="n">
        <v>13.31</v>
      </c>
      <c r="V176" s="31" t="n">
        <v>12.36</v>
      </c>
      <c r="W176" s="31" t="n">
        <v>6.73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IF(B177=0,"",RANK(B177,$B$2:$B$396,0))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SEAMECLTD</t>
        </is>
      </c>
      <c r="D177" s="30" t="inlineStr">
        <is>
          <t>Seamec Limited</t>
        </is>
      </c>
      <c r="E177" s="30" t="inlineStr">
        <is>
          <t>miscellaneous</t>
        </is>
      </c>
      <c r="F177" s="30" t="inlineStr">
        <is>
          <t>miscellaneous</t>
        </is>
      </c>
      <c r="G177" s="30" t="inlineStr">
        <is>
          <t>smallcap</t>
        </is>
      </c>
      <c r="H177" s="31" t="n">
        <v>3802.31</v>
      </c>
      <c r="I177" s="31" t="n">
        <v>1527.7</v>
      </c>
      <c r="J177" s="31" t="n">
        <v>2.15</v>
      </c>
      <c r="K177" s="31" t="n">
        <v>40731</v>
      </c>
      <c r="L177" s="30" t="n">
        <v>66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58.95</v>
      </c>
      <c r="P177" s="31" t="n">
        <v>27.65</v>
      </c>
      <c r="Q177" s="31" t="n">
        <v>1235.69</v>
      </c>
      <c r="R177" s="30" t="inlineStr">
        <is>
          <t>Earnings / Momentum Support</t>
        </is>
      </c>
      <c r="S177" s="30" t="inlineStr">
        <is>
          <t>Nifty 50</t>
        </is>
      </c>
      <c r="T177" s="31" t="n">
        <v>0.85</v>
      </c>
      <c r="U177" s="31" t="n">
        <v>92.56</v>
      </c>
      <c r="V177" s="31" t="n">
        <v>90.94</v>
      </c>
      <c r="W177" s="31" t="n">
        <v>16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IF(B178=0,"",RANK(B178,$B$2:$B$396,0))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TIRUPATIFL</t>
        </is>
      </c>
      <c r="D178" s="30" t="inlineStr">
        <is>
          <t>Tirupati Forge Ltd</t>
        </is>
      </c>
      <c r="E178" s="30" t="inlineStr">
        <is>
          <t>industrials</t>
        </is>
      </c>
      <c r="F178" s="30" t="inlineStr">
        <is>
          <t>castings &amp; forgings</t>
        </is>
      </c>
      <c r="G178" s="30" t="inlineStr">
        <is>
          <t>smallcap</t>
        </is>
      </c>
      <c r="H178" s="31" t="n">
        <v>918.34</v>
      </c>
      <c r="I178" s="31" t="n">
        <v>72.06999999999999</v>
      </c>
      <c r="J178" s="31" t="n">
        <v>2.05</v>
      </c>
      <c r="K178" s="31" t="n">
        <v>204376</v>
      </c>
      <c r="L178" s="30" t="n">
        <v>89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75.90000000000001</v>
      </c>
      <c r="P178" s="31" t="n">
        <v>41.89</v>
      </c>
      <c r="Q178" s="31" t="n">
        <v>51.46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0.85</v>
      </c>
      <c r="U178" s="31" t="n">
        <v>97.94</v>
      </c>
      <c r="V178" s="31" t="n">
        <v>96.27</v>
      </c>
      <c r="W178" s="31" t="n">
        <v>30.47</v>
      </c>
      <c r="X178" s="30" t="inlineStr">
        <is>
          <t>Cyclical in an Upturn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Above 40</t>
        </is>
      </c>
      <c r="AY178" s="30">
        <f>IF(AX178="Above 40",20,IF(AX178="20 to 40",10,IF(AX178="0 to 20",-5,0)))</f>
        <v/>
      </c>
      <c r="AZ178" s="30" t="inlineStr">
        <is>
          <t>Above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IF(B179=0,"",RANK(B179,$B$2:$B$396,0))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SPECIALITY</t>
        </is>
      </c>
      <c r="D179" s="30" t="inlineStr">
        <is>
          <t>Speciality Restaurants Limited</t>
        </is>
      </c>
      <c r="E179" s="30" t="inlineStr">
        <is>
          <t>services</t>
        </is>
      </c>
      <c r="F179" s="30" t="inlineStr">
        <is>
          <t>hotels</t>
        </is>
      </c>
      <c r="G179" s="30" t="inlineStr">
        <is>
          <t>smallcap</t>
        </is>
      </c>
      <c r="H179" s="31" t="n">
        <v>686.97</v>
      </c>
      <c r="I179" s="31" t="n">
        <v>145.01</v>
      </c>
      <c r="J179" s="31" t="n">
        <v>1.82</v>
      </c>
      <c r="K179" s="31" t="n">
        <v>144115</v>
      </c>
      <c r="L179" s="30" t="n">
        <v>53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68.11</v>
      </c>
      <c r="P179" s="31" t="n">
        <v>22.71</v>
      </c>
      <c r="Q179" s="31" t="n">
        <v>107.44</v>
      </c>
      <c r="R179" s="30" t="inlineStr">
        <is>
          <t>Volume Spike &amp; Near 52W High Breakout</t>
        </is>
      </c>
      <c r="S179" s="30" t="inlineStr">
        <is>
          <t>Nifty 50</t>
        </is>
      </c>
      <c r="T179" s="31" t="n">
        <v>0.85</v>
      </c>
      <c r="U179" s="31" t="n">
        <v>17.61</v>
      </c>
      <c r="V179" s="31" t="n">
        <v>16.62</v>
      </c>
      <c r="W179" s="31" t="n">
        <v>11.68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Less than 12%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IF(B180=0,"",RANK(B180,$B$2:$B$396,0))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CENTUM</t>
        </is>
      </c>
      <c r="D180" s="30" t="inlineStr">
        <is>
          <t>Centum Electronics Limited</t>
        </is>
      </c>
      <c r="E180" s="30" t="inlineStr">
        <is>
          <t>aerospace &amp; defence</t>
        </is>
      </c>
      <c r="F180" s="30" t="inlineStr">
        <is>
          <t>electronics - components</t>
        </is>
      </c>
      <c r="G180" s="30" t="inlineStr">
        <is>
          <t>midcap</t>
        </is>
      </c>
      <c r="H180" s="31" t="n">
        <v>5594.11</v>
      </c>
      <c r="I180" s="31" t="n">
        <v>3851.8</v>
      </c>
      <c r="J180" s="31" t="n">
        <v>1.62</v>
      </c>
      <c r="K180" s="31" t="n">
        <v>24929</v>
      </c>
      <c r="L180" s="30" t="n">
        <v>65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67.92</v>
      </c>
      <c r="P180" s="31" t="n">
        <v>60.28</v>
      </c>
      <c r="Q180" s="31" t="n">
        <v>2907.08</v>
      </c>
      <c r="R180" s="30" t="inlineStr">
        <is>
          <t>Near 52W High Breakout</t>
        </is>
      </c>
      <c r="S180" s="30" t="inlineStr">
        <is>
          <t>Nifty 50</t>
        </is>
      </c>
      <c r="T180" s="31" t="n">
        <v>0.85</v>
      </c>
      <c r="U180" s="31" t="n">
        <v>59.31</v>
      </c>
      <c r="V180" s="31" t="n">
        <v>57.97</v>
      </c>
      <c r="W180" s="31" t="n">
        <v>15.64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Less than 50%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IF(B181=0,"",RANK(B181,$B$2:$B$396,0))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BEPL</t>
        </is>
      </c>
      <c r="D181" s="30" t="inlineStr">
        <is>
          <t>Bhansali Engineering Polymers Limited</t>
        </is>
      </c>
      <c r="E181" s="30" t="inlineStr">
        <is>
          <t>energy</t>
        </is>
      </c>
      <c r="F181" s="30" t="inlineStr">
        <is>
          <t>petrochemicals</t>
        </is>
      </c>
      <c r="G181" s="30" t="inlineStr">
        <is>
          <t>smallcap</t>
        </is>
      </c>
      <c r="H181" s="31" t="n">
        <v>3046.53</v>
      </c>
      <c r="I181" s="31" t="n">
        <v>123.57</v>
      </c>
      <c r="J181" s="31" t="n">
        <v>0.9399999999999999</v>
      </c>
      <c r="K181" s="31" t="n">
        <v>2585819</v>
      </c>
      <c r="L181" s="30" t="n">
        <v>47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68.97</v>
      </c>
      <c r="P181" s="31" t="n">
        <v>44.66</v>
      </c>
      <c r="Q181" s="31" t="n">
        <v>95.44</v>
      </c>
      <c r="R181" s="30" t="inlineStr">
        <is>
          <t>Near 52W High Breakout</t>
        </is>
      </c>
      <c r="S181" s="30" t="inlineStr">
        <is>
          <t>Nifty Energy</t>
        </is>
      </c>
      <c r="T181" s="31" t="n">
        <v>9.93</v>
      </c>
      <c r="U181" s="31" t="n">
        <v>19.75</v>
      </c>
      <c r="V181" s="31" t="n">
        <v>8.93</v>
      </c>
      <c r="W181" s="31" t="n">
        <v>10.29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Oligopoly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Cyclical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Volatile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IF(B182=0,"",RANK(B182,$B$2:$B$396,0))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SYRMA</t>
        </is>
      </c>
      <c r="D182" s="30" t="inlineStr">
        <is>
          <t>Syrma SGS Technology Ltd</t>
        </is>
      </c>
      <c r="E182" s="30" t="inlineStr">
        <is>
          <t>consumer discretionary</t>
        </is>
      </c>
      <c r="F182" s="30" t="inlineStr">
        <is>
          <t>electronics - components</t>
        </is>
      </c>
      <c r="G182" s="30" t="inlineStr">
        <is>
          <t>largecap</t>
        </is>
      </c>
      <c r="H182" s="31" t="n">
        <v>27343.36</v>
      </c>
      <c r="I182" s="31" t="n">
        <v>1424.7</v>
      </c>
      <c r="J182" s="31" t="n">
        <v>0.47</v>
      </c>
      <c r="K182" s="31" t="n">
        <v>509562</v>
      </c>
      <c r="L182" s="30" t="n">
        <v>78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67.87</v>
      </c>
      <c r="P182" s="31" t="n">
        <v>59.3</v>
      </c>
      <c r="Q182" s="31" t="n">
        <v>1115.92</v>
      </c>
      <c r="R182" s="30" t="inlineStr">
        <is>
          <t>Near 52W High Breakout</t>
        </is>
      </c>
      <c r="S182" s="30" t="inlineStr">
        <is>
          <t>Nifty 50</t>
        </is>
      </c>
      <c r="T182" s="31" t="n">
        <v>0.85</v>
      </c>
      <c r="U182" s="31" t="n">
        <v>103.05</v>
      </c>
      <c r="V182" s="31" t="n">
        <v>101.34</v>
      </c>
      <c r="W182" s="31" t="n">
        <v>21.65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IF(B183=0,"",RANK(B183,$B$2:$B$396,0))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2" t="inlineStr">
        <is>
          <t>ARE&amp;M</t>
        </is>
      </c>
      <c r="D183" s="32" t="inlineStr">
        <is>
          <t>Amara Raja Energy &amp; Mobility Ltd</t>
        </is>
      </c>
      <c r="E183" s="30" t="inlineStr">
        <is>
          <t>auto</t>
        </is>
      </c>
      <c r="F183" s="30" t="inlineStr">
        <is>
          <t>auto ancillaries</t>
        </is>
      </c>
      <c r="G183" s="30" t="inlineStr">
        <is>
          <t>midcap</t>
        </is>
      </c>
      <c r="H183" s="31" t="n">
        <v>16974.69</v>
      </c>
      <c r="I183" s="31" t="n">
        <v>931.7</v>
      </c>
      <c r="J183" s="31" t="n">
        <v>0.46</v>
      </c>
      <c r="K183" s="31" t="n">
        <v>498955</v>
      </c>
      <c r="L183" s="30" t="n">
        <v>8</v>
      </c>
      <c r="M183" s="30" t="inlineStr">
        <is>
          <t>Underperforming</t>
        </is>
      </c>
      <c r="N183" s="31">
        <f>IF(M183="Underperforming",-5,IF(L183&gt;=95,15,IF(L183&gt;=90,10,IF(L183&gt;=80,5,0))))</f>
        <v/>
      </c>
      <c r="O183" s="31" t="n">
        <v>59.41</v>
      </c>
      <c r="P183" s="31" t="n">
        <v>13.27</v>
      </c>
      <c r="Q183" s="31" t="n">
        <v>762.86</v>
      </c>
      <c r="R183" s="30" t="inlineStr">
        <is>
          <t>Volume Spike / Accumulation</t>
        </is>
      </c>
      <c r="S183" s="30" t="inlineStr">
        <is>
          <t>Nifty Auto</t>
        </is>
      </c>
      <c r="T183" s="31" t="n">
        <v>24.67</v>
      </c>
      <c r="U183" s="31" t="n">
        <v>-4.73</v>
      </c>
      <c r="V183" s="31" t="n">
        <v>-23.58</v>
      </c>
      <c r="W183" s="31" t="n">
        <v>0.7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IF(B184=0,"",RANK(B184,$B$2:$B$396,0))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ORBTEXP</t>
        </is>
      </c>
      <c r="D184" s="30" t="inlineStr">
        <is>
          <t>Orbit Exports Limited</t>
        </is>
      </c>
      <c r="E184" s="30" t="inlineStr">
        <is>
          <t>textiles</t>
        </is>
      </c>
      <c r="F184" s="30" t="inlineStr">
        <is>
          <t>textiles - processing</t>
        </is>
      </c>
      <c r="G184" s="30" t="inlineStr">
        <is>
          <t>smallcap</t>
        </is>
      </c>
      <c r="H184" s="31" t="n">
        <v>662.62</v>
      </c>
      <c r="I184" s="31" t="n">
        <v>250.99</v>
      </c>
      <c r="J184" s="31" t="n">
        <v>0.42</v>
      </c>
      <c r="K184" s="31" t="n">
        <v>115882</v>
      </c>
      <c r="L184" s="30" t="n">
        <v>73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69.77</v>
      </c>
      <c r="P184" s="31" t="n">
        <v>37.47</v>
      </c>
      <c r="Q184" s="31" t="n">
        <v>183.87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0.85</v>
      </c>
      <c r="U184" s="31" t="n">
        <v>33.6</v>
      </c>
      <c r="V184" s="31" t="n">
        <v>32.47</v>
      </c>
      <c r="W184" s="31" t="n">
        <v>18.66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IF(B185=0,"",RANK(B185,$B$2:$B$396,0))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LMW</t>
        </is>
      </c>
      <c r="D185" s="30" t="inlineStr">
        <is>
          <t>LMW Ltd</t>
        </is>
      </c>
      <c r="E185" s="30" t="inlineStr">
        <is>
          <t>industrials</t>
        </is>
      </c>
      <c r="F185" s="30" t="inlineStr">
        <is>
          <t>textile machinery</t>
        </is>
      </c>
      <c r="G185" s="30" t="inlineStr">
        <is>
          <t>midcap</t>
        </is>
      </c>
      <c r="H185" s="31" t="n">
        <v>17771.17</v>
      </c>
      <c r="I185" s="31" t="n">
        <v>16700</v>
      </c>
      <c r="J185" s="31" t="n">
        <v>0.39</v>
      </c>
      <c r="K185" s="31" t="n">
        <v>1112</v>
      </c>
      <c r="L185" s="30" t="n">
        <v>26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61.12</v>
      </c>
      <c r="P185" s="31" t="n">
        <v>30.16</v>
      </c>
      <c r="Q185" s="31" t="n">
        <v>13534.41</v>
      </c>
      <c r="R185" s="30" t="inlineStr">
        <is>
          <t>Near 52W High Breakout</t>
        </is>
      </c>
      <c r="S185" s="30" t="inlineStr">
        <is>
          <t>Nifty Infra</t>
        </is>
      </c>
      <c r="T185" s="31" t="n">
        <v>4.83</v>
      </c>
      <c r="U185" s="31" t="n">
        <v>7.79</v>
      </c>
      <c r="V185" s="31" t="n">
        <v>2.83</v>
      </c>
      <c r="W185" s="31" t="n">
        <v>5.15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IF(B186=0,"",RANK(B186,$B$2:$B$396,0))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AARTIIND</t>
        </is>
      </c>
      <c r="D186" s="30" t="inlineStr">
        <is>
          <t>Aarti Industries Limited</t>
        </is>
      </c>
      <c r="E186" s="30" t="inlineStr">
        <is>
          <t>chemicals</t>
        </is>
      </c>
      <c r="F186" s="30" t="inlineStr">
        <is>
          <t>chemicals</t>
        </is>
      </c>
      <c r="G186" s="30" t="inlineStr">
        <is>
          <t>midcap</t>
        </is>
      </c>
      <c r="H186" s="31" t="n">
        <v>18179.86</v>
      </c>
      <c r="I186" s="31" t="n">
        <v>502.1</v>
      </c>
      <c r="J186" s="31" t="n">
        <v>0.18</v>
      </c>
      <c r="K186" s="31" t="n">
        <v>1422279</v>
      </c>
      <c r="L186" s="30" t="n">
        <v>34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60.53</v>
      </c>
      <c r="P186" s="31" t="n">
        <v>23.5</v>
      </c>
      <c r="Q186" s="31" t="n">
        <v>395.04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0.85</v>
      </c>
      <c r="U186" s="31" t="n">
        <v>34.21</v>
      </c>
      <c r="V186" s="31" t="n">
        <v>33.08</v>
      </c>
      <c r="W186" s="31" t="n">
        <v>6.85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Between 0.7 to 1.2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IF(B187=0,"",RANK(B187,$B$2:$B$396,0))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INDOTECH</t>
        </is>
      </c>
      <c r="D187" s="30" t="inlineStr">
        <is>
          <t>Indo Tech Transformers Limited</t>
        </is>
      </c>
      <c r="E187" s="30" t="inlineStr">
        <is>
          <t>industrials</t>
        </is>
      </c>
      <c r="F187" s="30" t="inlineStr">
        <is>
          <t>electric equipment</t>
        </is>
      </c>
      <c r="G187" s="30" t="inlineStr">
        <is>
          <t>smallcap</t>
        </is>
      </c>
      <c r="H187" s="31" t="n">
        <v>4022.33</v>
      </c>
      <c r="I187" s="31" t="n">
        <v>3792.6</v>
      </c>
      <c r="J187" s="31" t="n">
        <v>0.13</v>
      </c>
      <c r="K187" s="31" t="n">
        <v>39281</v>
      </c>
      <c r="L187" s="30" t="n">
        <v>92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78.98999999999999</v>
      </c>
      <c r="P187" s="31" t="n">
        <v>49.56</v>
      </c>
      <c r="Q187" s="31" t="n">
        <v>2817.58</v>
      </c>
      <c r="R187" s="30" t="inlineStr">
        <is>
          <t>Near 52W High Breakout</t>
        </is>
      </c>
      <c r="S187" s="30" t="inlineStr">
        <is>
          <t>Nifty 50</t>
        </is>
      </c>
      <c r="T187" s="31" t="n">
        <v>0.85</v>
      </c>
      <c r="U187" s="31" t="n">
        <v>141.83</v>
      </c>
      <c r="V187" s="31" t="n">
        <v>139.79</v>
      </c>
      <c r="W187" s="31" t="n">
        <v>32.96</v>
      </c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Above 40</t>
        </is>
      </c>
      <c r="AY187" s="30">
        <f>IF(AX187="Above 40",20,IF(AX187="20 to 40",10,IF(AX187="0 to 20",-5,0)))</f>
        <v/>
      </c>
      <c r="AZ187" s="30" t="inlineStr">
        <is>
          <t>Above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Blue sky scenario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Between 12 to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Less than 50%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IF(B188=0,"",RANK(B188,$B$2:$B$396,0))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PAYTM</t>
        </is>
      </c>
      <c r="D188" s="30" t="inlineStr">
        <is>
          <t>One 97 Communications Ltd</t>
        </is>
      </c>
      <c r="E188" s="30" t="inlineStr">
        <is>
          <t>i.t</t>
        </is>
      </c>
      <c r="F188" s="30" t="inlineStr">
        <is>
          <t>miscellaneous</t>
        </is>
      </c>
      <c r="G188" s="30" t="inlineStr">
        <is>
          <t>largecap</t>
        </is>
      </c>
      <c r="H188" s="31" t="n">
        <v>92336.60000000001</v>
      </c>
      <c r="I188" s="31" t="n">
        <v>1441.6</v>
      </c>
      <c r="J188" s="31" t="n">
        <v>-0.03</v>
      </c>
      <c r="K188" s="31" t="n">
        <v>6092076</v>
      </c>
      <c r="L188" s="30" t="n">
        <v>53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67.36</v>
      </c>
      <c r="P188" s="31" t="n">
        <v>16.26</v>
      </c>
      <c r="Q188" s="31" t="n">
        <v>1140.27</v>
      </c>
      <c r="R188" s="30" t="inlineStr">
        <is>
          <t>Volume Spike &amp; Near 52W High Breakout</t>
        </is>
      </c>
      <c r="S188" s="30" t="inlineStr">
        <is>
          <t>Nifty IT</t>
        </is>
      </c>
      <c r="T188" s="31" t="n">
        <v>-8.289999999999999</v>
      </c>
      <c r="U188" s="31" t="n">
        <v>35.69</v>
      </c>
      <c r="V188" s="31" t="n">
        <v>47.95</v>
      </c>
      <c r="W188" s="31" t="n">
        <v>11.56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Between 1.5 to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IF(B189=0,"",RANK(B189,$B$2:$B$396,0))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TNPL</t>
        </is>
      </c>
      <c r="D189" s="32" t="inlineStr">
        <is>
          <t>Tamil Nadu Newsprint &amp; Papers Limited</t>
        </is>
      </c>
      <c r="E189" s="30" t="inlineStr">
        <is>
          <t>building materials</t>
        </is>
      </c>
      <c r="F189" s="30" t="inlineStr">
        <is>
          <t>paper</t>
        </is>
      </c>
      <c r="G189" s="30" t="inlineStr">
        <is>
          <t>smallcap</t>
        </is>
      </c>
      <c r="H189" s="31" t="n">
        <v>1087.64</v>
      </c>
      <c r="I189" s="31" t="n">
        <v>156.6</v>
      </c>
      <c r="J189" s="31" t="n">
        <v>-0.35</v>
      </c>
      <c r="K189" s="31" t="n">
        <v>89590</v>
      </c>
      <c r="L189" s="30" t="n">
        <v>13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62.16</v>
      </c>
      <c r="P189" s="31" t="n">
        <v>13.14</v>
      </c>
      <c r="Q189" s="31" t="n">
        <v>129.02</v>
      </c>
      <c r="R189" s="30" t="inlineStr">
        <is>
          <t>Near 52W High Breakout</t>
        </is>
      </c>
      <c r="S189" s="30" t="inlineStr">
        <is>
          <t>Nifty Infra</t>
        </is>
      </c>
      <c r="T189" s="31" t="n">
        <v>4.83</v>
      </c>
      <c r="U189" s="31" t="n">
        <v>-3.29</v>
      </c>
      <c r="V189" s="31" t="n">
        <v>-7.74</v>
      </c>
      <c r="W189" s="31" t="n">
        <v>2.02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0 to 20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IF(B190=0,"",RANK(B190,$B$2:$B$396,0))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SCI</t>
        </is>
      </c>
      <c r="D190" s="30" t="inlineStr">
        <is>
          <t>Shipping Corporation Of India Limited</t>
        </is>
      </c>
      <c r="E190" s="30" t="inlineStr">
        <is>
          <t>transportation</t>
        </is>
      </c>
      <c r="F190" s="30" t="inlineStr">
        <is>
          <t>shipping</t>
        </is>
      </c>
      <c r="G190" s="30" t="inlineStr">
        <is>
          <t>midcap</t>
        </is>
      </c>
      <c r="H190" s="31" t="n">
        <v>14374.56</v>
      </c>
      <c r="I190" s="31" t="n">
        <v>304.75</v>
      </c>
      <c r="J190" s="31" t="n">
        <v>-1.25</v>
      </c>
      <c r="K190" s="31" t="n">
        <v>13811099</v>
      </c>
      <c r="L190" s="30" t="n">
        <v>50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57.52</v>
      </c>
      <c r="P190" s="31" t="n">
        <v>31.74</v>
      </c>
      <c r="Q190" s="31" t="n">
        <v>257.94</v>
      </c>
      <c r="R190" s="30" t="inlineStr">
        <is>
          <t>Earnings / Momentum Support</t>
        </is>
      </c>
      <c r="S190" s="30" t="inlineStr">
        <is>
          <t>Nifty 50</t>
        </is>
      </c>
      <c r="T190" s="31" t="n">
        <v>0.85</v>
      </c>
      <c r="U190" s="31" t="n">
        <v>59.71</v>
      </c>
      <c r="V190" s="31" t="n">
        <v>58.36</v>
      </c>
      <c r="W190" s="31" t="n">
        <v>11.02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IF(B191=0,"",RANK(B191,$B$2:$B$396,0))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ACE</t>
        </is>
      </c>
      <c r="D191" s="30" t="inlineStr">
        <is>
          <t>Action Construction Equipment Limited</t>
        </is>
      </c>
      <c r="E191" s="30" t="inlineStr">
        <is>
          <t>industrials</t>
        </is>
      </c>
      <c r="F191" s="30" t="inlineStr">
        <is>
          <t>engineering</t>
        </is>
      </c>
      <c r="G191" s="30" t="inlineStr">
        <is>
          <t>midcap</t>
        </is>
      </c>
      <c r="H191" s="31" t="n">
        <v>13262.3</v>
      </c>
      <c r="I191" s="31" t="n">
        <v>1094.3</v>
      </c>
      <c r="J191" s="31" t="n">
        <v>-1.74</v>
      </c>
      <c r="K191" s="31" t="n">
        <v>234548</v>
      </c>
      <c r="L191" s="30" t="n">
        <v>21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68.48</v>
      </c>
      <c r="P191" s="31" t="n">
        <v>19.78</v>
      </c>
      <c r="Q191" s="31" t="n">
        <v>884.54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0.85</v>
      </c>
      <c r="U191" s="31" t="n">
        <v>1.72</v>
      </c>
      <c r="V191" s="31" t="n">
        <v>0.86</v>
      </c>
      <c r="W191" s="31" t="n">
        <v>3.81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IF(B192=0,"",RANK(B192,$B$2:$B$396,0))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STEELCAS</t>
        </is>
      </c>
      <c r="D192" s="30" t="inlineStr">
        <is>
          <t>Steelcast Ltd</t>
        </is>
      </c>
      <c r="E192" s="30" t="inlineStr">
        <is>
          <t>industrials</t>
        </is>
      </c>
      <c r="F192" s="30" t="inlineStr">
        <is>
          <t>castings &amp; forgings</t>
        </is>
      </c>
      <c r="G192" s="30" t="inlineStr">
        <is>
          <t>smallcap</t>
        </is>
      </c>
      <c r="H192" s="31" t="n">
        <v>3418.03</v>
      </c>
      <c r="I192" s="31" t="n">
        <v>330.5</v>
      </c>
      <c r="J192" s="31" t="n">
        <v>-2.15</v>
      </c>
      <c r="K192" s="31" t="n">
        <v>53352</v>
      </c>
      <c r="L192" s="30" t="n">
        <v>57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75.28</v>
      </c>
      <c r="P192" s="31" t="n">
        <v>39.77</v>
      </c>
      <c r="Q192" s="31" t="n">
        <v>253.43</v>
      </c>
      <c r="R192" s="30" t="inlineStr">
        <is>
          <t>Near 52W High Breakout</t>
        </is>
      </c>
      <c r="S192" s="30" t="inlineStr">
        <is>
          <t>Nifty Infra</t>
        </is>
      </c>
      <c r="T192" s="31" t="n">
        <v>4.83</v>
      </c>
      <c r="U192" s="31" t="n">
        <v>42.74</v>
      </c>
      <c r="V192" s="31" t="n">
        <v>36.16</v>
      </c>
      <c r="W192" s="31" t="n">
        <v>13.24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Above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Between 12 to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Between 1.5 to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IF(B193=0,"",RANK(B193,$B$2:$B$396,0))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2" t="inlineStr">
        <is>
          <t>KRONOX</t>
        </is>
      </c>
      <c r="D193" s="32" t="inlineStr">
        <is>
          <t>Kronox Lab Sciences Ltd</t>
        </is>
      </c>
      <c r="E193" s="30" t="inlineStr">
        <is>
          <t>chemicals</t>
        </is>
      </c>
      <c r="F193" s="30" t="inlineStr">
        <is>
          <t>chemicals</t>
        </is>
      </c>
      <c r="G193" s="30" t="inlineStr">
        <is>
          <t>smallcap</t>
        </is>
      </c>
      <c r="H193" s="31" t="n">
        <v>618.8200000000001</v>
      </c>
      <c r="I193" s="31" t="n">
        <v>163</v>
      </c>
      <c r="J193" s="31" t="n">
        <v>-2.27</v>
      </c>
      <c r="K193" s="31" t="n">
        <v>72516</v>
      </c>
      <c r="L193" s="30" t="n">
        <v>21</v>
      </c>
      <c r="M193" s="30" t="inlineStr">
        <is>
          <t>Underperforming</t>
        </is>
      </c>
      <c r="N193" s="31">
        <f>IF(M193="Underperforming",-5,IF(L193&gt;=95,15,IF(L193&gt;=90,10,IF(L193&gt;=80,5,0))))</f>
        <v/>
      </c>
      <c r="O193" s="31" t="n">
        <v>64.34999999999999</v>
      </c>
      <c r="P193" s="31" t="n">
        <v>22.75</v>
      </c>
      <c r="Q193" s="31" t="n">
        <v>119.21</v>
      </c>
      <c r="R193" s="30" t="inlineStr">
        <is>
          <t>Earnings / Momentum Support</t>
        </is>
      </c>
      <c r="S193" s="30" t="inlineStr">
        <is>
          <t>Nifty 50</t>
        </is>
      </c>
      <c r="T193" s="31" t="n">
        <v>0.85</v>
      </c>
      <c r="U193" s="31" t="n">
        <v>-0.77</v>
      </c>
      <c r="V193" s="31" t="n">
        <v>-1.61</v>
      </c>
      <c r="W193" s="31" t="n">
        <v>3.9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Less than 1.5</t>
        </is>
      </c>
      <c r="BU193" s="30">
        <f>IF(BT193="Above 2",0,IF(BT193="Between 1.5 to 2",5,IF(BT193="Less than 1.5",10,0)))</f>
        <v/>
      </c>
      <c r="BV193" s="30" t="inlineStr">
        <is>
          <t>Between 50% to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IF(B194=0,"",RANK(B194,$B$2:$B$396,0))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KABRAEXTRU</t>
        </is>
      </c>
      <c r="D194" s="30" t="inlineStr">
        <is>
          <t>Kabra Extrusion Technik Limited</t>
        </is>
      </c>
      <c r="E194" s="30" t="inlineStr">
        <is>
          <t>industrials</t>
        </is>
      </c>
      <c r="F194" s="30" t="inlineStr">
        <is>
          <t>engineering</t>
        </is>
      </c>
      <c r="G194" s="30" t="inlineStr">
        <is>
          <t>smallcap</t>
        </is>
      </c>
      <c r="H194" s="31" t="n">
        <v>1670.3</v>
      </c>
      <c r="I194" s="31" t="n">
        <v>448.6</v>
      </c>
      <c r="J194" s="31" t="n">
        <v>-6.07</v>
      </c>
      <c r="K194" s="31" t="n">
        <v>810718</v>
      </c>
      <c r="L194" s="30" t="n">
        <v>91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80.91</v>
      </c>
      <c r="P194" s="31" t="n">
        <v>29</v>
      </c>
      <c r="Q194" s="31" t="n">
        <v>332.45</v>
      </c>
      <c r="R194" s="30" t="inlineStr">
        <is>
          <t>Volume Spike &amp; Near 52W High Breakout</t>
        </is>
      </c>
      <c r="S194" s="30" t="inlineStr">
        <is>
          <t>Nifty Infra</t>
        </is>
      </c>
      <c r="T194" s="31" t="n">
        <v>4.83</v>
      </c>
      <c r="U194" s="31" t="n">
        <v>54.26</v>
      </c>
      <c r="V194" s="31" t="n">
        <v>47.16</v>
      </c>
      <c r="W194" s="31" t="n">
        <v>31.47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IF(B195=0,"",RANK(B195,$B$2:$B$396,0))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TATATECH</t>
        </is>
      </c>
      <c r="D195" s="30" t="inlineStr">
        <is>
          <t>Tata Technologies Ltd</t>
        </is>
      </c>
      <c r="E195" s="30" t="inlineStr">
        <is>
          <t>i.t</t>
        </is>
      </c>
      <c r="F195" s="30" t="inlineStr">
        <is>
          <t>computers - software - medium / small</t>
        </is>
      </c>
      <c r="G195" s="30" t="inlineStr">
        <is>
          <t>largecap</t>
        </is>
      </c>
      <c r="H195" s="31" t="n">
        <v>32547.08</v>
      </c>
      <c r="I195" s="31" t="n">
        <v>872.8</v>
      </c>
      <c r="J195" s="31" t="n">
        <v>8.890000000000001</v>
      </c>
      <c r="K195" s="31" t="n">
        <v>16058460</v>
      </c>
      <c r="L195" s="30" t="n">
        <v>64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72.88</v>
      </c>
      <c r="P195" s="31" t="n">
        <v>31.26</v>
      </c>
      <c r="Q195" s="31" t="n">
        <v>696.79</v>
      </c>
      <c r="R195" s="30" t="inlineStr">
        <is>
          <t>Volume Spike &amp; Near 52W High Breakout</t>
        </is>
      </c>
      <c r="S195" s="30" t="inlineStr">
        <is>
          <t>Nifty IT</t>
        </is>
      </c>
      <c r="T195" s="31" t="n">
        <v>-8.289999999999999</v>
      </c>
      <c r="U195" s="31" t="n">
        <v>34.44</v>
      </c>
      <c r="V195" s="31" t="n">
        <v>46.58</v>
      </c>
      <c r="W195" s="31" t="n">
        <v>15.39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Less than 12%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IF(B196=0,"",RANK(B196,$B$2:$B$396,0))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2" t="inlineStr">
        <is>
          <t>GUFICBIO</t>
        </is>
      </c>
      <c r="D196" s="32" t="inlineStr">
        <is>
          <t>Gufic Biosciences Limited</t>
        </is>
      </c>
      <c r="E196" s="30" t="inlineStr">
        <is>
          <t>healthcare</t>
        </is>
      </c>
      <c r="F196" s="30" t="inlineStr">
        <is>
          <t>pharmaceuticals - indian - bulk drugs &amp; formln</t>
        </is>
      </c>
      <c r="G196" s="30" t="inlineStr">
        <is>
          <t>smallcap</t>
        </is>
      </c>
      <c r="H196" s="31" t="n">
        <v>4054.92</v>
      </c>
      <c r="I196" s="31" t="n">
        <v>421.4</v>
      </c>
      <c r="J196" s="31" t="n">
        <v>4.22</v>
      </c>
      <c r="K196" s="31" t="n">
        <v>266330</v>
      </c>
      <c r="L196" s="30" t="n">
        <v>54</v>
      </c>
      <c r="M196" s="30" t="inlineStr">
        <is>
          <t>Underperforming</t>
        </is>
      </c>
      <c r="N196" s="31">
        <f>IF(M196="Underperforming",-5,IF(L196&gt;=95,15,IF(L196&gt;=90,10,IF(L196&gt;=80,5,0))))</f>
        <v/>
      </c>
      <c r="O196" s="31" t="n">
        <v>70.64</v>
      </c>
      <c r="P196" s="31" t="n">
        <v>43.81</v>
      </c>
      <c r="Q196" s="31" t="n">
        <v>326.22</v>
      </c>
      <c r="R196" s="30" t="inlineStr">
        <is>
          <t>Near 52W High Breakout</t>
        </is>
      </c>
      <c r="S196" s="30" t="inlineStr">
        <is>
          <t>Nifty Pharma</t>
        </is>
      </c>
      <c r="T196" s="31" t="n">
        <v>24.01</v>
      </c>
      <c r="U196" s="31" t="n">
        <v>16.68</v>
      </c>
      <c r="V196" s="31" t="n">
        <v>-5.91</v>
      </c>
      <c r="W196" s="31" t="n">
        <v>12.31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Above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Less than 50%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IF(B197=0,"",RANK(B197,$B$2:$B$396,0))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HTMEDIA</t>
        </is>
      </c>
      <c r="D197" s="30" t="inlineStr">
        <is>
          <t>Ht Media Limited</t>
        </is>
      </c>
      <c r="E197" s="30" t="inlineStr">
        <is>
          <t>media</t>
        </is>
      </c>
      <c r="F197" s="30" t="inlineStr">
        <is>
          <t>entertainment / electronic media software</t>
        </is>
      </c>
      <c r="G197" s="30" t="inlineStr">
        <is>
          <t>smallcap</t>
        </is>
      </c>
      <c r="H197" s="31" t="n">
        <v>626.39</v>
      </c>
      <c r="I197" s="31" t="n">
        <v>28</v>
      </c>
      <c r="J197" s="31" t="n">
        <v>4.05</v>
      </c>
      <c r="K197" s="31" t="n">
        <v>331196</v>
      </c>
      <c r="L197" s="30" t="n">
        <v>39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66.12</v>
      </c>
      <c r="P197" s="31" t="n">
        <v>17.99</v>
      </c>
      <c r="Q197" s="31" t="n">
        <v>19.79</v>
      </c>
      <c r="R197" s="30" t="inlineStr">
        <is>
          <t>Volume Spike &amp; Near 52W High Breakout</t>
        </is>
      </c>
      <c r="S197" s="30" t="inlineStr">
        <is>
          <t>Nifty IT</t>
        </is>
      </c>
      <c r="T197" s="31" t="n">
        <v>-8.289999999999999</v>
      </c>
      <c r="U197" s="31" t="n">
        <v>13.6</v>
      </c>
      <c r="V197" s="31" t="n">
        <v>23.86</v>
      </c>
      <c r="W197" s="31" t="n">
        <v>8.199999999999999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IF(B198=0,"",RANK(B198,$B$2:$B$396,0))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TANLA</t>
        </is>
      </c>
      <c r="D198" s="30" t="inlineStr">
        <is>
          <t>Tanla Solutions Limited</t>
        </is>
      </c>
      <c r="E198" s="30" t="inlineStr">
        <is>
          <t>i.t</t>
        </is>
      </c>
      <c r="F198" s="30" t="inlineStr">
        <is>
          <t>computers - software - medium / small</t>
        </is>
      </c>
      <c r="G198" s="30" t="inlineStr">
        <is>
          <t>midcap</t>
        </is>
      </c>
      <c r="H198" s="31" t="n">
        <v>8075.07</v>
      </c>
      <c r="I198" s="31" t="n">
        <v>613.55</v>
      </c>
      <c r="J198" s="31" t="n">
        <v>0.76</v>
      </c>
      <c r="K198" s="31" t="n">
        <v>580312</v>
      </c>
      <c r="L198" s="30" t="n">
        <v>17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66.23</v>
      </c>
      <c r="P198" s="31" t="n">
        <v>16.75</v>
      </c>
      <c r="Q198" s="31" t="n">
        <v>471.24</v>
      </c>
      <c r="R198" s="30" t="inlineStr">
        <is>
          <t>Earnings / Momentum Support</t>
        </is>
      </c>
      <c r="S198" s="30" t="inlineStr">
        <is>
          <t>Nifty IT</t>
        </is>
      </c>
      <c r="T198" s="31" t="n">
        <v>-8.289999999999999</v>
      </c>
      <c r="U198" s="31" t="n">
        <v>1.32</v>
      </c>
      <c r="V198" s="31" t="n">
        <v>10.48</v>
      </c>
      <c r="W198" s="31" t="n">
        <v>2.95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IF(B199=0,"",RANK(B199,$B$2:$B$396,0))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HNDFDS</t>
        </is>
      </c>
      <c r="D199" s="30" t="inlineStr">
        <is>
          <t>Hindustan Foods Ltd</t>
        </is>
      </c>
      <c r="E199" s="30" t="inlineStr">
        <is>
          <t>fmcg</t>
        </is>
      </c>
      <c r="F199" s="30" t="inlineStr">
        <is>
          <t>diversified - large</t>
        </is>
      </c>
      <c r="G199" s="30" t="inlineStr">
        <is>
          <t>midcap</t>
        </is>
      </c>
      <c r="H199" s="31" t="n">
        <v>6966.86</v>
      </c>
      <c r="I199" s="31" t="n">
        <v>576.5</v>
      </c>
      <c r="J199" s="31" t="n">
        <v>0.26</v>
      </c>
      <c r="K199" s="31" t="n">
        <v>30987</v>
      </c>
      <c r="L199" s="30" t="n">
        <v>27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62.48</v>
      </c>
      <c r="P199" s="31" t="n">
        <v>35.67</v>
      </c>
      <c r="Q199" s="31" t="n">
        <v>476.7</v>
      </c>
      <c r="R199" s="30" t="inlineStr">
        <is>
          <t>Volume Spike &amp; Near 52W High Breakout</t>
        </is>
      </c>
      <c r="S199" s="30" t="inlineStr">
        <is>
          <t>Nifty FMCG</t>
        </is>
      </c>
      <c r="T199" s="31" t="n">
        <v>-9.43</v>
      </c>
      <c r="U199" s="31" t="n">
        <v>5</v>
      </c>
      <c r="V199" s="31" t="n">
        <v>15.93</v>
      </c>
      <c r="W199" s="31" t="n">
        <v>5.26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B2C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Between 1.5 to 2</t>
        </is>
      </c>
      <c r="BU199" s="30">
        <f>IF(BT199="Above 2",0,IF(BT199="Between 1.5 to 2",5,IF(BT199="Less than 1.5",10,0)))</f>
        <v/>
      </c>
      <c r="BV199" s="30" t="inlineStr">
        <is>
          <t>Less than 50%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IF(B200=0,"",RANK(B200,$B$2:$B$396,0))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COFORGE</t>
        </is>
      </c>
      <c r="D200" s="30" t="inlineStr">
        <is>
          <t>Coforge (Niit Tech) Ltd</t>
        </is>
      </c>
      <c r="E200" s="30" t="inlineStr">
        <is>
          <t>i.t</t>
        </is>
      </c>
      <c r="F200" s="30" t="inlineStr">
        <is>
          <t>computers - software - large</t>
        </is>
      </c>
      <c r="G200" s="30" t="inlineStr">
        <is>
          <t>largecap</t>
        </is>
      </c>
      <c r="H200" s="31" t="n">
        <v>78480.23</v>
      </c>
      <c r="I200" s="31" t="n">
        <v>1776</v>
      </c>
      <c r="J200" s="31" t="n">
        <v>0.18</v>
      </c>
      <c r="K200" s="31" t="n">
        <v>5286759</v>
      </c>
      <c r="L200" s="30" t="n">
        <v>43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66.73</v>
      </c>
      <c r="P200" s="31" t="n">
        <v>9.710000000000001</v>
      </c>
      <c r="Q200" s="31" t="n">
        <v>1384.85</v>
      </c>
      <c r="R200" s="30" t="inlineStr">
        <is>
          <t>Earnings / Momentum Support</t>
        </is>
      </c>
      <c r="S200" s="30" t="inlineStr">
        <is>
          <t>Nifty IT</t>
        </is>
      </c>
      <c r="T200" s="31" t="n">
        <v>-8.289999999999999</v>
      </c>
      <c r="U200" s="31" t="n">
        <v>11.55</v>
      </c>
      <c r="V200" s="31" t="n">
        <v>21.63</v>
      </c>
      <c r="W200" s="31" t="n">
        <v>9.380000000000001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IF(B201=0,"",RANK(B201,$B$2:$B$396,0))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AVADHSUGAR</t>
        </is>
      </c>
      <c r="D201" s="30" t="inlineStr">
        <is>
          <t>Avadh Sugar &amp; Energy</t>
        </is>
      </c>
      <c r="E201" s="30" t="inlineStr">
        <is>
          <t>fmcg</t>
        </is>
      </c>
      <c r="F201" s="30" t="inlineStr">
        <is>
          <t>sugar</t>
        </is>
      </c>
      <c r="G201" s="30" t="inlineStr">
        <is>
          <t>smallcap</t>
        </is>
      </c>
      <c r="H201" s="31" t="n">
        <v>1206.91</v>
      </c>
      <c r="I201" s="31" t="n">
        <v>601.05</v>
      </c>
      <c r="J201" s="31" t="n">
        <v>-0.31</v>
      </c>
      <c r="K201" s="31" t="n">
        <v>63148</v>
      </c>
      <c r="L201" s="30" t="n">
        <v>60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74.44</v>
      </c>
      <c r="P201" s="31" t="n">
        <v>36.58</v>
      </c>
      <c r="Q201" s="31" t="n">
        <v>455</v>
      </c>
      <c r="R201" s="30" t="inlineStr">
        <is>
          <t>Volume Spike &amp; Near 52W High Breakout</t>
        </is>
      </c>
      <c r="S201" s="30" t="inlineStr">
        <is>
          <t>Nifty FMCG</t>
        </is>
      </c>
      <c r="T201" s="31" t="n">
        <v>-9.43</v>
      </c>
      <c r="U201" s="31" t="n">
        <v>31.92</v>
      </c>
      <c r="V201" s="31" t="n">
        <v>45.64</v>
      </c>
      <c r="W201" s="31" t="n">
        <v>13.97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B2C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More than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IF(B202=0,"",RANK(B202,$B$2:$B$396,0))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APLLTD</t>
        </is>
      </c>
      <c r="D202" s="32" t="inlineStr">
        <is>
          <t>Alembic Pharmaceuticals Limited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midcap</t>
        </is>
      </c>
      <c r="H202" s="31" t="n">
        <v>16402.21</v>
      </c>
      <c r="I202" s="31" t="n">
        <v>830.1</v>
      </c>
      <c r="J202" s="31" t="n">
        <v>-0.52</v>
      </c>
      <c r="K202" s="31" t="n">
        <v>156108</v>
      </c>
      <c r="L202" s="30" t="n">
        <v>5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59.22</v>
      </c>
      <c r="P202" s="31" t="n">
        <v>13.19</v>
      </c>
      <c r="Q202" s="31" t="n">
        <v>679.6799999999999</v>
      </c>
      <c r="R202" s="30" t="inlineStr">
        <is>
          <t>Volume Spike / Accumulation</t>
        </is>
      </c>
      <c r="S202" s="30" t="inlineStr">
        <is>
          <t>Nifty Pharma</t>
        </is>
      </c>
      <c r="T202" s="31" t="n">
        <v>24.01</v>
      </c>
      <c r="U202" s="31" t="n">
        <v>-10.01</v>
      </c>
      <c r="V202" s="31" t="n">
        <v>-27.44</v>
      </c>
      <c r="W202" s="31" t="n">
        <v>-0.45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0 to 20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IF(B203=0,"",RANK(B203,$B$2:$B$396,0))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KILITCH</t>
        </is>
      </c>
      <c r="D203" s="32" t="inlineStr">
        <is>
          <t>Kilitch Drugs (india) Limited</t>
        </is>
      </c>
      <c r="E203" s="30" t="inlineStr">
        <is>
          <t>healthcare</t>
        </is>
      </c>
      <c r="F203" s="30" t="inlineStr">
        <is>
          <t>pharmaceuticals - indian - formulations</t>
        </is>
      </c>
      <c r="G203" s="30" t="inlineStr">
        <is>
          <t>smallcap</t>
        </is>
      </c>
      <c r="H203" s="31" t="n">
        <v>672.0700000000001</v>
      </c>
      <c r="I203" s="31" t="n">
        <v>190.5</v>
      </c>
      <c r="J203" s="31" t="n">
        <v>-0.9</v>
      </c>
      <c r="K203" s="31" t="n">
        <v>30586</v>
      </c>
      <c r="L203" s="30" t="n">
        <v>13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60.75</v>
      </c>
      <c r="P203" s="31" t="n">
        <v>29.23</v>
      </c>
      <c r="Q203" s="31" t="n">
        <v>137.02</v>
      </c>
      <c r="R203" s="30" t="inlineStr">
        <is>
          <t>Earnings / Momentum Support</t>
        </is>
      </c>
      <c r="S203" s="30" t="inlineStr">
        <is>
          <t>Nifty Pharma</t>
        </is>
      </c>
      <c r="T203" s="31" t="n">
        <v>24.01</v>
      </c>
      <c r="U203" s="31" t="n">
        <v>-13.76</v>
      </c>
      <c r="V203" s="31" t="n">
        <v>-30.46</v>
      </c>
      <c r="W203" s="31" t="n">
        <v>2.02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IF(B204=0,"",RANK(B204,$B$2:$B$396,0))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VARROC</t>
        </is>
      </c>
      <c r="D204" s="30" t="inlineStr">
        <is>
          <t>Varroc Engineering Ltd</t>
        </is>
      </c>
      <c r="E204" s="30" t="inlineStr">
        <is>
          <t>auto</t>
        </is>
      </c>
      <c r="F204" s="30" t="inlineStr">
        <is>
          <t>auto ancillaries</t>
        </is>
      </c>
      <c r="G204" s="30" t="inlineStr">
        <is>
          <t>midcap</t>
        </is>
      </c>
      <c r="H204" s="31" t="n">
        <v>11273.34</v>
      </c>
      <c r="I204" s="31" t="n">
        <v>811.2</v>
      </c>
      <c r="J204" s="31" t="n">
        <v>9.94</v>
      </c>
      <c r="K204" s="31" t="n">
        <v>15190210</v>
      </c>
      <c r="L204" s="30" t="n">
        <v>81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79.3</v>
      </c>
      <c r="P204" s="31" t="n">
        <v>35.49</v>
      </c>
      <c r="Q204" s="31" t="n">
        <v>658.0700000000001</v>
      </c>
      <c r="R204" s="30" t="inlineStr">
        <is>
          <t>Volume Spike &amp; Near 52W High Breakout</t>
        </is>
      </c>
      <c r="S204" s="30" t="inlineStr">
        <is>
          <t>Nifty Auto</t>
        </is>
      </c>
      <c r="T204" s="31" t="n">
        <v>24.67</v>
      </c>
      <c r="U204" s="31" t="n">
        <v>51.25</v>
      </c>
      <c r="V204" s="31" t="n">
        <v>21.32</v>
      </c>
      <c r="W204" s="31" t="n">
        <v>22.81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Above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IF(B205=0,"",RANK(B205,$B$2:$B$396,0))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NAHARINDUS</t>
        </is>
      </c>
      <c r="D205" s="30" t="inlineStr">
        <is>
          <t>Nahar Industrial Enterprises Limited</t>
        </is>
      </c>
      <c r="E205" s="30" t="inlineStr">
        <is>
          <t>textiles</t>
        </is>
      </c>
      <c r="F205" s="30" t="inlineStr">
        <is>
          <t>textiles - cotton/blended</t>
        </is>
      </c>
      <c r="G205" s="30" t="inlineStr">
        <is>
          <t>smallcap</t>
        </is>
      </c>
      <c r="H205" s="31" t="n">
        <v>523.13</v>
      </c>
      <c r="I205" s="31" t="n">
        <v>128.5</v>
      </c>
      <c r="J205" s="31" t="n">
        <v>6.13</v>
      </c>
      <c r="K205" s="31" t="n">
        <v>73322</v>
      </c>
      <c r="L205" s="30" t="n">
        <v>20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63.94</v>
      </c>
      <c r="P205" s="31" t="n">
        <v>17.96</v>
      </c>
      <c r="Q205" s="31" t="n">
        <v>101.51</v>
      </c>
      <c r="R205" s="30" t="inlineStr">
        <is>
          <t>Volume Spike &amp; Near 52W High Breakout</t>
        </is>
      </c>
      <c r="S205" s="30" t="inlineStr">
        <is>
          <t>Nifty 50</t>
        </is>
      </c>
      <c r="T205" s="31" t="n">
        <v>0.85</v>
      </c>
      <c r="U205" s="31" t="n">
        <v>10.87</v>
      </c>
      <c r="V205" s="31" t="n">
        <v>9.93</v>
      </c>
      <c r="W205" s="31" t="n">
        <v>3.67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Less than 50%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IF(B206=0,"",RANK(B206,$B$2:$B$396,0))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LLOYDSENT</t>
        </is>
      </c>
      <c r="D206" s="30" t="inlineStr">
        <is>
          <t>Lloyds Enterprises Ltd</t>
        </is>
      </c>
      <c r="E206" s="30" t="inlineStr">
        <is>
          <t>services</t>
        </is>
      </c>
      <c r="F206" s="30" t="inlineStr">
        <is>
          <t>trading</t>
        </is>
      </c>
      <c r="G206" s="30" t="inlineStr">
        <is>
          <t>midcap</t>
        </is>
      </c>
      <c r="H206" s="31" t="n">
        <v>12133.03</v>
      </c>
      <c r="I206" s="31" t="n">
        <v>83.5</v>
      </c>
      <c r="J206" s="31" t="n">
        <v>5.06</v>
      </c>
      <c r="K206" s="31" t="n">
        <v>9148520</v>
      </c>
      <c r="L206" s="30" t="n">
        <v>31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67</v>
      </c>
      <c r="P206" s="31" t="n">
        <v>36.34</v>
      </c>
      <c r="Q206" s="31" t="n">
        <v>63.55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0.85</v>
      </c>
      <c r="U206" s="31" t="n">
        <v>9.49</v>
      </c>
      <c r="V206" s="31" t="n">
        <v>8.57</v>
      </c>
      <c r="W206" s="31" t="n">
        <v>6.02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Negative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IF(B207=0,"",RANK(B207,$B$2:$B$396,0))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UEL</t>
        </is>
      </c>
      <c r="D207" s="30" t="inlineStr">
        <is>
          <t>Ujaas Energy Ltd</t>
        </is>
      </c>
      <c r="E207" s="30" t="inlineStr">
        <is>
          <t>power &amp; utilities</t>
        </is>
      </c>
      <c r="F207" s="30" t="inlineStr">
        <is>
          <t>power generation and supply</t>
        </is>
      </c>
      <c r="G207" s="30" t="inlineStr">
        <is>
          <t>smallcap</t>
        </is>
      </c>
      <c r="H207" s="31" t="n">
        <v>3275.18</v>
      </c>
      <c r="I207" s="31" t="n">
        <v>257.79</v>
      </c>
      <c r="J207" s="31" t="n">
        <v>5</v>
      </c>
      <c r="K207" s="31" t="n">
        <v>20964</v>
      </c>
      <c r="L207" s="30" t="n">
        <v>92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77.87</v>
      </c>
      <c r="P207" s="31" t="n">
        <v>13.24</v>
      </c>
      <c r="Q207" s="31" t="n">
        <v>185.52</v>
      </c>
      <c r="R207" s="30" t="inlineStr">
        <is>
          <t>Volume Spike &amp; Near 52W High Breakout</t>
        </is>
      </c>
      <c r="S207" s="30" t="inlineStr">
        <is>
          <t>Nifty IT</t>
        </is>
      </c>
      <c r="T207" s="31" t="n">
        <v>-8.289999999999999</v>
      </c>
      <c r="U207" s="31" t="n">
        <v>110.93</v>
      </c>
      <c r="V207" s="31" t="n">
        <v>129.99</v>
      </c>
      <c r="W207" s="31" t="n">
        <v>32.09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IF(B208=0,"",RANK(B208,$B$2:$B$396,0))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ARROWGREEN</t>
        </is>
      </c>
      <c r="D208" s="30" t="inlineStr">
        <is>
          <t>Arrow Greentech Limited</t>
        </is>
      </c>
      <c r="E208" s="30" t="inlineStr">
        <is>
          <t>plastic products</t>
        </is>
      </c>
      <c r="F208" s="30" t="inlineStr">
        <is>
          <t>plastics products</t>
        </is>
      </c>
      <c r="G208" s="30" t="inlineStr">
        <is>
          <t>smallcap</t>
        </is>
      </c>
      <c r="H208" s="31" t="n">
        <v>1125.71</v>
      </c>
      <c r="I208" s="31" t="n">
        <v>782</v>
      </c>
      <c r="J208" s="31" t="n">
        <v>4.81</v>
      </c>
      <c r="K208" s="31" t="n">
        <v>57522</v>
      </c>
      <c r="L208" s="30" t="n">
        <v>52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72.23999999999999</v>
      </c>
      <c r="P208" s="31" t="n">
        <v>32.46</v>
      </c>
      <c r="Q208" s="31" t="n">
        <v>579.71</v>
      </c>
      <c r="R208" s="30" t="inlineStr">
        <is>
          <t>Near 52W High Breakout</t>
        </is>
      </c>
      <c r="S208" s="30" t="inlineStr">
        <is>
          <t>Nifty 50</t>
        </is>
      </c>
      <c r="T208" s="31" t="n">
        <v>0.85</v>
      </c>
      <c r="U208" s="31" t="n">
        <v>5.05</v>
      </c>
      <c r="V208" s="31" t="n">
        <v>4.16</v>
      </c>
      <c r="W208" s="31" t="n">
        <v>11.35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Between 50% to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IF(B209=0,"",RANK(B209,$B$2:$B$396,0))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PANACHE</t>
        </is>
      </c>
      <c r="D209" s="30" t="inlineStr">
        <is>
          <t>Panache Digilife Ltd</t>
        </is>
      </c>
      <c r="E209" s="30" t="inlineStr">
        <is>
          <t>i.t</t>
        </is>
      </c>
      <c r="F209" s="30" t="inlineStr">
        <is>
          <t>computers - hardware</t>
        </is>
      </c>
      <c r="G209" s="30" t="inlineStr">
        <is>
          <t>smallcap</t>
        </is>
      </c>
      <c r="H209" s="31" t="n">
        <v>709.1799999999999</v>
      </c>
      <c r="I209" s="31" t="n">
        <v>461</v>
      </c>
      <c r="J209" s="31" t="n">
        <v>4.1</v>
      </c>
      <c r="K209" s="31" t="n">
        <v>20970</v>
      </c>
      <c r="L209" s="30" t="n">
        <v>84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65.44</v>
      </c>
      <c r="P209" s="31" t="n">
        <v>23.42</v>
      </c>
      <c r="Q209" s="31" t="n">
        <v>333.78</v>
      </c>
      <c r="R209" s="30" t="inlineStr">
        <is>
          <t>Near 52W High Breakout</t>
        </is>
      </c>
      <c r="S209" s="30" t="inlineStr">
        <is>
          <t>Nifty IT</t>
        </is>
      </c>
      <c r="T209" s="31" t="n">
        <v>-8.289999999999999</v>
      </c>
      <c r="U209" s="31" t="n">
        <v>82.91</v>
      </c>
      <c r="V209" s="31" t="n">
        <v>99.44</v>
      </c>
      <c r="W209" s="31" t="n">
        <v>24.92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Negative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IF(B210=0,"",RANK(B210,$B$2:$B$396,0))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SKYGOLD</t>
        </is>
      </c>
      <c r="D210" s="30" t="inlineStr">
        <is>
          <t>Sky Gold Ltd</t>
        </is>
      </c>
      <c r="E210" s="30" t="inlineStr">
        <is>
          <t>consumer discretionary</t>
        </is>
      </c>
      <c r="F210" s="30" t="inlineStr">
        <is>
          <t>diamond cutting / jewellery</t>
        </is>
      </c>
      <c r="G210" s="30" t="inlineStr">
        <is>
          <t>midcap</t>
        </is>
      </c>
      <c r="H210" s="31" t="n">
        <v>10704.11</v>
      </c>
      <c r="I210" s="31" t="n">
        <v>719.4</v>
      </c>
      <c r="J210" s="31" t="n">
        <v>4.09</v>
      </c>
      <c r="K210" s="31" t="n">
        <v>2030710</v>
      </c>
      <c r="L210" s="30" t="n">
        <v>90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77.44</v>
      </c>
      <c r="P210" s="31" t="n">
        <v>59.8</v>
      </c>
      <c r="Q210" s="31" t="n">
        <v>544.8099999999999</v>
      </c>
      <c r="R210" s="30" t="inlineStr">
        <is>
          <t>Near 52W High Breakout</t>
        </is>
      </c>
      <c r="S210" s="30" t="inlineStr">
        <is>
          <t>Nifty 50</t>
        </is>
      </c>
      <c r="T210" s="31" t="n">
        <v>0.85</v>
      </c>
      <c r="U210" s="31" t="n">
        <v>160.94</v>
      </c>
      <c r="V210" s="31" t="n">
        <v>158.73</v>
      </c>
      <c r="W210" s="31" t="n">
        <v>30.7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Negative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Between 0.7 to 1.2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IF(B211=0,"",RANK(B211,$B$2:$B$396,0))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HEROMOTOCO</t>
        </is>
      </c>
      <c r="D211" s="30" t="inlineStr">
        <is>
          <t>Hero Motocorp Limited</t>
        </is>
      </c>
      <c r="E211" s="30" t="inlineStr">
        <is>
          <t>auto</t>
        </is>
      </c>
      <c r="F211" s="30" t="inlineStr">
        <is>
          <t>automobiles - motorcycles / mopeds</t>
        </is>
      </c>
      <c r="G211" s="30" t="inlineStr">
        <is>
          <t>largecap</t>
        </is>
      </c>
      <c r="H211" s="31" t="n">
        <v>111061.59</v>
      </c>
      <c r="I211" s="31" t="n">
        <v>5725</v>
      </c>
      <c r="J211" s="31" t="n">
        <v>3.14</v>
      </c>
      <c r="K211" s="31" t="n">
        <v>3808666</v>
      </c>
      <c r="L211" s="30" t="n">
        <v>51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64.38</v>
      </c>
      <c r="P211" s="31" t="n">
        <v>8.640000000000001</v>
      </c>
      <c r="Q211" s="31" t="n">
        <v>4832.69</v>
      </c>
      <c r="R211" s="30" t="inlineStr">
        <is>
          <t>Earnings / Momentum Support</t>
        </is>
      </c>
      <c r="S211" s="30" t="inlineStr">
        <is>
          <t>Nifty Auto</t>
        </is>
      </c>
      <c r="T211" s="31" t="n">
        <v>24.67</v>
      </c>
      <c r="U211" s="31" t="n">
        <v>39.99</v>
      </c>
      <c r="V211" s="31" t="n">
        <v>12.29</v>
      </c>
      <c r="W211" s="31" t="n">
        <v>11.25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IF(B212=0,"",RANK(B212,$B$2:$B$396,0))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VSSL</t>
        </is>
      </c>
      <c r="D212" s="32" t="inlineStr">
        <is>
          <t>Vardhman Special Steels Limited</t>
        </is>
      </c>
      <c r="E212" s="30" t="inlineStr">
        <is>
          <t>metals &amp; mining</t>
        </is>
      </c>
      <c r="F212" s="30" t="inlineStr">
        <is>
          <t>steel - medium / small</t>
        </is>
      </c>
      <c r="G212" s="30" t="inlineStr">
        <is>
          <t>smallcap</t>
        </is>
      </c>
      <c r="H212" s="31" t="n">
        <v>3227.85</v>
      </c>
      <c r="I212" s="31" t="n">
        <v>341.85</v>
      </c>
      <c r="J212" s="31" t="n">
        <v>2.4</v>
      </c>
      <c r="K212" s="31" t="n">
        <v>335920</v>
      </c>
      <c r="L212" s="30" t="n">
        <v>57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74.67</v>
      </c>
      <c r="P212" s="31" t="n">
        <v>23.41</v>
      </c>
      <c r="Q212" s="31" t="n">
        <v>272.52</v>
      </c>
      <c r="R212" s="30" t="inlineStr">
        <is>
          <t>Volume Spike &amp; Near 52W High Breakout</t>
        </is>
      </c>
      <c r="S212" s="30" t="inlineStr">
        <is>
          <t>Nifty Metal</t>
        </is>
      </c>
      <c r="T212" s="31" t="n">
        <v>39.94</v>
      </c>
      <c r="U212" s="31" t="n">
        <v>33.96</v>
      </c>
      <c r="V212" s="31" t="n">
        <v>-4.27</v>
      </c>
      <c r="W212" s="31" t="n">
        <v>13.27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Cyclical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Volatile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Less than 1.5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IF(B213=0,"",RANK(B213,$B$2:$B$396,0))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BOSCHLTD</t>
        </is>
      </c>
      <c r="D213" s="32" t="inlineStr">
        <is>
          <t>Bosch Limited</t>
        </is>
      </c>
      <c r="E213" s="30" t="inlineStr">
        <is>
          <t>auto</t>
        </is>
      </c>
      <c r="F213" s="30" t="inlineStr">
        <is>
          <t>auto ancillaries</t>
        </is>
      </c>
      <c r="G213" s="30" t="inlineStr">
        <is>
          <t>largecap</t>
        </is>
      </c>
      <c r="H213" s="31" t="n">
        <v>123883.62</v>
      </c>
      <c r="I213" s="31" t="n">
        <v>42950</v>
      </c>
      <c r="J213" s="31" t="n">
        <v>2.26</v>
      </c>
      <c r="K213" s="31" t="n">
        <v>55612</v>
      </c>
      <c r="L213" s="30" t="n">
        <v>34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66.72</v>
      </c>
      <c r="P213" s="31" t="n">
        <v>29.08</v>
      </c>
      <c r="Q213" s="31" t="n">
        <v>36202.66</v>
      </c>
      <c r="R213" s="30" t="inlineStr">
        <is>
          <t>Near 52W High Breakout</t>
        </is>
      </c>
      <c r="S213" s="30" t="inlineStr">
        <is>
          <t>Nifty Auto</t>
        </is>
      </c>
      <c r="T213" s="31" t="n">
        <v>24.67</v>
      </c>
      <c r="U213" s="31" t="n">
        <v>15.83</v>
      </c>
      <c r="V213" s="31" t="n">
        <v>-7.09</v>
      </c>
      <c r="W213" s="31" t="n">
        <v>6.9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IF(B214=0,"",RANK(B214,$B$2:$B$396,0))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INDOAMIN</t>
        </is>
      </c>
      <c r="D214" s="30" t="inlineStr">
        <is>
          <t>Indo Amines Ltd</t>
        </is>
      </c>
      <c r="E214" s="30" t="inlineStr">
        <is>
          <t>chemicals</t>
        </is>
      </c>
      <c r="F214" s="30" t="inlineStr">
        <is>
          <t>chemicals</t>
        </is>
      </c>
      <c r="G214" s="30" t="inlineStr">
        <is>
          <t>smallcap</t>
        </is>
      </c>
      <c r="H214" s="31" t="n">
        <v>958.95</v>
      </c>
      <c r="I214" s="31" t="n">
        <v>134.35</v>
      </c>
      <c r="J214" s="31" t="n">
        <v>1.7</v>
      </c>
      <c r="K214" s="31" t="n">
        <v>96110</v>
      </c>
      <c r="L214" s="30" t="n">
        <v>7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54.48</v>
      </c>
      <c r="P214" s="31" t="n">
        <v>29.83</v>
      </c>
      <c r="Q214" s="31" t="n">
        <v>108.06</v>
      </c>
      <c r="R214" s="30" t="inlineStr">
        <is>
          <t>Earnings / Momentum Support</t>
        </is>
      </c>
      <c r="S214" s="30" t="inlineStr">
        <is>
          <t>Nifty IT</t>
        </is>
      </c>
      <c r="T214" s="31" t="n">
        <v>-8.289999999999999</v>
      </c>
      <c r="U214" s="31" t="n">
        <v>-5.09</v>
      </c>
      <c r="V214" s="31" t="n">
        <v>3.49</v>
      </c>
      <c r="W214" s="31" t="n">
        <v>0.37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Between 50% to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IF(B215=0,"",RANK(B215,$B$2:$B$396,0))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KROSS</t>
        </is>
      </c>
      <c r="D215" s="32" t="inlineStr">
        <is>
          <t>Kross Ltd</t>
        </is>
      </c>
      <c r="E215" s="30" t="inlineStr">
        <is>
          <t>auto</t>
        </is>
      </c>
      <c r="F215" s="30" t="inlineStr">
        <is>
          <t>auto ancillaries</t>
        </is>
      </c>
      <c r="G215" s="30" t="inlineStr">
        <is>
          <t>smallcap</t>
        </is>
      </c>
      <c r="H215" s="31" t="n">
        <v>1290.77</v>
      </c>
      <c r="I215" s="31" t="n">
        <v>202.75</v>
      </c>
      <c r="J215" s="31" t="n">
        <v>1.33</v>
      </c>
      <c r="K215" s="31" t="n">
        <v>181657</v>
      </c>
      <c r="L215" s="30" t="n">
        <v>20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54.98</v>
      </c>
      <c r="P215" s="31" t="n">
        <v>23.99</v>
      </c>
      <c r="Q215" s="31" t="n">
        <v>170.72</v>
      </c>
      <c r="R215" s="30" t="inlineStr">
        <is>
          <t>Earnings / Momentum Support</t>
        </is>
      </c>
      <c r="S215" s="30" t="inlineStr">
        <is>
          <t>Nifty Auto</t>
        </is>
      </c>
      <c r="T215" s="31" t="n">
        <v>24.67</v>
      </c>
      <c r="U215" s="31" t="n">
        <v>8.699999999999999</v>
      </c>
      <c r="V215" s="31" t="n">
        <v>-12.81</v>
      </c>
      <c r="W215" s="31" t="n">
        <v>3.79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Headwind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IF(B216=0,"",RANK(B216,$B$2:$B$396,0))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LODHA</t>
        </is>
      </c>
      <c r="D216" s="30" t="inlineStr">
        <is>
          <t>Lodha Developers Ltd</t>
        </is>
      </c>
      <c r="E216" s="30" t="inlineStr">
        <is>
          <t>realty</t>
        </is>
      </c>
      <c r="F216" s="30" t="inlineStr">
        <is>
          <t>construction</t>
        </is>
      </c>
      <c r="G216" s="30" t="inlineStr">
        <is>
          <t>largecap</t>
        </is>
      </c>
      <c r="H216" s="31" t="n">
        <v>121290.06</v>
      </c>
      <c r="I216" s="31" t="n">
        <v>1218.7</v>
      </c>
      <c r="J216" s="31" t="n">
        <v>0.39</v>
      </c>
      <c r="K216" s="31" t="n">
        <v>1764295</v>
      </c>
      <c r="L216" s="30" t="n">
        <v>48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62.95</v>
      </c>
      <c r="P216" s="31" t="n">
        <v>18.12</v>
      </c>
      <c r="Q216" s="31" t="n">
        <v>959.6900000000001</v>
      </c>
      <c r="R216" s="30" t="inlineStr">
        <is>
          <t>Near 52W High Breakout</t>
        </is>
      </c>
      <c r="S216" s="30" t="inlineStr">
        <is>
          <t>Nifty Realty</t>
        </is>
      </c>
      <c r="T216" s="31" t="n">
        <v>-6.8</v>
      </c>
      <c r="U216" s="31" t="n">
        <v>-4.09</v>
      </c>
      <c r="V216" s="31" t="n">
        <v>2.9</v>
      </c>
      <c r="W216" s="31" t="n">
        <v>10.61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IF(B217=0,"",RANK(B217,$B$2:$B$396,0))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GREENLAM</t>
        </is>
      </c>
      <c r="D217" s="30" t="inlineStr">
        <is>
          <t>Greenlam Industries Limited</t>
        </is>
      </c>
      <c r="E217" s="30" t="inlineStr">
        <is>
          <t>building materials</t>
        </is>
      </c>
      <c r="F217" s="30" t="inlineStr">
        <is>
          <t>miscellaneous</t>
        </is>
      </c>
      <c r="G217" s="30" t="inlineStr">
        <is>
          <t>midcap</t>
        </is>
      </c>
      <c r="H217" s="31" t="n">
        <v>6969.36</v>
      </c>
      <c r="I217" s="31" t="n">
        <v>273.7</v>
      </c>
      <c r="J217" s="31" t="n">
        <v>0.2</v>
      </c>
      <c r="K217" s="31" t="n">
        <v>175898</v>
      </c>
      <c r="L217" s="30" t="n">
        <v>36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63.68</v>
      </c>
      <c r="P217" s="31" t="n">
        <v>24.2</v>
      </c>
      <c r="Q217" s="31" t="n">
        <v>207.56</v>
      </c>
      <c r="R217" s="30" t="inlineStr">
        <is>
          <t>Volume Spike &amp; Near 52W High Breakout</t>
        </is>
      </c>
      <c r="S217" s="30" t="inlineStr">
        <is>
          <t>Nifty Infra</t>
        </is>
      </c>
      <c r="T217" s="31" t="n">
        <v>4.83</v>
      </c>
      <c r="U217" s="31" t="n">
        <v>10.95</v>
      </c>
      <c r="V217" s="31" t="n">
        <v>5.84</v>
      </c>
      <c r="W217" s="31" t="n">
        <v>7.25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Between 0.7 to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IF(B218=0,"",RANK(B218,$B$2:$B$396,0))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MAHLIFE</t>
        </is>
      </c>
      <c r="D218" s="30" t="inlineStr">
        <is>
          <t>Mahindra Lifespace Developers Limited</t>
        </is>
      </c>
      <c r="E218" s="30" t="inlineStr">
        <is>
          <t>realty</t>
        </is>
      </c>
      <c r="F218" s="30" t="inlineStr">
        <is>
          <t>construction</t>
        </is>
      </c>
      <c r="G218" s="30" t="inlineStr">
        <is>
          <t>midcap</t>
        </is>
      </c>
      <c r="H218" s="31" t="n">
        <v>8243.559999999999</v>
      </c>
      <c r="I218" s="31" t="n">
        <v>386.55</v>
      </c>
      <c r="J218" s="31" t="n">
        <v>0.04</v>
      </c>
      <c r="K218" s="31" t="n">
        <v>104568</v>
      </c>
      <c r="L218" s="30" t="n">
        <v>33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60.53</v>
      </c>
      <c r="P218" s="31" t="n">
        <v>14</v>
      </c>
      <c r="Q218" s="31" t="n">
        <v>319.95</v>
      </c>
      <c r="R218" s="30" t="inlineStr">
        <is>
          <t>Earnings / Momentum Support</t>
        </is>
      </c>
      <c r="S218" s="30" t="inlineStr">
        <is>
          <t>Nifty Realty</t>
        </is>
      </c>
      <c r="T218" s="31" t="n">
        <v>-6.8</v>
      </c>
      <c r="U218" s="31" t="n">
        <v>5.46</v>
      </c>
      <c r="V218" s="31" t="n">
        <v>13.16</v>
      </c>
      <c r="W218" s="31" t="n">
        <v>6.25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IF(B219=0,"",RANK(B219,$B$2:$B$396,0))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GANDHAR</t>
        </is>
      </c>
      <c r="D219" s="30" t="inlineStr">
        <is>
          <t>Gandhar Oil Refinery (India) Ltd</t>
        </is>
      </c>
      <c r="E219" s="30" t="inlineStr">
        <is>
          <t>energy</t>
        </is>
      </c>
      <c r="F219" s="30" t="inlineStr">
        <is>
          <t>refineries</t>
        </is>
      </c>
      <c r="G219" s="30" t="inlineStr">
        <is>
          <t>smallcap</t>
        </is>
      </c>
      <c r="H219" s="31" t="n">
        <v>2377.98</v>
      </c>
      <c r="I219" s="31" t="n">
        <v>242.71</v>
      </c>
      <c r="J219" s="31" t="n">
        <v>-0.1</v>
      </c>
      <c r="K219" s="31" t="n">
        <v>1529583</v>
      </c>
      <c r="L219" s="30" t="n">
        <v>88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65.81</v>
      </c>
      <c r="P219" s="31" t="n">
        <v>58.14</v>
      </c>
      <c r="Q219" s="31" t="n">
        <v>205.56</v>
      </c>
      <c r="R219" s="30" t="inlineStr">
        <is>
          <t>Earnings / Momentum Support</t>
        </is>
      </c>
      <c r="S219" s="30" t="inlineStr">
        <is>
          <t>Nifty Energy</t>
        </is>
      </c>
      <c r="T219" s="31" t="n">
        <v>9.93</v>
      </c>
      <c r="U219" s="31" t="n">
        <v>47.49</v>
      </c>
      <c r="V219" s="31" t="n">
        <v>34.17</v>
      </c>
      <c r="W219" s="31" t="n">
        <v>28.56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Oligopoly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Cyclical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Volatile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Above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Less than 1.5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IF(B220=0,"",RANK(B220,$B$2:$B$396,0))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NAZARA</t>
        </is>
      </c>
      <c r="D220" s="30" t="inlineStr">
        <is>
          <t>Nazara Technologies Ltd</t>
        </is>
      </c>
      <c r="E220" s="30" t="inlineStr">
        <is>
          <t>i.t</t>
        </is>
      </c>
      <c r="F220" s="30" t="inlineStr">
        <is>
          <t>telecommunications - service provider</t>
        </is>
      </c>
      <c r="G220" s="30" t="inlineStr">
        <is>
          <t>midcap</t>
        </is>
      </c>
      <c r="H220" s="31" t="n">
        <v>13071.86</v>
      </c>
      <c r="I220" s="31" t="n">
        <v>352.35</v>
      </c>
      <c r="J220" s="31" t="n">
        <v>-0.14</v>
      </c>
      <c r="K220" s="31" t="n">
        <v>2205799</v>
      </c>
      <c r="L220" s="30" t="n">
        <v>38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72.47</v>
      </c>
      <c r="P220" s="31" t="n">
        <v>17.12</v>
      </c>
      <c r="Q220" s="31" t="n">
        <v>283.45</v>
      </c>
      <c r="R220" s="30" t="inlineStr">
        <is>
          <t>Volume Spike &amp; Near 52W High Breakout</t>
        </is>
      </c>
      <c r="S220" s="30" t="inlineStr">
        <is>
          <t>Nifty IT</t>
        </is>
      </c>
      <c r="T220" s="31" t="n">
        <v>-8.289999999999999</v>
      </c>
      <c r="U220" s="31" t="n">
        <v>1.25</v>
      </c>
      <c r="V220" s="31" t="n">
        <v>10.4</v>
      </c>
      <c r="W220" s="31" t="n">
        <v>7.99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Oligopoly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Yes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IF(B221=0,"",RANK(B221,$B$2:$B$396,0))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STOVEKRAFT</t>
        </is>
      </c>
      <c r="D221" s="30" t="inlineStr">
        <is>
          <t>Stove Kraft Ltd</t>
        </is>
      </c>
      <c r="E221" s="30" t="inlineStr">
        <is>
          <t>consumer discretionary</t>
        </is>
      </c>
      <c r="F221" s="30" t="inlineStr">
        <is>
          <t>domestic appliances</t>
        </is>
      </c>
      <c r="G221" s="30" t="inlineStr">
        <is>
          <t>smallcap</t>
        </is>
      </c>
      <c r="H221" s="31" t="n">
        <v>2649.25</v>
      </c>
      <c r="I221" s="31" t="n">
        <v>797.55</v>
      </c>
      <c r="J221" s="31" t="n">
        <v>-0.33</v>
      </c>
      <c r="K221" s="31" t="n">
        <v>246697</v>
      </c>
      <c r="L221" s="30" t="n">
        <v>70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73.34</v>
      </c>
      <c r="P221" s="31" t="n">
        <v>46.75</v>
      </c>
      <c r="Q221" s="31" t="n">
        <v>617.85</v>
      </c>
      <c r="R221" s="30" t="inlineStr">
        <is>
          <t>Volume Spike &amp; Near 52W High Breakout</t>
        </is>
      </c>
      <c r="S221" s="30" t="inlineStr">
        <is>
          <t>Nifty 50</t>
        </is>
      </c>
      <c r="T221" s="31" t="n">
        <v>0.85</v>
      </c>
      <c r="U221" s="31" t="n">
        <v>32.62</v>
      </c>
      <c r="V221" s="31" t="n">
        <v>31.5</v>
      </c>
      <c r="W221" s="31" t="n">
        <v>17.29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Negative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IF(B222=0,"",RANK(B222,$B$2:$B$396,0))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RICOAUTO</t>
        </is>
      </c>
      <c r="D222" s="30" t="inlineStr">
        <is>
          <t>Rico Auto Industries Limited</t>
        </is>
      </c>
      <c r="E222" s="30" t="inlineStr">
        <is>
          <t>auto</t>
        </is>
      </c>
      <c r="F222" s="30" t="inlineStr">
        <is>
          <t>auto ancillaries</t>
        </is>
      </c>
      <c r="G222" s="30" t="inlineStr">
        <is>
          <t>smallcap</t>
        </is>
      </c>
      <c r="H222" s="31" t="n">
        <v>2061.47</v>
      </c>
      <c r="I222" s="31" t="n">
        <v>151.53</v>
      </c>
      <c r="J222" s="31" t="n">
        <v>-0.5600000000000001</v>
      </c>
      <c r="K222" s="31" t="n">
        <v>1933984</v>
      </c>
      <c r="L222" s="30" t="n">
        <v>82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63.37</v>
      </c>
      <c r="P222" s="31" t="n">
        <v>35.53</v>
      </c>
      <c r="Q222" s="31" t="n">
        <v>108.25</v>
      </c>
      <c r="R222" s="30" t="inlineStr">
        <is>
          <t>Near 52W High Breakout</t>
        </is>
      </c>
      <c r="S222" s="30" t="inlineStr">
        <is>
          <t>Nifty Auto</t>
        </is>
      </c>
      <c r="T222" s="31" t="n">
        <v>24.67</v>
      </c>
      <c r="U222" s="31" t="n">
        <v>114.26</v>
      </c>
      <c r="V222" s="31" t="n">
        <v>71.87</v>
      </c>
      <c r="W222" s="31" t="n">
        <v>24.18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Blue sky scenario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Between 0.7 to 1.2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IF(B223=0,"",RANK(B223,$B$2:$B$396,0))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VINDHYATEL</t>
        </is>
      </c>
      <c r="D223" s="30" t="inlineStr">
        <is>
          <t>Vindhya Telelinks Limited</t>
        </is>
      </c>
      <c r="E223" s="30" t="inlineStr">
        <is>
          <t>realty</t>
        </is>
      </c>
      <c r="F223" s="30" t="inlineStr">
        <is>
          <t>construction</t>
        </is>
      </c>
      <c r="G223" s="30" t="inlineStr">
        <is>
          <t>smallcap</t>
        </is>
      </c>
      <c r="H223" s="31" t="n">
        <v>2710.17</v>
      </c>
      <c r="I223" s="31" t="n">
        <v>2269</v>
      </c>
      <c r="J223" s="31" t="n">
        <v>-0.78</v>
      </c>
      <c r="K223" s="31" t="n">
        <v>49408</v>
      </c>
      <c r="L223" s="30" t="n">
        <v>88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63.14</v>
      </c>
      <c r="P223" s="31" t="n">
        <v>52.08</v>
      </c>
      <c r="Q223" s="31" t="n">
        <v>1642.12</v>
      </c>
      <c r="R223" s="30" t="inlineStr">
        <is>
          <t>Volume Spike / Accumulation</t>
        </is>
      </c>
      <c r="S223" s="30" t="inlineStr">
        <is>
          <t>Nifty Realty</t>
        </is>
      </c>
      <c r="T223" s="31" t="n">
        <v>-6.8</v>
      </c>
      <c r="U223" s="31" t="n">
        <v>42.72</v>
      </c>
      <c r="V223" s="31" t="n">
        <v>53.13</v>
      </c>
      <c r="W223" s="31" t="n">
        <v>27.39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Above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Negative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IF(B224=0,"",RANK(B224,$B$2:$B$396,0))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NAUKRI</t>
        </is>
      </c>
      <c r="D224" s="30" t="inlineStr">
        <is>
          <t>Info Edge (india) Limited</t>
        </is>
      </c>
      <c r="E224" s="30" t="inlineStr">
        <is>
          <t>i.t</t>
        </is>
      </c>
      <c r="F224" s="30" t="inlineStr">
        <is>
          <t>miscellaneous</t>
        </is>
      </c>
      <c r="G224" s="30" t="inlineStr">
        <is>
          <t>largecap</t>
        </is>
      </c>
      <c r="H224" s="31" t="n">
        <v>80404.14999999999</v>
      </c>
      <c r="I224" s="31" t="n">
        <v>1225.3</v>
      </c>
      <c r="J224" s="31" t="n">
        <v>-1.19</v>
      </c>
      <c r="K224" s="31" t="n">
        <v>1482962</v>
      </c>
      <c r="L224" s="30" t="n">
        <v>23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62.22</v>
      </c>
      <c r="P224" s="31" t="n">
        <v>20.88</v>
      </c>
      <c r="Q224" s="31" t="n">
        <v>1002.06</v>
      </c>
      <c r="R224" s="30" t="inlineStr">
        <is>
          <t>Earnings / Momentum Support</t>
        </is>
      </c>
      <c r="S224" s="30" t="inlineStr">
        <is>
          <t>Nifty IT</t>
        </is>
      </c>
      <c r="T224" s="31" t="n">
        <v>-8.289999999999999</v>
      </c>
      <c r="U224" s="31" t="n">
        <v>-7.36</v>
      </c>
      <c r="V224" s="31" t="n">
        <v>1.01</v>
      </c>
      <c r="W224" s="31" t="n">
        <v>4.63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IF(B225=0,"",RANK(B225,$B$2:$B$396,0))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RISHABH</t>
        </is>
      </c>
      <c r="D225" s="30" t="inlineStr">
        <is>
          <t>Rishabh Instruments Ltd</t>
        </is>
      </c>
      <c r="E225" s="30" t="inlineStr">
        <is>
          <t>industrials</t>
        </is>
      </c>
      <c r="F225" s="30" t="inlineStr">
        <is>
          <t>electric equipment</t>
        </is>
      </c>
      <c r="G225" s="30" t="inlineStr">
        <is>
          <t>smallcap</t>
        </is>
      </c>
      <c r="H225" s="31" t="n">
        <v>2494.12</v>
      </c>
      <c r="I225" s="31" t="n">
        <v>639.2</v>
      </c>
      <c r="J225" s="31" t="n">
        <v>-1.21</v>
      </c>
      <c r="K225" s="31" t="n">
        <v>125077</v>
      </c>
      <c r="L225" s="30" t="n">
        <v>86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66.51000000000001</v>
      </c>
      <c r="P225" s="31" t="n">
        <v>42.59</v>
      </c>
      <c r="Q225" s="31" t="n">
        <v>484.47</v>
      </c>
      <c r="R225" s="30" t="inlineStr">
        <is>
          <t>Near 52W High Breakout</t>
        </is>
      </c>
      <c r="S225" s="30" t="inlineStr">
        <is>
          <t>Nifty Infra</t>
        </is>
      </c>
      <c r="T225" s="31" t="n">
        <v>4.83</v>
      </c>
      <c r="U225" s="31" t="n">
        <v>125.03</v>
      </c>
      <c r="V225" s="31" t="n">
        <v>114.67</v>
      </c>
      <c r="W225" s="31" t="n">
        <v>26.04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Negative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IF(B226=0,"",RANK(B226,$B$2:$B$396,0))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VMART</t>
        </is>
      </c>
      <c r="D226" s="30" t="inlineStr">
        <is>
          <t>V-mart Retail Limited</t>
        </is>
      </c>
      <c r="E226" s="30" t="inlineStr">
        <is>
          <t>consumer discretionary</t>
        </is>
      </c>
      <c r="F226" s="30" t="inlineStr">
        <is>
          <t>trading</t>
        </is>
      </c>
      <c r="G226" s="30" t="inlineStr">
        <is>
          <t>midcap</t>
        </is>
      </c>
      <c r="H226" s="31" t="n">
        <v>6474.41</v>
      </c>
      <c r="I226" s="31" t="n">
        <v>799.35</v>
      </c>
      <c r="J226" s="31" t="n">
        <v>-1.79</v>
      </c>
      <c r="K226" s="31" t="n">
        <v>61923</v>
      </c>
      <c r="L226" s="30" t="n">
        <v>32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62.28</v>
      </c>
      <c r="P226" s="31" t="n">
        <v>26.11</v>
      </c>
      <c r="Q226" s="31" t="n">
        <v>618.23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0.85</v>
      </c>
      <c r="U226" s="31" t="n">
        <v>5.25</v>
      </c>
      <c r="V226" s="31" t="n">
        <v>4.36</v>
      </c>
      <c r="W226" s="31" t="n">
        <v>6.15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Between 0.7 to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IF(B227=0,"",RANK(B227,$B$2:$B$396,0))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ASKAUTOLTD</t>
        </is>
      </c>
      <c r="D227" s="30" t="inlineStr">
        <is>
          <t>ASK Automotive Ltd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midcap</t>
        </is>
      </c>
      <c r="H227" s="31" t="n">
        <v>13382.04</v>
      </c>
      <c r="I227" s="31" t="n">
        <v>634.95</v>
      </c>
      <c r="J227" s="31" t="n">
        <v>-6.46</v>
      </c>
      <c r="K227" s="31" t="n">
        <v>1290605</v>
      </c>
      <c r="L227" s="30" t="n">
        <v>68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79.59999999999999</v>
      </c>
      <c r="P227" s="31" t="n">
        <v>15.65</v>
      </c>
      <c r="Q227" s="31" t="n">
        <v>508.38</v>
      </c>
      <c r="R227" s="30" t="inlineStr">
        <is>
          <t>Volume Spike &amp; Near 52W High Breakout</t>
        </is>
      </c>
      <c r="S227" s="30" t="inlineStr">
        <is>
          <t>Nifty Auto</t>
        </is>
      </c>
      <c r="T227" s="31" t="n">
        <v>24.67</v>
      </c>
      <c r="U227" s="31" t="n">
        <v>25.37</v>
      </c>
      <c r="V227" s="31" t="n">
        <v>0.57</v>
      </c>
      <c r="W227" s="31" t="n">
        <v>16.29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Above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IF(B228=0,"",RANK(B228,$B$2:$B$396,0))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2" t="inlineStr">
        <is>
          <t>ANTHEM</t>
        </is>
      </c>
      <c r="D228" s="32" t="inlineStr">
        <is>
          <t>Anthem Biosciences Ltd</t>
        </is>
      </c>
      <c r="E228" s="30" t="inlineStr">
        <is>
          <t>healthcare</t>
        </is>
      </c>
      <c r="F228" s="30" t="inlineStr">
        <is>
          <t>pharmaceuticals - indian - bulk drugs &amp; formln</t>
        </is>
      </c>
      <c r="G228" s="30" t="inlineStr">
        <is>
          <t>largecap</t>
        </is>
      </c>
      <c r="H228" s="31" t="n">
        <v>46515.86</v>
      </c>
      <c r="I228" s="31" t="n">
        <v>841</v>
      </c>
      <c r="J228" s="31" t="n">
        <v>1.86</v>
      </c>
      <c r="K228" s="31" t="n">
        <v>472590</v>
      </c>
      <c r="L228" s="30" t="n">
        <v>24</v>
      </c>
      <c r="M228" s="30" t="inlineStr">
        <is>
          <t>Underperforming</t>
        </is>
      </c>
      <c r="N228" s="31">
        <f>IF(M228="Underperforming",-5,IF(L228&gt;=95,15,IF(L228&gt;=90,10,IF(L228&gt;=80,5,0))))</f>
        <v/>
      </c>
      <c r="O228" s="31" t="n">
        <v>65.59999999999999</v>
      </c>
      <c r="P228" s="31" t="n">
        <v>35.88</v>
      </c>
      <c r="Q228" s="31" t="n">
        <v>698.5599999999999</v>
      </c>
      <c r="R228" s="30" t="inlineStr">
        <is>
          <t>Near 52W High Breakout</t>
        </is>
      </c>
      <c r="S228" s="30" t="inlineStr">
        <is>
          <t>Nifty Pharma</t>
        </is>
      </c>
      <c r="T228" s="31" t="n">
        <v>24.01</v>
      </c>
      <c r="U228" s="31" t="n">
        <v>15.57</v>
      </c>
      <c r="V228" s="31" t="n">
        <v>-6.81</v>
      </c>
      <c r="W228" s="31" t="n">
        <v>4.86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Yes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Annuity, Lower One Time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IF(B229=0,"",RANK(B229,$B$2:$B$396,0))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3IINFOLTD</t>
        </is>
      </c>
      <c r="D229" s="30" t="inlineStr">
        <is>
          <t>3i Infotech Ltd</t>
        </is>
      </c>
      <c r="E229" s="30" t="inlineStr">
        <is>
          <t>i.t</t>
        </is>
      </c>
      <c r="F229" s="30" t="inlineStr">
        <is>
          <t>computers - software - medium / small</t>
        </is>
      </c>
      <c r="G229" s="30" t="inlineStr">
        <is>
          <t>smallcap</t>
        </is>
      </c>
      <c r="H229" s="31" t="n">
        <v>528.88</v>
      </c>
      <c r="I229" s="31" t="n">
        <v>25.79</v>
      </c>
      <c r="J229" s="31" t="n">
        <v>1.14</v>
      </c>
      <c r="K229" s="31" t="n">
        <v>1181276</v>
      </c>
      <c r="L229" s="30" t="n">
        <v>58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80.45999999999999</v>
      </c>
      <c r="P229" s="31" t="n">
        <v>36.8</v>
      </c>
      <c r="Q229" s="31" t="n">
        <v>20.93</v>
      </c>
      <c r="R229" s="30" t="inlineStr">
        <is>
          <t>Volume Spike &amp; Near 52W High Breakout</t>
        </is>
      </c>
      <c r="S229" s="30" t="inlineStr">
        <is>
          <t>Nifty IT</t>
        </is>
      </c>
      <c r="T229" s="31" t="n">
        <v>-8.289999999999999</v>
      </c>
      <c r="U229" s="31" t="n">
        <v>13.16</v>
      </c>
      <c r="V229" s="31" t="n">
        <v>23.39</v>
      </c>
      <c r="W229" s="31" t="n">
        <v>13.62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Annuity, Lower One Time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Above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IF(B230=0,"",RANK(B230,$B$2:$B$396,0))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GLAXO</t>
        </is>
      </c>
      <c r="D230" s="32" t="inlineStr">
        <is>
          <t>Glaxosmithkline Pharmaceuticals Limited</t>
        </is>
      </c>
      <c r="E230" s="30" t="inlineStr">
        <is>
          <t>healthcare</t>
        </is>
      </c>
      <c r="F230" s="30" t="inlineStr">
        <is>
          <t>pharmaceuticals - multinational</t>
        </is>
      </c>
      <c r="G230" s="30" t="inlineStr">
        <is>
          <t>largecap</t>
        </is>
      </c>
      <c r="H230" s="31" t="n">
        <v>43698.29</v>
      </c>
      <c r="I230" s="31" t="n">
        <v>2599.7</v>
      </c>
      <c r="J230" s="31" t="n">
        <v>0.78</v>
      </c>
      <c r="K230" s="31" t="n">
        <v>35022</v>
      </c>
      <c r="L230" s="30" t="n">
        <v>12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60.08</v>
      </c>
      <c r="P230" s="31" t="n">
        <v>20.02</v>
      </c>
      <c r="Q230" s="31" t="n">
        <v>2227.8</v>
      </c>
      <c r="R230" s="30" t="inlineStr">
        <is>
          <t>Near 52W High Breakout</t>
        </is>
      </c>
      <c r="S230" s="30" t="inlineStr">
        <is>
          <t>Nifty Pharma</t>
        </is>
      </c>
      <c r="T230" s="31" t="n">
        <v>24.01</v>
      </c>
      <c r="U230" s="31" t="n">
        <v>0.5600000000000001</v>
      </c>
      <c r="V230" s="31" t="n">
        <v>-18.91</v>
      </c>
      <c r="W230" s="31" t="n">
        <v>1.72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Yes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Annuity, Lower One Time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Between 12 to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IF(B231=0,"",RANK(B231,$B$2:$B$396,0))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YATHARTH</t>
        </is>
      </c>
      <c r="D231" s="32" t="inlineStr">
        <is>
          <t>Yatharth Hospital &amp; Trauma Care Services Ltd</t>
        </is>
      </c>
      <c r="E231" s="30" t="inlineStr">
        <is>
          <t>healthcare</t>
        </is>
      </c>
      <c r="F231" s="30" t="inlineStr">
        <is>
          <t>healthcare</t>
        </is>
      </c>
      <c r="G231" s="30" t="inlineStr">
        <is>
          <t>midcap</t>
        </is>
      </c>
      <c r="H231" s="31" t="n">
        <v>8396.799999999999</v>
      </c>
      <c r="I231" s="31" t="n">
        <v>870.5</v>
      </c>
      <c r="J231" s="31" t="n">
        <v>-0.11</v>
      </c>
      <c r="K231" s="31" t="n">
        <v>161808</v>
      </c>
      <c r="L231" s="30" t="n">
        <v>29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60.62</v>
      </c>
      <c r="P231" s="31" t="n">
        <v>34.04</v>
      </c>
      <c r="Q231" s="31" t="n">
        <v>689.84</v>
      </c>
      <c r="R231" s="30" t="inlineStr">
        <is>
          <t>Near 52W High Breakout</t>
        </is>
      </c>
      <c r="S231" s="30" t="inlineStr">
        <is>
          <t>Nifty Pharma</t>
        </is>
      </c>
      <c r="T231" s="31" t="n">
        <v>24.01</v>
      </c>
      <c r="U231" s="31" t="n">
        <v>23.28</v>
      </c>
      <c r="V231" s="31" t="n">
        <v>-0.59</v>
      </c>
      <c r="W231" s="31" t="n">
        <v>5.82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Yes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Annuity, Lower One Time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Between 12 to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Between 50% to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IF(B232=0,"",RANK(B232,$B$2:$B$396,0))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RAINBOW</t>
        </is>
      </c>
      <c r="D232" s="32" t="inlineStr">
        <is>
          <t>Rainbow Childrens Medicare Ltd</t>
        </is>
      </c>
      <c r="E232" s="30" t="inlineStr">
        <is>
          <t>healthcare</t>
        </is>
      </c>
      <c r="F232" s="30" t="inlineStr">
        <is>
          <t>healthcare</t>
        </is>
      </c>
      <c r="G232" s="30" t="inlineStr">
        <is>
          <t>midcap</t>
        </is>
      </c>
      <c r="H232" s="31" t="n">
        <v>15977.29</v>
      </c>
      <c r="I232" s="31" t="n">
        <v>1553.8</v>
      </c>
      <c r="J232" s="31" t="n">
        <v>-1.23</v>
      </c>
      <c r="K232" s="31" t="n">
        <v>79926</v>
      </c>
      <c r="L232" s="30" t="n">
        <v>31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70.27</v>
      </c>
      <c r="P232" s="31" t="n">
        <v>38.82</v>
      </c>
      <c r="Q232" s="31" t="n">
        <v>1320.7</v>
      </c>
      <c r="R232" s="30" t="inlineStr">
        <is>
          <t>Volume Spike &amp; Near 52W High Breakout</t>
        </is>
      </c>
      <c r="S232" s="30" t="inlineStr">
        <is>
          <t>Nifty Pharma</t>
        </is>
      </c>
      <c r="T232" s="31" t="n">
        <v>24.01</v>
      </c>
      <c r="U232" s="31" t="n">
        <v>6.26</v>
      </c>
      <c r="V232" s="31" t="n">
        <v>-14.32</v>
      </c>
      <c r="W232" s="31" t="n">
        <v>6.11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Annuity, Lower One Time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Between 12 to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IF(B233=0,"",RANK(B233,$B$2:$B$396,0))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SAILIFE</t>
        </is>
      </c>
      <c r="D233" s="30" t="inlineStr">
        <is>
          <t>Sai Life Sciences Ltd</t>
        </is>
      </c>
      <c r="E233" s="30" t="inlineStr">
        <is>
          <t>healthcare</t>
        </is>
      </c>
      <c r="F233" s="30" t="inlineStr">
        <is>
          <t>pharmaceuticals - indian - bulk drugs &amp; formln</t>
        </is>
      </c>
      <c r="G233" s="30" t="inlineStr">
        <is>
          <t>largecap</t>
        </is>
      </c>
      <c r="H233" s="31" t="n">
        <v>30006.63</v>
      </c>
      <c r="I233" s="31" t="n">
        <v>1365.2</v>
      </c>
      <c r="J233" s="31" t="n">
        <v>-3.42</v>
      </c>
      <c r="K233" s="31" t="n">
        <v>931517</v>
      </c>
      <c r="L233" s="30" t="n">
        <v>66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76.51000000000001</v>
      </c>
      <c r="P233" s="31" t="n">
        <v>30.8</v>
      </c>
      <c r="Q233" s="31" t="n">
        <v>1119.96</v>
      </c>
      <c r="R233" s="30" t="inlineStr">
        <is>
          <t>Volume Spike &amp; Near 52W High Breakout</t>
        </is>
      </c>
      <c r="S233" s="30" t="inlineStr">
        <is>
          <t>Nifty Pharma</t>
        </is>
      </c>
      <c r="T233" s="31" t="n">
        <v>24.01</v>
      </c>
      <c r="U233" s="31" t="n">
        <v>64.90000000000001</v>
      </c>
      <c r="V233" s="31" t="n">
        <v>32.97</v>
      </c>
      <c r="W233" s="31" t="n">
        <v>15.77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Yes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Above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Between 12 to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IF(B234=0,"",RANK(B234,$B$2:$B$396,0))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ARVSMART</t>
        </is>
      </c>
      <c r="D234" s="30" t="inlineStr">
        <is>
          <t>Arvind Smartspaces Limited</t>
        </is>
      </c>
      <c r="E234" s="30" t="inlineStr">
        <is>
          <t>realty</t>
        </is>
      </c>
      <c r="F234" s="30" t="inlineStr">
        <is>
          <t>construction</t>
        </is>
      </c>
      <c r="G234" s="30" t="inlineStr">
        <is>
          <t>smallcap</t>
        </is>
      </c>
      <c r="H234" s="31" t="n">
        <v>2767.15</v>
      </c>
      <c r="I234" s="31" t="n">
        <v>650.75</v>
      </c>
      <c r="J234" s="31" t="n">
        <v>7.87</v>
      </c>
      <c r="K234" s="31" t="n">
        <v>6910360</v>
      </c>
      <c r="L234" s="30" t="n">
        <v>17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59.92</v>
      </c>
      <c r="P234" s="31" t="n">
        <v>24.41</v>
      </c>
      <c r="Q234" s="31" t="n">
        <v>512.1799999999999</v>
      </c>
      <c r="R234" s="30" t="inlineStr">
        <is>
          <t>Volume Spike &amp; Near 52W High Breakout</t>
        </is>
      </c>
      <c r="S234" s="30" t="inlineStr">
        <is>
          <t>Nifty Realty</t>
        </is>
      </c>
      <c r="T234" s="31" t="n">
        <v>-6.8</v>
      </c>
      <c r="U234" s="31" t="n">
        <v>4.13</v>
      </c>
      <c r="V234" s="31" t="n">
        <v>11.73</v>
      </c>
      <c r="W234" s="31" t="n">
        <v>3.03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Negative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IF(B235=0,"",RANK(B235,$B$2:$B$396,0))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MARINE</t>
        </is>
      </c>
      <c r="D235" s="30" t="inlineStr">
        <is>
          <t>Marine Electricals (India) Ltd</t>
        </is>
      </c>
      <c r="E235" s="30" t="inlineStr">
        <is>
          <t>industrials</t>
        </is>
      </c>
      <c r="F235" s="30" t="inlineStr">
        <is>
          <t>electric equipment</t>
        </is>
      </c>
      <c r="G235" s="30" t="inlineStr">
        <is>
          <t>smallcap</t>
        </is>
      </c>
      <c r="H235" s="31" t="n">
        <v>4504.11</v>
      </c>
      <c r="I235" s="31" t="n">
        <v>336.9</v>
      </c>
      <c r="J235" s="31" t="n">
        <v>4.68</v>
      </c>
      <c r="K235" s="31" t="n">
        <v>3869124</v>
      </c>
      <c r="L235" s="30" t="n">
        <v>83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71.76000000000001</v>
      </c>
      <c r="P235" s="31" t="n">
        <v>31.53</v>
      </c>
      <c r="Q235" s="31" t="n">
        <v>244.25</v>
      </c>
      <c r="R235" s="30" t="inlineStr">
        <is>
          <t>Volume Spike &amp; Near 52W High Breakout</t>
        </is>
      </c>
      <c r="S235" s="30" t="inlineStr">
        <is>
          <t>Nifty 50</t>
        </is>
      </c>
      <c r="T235" s="31" t="n">
        <v>0.85</v>
      </c>
      <c r="U235" s="31" t="n">
        <v>95.8</v>
      </c>
      <c r="V235" s="31" t="n">
        <v>94.15000000000001</v>
      </c>
      <c r="W235" s="31" t="n">
        <v>24.51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Negative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IF(B236=0,"",RANK(B236,$B$2:$B$396,0))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BHARATFORG</t>
        </is>
      </c>
      <c r="D236" s="30" t="inlineStr">
        <is>
          <t>Bharat Forge Limited</t>
        </is>
      </c>
      <c r="E236" s="30" t="inlineStr">
        <is>
          <t>industrials</t>
        </is>
      </c>
      <c r="F236" s="30" t="inlineStr">
        <is>
          <t>castings &amp; forgings</t>
        </is>
      </c>
      <c r="G236" s="30" t="inlineStr">
        <is>
          <t>largecap</t>
        </is>
      </c>
      <c r="H236" s="31" t="n">
        <v>105657.59</v>
      </c>
      <c r="I236" s="31" t="n">
        <v>2265.2</v>
      </c>
      <c r="J236" s="31" t="n">
        <v>2.5</v>
      </c>
      <c r="K236" s="31" t="n">
        <v>2293804</v>
      </c>
      <c r="L236" s="30" t="n">
        <v>72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73.66</v>
      </c>
      <c r="P236" s="31" t="n">
        <v>47.04</v>
      </c>
      <c r="Q236" s="31" t="n">
        <v>1924.44</v>
      </c>
      <c r="R236" s="30" t="inlineStr">
        <is>
          <t>Near 52W High Breakout</t>
        </is>
      </c>
      <c r="S236" s="30" t="inlineStr">
        <is>
          <t>Nifty 50</t>
        </is>
      </c>
      <c r="T236" s="31" t="n">
        <v>0.85</v>
      </c>
      <c r="U236" s="31" t="n">
        <v>100.38</v>
      </c>
      <c r="V236" s="31" t="n">
        <v>98.69</v>
      </c>
      <c r="W236" s="31" t="n">
        <v>18.11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Above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IF(B237=0,"",RANK(B237,$B$2:$B$396,0))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SETL</t>
        </is>
      </c>
      <c r="D237" s="30" t="inlineStr">
        <is>
          <t>Standard Enginnering Technology Ltd</t>
        </is>
      </c>
      <c r="E237" s="30" t="inlineStr">
        <is>
          <t>industrials</t>
        </is>
      </c>
      <c r="F237" s="30" t="inlineStr">
        <is>
          <t>engineering</t>
        </is>
      </c>
      <c r="G237" s="30" t="inlineStr">
        <is>
          <t>midcap</t>
        </is>
      </c>
      <c r="H237" s="31" t="n">
        <v>5479.04</v>
      </c>
      <c r="I237" s="31" t="n">
        <v>281</v>
      </c>
      <c r="J237" s="31" t="n">
        <v>2.31</v>
      </c>
      <c r="K237" s="31" t="n">
        <v>555977</v>
      </c>
      <c r="L237" s="30" t="n">
        <v>95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78.31999999999999</v>
      </c>
      <c r="P237" s="31" t="n">
        <v>43.3</v>
      </c>
      <c r="Q237" s="31" t="n">
        <v>217.79</v>
      </c>
      <c r="R237" s="30" t="inlineStr">
        <is>
          <t>Near 52W High Breakout</t>
        </is>
      </c>
      <c r="S237" s="30" t="inlineStr">
        <is>
          <t>Nifty Infra</t>
        </is>
      </c>
      <c r="T237" s="31" t="n">
        <v>4.83</v>
      </c>
      <c r="U237" s="31" t="n">
        <v>61.01</v>
      </c>
      <c r="V237" s="31" t="n">
        <v>53.6</v>
      </c>
      <c r="W237" s="31" t="n">
        <v>38.18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Above 40</t>
        </is>
      </c>
      <c r="AY237" s="30">
        <f>IF(AX237="Above 40",20,IF(AX237="20 to 40",10,IF(AX237="0 to 20",-5,0)))</f>
        <v/>
      </c>
      <c r="AZ237" s="30" t="inlineStr">
        <is>
          <t>Above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IF(B238=0,"",RANK(B238,$B$2:$B$396,0))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PANAMAPET</t>
        </is>
      </c>
      <c r="D238" s="30" t="inlineStr">
        <is>
          <t>Panama Petrochem Limited</t>
        </is>
      </c>
      <c r="E238" s="30" t="inlineStr">
        <is>
          <t>energy</t>
        </is>
      </c>
      <c r="F238" s="30" t="inlineStr">
        <is>
          <t>petrochemicals</t>
        </is>
      </c>
      <c r="G238" s="30" t="inlineStr">
        <is>
          <t>smallcap</t>
        </is>
      </c>
      <c r="H238" s="31" t="n">
        <v>2994.13</v>
      </c>
      <c r="I238" s="31" t="n">
        <v>504.8</v>
      </c>
      <c r="J238" s="31" t="n">
        <v>1.99</v>
      </c>
      <c r="K238" s="31" t="n">
        <v>359650</v>
      </c>
      <c r="L238" s="30" t="n">
        <v>89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66.44</v>
      </c>
      <c r="P238" s="31" t="n">
        <v>48.41</v>
      </c>
      <c r="Q238" s="31" t="n">
        <v>352.84</v>
      </c>
      <c r="R238" s="30" t="inlineStr">
        <is>
          <t>Near 52W High Breakout</t>
        </is>
      </c>
      <c r="S238" s="30" t="inlineStr">
        <is>
          <t>Nifty Energy</t>
        </is>
      </c>
      <c r="T238" s="31" t="n">
        <v>9.93</v>
      </c>
      <c r="U238" s="31" t="n">
        <v>47.92</v>
      </c>
      <c r="V238" s="31" t="n">
        <v>34.57</v>
      </c>
      <c r="W238" s="31" t="n">
        <v>30.25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Oligopoly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Yes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Cyclical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Volatile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Above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Negative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IF(B239=0,"",RANK(B239,$B$2:$B$396,0))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MTARTECH</t>
        </is>
      </c>
      <c r="D239" s="30" t="inlineStr">
        <is>
          <t>MTAR Technologies Ltd</t>
        </is>
      </c>
      <c r="E239" s="30" t="inlineStr">
        <is>
          <t>aerospace &amp; defence</t>
        </is>
      </c>
      <c r="F239" s="30" t="inlineStr">
        <is>
          <t>engineering</t>
        </is>
      </c>
      <c r="G239" s="30" t="inlineStr">
        <is>
          <t>largecap</t>
        </is>
      </c>
      <c r="H239" s="31" t="n">
        <v>21405.6</v>
      </c>
      <c r="I239" s="31" t="n">
        <v>7085.5</v>
      </c>
      <c r="J239" s="31" t="n">
        <v>1.82</v>
      </c>
      <c r="K239" s="31" t="n">
        <v>321937</v>
      </c>
      <c r="L239" s="30" t="n">
        <v>97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59.98</v>
      </c>
      <c r="P239" s="31" t="n">
        <v>45.11</v>
      </c>
      <c r="Q239" s="31" t="n">
        <v>5800.47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0.85</v>
      </c>
      <c r="U239" s="31" t="n">
        <v>373.09</v>
      </c>
      <c r="V239" s="31" t="n">
        <v>369.1</v>
      </c>
      <c r="W239" s="31" t="n">
        <v>42.71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Above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IF(B240=0,"",RANK(B240,$B$2:$B$396,0))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SUMICHEM</t>
        </is>
      </c>
      <c r="D240" s="32" t="inlineStr">
        <is>
          <t>Sumitomo Chemical India Ltd</t>
        </is>
      </c>
      <c r="E240" s="30" t="inlineStr">
        <is>
          <t>chemicals</t>
        </is>
      </c>
      <c r="F240" s="30" t="inlineStr">
        <is>
          <t>pesticides / agrochemicals - indian</t>
        </is>
      </c>
      <c r="G240" s="30" t="inlineStr">
        <is>
          <t>largecap</t>
        </is>
      </c>
      <c r="H240" s="31" t="n">
        <v>26215.13</v>
      </c>
      <c r="I240" s="31" t="n">
        <v>532.95</v>
      </c>
      <c r="J240" s="31" t="n">
        <v>1.48</v>
      </c>
      <c r="K240" s="31" t="n">
        <v>611836</v>
      </c>
      <c r="L240" s="30" t="n">
        <v>11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61.06</v>
      </c>
      <c r="P240" s="31" t="n">
        <v>32.36</v>
      </c>
      <c r="Q240" s="31" t="n">
        <v>415.65</v>
      </c>
      <c r="R240" s="30" t="inlineStr">
        <is>
          <t>Earnings / Momentum Support</t>
        </is>
      </c>
      <c r="S240" s="30" t="inlineStr">
        <is>
          <t>Nifty 50</t>
        </is>
      </c>
      <c r="T240" s="31" t="n">
        <v>0.85</v>
      </c>
      <c r="U240" s="31" t="n">
        <v>-7.43</v>
      </c>
      <c r="V240" s="31" t="n">
        <v>-8.210000000000001</v>
      </c>
      <c r="W240" s="31" t="n">
        <v>1.42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IF(B241=0,"",RANK(B241,$B$2:$B$396,0))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AZAD</t>
        </is>
      </c>
      <c r="D241" s="30" t="inlineStr">
        <is>
          <t>Azad Engineering Ltd</t>
        </is>
      </c>
      <c r="E241" s="30" t="inlineStr">
        <is>
          <t>aerospace &amp; defence</t>
        </is>
      </c>
      <c r="F241" s="30" t="inlineStr">
        <is>
          <t>engineering</t>
        </is>
      </c>
      <c r="G241" s="30" t="inlineStr">
        <is>
          <t>midcap</t>
        </is>
      </c>
      <c r="H241" s="31" t="n">
        <v>15859.98</v>
      </c>
      <c r="I241" s="31" t="n">
        <v>2489</v>
      </c>
      <c r="J241" s="31" t="n">
        <v>1.35</v>
      </c>
      <c r="K241" s="31" t="n">
        <v>534769</v>
      </c>
      <c r="L241" s="30" t="n">
        <v>60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63.53</v>
      </c>
      <c r="P241" s="31" t="n">
        <v>31.33</v>
      </c>
      <c r="Q241" s="31" t="n">
        <v>1873.8</v>
      </c>
      <c r="R241" s="30" t="inlineStr">
        <is>
          <t>Near 52W High Breakout</t>
        </is>
      </c>
      <c r="S241" s="30" t="inlineStr">
        <is>
          <t>Nifty 50</t>
        </is>
      </c>
      <c r="T241" s="31" t="n">
        <v>0.85</v>
      </c>
      <c r="U241" s="31" t="n">
        <v>65.12</v>
      </c>
      <c r="V241" s="31" t="n">
        <v>63.73</v>
      </c>
      <c r="W241" s="31" t="n">
        <v>13.93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Negative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IF(B242=0,"",RANK(B242,$B$2:$B$396,0))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2" t="inlineStr">
        <is>
          <t>KAMDHENU</t>
        </is>
      </c>
      <c r="D242" s="32" t="inlineStr">
        <is>
          <t>Kamdhenu Limited</t>
        </is>
      </c>
      <c r="E242" s="30" t="inlineStr">
        <is>
          <t>metals &amp; mining</t>
        </is>
      </c>
      <c r="F242" s="30" t="inlineStr">
        <is>
          <t>steel - medium / small</t>
        </is>
      </c>
      <c r="G242" s="30" t="inlineStr">
        <is>
          <t>smallcap</t>
        </is>
      </c>
      <c r="H242" s="31" t="n">
        <v>988</v>
      </c>
      <c r="I242" s="31" t="n">
        <v>35.5</v>
      </c>
      <c r="J242" s="31" t="n">
        <v>1.28</v>
      </c>
      <c r="K242" s="31" t="n">
        <v>337726</v>
      </c>
      <c r="L242" s="30" t="n">
        <v>74</v>
      </c>
      <c r="M242" s="30" t="inlineStr">
        <is>
          <t>Underperforming</t>
        </is>
      </c>
      <c r="N242" s="31">
        <f>IF(M242="Underperforming",-5,IF(L242&gt;=95,15,IF(L242&gt;=90,10,IF(L242&gt;=80,5,0))))</f>
        <v/>
      </c>
      <c r="O242" s="31" t="n">
        <v>68.27</v>
      </c>
      <c r="P242" s="31" t="n">
        <v>38.9</v>
      </c>
      <c r="Q242" s="31" t="n">
        <v>27.08</v>
      </c>
      <c r="R242" s="30" t="inlineStr">
        <is>
          <t>Near 52W High Breakout</t>
        </is>
      </c>
      <c r="S242" s="30" t="inlineStr">
        <is>
          <t>Nifty Metal</t>
        </is>
      </c>
      <c r="T242" s="31" t="n">
        <v>39.94</v>
      </c>
      <c r="U242" s="31" t="n">
        <v>18.87</v>
      </c>
      <c r="V242" s="31" t="n">
        <v>-15.06</v>
      </c>
      <c r="W242" s="31" t="n">
        <v>19.13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Cyclical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Volatile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IF(B243=0,"",RANK(B243,$B$2:$B$396,0))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TBZ</t>
        </is>
      </c>
      <c r="D243" s="30" t="inlineStr">
        <is>
          <t>Tribhovandas Bhimji Zaveri Limited</t>
        </is>
      </c>
      <c r="E243" s="30" t="inlineStr">
        <is>
          <t>consumer discretionary</t>
        </is>
      </c>
      <c r="F243" s="30" t="inlineStr">
        <is>
          <t>diamond cutting / jewellery</t>
        </is>
      </c>
      <c r="G243" s="30" t="inlineStr">
        <is>
          <t>smallcap</t>
        </is>
      </c>
      <c r="H243" s="31" t="n">
        <v>1808.4</v>
      </c>
      <c r="I243" s="31" t="n">
        <v>273</v>
      </c>
      <c r="J243" s="31" t="n">
        <v>0.74</v>
      </c>
      <c r="K243" s="31" t="n">
        <v>922618</v>
      </c>
      <c r="L243" s="30" t="n">
        <v>88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78.84999999999999</v>
      </c>
      <c r="P243" s="31" t="n">
        <v>38.29</v>
      </c>
      <c r="Q243" s="31" t="n">
        <v>205.73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0.85</v>
      </c>
      <c r="U243" s="31" t="n">
        <v>47.1</v>
      </c>
      <c r="V243" s="31" t="n">
        <v>45.86</v>
      </c>
      <c r="W243" s="31" t="n">
        <v>27.39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Above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Less than 50% and Borrowings are increasing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Between 0.7 to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IF(B244=0,"",RANK(B244,$B$2:$B$396,0))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ROSSTECH</t>
        </is>
      </c>
      <c r="D244" s="30" t="inlineStr">
        <is>
          <t>Rossell Techsys Ltd</t>
        </is>
      </c>
      <c r="E244" s="30" t="inlineStr">
        <is>
          <t>aerospace &amp; defence</t>
        </is>
      </c>
      <c r="F244" s="30" t="inlineStr">
        <is>
          <t>engineering</t>
        </is>
      </c>
      <c r="G244" s="30" t="inlineStr">
        <is>
          <t>smallcap</t>
        </is>
      </c>
      <c r="H244" s="31" t="n">
        <v>4109.67</v>
      </c>
      <c r="I244" s="31" t="n">
        <v>1094.6</v>
      </c>
      <c r="J244" s="31" t="n">
        <v>0.4</v>
      </c>
      <c r="K244" s="31" t="n">
        <v>93901</v>
      </c>
      <c r="L244" s="30" t="n">
        <v>74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63.15</v>
      </c>
      <c r="P244" s="31" t="n">
        <v>30.73</v>
      </c>
      <c r="Q244" s="31" t="n">
        <v>749.04</v>
      </c>
      <c r="R244" s="30" t="inlineStr">
        <is>
          <t>Volume Spike &amp; Near 52W High Breakout</t>
        </is>
      </c>
      <c r="S244" s="30" t="inlineStr">
        <is>
          <t>Nifty Infra</t>
        </is>
      </c>
      <c r="T244" s="31" t="n">
        <v>4.83</v>
      </c>
      <c r="U244" s="31" t="n">
        <v>88.20999999999999</v>
      </c>
      <c r="V244" s="31" t="n">
        <v>79.55</v>
      </c>
      <c r="W244" s="31" t="n">
        <v>18.81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More than 1.2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IF(B245=0,"",RANK(B245,$B$2:$B$396,0))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SUNDRMFAST</t>
        </is>
      </c>
      <c r="D245" s="32" t="inlineStr">
        <is>
          <t>Sundram Fasteners Limited</t>
        </is>
      </c>
      <c r="E245" s="30" t="inlineStr">
        <is>
          <t>auto</t>
        </is>
      </c>
      <c r="F245" s="30" t="inlineStr">
        <is>
          <t>auto ancillaries</t>
        </is>
      </c>
      <c r="G245" s="30" t="inlineStr">
        <is>
          <t>largecap</t>
        </is>
      </c>
      <c r="H245" s="31" t="n">
        <v>22804.18</v>
      </c>
      <c r="I245" s="31" t="n">
        <v>1089.6</v>
      </c>
      <c r="J245" s="31" t="n">
        <v>0.4</v>
      </c>
      <c r="K245" s="31" t="n">
        <v>393173</v>
      </c>
      <c r="L245" s="30" t="n">
        <v>47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75.20999999999999</v>
      </c>
      <c r="P245" s="31" t="n">
        <v>18.19</v>
      </c>
      <c r="Q245" s="31" t="n">
        <v>921.02</v>
      </c>
      <c r="R245" s="30" t="inlineStr">
        <is>
          <t>Volume Spike &amp; Near 52W High Breakout</t>
        </is>
      </c>
      <c r="S245" s="30" t="inlineStr">
        <is>
          <t>Nifty Auto</t>
        </is>
      </c>
      <c r="T245" s="31" t="n">
        <v>24.67</v>
      </c>
      <c r="U245" s="31" t="n">
        <v>9.630000000000001</v>
      </c>
      <c r="V245" s="31" t="n">
        <v>-12.06</v>
      </c>
      <c r="W245" s="31" t="n">
        <v>10.48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Above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IF(B246=0,"",RANK(B246,$B$2:$B$396,0))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3MINDIA</t>
        </is>
      </c>
      <c r="D246" s="30" t="inlineStr">
        <is>
          <t>3m India Limited</t>
        </is>
      </c>
      <c r="E246" s="30" t="inlineStr">
        <is>
          <t>miscellaneous</t>
        </is>
      </c>
      <c r="F246" s="30" t="inlineStr">
        <is>
          <t>diversified - large</t>
        </is>
      </c>
      <c r="G246" s="30" t="inlineStr">
        <is>
          <t>largecap</t>
        </is>
      </c>
      <c r="H246" s="31" t="n">
        <v>40554.25</v>
      </c>
      <c r="I246" s="31" t="n">
        <v>36035</v>
      </c>
      <c r="J246" s="31" t="n">
        <v>0.1</v>
      </c>
      <c r="K246" s="31" t="n">
        <v>3976</v>
      </c>
      <c r="L246" s="30" t="n">
        <v>31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61.72</v>
      </c>
      <c r="P246" s="31" t="n">
        <v>15.19</v>
      </c>
      <c r="Q246" s="31" t="n">
        <v>30369.6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0.85</v>
      </c>
      <c r="U246" s="31" t="n">
        <v>15.63</v>
      </c>
      <c r="V246" s="31" t="n">
        <v>14.66</v>
      </c>
      <c r="W246" s="31" t="n">
        <v>6.13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IF(B247=0,"",RANK(B247,$B$2:$B$396,0))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2" t="inlineStr">
        <is>
          <t>MMP</t>
        </is>
      </c>
      <c r="D247" s="32" t="inlineStr">
        <is>
          <t>MMP Industries Ltd</t>
        </is>
      </c>
      <c r="E247" s="30" t="inlineStr">
        <is>
          <t>metals &amp; mining</t>
        </is>
      </c>
      <c r="F247" s="30" t="inlineStr">
        <is>
          <t>aluminium and aluminium products</t>
        </is>
      </c>
      <c r="G247" s="30" t="inlineStr">
        <is>
          <t>smallcap</t>
        </is>
      </c>
      <c r="H247" s="31" t="n">
        <v>624.86</v>
      </c>
      <c r="I247" s="31" t="n">
        <v>330.3</v>
      </c>
      <c r="J247" s="31" t="n">
        <v>0.02</v>
      </c>
      <c r="K247" s="31" t="n">
        <v>65025</v>
      </c>
      <c r="L247" s="30" t="n">
        <v>48</v>
      </c>
      <c r="M247" s="30" t="inlineStr">
        <is>
          <t>Underperforming</t>
        </is>
      </c>
      <c r="N247" s="31">
        <f>IF(M247="Underperforming",-5,IF(L247&gt;=95,15,IF(L247&gt;=90,10,IF(L247&gt;=80,5,0))))</f>
        <v/>
      </c>
      <c r="O247" s="31" t="n">
        <v>68.05</v>
      </c>
      <c r="P247" s="31" t="n">
        <v>36.66</v>
      </c>
      <c r="Q247" s="31" t="n">
        <v>246.47</v>
      </c>
      <c r="R247" s="30" t="inlineStr">
        <is>
          <t>Volume Spike &amp; Near 52W High Breakout</t>
        </is>
      </c>
      <c r="S247" s="30" t="inlineStr">
        <is>
          <t>Nifty Metal</t>
        </is>
      </c>
      <c r="T247" s="31" t="n">
        <v>39.94</v>
      </c>
      <c r="U247" s="31" t="n">
        <v>20.61</v>
      </c>
      <c r="V247" s="31" t="n">
        <v>-13.82</v>
      </c>
      <c r="W247" s="31" t="n">
        <v>10.61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Cyclical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Volatile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IF(B248=0,"",RANK(B248,$B$2:$B$396,0))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TBOTEK</t>
        </is>
      </c>
      <c r="D248" s="30" t="inlineStr">
        <is>
          <t>TBO Tek Ltd</t>
        </is>
      </c>
      <c r="E248" s="30" t="inlineStr">
        <is>
          <t>i.t</t>
        </is>
      </c>
      <c r="F248" s="30" t="inlineStr">
        <is>
          <t>travel agencies</t>
        </is>
      </c>
      <c r="G248" s="30" t="inlineStr">
        <is>
          <t>midcap</t>
        </is>
      </c>
      <c r="H248" s="31" t="n">
        <v>17624.88</v>
      </c>
      <c r="I248" s="31" t="n">
        <v>1610.9</v>
      </c>
      <c r="J248" s="31" t="n">
        <v>-0.75</v>
      </c>
      <c r="K248" s="31" t="n">
        <v>114311</v>
      </c>
      <c r="L248" s="30" t="n">
        <v>48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63.86</v>
      </c>
      <c r="P248" s="31" t="n">
        <v>18.14</v>
      </c>
      <c r="Q248" s="31" t="n">
        <v>1241.34</v>
      </c>
      <c r="R248" s="30" t="inlineStr">
        <is>
          <t>Volume Spike / Accumulation</t>
        </is>
      </c>
      <c r="S248" s="30" t="inlineStr">
        <is>
          <t>Nifty IT</t>
        </is>
      </c>
      <c r="T248" s="31" t="n">
        <v>-8.289999999999999</v>
      </c>
      <c r="U248" s="31" t="n">
        <v>18.3</v>
      </c>
      <c r="V248" s="31" t="n">
        <v>28.99</v>
      </c>
      <c r="W248" s="31" t="n">
        <v>10.76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IF(B249=0,"",RANK(B249,$B$2:$B$396,0))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ETHOSLTD</t>
        </is>
      </c>
      <c r="D249" s="30" t="inlineStr">
        <is>
          <t>Ethos Ltd</t>
        </is>
      </c>
      <c r="E249" s="30" t="inlineStr">
        <is>
          <t>consumer discretionary</t>
        </is>
      </c>
      <c r="F249" s="30" t="inlineStr">
        <is>
          <t>trading</t>
        </is>
      </c>
      <c r="G249" s="30" t="inlineStr">
        <is>
          <t>midcap</t>
        </is>
      </c>
      <c r="H249" s="31" t="n">
        <v>7557.71</v>
      </c>
      <c r="I249" s="31" t="n">
        <v>2802</v>
      </c>
      <c r="J249" s="31" t="n">
        <v>-0.8</v>
      </c>
      <c r="K249" s="31" t="n">
        <v>59227</v>
      </c>
      <c r="L249" s="30" t="n">
        <v>21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61.22</v>
      </c>
      <c r="P249" s="31" t="n">
        <v>12.11</v>
      </c>
      <c r="Q249" s="31" t="n">
        <v>2110.46</v>
      </c>
      <c r="R249" s="30" t="inlineStr">
        <is>
          <t>Volume Spike / Accumulation</t>
        </is>
      </c>
      <c r="S249" s="30" t="inlineStr">
        <is>
          <t>Nifty 50</t>
        </is>
      </c>
      <c r="T249" s="31" t="n">
        <v>0.85</v>
      </c>
      <c r="U249" s="31" t="n">
        <v>1.56</v>
      </c>
      <c r="V249" s="31" t="n">
        <v>0.71</v>
      </c>
      <c r="W249" s="31" t="n">
        <v>3.83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IF(B250=0,"",RANK(B250,$B$2:$B$396,0))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BASF</t>
        </is>
      </c>
      <c r="D250" s="32" t="inlineStr">
        <is>
          <t>Basf India Limited</t>
        </is>
      </c>
      <c r="E250" s="30" t="inlineStr">
        <is>
          <t>chemicals</t>
        </is>
      </c>
      <c r="F250" s="30" t="inlineStr">
        <is>
          <t>chemicals</t>
        </is>
      </c>
      <c r="G250" s="30" t="inlineStr">
        <is>
          <t>midcap</t>
        </is>
      </c>
      <c r="H250" s="31" t="n">
        <v>17855.33</v>
      </c>
      <c r="I250" s="31" t="n">
        <v>4091</v>
      </c>
      <c r="J250" s="31" t="n">
        <v>-0.82</v>
      </c>
      <c r="K250" s="31" t="n">
        <v>66610</v>
      </c>
      <c r="L250" s="30" t="n">
        <v>3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62.13</v>
      </c>
      <c r="P250" s="31" t="n">
        <v>13.81</v>
      </c>
      <c r="Q250" s="31" t="n">
        <v>3262.05</v>
      </c>
      <c r="R250" s="30" t="inlineStr">
        <is>
          <t>Volume Spike / Accumulation</t>
        </is>
      </c>
      <c r="S250" s="30" t="inlineStr">
        <is>
          <t>Nifty 50</t>
        </is>
      </c>
      <c r="T250" s="31" t="n">
        <v>0.85</v>
      </c>
      <c r="U250" s="31" t="n">
        <v>-8.619999999999999</v>
      </c>
      <c r="V250" s="31" t="n">
        <v>-9.390000000000001</v>
      </c>
      <c r="W250" s="31" t="n">
        <v>-0.88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IF(B251=0,"",RANK(B251,$B$2:$B$396,0))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TITAN</t>
        </is>
      </c>
      <c r="D251" s="30" t="inlineStr">
        <is>
          <t>Titan Company Limited</t>
        </is>
      </c>
      <c r="E251" s="30" t="inlineStr">
        <is>
          <t>consumer discretionary</t>
        </is>
      </c>
      <c r="F251" s="30" t="inlineStr">
        <is>
          <t>diamond cutting / jewellery</t>
        </is>
      </c>
      <c r="G251" s="30" t="inlineStr">
        <is>
          <t>largecap</t>
        </is>
      </c>
      <c r="H251" s="31" t="n">
        <v>443715.52</v>
      </c>
      <c r="I251" s="31" t="n">
        <v>4941</v>
      </c>
      <c r="J251" s="31" t="n">
        <v>-1.14</v>
      </c>
      <c r="K251" s="31" t="n">
        <v>2298160</v>
      </c>
      <c r="L251" s="30" t="n">
        <v>44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69.53</v>
      </c>
      <c r="P251" s="31" t="n">
        <v>20.65</v>
      </c>
      <c r="Q251" s="31" t="n">
        <v>4307.6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0.85</v>
      </c>
      <c r="U251" s="31" t="n">
        <v>43.26</v>
      </c>
      <c r="V251" s="31" t="n">
        <v>42.05</v>
      </c>
      <c r="W251" s="31" t="n">
        <v>9.51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Blue sky scenario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More than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IF(B252=0,"",RANK(B252,$B$2:$B$396,0))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ABB</t>
        </is>
      </c>
      <c r="D252" s="30" t="inlineStr">
        <is>
          <t>Abb India Limited</t>
        </is>
      </c>
      <c r="E252" s="30" t="inlineStr">
        <is>
          <t>industrials</t>
        </is>
      </c>
      <c r="F252" s="30" t="inlineStr">
        <is>
          <t>electric equipment</t>
        </is>
      </c>
      <c r="G252" s="30" t="inlineStr">
        <is>
          <t>largecap</t>
        </is>
      </c>
      <c r="H252" s="31" t="n">
        <v>163911.13</v>
      </c>
      <c r="I252" s="31" t="n">
        <v>7600</v>
      </c>
      <c r="J252" s="31" t="n">
        <v>-1.75</v>
      </c>
      <c r="K252" s="31" t="n">
        <v>356739</v>
      </c>
      <c r="L252" s="30" t="n">
        <v>50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64</v>
      </c>
      <c r="P252" s="31" t="n">
        <v>30.82</v>
      </c>
      <c r="Q252" s="31" t="n">
        <v>6113.38</v>
      </c>
      <c r="R252" s="30" t="inlineStr">
        <is>
          <t>Near 52W High Breakout</t>
        </is>
      </c>
      <c r="S252" s="30" t="inlineStr">
        <is>
          <t>Nifty 500</t>
        </is>
      </c>
      <c r="T252" s="31" t="n">
        <v>5.65</v>
      </c>
      <c r="U252" s="31" t="n">
        <v>53.74</v>
      </c>
      <c r="V252" s="31" t="n">
        <v>45.51</v>
      </c>
      <c r="W252" s="31" t="n">
        <v>11.24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IF(B253=0,"",RANK(B253,$B$2:$B$396,0))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NELCO</t>
        </is>
      </c>
      <c r="D253" s="30" t="inlineStr">
        <is>
          <t>Nelco Limited</t>
        </is>
      </c>
      <c r="E253" s="30" t="inlineStr">
        <is>
          <t>telecom</t>
        </is>
      </c>
      <c r="F253" s="30" t="inlineStr">
        <is>
          <t>telecommunications - service provider</t>
        </is>
      </c>
      <c r="G253" s="30" t="inlineStr">
        <is>
          <t>smallcap</t>
        </is>
      </c>
      <c r="H253" s="31" t="n">
        <v>2244.87</v>
      </c>
      <c r="I253" s="31" t="n">
        <v>958.9</v>
      </c>
      <c r="J253" s="31" t="n">
        <v>-2.53</v>
      </c>
      <c r="K253" s="31" t="n">
        <v>512118</v>
      </c>
      <c r="L253" s="30" t="n">
        <v>46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62.87</v>
      </c>
      <c r="P253" s="31" t="n">
        <v>28.92</v>
      </c>
      <c r="Q253" s="31" t="n">
        <v>763.77</v>
      </c>
      <c r="R253" s="30" t="inlineStr">
        <is>
          <t>Earnings / Momentum Support</t>
        </is>
      </c>
      <c r="S253" s="30" t="inlineStr">
        <is>
          <t>Nifty 50</t>
        </is>
      </c>
      <c r="T253" s="31" t="n">
        <v>0.85</v>
      </c>
      <c r="U253" s="31" t="n">
        <v>8.869999999999999</v>
      </c>
      <c r="V253" s="31" t="n">
        <v>7.95</v>
      </c>
      <c r="W253" s="31" t="n">
        <v>10.01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Oligopoly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Yes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IF(B254=0,"",RANK(B254,$B$2:$B$396,0))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APOLLOHOSP</t>
        </is>
      </c>
      <c r="D254" s="30" t="inlineStr">
        <is>
          <t>Apollo Hospitals Enterprise Limited</t>
        </is>
      </c>
      <c r="E254" s="30" t="inlineStr">
        <is>
          <t>healthcare</t>
        </is>
      </c>
      <c r="F254" s="30" t="inlineStr">
        <is>
          <t>healthcare</t>
        </is>
      </c>
      <c r="G254" s="30" t="inlineStr">
        <is>
          <t>largecap</t>
        </is>
      </c>
      <c r="H254" s="31" t="n">
        <v>129039.54</v>
      </c>
      <c r="I254" s="31" t="n">
        <v>8945</v>
      </c>
      <c r="J254" s="31" t="n">
        <v>-0.33</v>
      </c>
      <c r="K254" s="31" t="n">
        <v>533960</v>
      </c>
      <c r="L254" s="30" t="n">
        <v>36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70.28</v>
      </c>
      <c r="P254" s="31" t="n">
        <v>29.88</v>
      </c>
      <c r="Q254" s="31" t="n">
        <v>8024.64</v>
      </c>
      <c r="R254" s="30" t="inlineStr">
        <is>
          <t>Near 52W High Breakout</t>
        </is>
      </c>
      <c r="S254" s="30" t="inlineStr">
        <is>
          <t>Nifty Pharma</t>
        </is>
      </c>
      <c r="T254" s="31" t="n">
        <v>24.01</v>
      </c>
      <c r="U254" s="31" t="n">
        <v>26.59</v>
      </c>
      <c r="V254" s="31" t="n">
        <v>2.08</v>
      </c>
      <c r="W254" s="31" t="n">
        <v>7.18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Oligopoly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Cyclical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B2C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Fully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Above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Yes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Between 1.5 to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IF(B255=0,"",RANK(B255,$B$2:$B$396,0))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UNITDSPR</t>
        </is>
      </c>
      <c r="D255" s="30" t="inlineStr">
        <is>
          <t>United Spirits Ltd</t>
        </is>
      </c>
      <c r="E255" s="30" t="inlineStr">
        <is>
          <t>fmcg</t>
        </is>
      </c>
      <c r="F255" s="30" t="inlineStr">
        <is>
          <t>breweries &amp; distilleries</t>
        </is>
      </c>
      <c r="G255" s="30" t="inlineStr">
        <is>
          <t>largecap</t>
        </is>
      </c>
      <c r="H255" s="31" t="n">
        <v>110921.01</v>
      </c>
      <c r="I255" s="31" t="n">
        <v>1512.4</v>
      </c>
      <c r="J255" s="31" t="n">
        <v>-0.83</v>
      </c>
      <c r="K255" s="31" t="n">
        <v>636241</v>
      </c>
      <c r="L255" s="30" t="n">
        <v>27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65.91</v>
      </c>
      <c r="P255" s="31" t="n">
        <v>19.2</v>
      </c>
      <c r="Q255" s="31" t="n">
        <v>1321.46</v>
      </c>
      <c r="R255" s="30" t="inlineStr">
        <is>
          <t>Near 52W High Breakout</t>
        </is>
      </c>
      <c r="S255" s="30" t="inlineStr">
        <is>
          <t>Nifty FMCG</t>
        </is>
      </c>
      <c r="T255" s="31" t="n">
        <v>-9.43</v>
      </c>
      <c r="U255" s="31" t="n">
        <v>17.6</v>
      </c>
      <c r="V255" s="31" t="n">
        <v>29.84</v>
      </c>
      <c r="W255" s="31" t="n">
        <v>5.27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B2C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Annuity, Lower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IF(B256=0,"",RANK(B256,$B$2:$B$396,0))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APOLLOPIPE</t>
        </is>
      </c>
      <c r="D256" s="30" t="inlineStr">
        <is>
          <t>Apollo Pipes Ltd</t>
        </is>
      </c>
      <c r="E256" s="30" t="inlineStr">
        <is>
          <t>plastic products</t>
        </is>
      </c>
      <c r="F256" s="30" t="inlineStr">
        <is>
          <t>plastics products</t>
        </is>
      </c>
      <c r="G256" s="30" t="inlineStr">
        <is>
          <t>smallcap</t>
        </is>
      </c>
      <c r="H256" s="31" t="n">
        <v>2322.44</v>
      </c>
      <c r="I256" s="31" t="n">
        <v>515</v>
      </c>
      <c r="J256" s="31" t="n">
        <v>-2.32</v>
      </c>
      <c r="K256" s="31" t="n">
        <v>170575</v>
      </c>
      <c r="L256" s="30" t="n">
        <v>45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65.91</v>
      </c>
      <c r="P256" s="31" t="n">
        <v>46.82</v>
      </c>
      <c r="Q256" s="31" t="n">
        <v>397.4</v>
      </c>
      <c r="R256" s="30" t="inlineStr">
        <is>
          <t>Volume Spike &amp; Near 52W High Breakout</t>
        </is>
      </c>
      <c r="S256" s="30" t="inlineStr">
        <is>
          <t>Nifty 50</t>
        </is>
      </c>
      <c r="T256" s="31" t="n">
        <v>0.85</v>
      </c>
      <c r="U256" s="31" t="n">
        <v>33.48</v>
      </c>
      <c r="V256" s="31" t="n">
        <v>32.35</v>
      </c>
      <c r="W256" s="31" t="n">
        <v>9.720000000000001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Oligopoly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Cyclical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B2C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Fully One Time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Above 40</t>
        </is>
      </c>
      <c r="AY256" s="30">
        <f>IF(AX256="Above 40",20,IF(AX256="20 to 40",10,IF(AX256="0 to 20",-5,0)))</f>
        <v/>
      </c>
      <c r="AZ256" s="30" t="inlineStr">
        <is>
          <t>Above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Yes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Between 1.5 to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IF(B257=0,"",RANK(B257,$B$2:$B$396,0))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EMIL</t>
        </is>
      </c>
      <c r="D257" s="30" t="inlineStr">
        <is>
          <t>Electronics Mart India Ltd</t>
        </is>
      </c>
      <c r="E257" s="30" t="inlineStr">
        <is>
          <t>consumer discretionary</t>
        </is>
      </c>
      <c r="F257" s="30" t="inlineStr">
        <is>
          <t>trading</t>
        </is>
      </c>
      <c r="G257" s="30" t="inlineStr">
        <is>
          <t>midcap</t>
        </is>
      </c>
      <c r="H257" s="31" t="n">
        <v>5762.77</v>
      </c>
      <c r="I257" s="31" t="n">
        <v>165.83</v>
      </c>
      <c r="J257" s="31" t="n">
        <v>10.72</v>
      </c>
      <c r="K257" s="31" t="n">
        <v>51355051</v>
      </c>
      <c r="L257" s="30" t="n">
        <v>72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72.2</v>
      </c>
      <c r="P257" s="31" t="n">
        <v>24.24</v>
      </c>
      <c r="Q257" s="31" t="n">
        <v>124.21</v>
      </c>
      <c r="R257" s="30" t="inlineStr">
        <is>
          <t>Volume Spike &amp; Near 52W High Breakout</t>
        </is>
      </c>
      <c r="S257" s="30" t="inlineStr">
        <is>
          <t>Nifty 50</t>
        </is>
      </c>
      <c r="T257" s="31" t="n">
        <v>0.85</v>
      </c>
      <c r="U257" s="31" t="n">
        <v>36.51</v>
      </c>
      <c r="V257" s="31" t="n">
        <v>35.36</v>
      </c>
      <c r="W257" s="31" t="n">
        <v>17.72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More than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IF(B258=0,"",RANK(B258,$B$2:$B$396,0))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LLOYDSENGG</t>
        </is>
      </c>
      <c r="D258" s="30" t="inlineStr">
        <is>
          <t>Lloyds Engineering Works Ltd</t>
        </is>
      </c>
      <c r="E258" s="30" t="inlineStr">
        <is>
          <t>industrials</t>
        </is>
      </c>
      <c r="F258" s="30" t="inlineStr">
        <is>
          <t>engineering</t>
        </is>
      </c>
      <c r="G258" s="30" t="inlineStr">
        <is>
          <t>midcap</t>
        </is>
      </c>
      <c r="H258" s="31" t="n">
        <v>13094.7</v>
      </c>
      <c r="I258" s="31" t="n">
        <v>96.88</v>
      </c>
      <c r="J258" s="31" t="n">
        <v>9.52</v>
      </c>
      <c r="K258" s="31" t="n">
        <v>64356610</v>
      </c>
      <c r="L258" s="30" t="n">
        <v>78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76.65000000000001</v>
      </c>
      <c r="P258" s="31" t="n">
        <v>46.93</v>
      </c>
      <c r="Q258" s="31" t="n">
        <v>73.38</v>
      </c>
      <c r="R258" s="30" t="inlineStr">
        <is>
          <t>Near 52W High Breakout</t>
        </is>
      </c>
      <c r="S258" s="30" t="inlineStr">
        <is>
          <t>Nifty 50</t>
        </is>
      </c>
      <c r="T258" s="31" t="n">
        <v>0.85</v>
      </c>
      <c r="U258" s="31" t="n">
        <v>45.28</v>
      </c>
      <c r="V258" s="31" t="n">
        <v>44.06</v>
      </c>
      <c r="W258" s="31" t="n">
        <v>21.24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Above 40</t>
        </is>
      </c>
      <c r="AY258" s="30">
        <f>IF(AX258="Above 40",20,IF(AX258="20 to 40",10,IF(AX258="0 to 20",-5,0)))</f>
        <v/>
      </c>
      <c r="AZ258" s="30" t="inlineStr">
        <is>
          <t>Above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Blue sky scenario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Negative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IF(B259=0,"",RANK(B259,$B$2:$B$396,0))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TRAVELFOOD</t>
        </is>
      </c>
      <c r="D259" s="30" t="inlineStr">
        <is>
          <t>Travel Food Services Ltd</t>
        </is>
      </c>
      <c r="E259" s="30" t="inlineStr">
        <is>
          <t>consumer discretionary</t>
        </is>
      </c>
      <c r="F259" s="30" t="inlineStr">
        <is>
          <t>hotels</t>
        </is>
      </c>
      <c r="G259" s="30" t="inlineStr">
        <is>
          <t>midcap</t>
        </is>
      </c>
      <c r="H259" s="31" t="n">
        <v>17608.18</v>
      </c>
      <c r="I259" s="31" t="n">
        <v>1428.6</v>
      </c>
      <c r="J259" s="31" t="n">
        <v>6.84</v>
      </c>
      <c r="K259" s="31" t="n">
        <v>1277146</v>
      </c>
      <c r="L259" s="30" t="n">
        <v>40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64.14</v>
      </c>
      <c r="P259" s="31" t="n">
        <v>12.06</v>
      </c>
      <c r="Q259" s="31" t="n">
        <v>1143.9</v>
      </c>
      <c r="R259" s="30" t="inlineStr">
        <is>
          <t>Volume Spike &amp; Near 52W High Breakout</t>
        </is>
      </c>
      <c r="S259" s="30" t="inlineStr">
        <is>
          <t>Nifty 50</t>
        </is>
      </c>
      <c r="T259" s="31" t="n">
        <v>0.85</v>
      </c>
      <c r="U259" s="31" t="n">
        <v>27.58</v>
      </c>
      <c r="V259" s="31" t="n">
        <v>26.5</v>
      </c>
      <c r="W259" s="31" t="n">
        <v>8.52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Between 12 to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Between 50% to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IF(B260=0,"",RANK(B260,$B$2:$B$396,0))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GLOSTERLTD</t>
        </is>
      </c>
      <c r="D260" s="30" t="inlineStr">
        <is>
          <t>Gloster Ltd</t>
        </is>
      </c>
      <c r="E260" s="30" t="inlineStr">
        <is>
          <t>textiles</t>
        </is>
      </c>
      <c r="F260" s="30" t="inlineStr">
        <is>
          <t>textiles - jute - yarn / products</t>
        </is>
      </c>
      <c r="G260" s="30" t="inlineStr">
        <is>
          <t>smallcap</t>
        </is>
      </c>
      <c r="H260" s="31" t="n">
        <v>743.65</v>
      </c>
      <c r="I260" s="31" t="n">
        <v>697.45</v>
      </c>
      <c r="J260" s="31" t="n">
        <v>2.63</v>
      </c>
      <c r="K260" s="31" t="n">
        <v>8330</v>
      </c>
      <c r="L260" s="30" t="n">
        <v>20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60.52</v>
      </c>
      <c r="P260" s="31" t="n">
        <v>33.94</v>
      </c>
      <c r="Q260" s="31" t="n">
        <v>559.87</v>
      </c>
      <c r="R260" s="30" t="inlineStr">
        <is>
          <t>Near 52W High Breakout</t>
        </is>
      </c>
      <c r="S260" s="30" t="inlineStr">
        <is>
          <t>Nifty 50</t>
        </is>
      </c>
      <c r="T260" s="31" t="n">
        <v>0.85</v>
      </c>
      <c r="U260" s="31" t="n">
        <v>9.289999999999999</v>
      </c>
      <c r="V260" s="31" t="n">
        <v>8.369999999999999</v>
      </c>
      <c r="W260" s="31" t="n">
        <v>3.61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Less than 1.5</t>
        </is>
      </c>
      <c r="BU260" s="30">
        <f>IF(BT260="Above 2",0,IF(BT260="Between 1.5 to 2",5,IF(BT260="Less than 1.5",10,0)))</f>
        <v/>
      </c>
      <c r="BV260" s="30" t="inlineStr">
        <is>
          <t>Negative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Between 0.7 to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IF(B261=0,"",RANK(B261,$B$2:$B$396,0))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TVSMOTOR</t>
        </is>
      </c>
      <c r="D261" s="30" t="inlineStr">
        <is>
          <t>Tvs Motor Company Limited</t>
        </is>
      </c>
      <c r="E261" s="30" t="inlineStr">
        <is>
          <t>auto</t>
        </is>
      </c>
      <c r="F261" s="30" t="inlineStr">
        <is>
          <t>automobiles - motorcycles / mopeds</t>
        </is>
      </c>
      <c r="G261" s="30" t="inlineStr">
        <is>
          <t>largecap</t>
        </is>
      </c>
      <c r="H261" s="31" t="n">
        <v>207850.61</v>
      </c>
      <c r="I261" s="31" t="n">
        <v>4440.9</v>
      </c>
      <c r="J261" s="31" t="n">
        <v>1.51</v>
      </c>
      <c r="K261" s="31" t="n">
        <v>1665064</v>
      </c>
      <c r="L261" s="30" t="n">
        <v>68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72.7</v>
      </c>
      <c r="P261" s="31" t="n">
        <v>16.06</v>
      </c>
      <c r="Q261" s="31" t="n">
        <v>3726.43</v>
      </c>
      <c r="R261" s="30" t="inlineStr">
        <is>
          <t>Near 52W High Breakout</t>
        </is>
      </c>
      <c r="S261" s="30" t="inlineStr">
        <is>
          <t>Nifty Auto</t>
        </is>
      </c>
      <c r="T261" s="31" t="n">
        <v>24.67</v>
      </c>
      <c r="U261" s="31" t="n">
        <v>60.63</v>
      </c>
      <c r="V261" s="31" t="n">
        <v>28.84</v>
      </c>
      <c r="W261" s="31" t="n">
        <v>16.32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More than 1.2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IF(B262=0,"",RANK(B262,$B$2:$B$396,0))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PNGJL</t>
        </is>
      </c>
      <c r="D262" s="30" t="inlineStr">
        <is>
          <t>P N Gadgil Jewellers Ltd</t>
        </is>
      </c>
      <c r="E262" s="30" t="inlineStr">
        <is>
          <t>consumer discretionary</t>
        </is>
      </c>
      <c r="F262" s="30" t="inlineStr">
        <is>
          <t>diamond cutting / jewellery</t>
        </is>
      </c>
      <c r="G262" s="30" t="inlineStr">
        <is>
          <t>midcap</t>
        </is>
      </c>
      <c r="H262" s="31" t="n">
        <v>8620.190000000001</v>
      </c>
      <c r="I262" s="31" t="n">
        <v>642.85</v>
      </c>
      <c r="J262" s="31" t="n">
        <v>1.2</v>
      </c>
      <c r="K262" s="31" t="n">
        <v>698752</v>
      </c>
      <c r="L262" s="30" t="n">
        <v>13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56.16</v>
      </c>
      <c r="P262" s="31" t="n">
        <v>12.5</v>
      </c>
      <c r="Q262" s="31" t="n">
        <v>572.3200000000001</v>
      </c>
      <c r="R262" s="30" t="inlineStr">
        <is>
          <t>Earnings / Momentum Support</t>
        </is>
      </c>
      <c r="S262" s="30" t="inlineStr">
        <is>
          <t>Nifty 50</t>
        </is>
      </c>
      <c r="T262" s="31" t="n">
        <v>0.85</v>
      </c>
      <c r="U262" s="31" t="n">
        <v>15.98</v>
      </c>
      <c r="V262" s="31" t="n">
        <v>15</v>
      </c>
      <c r="W262" s="31" t="n">
        <v>2.19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Between 0.7 to 1.2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IF(B263=0,"",RANK(B263,$B$2:$B$396,0))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2" t="inlineStr">
        <is>
          <t>ENDURANCE</t>
        </is>
      </c>
      <c r="D263" s="32" t="inlineStr">
        <is>
          <t>Endurance Technologies Limited</t>
        </is>
      </c>
      <c r="E263" s="30" t="inlineStr">
        <is>
          <t>auto</t>
        </is>
      </c>
      <c r="F263" s="30" t="inlineStr">
        <is>
          <t>auto ancillaries</t>
        </is>
      </c>
      <c r="G263" s="30" t="inlineStr">
        <is>
          <t>largecap</t>
        </is>
      </c>
      <c r="H263" s="31" t="n">
        <v>40478.55</v>
      </c>
      <c r="I263" s="31" t="n">
        <v>2904.5</v>
      </c>
      <c r="J263" s="31" t="n">
        <v>0.93</v>
      </c>
      <c r="K263" s="31" t="n">
        <v>80767</v>
      </c>
      <c r="L263" s="30" t="n">
        <v>41</v>
      </c>
      <c r="M263" s="30" t="inlineStr">
        <is>
          <t>Underperforming</t>
        </is>
      </c>
      <c r="N263" s="31">
        <f>IF(M263="Underperforming",-5,IF(L263&gt;=95,15,IF(L263&gt;=90,10,IF(L263&gt;=80,5,0))))</f>
        <v/>
      </c>
      <c r="O263" s="31" t="n">
        <v>63.42</v>
      </c>
      <c r="P263" s="31" t="n">
        <v>15.59</v>
      </c>
      <c r="Q263" s="31" t="n">
        <v>2345.06</v>
      </c>
      <c r="R263" s="30" t="inlineStr">
        <is>
          <t>Near 52W High Breakout</t>
        </is>
      </c>
      <c r="S263" s="30" t="inlineStr">
        <is>
          <t>Nifty Auto</t>
        </is>
      </c>
      <c r="T263" s="31" t="n">
        <v>24.67</v>
      </c>
      <c r="U263" s="31" t="n">
        <v>13.51</v>
      </c>
      <c r="V263" s="31" t="n">
        <v>-8.949999999999999</v>
      </c>
      <c r="W263" s="31" t="n">
        <v>8.83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Between 12 to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IF(B264=0,"",RANK(B264,$B$2:$B$396,0))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HARSHA</t>
        </is>
      </c>
      <c r="D264" s="30" t="inlineStr">
        <is>
          <t>Harsha Engineers International Ltd</t>
        </is>
      </c>
      <c r="E264" s="30" t="inlineStr">
        <is>
          <t>industrials</t>
        </is>
      </c>
      <c r="F264" s="30" t="inlineStr">
        <is>
          <t>engineering</t>
        </is>
      </c>
      <c r="G264" s="30" t="inlineStr">
        <is>
          <t>smallcap</t>
        </is>
      </c>
      <c r="H264" s="31" t="n">
        <v>3869.37</v>
      </c>
      <c r="I264" s="31" t="n">
        <v>426.4</v>
      </c>
      <c r="J264" s="31" t="n">
        <v>0.33</v>
      </c>
      <c r="K264" s="31" t="n">
        <v>208520</v>
      </c>
      <c r="L264" s="30" t="n">
        <v>9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57.77</v>
      </c>
      <c r="P264" s="31" t="n">
        <v>41.07</v>
      </c>
      <c r="Q264" s="31" t="n">
        <v>339.58</v>
      </c>
      <c r="R264" s="30" t="inlineStr">
        <is>
          <t>Near 52W High Breakout</t>
        </is>
      </c>
      <c r="S264" s="30" t="inlineStr">
        <is>
          <t>Nifty 50</t>
        </is>
      </c>
      <c r="T264" s="31" t="n">
        <v>0.85</v>
      </c>
      <c r="U264" s="31" t="n">
        <v>3.35</v>
      </c>
      <c r="V264" s="31" t="n">
        <v>2.48</v>
      </c>
      <c r="W264" s="31" t="n">
        <v>0.89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Above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Less than 50%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IF(B265=0,"",RANK(B265,$B$2:$B$396,0))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LUMAXIND</t>
        </is>
      </c>
      <c r="D265" s="30" t="inlineStr">
        <is>
          <t>Lumax Industries Limited</t>
        </is>
      </c>
      <c r="E265" s="30" t="inlineStr">
        <is>
          <t>auto</t>
        </is>
      </c>
      <c r="F265" s="30" t="inlineStr">
        <is>
          <t>auto ancillaries</t>
        </is>
      </c>
      <c r="G265" s="30" t="inlineStr">
        <is>
          <t>midcap</t>
        </is>
      </c>
      <c r="H265" s="31" t="n">
        <v>5421.22</v>
      </c>
      <c r="I265" s="31" t="n">
        <v>5800</v>
      </c>
      <c r="J265" s="31" t="n">
        <v>0.01</v>
      </c>
      <c r="K265" s="31" t="n">
        <v>21031</v>
      </c>
      <c r="L265" s="30" t="n">
        <v>54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59.45</v>
      </c>
      <c r="P265" s="31" t="n">
        <v>10.25</v>
      </c>
      <c r="Q265" s="31" t="n">
        <v>4366.77</v>
      </c>
      <c r="R265" s="30" t="inlineStr">
        <is>
          <t>Volume Spike / Accumulation</t>
        </is>
      </c>
      <c r="S265" s="30" t="inlineStr">
        <is>
          <t>Nifty Auto</t>
        </is>
      </c>
      <c r="T265" s="31" t="n">
        <v>24.67</v>
      </c>
      <c r="U265" s="31" t="n">
        <v>54.13</v>
      </c>
      <c r="V265" s="31" t="n">
        <v>23.64</v>
      </c>
      <c r="W265" s="31" t="n">
        <v>12.39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Headwind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Less than 1.5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Between 0.7 to 1.2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IF(B266=0,"",RANK(B266,$B$2:$B$396,0))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ATUL</t>
        </is>
      </c>
      <c r="D266" s="30" t="inlineStr">
        <is>
          <t>Atul Limited</t>
        </is>
      </c>
      <c r="E266" s="30" t="inlineStr">
        <is>
          <t>chemicals</t>
        </is>
      </c>
      <c r="F266" s="30" t="inlineStr">
        <is>
          <t>chemicals</t>
        </is>
      </c>
      <c r="G266" s="30" t="inlineStr">
        <is>
          <t>largecap</t>
        </is>
      </c>
      <c r="H266" s="31" t="n">
        <v>20010.09</v>
      </c>
      <c r="I266" s="31" t="n">
        <v>6775</v>
      </c>
      <c r="J266" s="31" t="n">
        <v>-0.32</v>
      </c>
      <c r="K266" s="31" t="n">
        <v>130066</v>
      </c>
      <c r="L266" s="30" t="n">
        <v>6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56.86</v>
      </c>
      <c r="P266" s="31" t="n">
        <v>12.72</v>
      </c>
      <c r="Q266" s="31" t="n">
        <v>5928.68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0.85</v>
      </c>
      <c r="U266" s="31" t="n">
        <v>2.7</v>
      </c>
      <c r="V266" s="31" t="n">
        <v>1.83</v>
      </c>
      <c r="W266" s="31" t="n">
        <v>0.23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0 to 20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1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IF(B267=0,"",RANK(B267,$B$2:$B$396,0))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RAMRAT</t>
        </is>
      </c>
      <c r="D267" s="32" t="inlineStr">
        <is>
          <t>Ram Ratna Wires Ltd</t>
        </is>
      </c>
      <c r="E267" s="30" t="inlineStr">
        <is>
          <t>metals &amp; mining</t>
        </is>
      </c>
      <c r="F267" s="30" t="inlineStr">
        <is>
          <t>mining / minerals / metals</t>
        </is>
      </c>
      <c r="G267" s="30" t="inlineStr">
        <is>
          <t>smallcap</t>
        </is>
      </c>
      <c r="H267" s="31" t="n">
        <v>4360.8</v>
      </c>
      <c r="I267" s="31" t="n">
        <v>461.6</v>
      </c>
      <c r="J267" s="31" t="n">
        <v>-1.19</v>
      </c>
      <c r="K267" s="31" t="n">
        <v>203102</v>
      </c>
      <c r="L267" s="30" t="n">
        <v>50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67.55</v>
      </c>
      <c r="P267" s="31" t="n">
        <v>44.25</v>
      </c>
      <c r="Q267" s="31" t="n">
        <v>341.2</v>
      </c>
      <c r="R267" s="30" t="inlineStr">
        <is>
          <t>Volume Spike &amp; Near 52W High Breakout</t>
        </is>
      </c>
      <c r="S267" s="30" t="inlineStr">
        <is>
          <t>Nifty Metal</t>
        </is>
      </c>
      <c r="T267" s="31" t="n">
        <v>39.94</v>
      </c>
      <c r="U267" s="31" t="n">
        <v>32.66</v>
      </c>
      <c r="V267" s="31" t="n">
        <v>-5.21</v>
      </c>
      <c r="W267" s="31" t="n">
        <v>11.24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Above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IF(B268=0,"",RANK(B268,$B$2:$B$396,0))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GRAPHITE</t>
        </is>
      </c>
      <c r="D268" s="30" t="inlineStr">
        <is>
          <t>Graphite India Limited</t>
        </is>
      </c>
      <c r="E268" s="30" t="inlineStr">
        <is>
          <t>industrials</t>
        </is>
      </c>
      <c r="F268" s="30" t="inlineStr">
        <is>
          <t>electrodes - graphites</t>
        </is>
      </c>
      <c r="G268" s="30" t="inlineStr">
        <is>
          <t>midcap</t>
        </is>
      </c>
      <c r="H268" s="31" t="n">
        <v>14107.09</v>
      </c>
      <c r="I268" s="31" t="n">
        <v>709.95</v>
      </c>
      <c r="J268" s="31" t="n">
        <v>-1.68</v>
      </c>
      <c r="K268" s="31" t="n">
        <v>583486</v>
      </c>
      <c r="L268" s="30" t="n">
        <v>30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58.43</v>
      </c>
      <c r="P268" s="31" t="n">
        <v>18.11</v>
      </c>
      <c r="Q268" s="31" t="n">
        <v>584.87</v>
      </c>
      <c r="R268" s="30" t="inlineStr">
        <is>
          <t>Volume Spike / Accumulation</t>
        </is>
      </c>
      <c r="S268" s="30" t="inlineStr">
        <is>
          <t>Nifty 50</t>
        </is>
      </c>
      <c r="T268" s="31" t="n">
        <v>0.85</v>
      </c>
      <c r="U268" s="31" t="n">
        <v>37.14</v>
      </c>
      <c r="V268" s="31" t="n">
        <v>35.99</v>
      </c>
      <c r="W268" s="31" t="n">
        <v>5.99</v>
      </c>
      <c r="X268" s="30" t="inlineStr">
        <is>
          <t>Cyclical in an Upturn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IF(B269=0,"",RANK(B269,$B$2:$B$396,0))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MBAPL</t>
        </is>
      </c>
      <c r="D269" s="30" t="inlineStr">
        <is>
          <t>Madhya Bharat Agro Products Ltd</t>
        </is>
      </c>
      <c r="E269" s="30" t="inlineStr">
        <is>
          <t>chemicals</t>
        </is>
      </c>
      <c r="F269" s="30" t="inlineStr">
        <is>
          <t>fertilizers</t>
        </is>
      </c>
      <c r="G269" s="30" t="inlineStr">
        <is>
          <t>smallcap</t>
        </is>
      </c>
      <c r="H269" s="31" t="n">
        <v>1405.45</v>
      </c>
      <c r="I269" s="31" t="n">
        <v>157.5</v>
      </c>
      <c r="J269" s="31" t="n">
        <v>-1.8</v>
      </c>
      <c r="K269" s="31" t="n">
        <v>294509</v>
      </c>
      <c r="L269" s="30" t="n">
        <v>79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79.09</v>
      </c>
      <c r="P269" s="31" t="n">
        <v>63.66</v>
      </c>
      <c r="Q269" s="31" t="n">
        <v>133.1</v>
      </c>
      <c r="R269" s="30" t="inlineStr">
        <is>
          <t>Near 52W High Breakout</t>
        </is>
      </c>
      <c r="S269" s="30" t="inlineStr">
        <is>
          <t>Nifty 50</t>
        </is>
      </c>
      <c r="T269" s="31" t="n">
        <v>0.85</v>
      </c>
      <c r="U269" s="31" t="n">
        <v>87.52</v>
      </c>
      <c r="V269" s="31" t="n">
        <v>85.93000000000001</v>
      </c>
      <c r="W269" s="31" t="n">
        <v>22.07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Above 40</t>
        </is>
      </c>
      <c r="AY269" s="30">
        <f>IF(AX269="Above 40",20,IF(AX269="20 to 40",10,IF(AX269="0 to 20",-5,0)))</f>
        <v/>
      </c>
      <c r="AZ269" s="30" t="inlineStr">
        <is>
          <t>Above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Between 12 to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IF(B270=0,"",RANK(B270,$B$2:$B$396,0))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SMLMAH</t>
        </is>
      </c>
      <c r="D270" s="30" t="inlineStr">
        <is>
          <t>SML Mahindra Ltd</t>
        </is>
      </c>
      <c r="E270" s="30" t="inlineStr">
        <is>
          <t>auto</t>
        </is>
      </c>
      <c r="F270" s="30" t="inlineStr">
        <is>
          <t>automobiles - lcvs / hcvs</t>
        </is>
      </c>
      <c r="G270" s="30" t="inlineStr">
        <is>
          <t>midcap</t>
        </is>
      </c>
      <c r="H270" s="31" t="n">
        <v>8209.040000000001</v>
      </c>
      <c r="I270" s="31" t="n">
        <v>5554</v>
      </c>
      <c r="J270" s="31" t="n">
        <v>-2.09</v>
      </c>
      <c r="K270" s="31" t="n">
        <v>96731</v>
      </c>
      <c r="L270" s="30" t="n">
        <v>75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68.88</v>
      </c>
      <c r="P270" s="31" t="n">
        <v>9.44</v>
      </c>
      <c r="Q270" s="31" t="n">
        <v>4072.59</v>
      </c>
      <c r="R270" s="30" t="inlineStr">
        <is>
          <t>Near 52W High Breakout</t>
        </is>
      </c>
      <c r="S270" s="30" t="inlineStr">
        <is>
          <t>Nifty Auto</t>
        </is>
      </c>
      <c r="T270" s="31" t="n">
        <v>24.67</v>
      </c>
      <c r="U270" s="31" t="n">
        <v>47.04</v>
      </c>
      <c r="V270" s="31" t="n">
        <v>17.95</v>
      </c>
      <c r="W270" s="31" t="n">
        <v>19.33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Blue sky scenario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Less than 12%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IF(B271=0,"",RANK(B271,$B$2:$B$396,0))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KECL</t>
        </is>
      </c>
      <c r="D271" s="30" t="inlineStr">
        <is>
          <t>Kirloskar Electric Company Limited</t>
        </is>
      </c>
      <c r="E271" s="30" t="inlineStr">
        <is>
          <t>industrials</t>
        </is>
      </c>
      <c r="F271" s="30" t="inlineStr">
        <is>
          <t>electric equipment</t>
        </is>
      </c>
      <c r="G271" s="30" t="inlineStr">
        <is>
          <t>smallcap</t>
        </is>
      </c>
      <c r="H271" s="31" t="n">
        <v>985.52</v>
      </c>
      <c r="I271" s="31" t="n">
        <v>143.51</v>
      </c>
      <c r="J271" s="31" t="n">
        <v>-3.29</v>
      </c>
      <c r="K271" s="31" t="n">
        <v>324299</v>
      </c>
      <c r="L271" s="30" t="n">
        <v>42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66.02</v>
      </c>
      <c r="P271" s="31" t="n">
        <v>27.3</v>
      </c>
      <c r="Q271" s="31" t="n">
        <v>101.17</v>
      </c>
      <c r="R271" s="30" t="inlineStr">
        <is>
          <t>Volume Spike &amp; Near 52W High Breakout</t>
        </is>
      </c>
      <c r="S271" s="30" t="inlineStr">
        <is>
          <t>Nifty 50</t>
        </is>
      </c>
      <c r="T271" s="31" t="n">
        <v>0.85</v>
      </c>
      <c r="U271" s="31" t="n">
        <v>19.27</v>
      </c>
      <c r="V271" s="31" t="n">
        <v>18.27</v>
      </c>
      <c r="W271" s="31" t="n">
        <v>8.949999999999999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Between 50% to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Between 0.7 to 1.2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IF(B272=0,"",RANK(B272,$B$2:$B$396,0))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MANAKSTEEL</t>
        </is>
      </c>
      <c r="D272" s="32" t="inlineStr">
        <is>
          <t>Manaksia Steels Limited</t>
        </is>
      </c>
      <c r="E272" s="30" t="inlineStr">
        <is>
          <t>metals &amp; mining</t>
        </is>
      </c>
      <c r="F272" s="30" t="inlineStr">
        <is>
          <t>steel - medium / small</t>
        </is>
      </c>
      <c r="G272" s="30" t="inlineStr">
        <is>
          <t>smallcap</t>
        </is>
      </c>
      <c r="H272" s="31" t="n">
        <v>577.55</v>
      </c>
      <c r="I272" s="31" t="n">
        <v>84.43000000000001</v>
      </c>
      <c r="J272" s="31" t="n">
        <v>-4.2</v>
      </c>
      <c r="K272" s="31" t="n">
        <v>176000</v>
      </c>
      <c r="L272" s="30" t="n">
        <v>44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64.83</v>
      </c>
      <c r="P272" s="31" t="n">
        <v>38.31</v>
      </c>
      <c r="Q272" s="31" t="n">
        <v>58.04</v>
      </c>
      <c r="R272" s="30" t="inlineStr">
        <is>
          <t>Volume Spike &amp; Near 52W High Breakout</t>
        </is>
      </c>
      <c r="S272" s="30" t="inlineStr">
        <is>
          <t>Nifty Metal</t>
        </is>
      </c>
      <c r="T272" s="31" t="n">
        <v>39.94</v>
      </c>
      <c r="U272" s="31" t="n">
        <v>36.84</v>
      </c>
      <c r="V272" s="31" t="n">
        <v>-2.22</v>
      </c>
      <c r="W272" s="31" t="n">
        <v>9.44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Cyclical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Volatile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Blue sky scenario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More than 20%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IF(B273=0,"",RANK(B273,$B$2:$B$396,0))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2" t="inlineStr">
        <is>
          <t>APLAPOLLO</t>
        </is>
      </c>
      <c r="D273" s="32" t="inlineStr">
        <is>
          <t>Apl Apollo Tubes Limited</t>
        </is>
      </c>
      <c r="E273" s="30" t="inlineStr">
        <is>
          <t>industrials</t>
        </is>
      </c>
      <c r="F273" s="30" t="inlineStr">
        <is>
          <t>steel - large</t>
        </is>
      </c>
      <c r="G273" s="30" t="inlineStr">
        <is>
          <t>largecap</t>
        </is>
      </c>
      <c r="H273" s="31" t="n">
        <v>54004.56</v>
      </c>
      <c r="I273" s="31" t="n">
        <v>1970</v>
      </c>
      <c r="J273" s="31" t="n">
        <v>1.29</v>
      </c>
      <c r="K273" s="31" t="n">
        <v>802547</v>
      </c>
      <c r="L273" s="30" t="n">
        <v>25</v>
      </c>
      <c r="M273" s="30" t="inlineStr">
        <is>
          <t>Underperforming</t>
        </is>
      </c>
      <c r="N273" s="31">
        <f>IF(M273="Underperforming",-5,IF(L273&gt;=95,15,IF(L273&gt;=90,10,IF(L273&gt;=80,5,0))))</f>
        <v/>
      </c>
      <c r="O273" s="31" t="n">
        <v>56.04</v>
      </c>
      <c r="P273" s="31" t="n">
        <v>10.14</v>
      </c>
      <c r="Q273" s="31" t="n">
        <v>1639.1</v>
      </c>
      <c r="R273" s="30" t="inlineStr">
        <is>
          <t>Volume Spike / Accumulation</t>
        </is>
      </c>
      <c r="S273" s="30" t="inlineStr">
        <is>
          <t>Nifty Metal</t>
        </is>
      </c>
      <c r="T273" s="31" t="n">
        <v>39.94</v>
      </c>
      <c r="U273" s="31" t="n">
        <v>28.11</v>
      </c>
      <c r="V273" s="31" t="n">
        <v>-8.460000000000001</v>
      </c>
      <c r="W273" s="31" t="n">
        <v>4.97</v>
      </c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Oligopoly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Cyclical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B2C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Fully One Time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Above 40</t>
        </is>
      </c>
      <c r="AY273" s="30">
        <f>IF(AX273="Above 40",20,IF(AX273="20 to 40",10,IF(AX273="0 to 20",-5,0)))</f>
        <v/>
      </c>
      <c r="AZ273" s="30" t="inlineStr">
        <is>
          <t>Above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Yes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Between 1.5 to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IF(B274=0,"",RANK(B274,$B$2:$B$396,0))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DHAMPURSUG</t>
        </is>
      </c>
      <c r="D274" s="30" t="inlineStr">
        <is>
          <t>Dhampur Sugar Mills Limited</t>
        </is>
      </c>
      <c r="E274" s="30" t="inlineStr">
        <is>
          <t>fmcg</t>
        </is>
      </c>
      <c r="F274" s="30" t="inlineStr">
        <is>
          <t>sugar</t>
        </is>
      </c>
      <c r="G274" s="30" t="inlineStr">
        <is>
          <t>smallcap</t>
        </is>
      </c>
      <c r="H274" s="31" t="n">
        <v>960.8</v>
      </c>
      <c r="I274" s="31" t="n">
        <v>150.54</v>
      </c>
      <c r="J274" s="31" t="n">
        <v>0.76</v>
      </c>
      <c r="K274" s="31" t="n">
        <v>280699</v>
      </c>
      <c r="L274" s="30" t="n">
        <v>19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61.03</v>
      </c>
      <c r="P274" s="31" t="n">
        <v>17.67</v>
      </c>
      <c r="Q274" s="31" t="n">
        <v>115.73</v>
      </c>
      <c r="R274" s="30" t="inlineStr">
        <is>
          <t>Volume Spike &amp; Near 52W High Breakout</t>
        </is>
      </c>
      <c r="S274" s="30" t="inlineStr">
        <is>
          <t>Nifty FMCG</t>
        </is>
      </c>
      <c r="T274" s="31" t="n">
        <v>-9.43</v>
      </c>
      <c r="U274" s="31" t="n">
        <v>5.19</v>
      </c>
      <c r="V274" s="31" t="n">
        <v>16.14</v>
      </c>
      <c r="W274" s="31" t="n">
        <v>3.57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B2C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0 to 20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IF(B275=0,"",RANK(B275,$B$2:$B$396,0))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PVRINOX</t>
        </is>
      </c>
      <c r="D275" s="30" t="inlineStr">
        <is>
          <t>PVR Inox Ltd</t>
        </is>
      </c>
      <c r="E275" s="30" t="inlineStr">
        <is>
          <t>media</t>
        </is>
      </c>
      <c r="F275" s="30" t="inlineStr">
        <is>
          <t>entertainment / electronic media software</t>
        </is>
      </c>
      <c r="G275" s="30" t="inlineStr">
        <is>
          <t>midcap</t>
        </is>
      </c>
      <c r="H275" s="31" t="n">
        <v>11296.92</v>
      </c>
      <c r="I275" s="31" t="n">
        <v>1156</v>
      </c>
      <c r="J275" s="31" t="n">
        <v>0.49</v>
      </c>
      <c r="K275" s="31" t="n">
        <v>137511</v>
      </c>
      <c r="L275" s="30" t="n">
        <v>18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66.98999999999999</v>
      </c>
      <c r="P275" s="31" t="n">
        <v>13.43</v>
      </c>
      <c r="Q275" s="31" t="n">
        <v>960.96</v>
      </c>
      <c r="R275" s="30" t="inlineStr">
        <is>
          <t>Near 52W High Breakout</t>
        </is>
      </c>
      <c r="S275" s="30" t="inlineStr">
        <is>
          <t>Nifty IT</t>
        </is>
      </c>
      <c r="T275" s="31" t="n">
        <v>-8.289999999999999</v>
      </c>
      <c r="U275" s="31" t="n">
        <v>7.91</v>
      </c>
      <c r="V275" s="31" t="n">
        <v>17.66</v>
      </c>
      <c r="W275" s="31" t="n">
        <v>3.39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Annuity, Lower One Time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Between 0.7 to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IF(B276=0,"",RANK(B276,$B$2:$B$396,0))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TI</t>
        </is>
      </c>
      <c r="D276" s="30" t="inlineStr">
        <is>
          <t>Tilaknagar Industries Limited</t>
        </is>
      </c>
      <c r="E276" s="30" t="inlineStr">
        <is>
          <t>fmcg</t>
        </is>
      </c>
      <c r="F276" s="30" t="inlineStr">
        <is>
          <t>breweries &amp; distilleries</t>
        </is>
      </c>
      <c r="G276" s="30" t="inlineStr">
        <is>
          <t>midcap</t>
        </is>
      </c>
      <c r="H276" s="31" t="n">
        <v>12087.86</v>
      </c>
      <c r="I276" s="31" t="n">
        <v>490.75</v>
      </c>
      <c r="J276" s="31" t="n">
        <v>0.47</v>
      </c>
      <c r="K276" s="31" t="n">
        <v>783049</v>
      </c>
      <c r="L276" s="30" t="n">
        <v>13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61.48</v>
      </c>
      <c r="P276" s="31" t="n">
        <v>7.72</v>
      </c>
      <c r="Q276" s="31" t="n">
        <v>392.98</v>
      </c>
      <c r="R276" s="30" t="inlineStr">
        <is>
          <t>Volume Spike / Accumulation</t>
        </is>
      </c>
      <c r="S276" s="30" t="inlineStr">
        <is>
          <t>Nifty FMCG</t>
        </is>
      </c>
      <c r="T276" s="31" t="n">
        <v>-9.43</v>
      </c>
      <c r="U276" s="31" t="n">
        <v>-1.12</v>
      </c>
      <c r="V276" s="31" t="n">
        <v>9.17</v>
      </c>
      <c r="W276" s="31" t="n">
        <v>2.02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B2C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0 to 20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Between 0.7 to 1.2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IF(B277=0,"",RANK(B277,$B$2:$B$396,0))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2" t="inlineStr">
        <is>
          <t>APOLLOTYRE</t>
        </is>
      </c>
      <c r="D277" s="32" t="inlineStr">
        <is>
          <t>Apollo Tyres Limited</t>
        </is>
      </c>
      <c r="E277" s="30" t="inlineStr">
        <is>
          <t>auto</t>
        </is>
      </c>
      <c r="F277" s="30" t="inlineStr">
        <is>
          <t>tyres</t>
        </is>
      </c>
      <c r="G277" s="30" t="inlineStr">
        <is>
          <t>largecap</t>
        </is>
      </c>
      <c r="H277" s="31" t="n">
        <v>28560.49</v>
      </c>
      <c r="I277" s="31" t="n">
        <v>445</v>
      </c>
      <c r="J277" s="31" t="n">
        <v>-1.05</v>
      </c>
      <c r="K277" s="31" t="n">
        <v>1967067</v>
      </c>
      <c r="L277" s="30" t="n">
        <v>10</v>
      </c>
      <c r="M277" s="30" t="inlineStr">
        <is>
          <t>Underperforming</t>
        </is>
      </c>
      <c r="N277" s="31">
        <f>IF(M277="Underperforming",-5,IF(L277&gt;=95,15,IF(L277&gt;=90,10,IF(L277&gt;=80,5,0))))</f>
        <v/>
      </c>
      <c r="O277" s="31" t="n">
        <v>54.32</v>
      </c>
      <c r="P277" s="31" t="n">
        <v>17.89</v>
      </c>
      <c r="Q277" s="31" t="n">
        <v>363.51</v>
      </c>
      <c r="R277" s="30" t="inlineStr">
        <is>
          <t>Earnings / Momentum Support</t>
        </is>
      </c>
      <c r="S277" s="30" t="inlineStr">
        <is>
          <t>Nifty Auto</t>
        </is>
      </c>
      <c r="T277" s="31" t="n">
        <v>24.67</v>
      </c>
      <c r="U277" s="31" t="n">
        <v>-0.96</v>
      </c>
      <c r="V277" s="31" t="n">
        <v>-20.56</v>
      </c>
      <c r="W277" s="31" t="n">
        <v>1.28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Oligopoly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Cyclical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B2C</t>
        </is>
      </c>
      <c r="AO277" s="30">
        <f>IF(AN277="B2C",10,IF(AN277="B2B",5,0))</f>
        <v/>
      </c>
      <c r="AP277" s="30" t="inlineStr">
        <is>
          <t>Yes</t>
        </is>
      </c>
      <c r="AQ277" s="30">
        <f>IF(AP277="Yes",10,0)</f>
        <v/>
      </c>
      <c r="AR277" s="30" t="inlineStr">
        <is>
          <t>Fully One Time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Above 40</t>
        </is>
      </c>
      <c r="AY277" s="30">
        <f>IF(AX277="Above 40",20,IF(AX277="20 to 40",10,IF(AX277="0 to 20",-5,0)))</f>
        <v/>
      </c>
      <c r="AZ277" s="30" t="inlineStr">
        <is>
          <t>Above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Yes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Between 1.5 to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IF(B278=0,"",RANK(B278,$B$2:$B$396,0))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ORIENTELEC</t>
        </is>
      </c>
      <c r="D278" s="32" t="inlineStr">
        <is>
          <t>Orient Electric Ltd</t>
        </is>
      </c>
      <c r="E278" s="30" t="inlineStr">
        <is>
          <t>consumer discretionary</t>
        </is>
      </c>
      <c r="F278" s="30" t="inlineStr">
        <is>
          <t>domestic appliances</t>
        </is>
      </c>
      <c r="G278" s="30" t="inlineStr">
        <is>
          <t>smallcap</t>
        </is>
      </c>
      <c r="H278" s="31" t="n">
        <v>3802.82</v>
      </c>
      <c r="I278" s="31" t="n">
        <v>189.18</v>
      </c>
      <c r="J278" s="31" t="n">
        <v>6.14</v>
      </c>
      <c r="K278" s="31" t="n">
        <v>3629172</v>
      </c>
      <c r="L278" s="30" t="n">
        <v>3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56.87</v>
      </c>
      <c r="P278" s="31" t="n">
        <v>9.18</v>
      </c>
      <c r="Q278" s="31" t="n">
        <v>150.84</v>
      </c>
      <c r="R278" s="30" t="inlineStr">
        <is>
          <t>Volume Spike / Accumulation</t>
        </is>
      </c>
      <c r="S278" s="30" t="inlineStr">
        <is>
          <t>Nifty 50</t>
        </is>
      </c>
      <c r="T278" s="31" t="n">
        <v>0.85</v>
      </c>
      <c r="U278" s="31" t="n">
        <v>-7.4</v>
      </c>
      <c r="V278" s="31" t="n">
        <v>-8.18</v>
      </c>
      <c r="W278" s="31" t="n">
        <v>-0.86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1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Less than 1.5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IF(B279=0,"",RANK(B279,$B$2:$B$396,0))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MMFL</t>
        </is>
      </c>
      <c r="D279" s="30" t="inlineStr">
        <is>
          <t>Mm Forgings Limited</t>
        </is>
      </c>
      <c r="E279" s="30" t="inlineStr">
        <is>
          <t>industrials</t>
        </is>
      </c>
      <c r="F279" s="30" t="inlineStr">
        <is>
          <t>castings &amp; forgings</t>
        </is>
      </c>
      <c r="G279" s="30" t="inlineStr">
        <is>
          <t>smallcap</t>
        </is>
      </c>
      <c r="H279" s="31" t="n">
        <v>2914.04</v>
      </c>
      <c r="I279" s="31" t="n">
        <v>629.1</v>
      </c>
      <c r="J279" s="31" t="n">
        <v>4.23</v>
      </c>
      <c r="K279" s="31" t="n">
        <v>686458</v>
      </c>
      <c r="L279" s="30" t="n">
        <v>80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76.63</v>
      </c>
      <c r="P279" s="31" t="n">
        <v>19.58</v>
      </c>
      <c r="Q279" s="31" t="n">
        <v>491.46</v>
      </c>
      <c r="R279" s="30" t="inlineStr">
        <is>
          <t>Volume Spike &amp; Near 52W High Breakout</t>
        </is>
      </c>
      <c r="S279" s="30" t="inlineStr">
        <is>
          <t>Nifty 50</t>
        </is>
      </c>
      <c r="T279" s="31" t="n">
        <v>0.85</v>
      </c>
      <c r="U279" s="31" t="n">
        <v>105.27</v>
      </c>
      <c r="V279" s="31" t="n">
        <v>103.54</v>
      </c>
      <c r="W279" s="31" t="n">
        <v>22.47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Above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Less than 1.5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IF(B280=0,"",RANK(B280,$B$2:$B$396,0))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THEJO</t>
        </is>
      </c>
      <c r="D280" s="32" t="inlineStr">
        <is>
          <t>Thejo Engineering Ltd</t>
        </is>
      </c>
      <c r="E280" s="30" t="inlineStr">
        <is>
          <t>industrials</t>
        </is>
      </c>
      <c r="F280" s="30" t="inlineStr">
        <is>
          <t>engineering</t>
        </is>
      </c>
      <c r="G280" s="30" t="inlineStr">
        <is>
          <t>smallcap</t>
        </is>
      </c>
      <c r="H280" s="31" t="n">
        <v>2342.08</v>
      </c>
      <c r="I280" s="31" t="n">
        <v>2237.5</v>
      </c>
      <c r="J280" s="31" t="n">
        <v>3.63</v>
      </c>
      <c r="K280" s="31" t="n">
        <v>20237</v>
      </c>
      <c r="L280" s="30" t="n">
        <v>26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71.34</v>
      </c>
      <c r="P280" s="31" t="n">
        <v>23.27</v>
      </c>
      <c r="Q280" s="31" t="n">
        <v>1760.31</v>
      </c>
      <c r="R280" s="30" t="inlineStr">
        <is>
          <t>Near 52W High Breakout</t>
        </is>
      </c>
      <c r="S280" s="30" t="inlineStr">
        <is>
          <t>Nifty 50</t>
        </is>
      </c>
      <c r="T280" s="31" t="n">
        <v>0.85</v>
      </c>
      <c r="U280" s="31" t="n">
        <v>-1.81</v>
      </c>
      <c r="V280" s="31" t="n">
        <v>-2.64</v>
      </c>
      <c r="W280" s="31" t="n">
        <v>5.12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Between 50% to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IF(B281=0,"",RANK(B281,$B$2:$B$396,0))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GRASIM</t>
        </is>
      </c>
      <c r="D281" s="30" t="inlineStr">
        <is>
          <t>Grasim Industries Limited</t>
        </is>
      </c>
      <c r="E281" s="30" t="inlineStr">
        <is>
          <t>textiles</t>
        </is>
      </c>
      <c r="F281" s="30" t="inlineStr">
        <is>
          <t>textiles - manmade</t>
        </is>
      </c>
      <c r="G281" s="30" t="inlineStr">
        <is>
          <t>largecap</t>
        </is>
      </c>
      <c r="H281" s="31" t="n">
        <v>219146.95</v>
      </c>
      <c r="I281" s="31" t="n">
        <v>3323</v>
      </c>
      <c r="J281" s="31" t="n">
        <v>3.2</v>
      </c>
      <c r="K281" s="31" t="n">
        <v>2110992</v>
      </c>
      <c r="L281" s="30" t="n">
        <v>35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69</v>
      </c>
      <c r="P281" s="31" t="n">
        <v>34.68</v>
      </c>
      <c r="Q281" s="31" t="n">
        <v>2911.9</v>
      </c>
      <c r="R281" s="30" t="inlineStr">
        <is>
          <t>Near 52W High Breakout</t>
        </is>
      </c>
      <c r="S281" s="30" t="inlineStr">
        <is>
          <t>Nifty 50</t>
        </is>
      </c>
      <c r="T281" s="31" t="n">
        <v>0.85</v>
      </c>
      <c r="U281" s="31" t="n">
        <v>24.29</v>
      </c>
      <c r="V281" s="31" t="n">
        <v>23.24</v>
      </c>
      <c r="W281" s="31" t="n">
        <v>6.99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Blue sky scenario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Yes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More than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IF(B282=0,"",RANK(B282,$B$2:$B$396,0))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TIIL</t>
        </is>
      </c>
      <c r="D282" s="32" t="inlineStr">
        <is>
          <t>Technocraft Industries (india) Limited</t>
        </is>
      </c>
      <c r="E282" s="30" t="inlineStr">
        <is>
          <t>metals &amp; mining</t>
        </is>
      </c>
      <c r="F282" s="30" t="inlineStr">
        <is>
          <t>steel - medium / small</t>
        </is>
      </c>
      <c r="G282" s="30" t="inlineStr">
        <is>
          <t>midcap</t>
        </is>
      </c>
      <c r="H282" s="31" t="n">
        <v>5974.74</v>
      </c>
      <c r="I282" s="31" t="n">
        <v>2693.5</v>
      </c>
      <c r="J282" s="31" t="n">
        <v>2.21</v>
      </c>
      <c r="K282" s="31" t="n">
        <v>22938</v>
      </c>
      <c r="L282" s="30" t="n">
        <v>5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61.35</v>
      </c>
      <c r="P282" s="31" t="n">
        <v>23.51</v>
      </c>
      <c r="Q282" s="31" t="n">
        <v>2142.06</v>
      </c>
      <c r="R282" s="30" t="inlineStr">
        <is>
          <t>Near 52W High Breakout</t>
        </is>
      </c>
      <c r="S282" s="30" t="inlineStr">
        <is>
          <t>Nifty Metal</t>
        </is>
      </c>
      <c r="T282" s="31" t="n">
        <v>39.94</v>
      </c>
      <c r="U282" s="31" t="n">
        <v>-18.22</v>
      </c>
      <c r="V282" s="31" t="n">
        <v>-41.56</v>
      </c>
      <c r="W282" s="31" t="n">
        <v>-0.4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Cyclical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Volatile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Between 12 to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Between 50% to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IF(B283=0,"",RANK(B283,$B$2:$B$396,0))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DEEPINDS</t>
        </is>
      </c>
      <c r="D283" s="30" t="inlineStr">
        <is>
          <t>Deep Industries Ltd</t>
        </is>
      </c>
      <c r="E283" s="30" t="inlineStr">
        <is>
          <t>energy</t>
        </is>
      </c>
      <c r="F283" s="30" t="inlineStr">
        <is>
          <t>oil drilling / allied services</t>
        </is>
      </c>
      <c r="G283" s="30" t="inlineStr">
        <is>
          <t>smallcap</t>
        </is>
      </c>
      <c r="H283" s="31" t="n">
        <v>4012.8</v>
      </c>
      <c r="I283" s="31" t="n">
        <v>638.9</v>
      </c>
      <c r="J283" s="31" t="n">
        <v>1.9</v>
      </c>
      <c r="K283" s="31" t="n">
        <v>601212</v>
      </c>
      <c r="L283" s="30" t="n">
        <v>67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73.37</v>
      </c>
      <c r="P283" s="31" t="n">
        <v>16.02</v>
      </c>
      <c r="Q283" s="31" t="n">
        <v>487.68</v>
      </c>
      <c r="R283" s="30" t="inlineStr">
        <is>
          <t>Volume Spike &amp; Near 52W High Breakout</t>
        </is>
      </c>
      <c r="S283" s="30" t="inlineStr">
        <is>
          <t>Nifty Energy</t>
        </is>
      </c>
      <c r="T283" s="31" t="n">
        <v>9.93</v>
      </c>
      <c r="U283" s="31" t="n">
        <v>42.49</v>
      </c>
      <c r="V283" s="31" t="n">
        <v>29.62</v>
      </c>
      <c r="W283" s="31" t="n">
        <v>16.01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Oligopoly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Yes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Cyclical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Volatile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Blue sky scenario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IF(B284=0,"",RANK(B284,$B$2:$B$396,0))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FOSECOIND</t>
        </is>
      </c>
      <c r="D284" s="30" t="inlineStr">
        <is>
          <t>Foseco India Limited</t>
        </is>
      </c>
      <c r="E284" s="30" t="inlineStr">
        <is>
          <t>chemicals</t>
        </is>
      </c>
      <c r="F284" s="30" t="inlineStr">
        <is>
          <t>chemicals</t>
        </is>
      </c>
      <c r="G284" s="30" t="inlineStr">
        <is>
          <t>smallcap</t>
        </is>
      </c>
      <c r="H284" s="31" t="n">
        <v>4076.9</v>
      </c>
      <c r="I284" s="31" t="n">
        <v>5509.5</v>
      </c>
      <c r="J284" s="31" t="n">
        <v>1.86</v>
      </c>
      <c r="K284" s="31" t="n">
        <v>4892</v>
      </c>
      <c r="L284" s="30" t="n">
        <v>25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61.24</v>
      </c>
      <c r="P284" s="31" t="n">
        <v>16.4</v>
      </c>
      <c r="Q284" s="31" t="n">
        <v>4382.47</v>
      </c>
      <c r="R284" s="30" t="inlineStr">
        <is>
          <t>Volume Spike / Accumulation</t>
        </is>
      </c>
      <c r="S284" s="30" t="inlineStr">
        <is>
          <t>Nifty 50</t>
        </is>
      </c>
      <c r="T284" s="31" t="n">
        <v>0.85</v>
      </c>
      <c r="U284" s="31" t="n">
        <v>14.51</v>
      </c>
      <c r="V284" s="31" t="n">
        <v>13.54</v>
      </c>
      <c r="W284" s="31" t="n">
        <v>5.09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IF(B285=0,"",RANK(B285,$B$2:$B$396,0))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SUYOG</t>
        </is>
      </c>
      <c r="D285" s="30" t="inlineStr">
        <is>
          <t>Suyog Telematics Ltd</t>
        </is>
      </c>
      <c r="E285" s="30" t="inlineStr">
        <is>
          <t>telecom</t>
        </is>
      </c>
      <c r="F285" s="30" t="inlineStr">
        <is>
          <t>transmisson line towers / equipment</t>
        </is>
      </c>
      <c r="G285" s="30" t="inlineStr">
        <is>
          <t>smallcap</t>
        </is>
      </c>
      <c r="H285" s="31" t="n">
        <v>1010.66</v>
      </c>
      <c r="I285" s="31" t="n">
        <v>878</v>
      </c>
      <c r="J285" s="31" t="n">
        <v>1.79</v>
      </c>
      <c r="K285" s="31" t="n">
        <v>41570</v>
      </c>
      <c r="L285" s="30" t="n">
        <v>25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60.46</v>
      </c>
      <c r="P285" s="31" t="n">
        <v>17.07</v>
      </c>
      <c r="Q285" s="31" t="n">
        <v>660.88</v>
      </c>
      <c r="R285" s="30" t="inlineStr">
        <is>
          <t>Near 52W High Breakout</t>
        </is>
      </c>
      <c r="S285" s="30" t="inlineStr">
        <is>
          <t>Nifty 50</t>
        </is>
      </c>
      <c r="T285" s="31" t="n">
        <v>0.85</v>
      </c>
      <c r="U285" s="31" t="n">
        <v>7.26</v>
      </c>
      <c r="V285" s="31" t="n">
        <v>6.36</v>
      </c>
      <c r="W285" s="31" t="n">
        <v>5.05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Oligopoly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Yes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Less than 1.5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Between 0.7 to 1.2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IF(B286=0,"",RANK(B286,$B$2:$B$396,0))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PTC</t>
        </is>
      </c>
      <c r="D286" s="30" t="inlineStr">
        <is>
          <t>Ptc India Limited</t>
        </is>
      </c>
      <c r="E286" s="30" t="inlineStr">
        <is>
          <t>power &amp; utilities</t>
        </is>
      </c>
      <c r="F286" s="30" t="inlineStr">
        <is>
          <t>trading</t>
        </is>
      </c>
      <c r="G286" s="30" t="inlineStr">
        <is>
          <t>midcap</t>
        </is>
      </c>
      <c r="H286" s="31" t="n">
        <v>5925.2</v>
      </c>
      <c r="I286" s="31" t="n">
        <v>203.3</v>
      </c>
      <c r="J286" s="31" t="n">
        <v>1.56</v>
      </c>
      <c r="K286" s="31" t="n">
        <v>12883295</v>
      </c>
      <c r="L286" s="30" t="n">
        <v>14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61.48</v>
      </c>
      <c r="P286" s="31" t="n">
        <v>20.49</v>
      </c>
      <c r="Q286" s="31" t="n">
        <v>181.66</v>
      </c>
      <c r="R286" s="30" t="inlineStr">
        <is>
          <t>Volume Spike / Accumulation</t>
        </is>
      </c>
      <c r="S286" s="30" t="inlineStr">
        <is>
          <t>Nifty IT</t>
        </is>
      </c>
      <c r="T286" s="31" t="n">
        <v>-8.289999999999999</v>
      </c>
      <c r="U286" s="31" t="n">
        <v>18.66</v>
      </c>
      <c r="V286" s="31" t="n">
        <v>29.38</v>
      </c>
      <c r="W286" s="31" t="n">
        <v>2.42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1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IF(B287=0,"",RANK(B287,$B$2:$B$396,0))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MAHASTEEL</t>
        </is>
      </c>
      <c r="D287" s="30" t="inlineStr">
        <is>
          <t>Mahamaya Steel Industries Limited</t>
        </is>
      </c>
      <c r="E287" s="30" t="inlineStr">
        <is>
          <t>metals &amp; mining</t>
        </is>
      </c>
      <c r="F287" s="30" t="inlineStr">
        <is>
          <t>steel - medium / small</t>
        </is>
      </c>
      <c r="G287" s="30" t="inlineStr">
        <is>
          <t>smallcap</t>
        </is>
      </c>
      <c r="H287" s="31" t="n">
        <v>1683.05</v>
      </c>
      <c r="I287" s="31" t="n">
        <v>1035</v>
      </c>
      <c r="J287" s="31" t="n">
        <v>1.06</v>
      </c>
      <c r="K287" s="31" t="n">
        <v>11772</v>
      </c>
      <c r="L287" s="30" t="n">
        <v>90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63.9</v>
      </c>
      <c r="P287" s="31" t="n">
        <v>17.35</v>
      </c>
      <c r="Q287" s="31" t="n">
        <v>737.33</v>
      </c>
      <c r="R287" s="30" t="inlineStr">
        <is>
          <t>Volume Spike &amp; Near 52W High Breakout</t>
        </is>
      </c>
      <c r="S287" s="30" t="inlineStr">
        <is>
          <t>Nifty Metal</t>
        </is>
      </c>
      <c r="T287" s="31" t="n">
        <v>39.94</v>
      </c>
      <c r="U287" s="31" t="n">
        <v>190.64</v>
      </c>
      <c r="V287" s="31" t="n">
        <v>107.68</v>
      </c>
      <c r="W287" s="31" t="n">
        <v>30.56</v>
      </c>
      <c r="X287" s="30" t="inlineStr">
        <is>
          <t>Cyclical in an Upturn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Cyclical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Volatile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Yes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Blue sky scenario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IF(B288=0,"",RANK(B288,$B$2:$B$396,0))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HIRECT</t>
        </is>
      </c>
      <c r="D288" s="30" t="inlineStr">
        <is>
          <t>Hind Rectifiers Limited</t>
        </is>
      </c>
      <c r="E288" s="30" t="inlineStr">
        <is>
          <t>consumer discretionary</t>
        </is>
      </c>
      <c r="F288" s="30" t="inlineStr">
        <is>
          <t>electronics - components</t>
        </is>
      </c>
      <c r="G288" s="30" t="inlineStr">
        <is>
          <t>smallcap</t>
        </is>
      </c>
      <c r="H288" s="31" t="n">
        <v>4599.69</v>
      </c>
      <c r="I288" s="31" t="n">
        <v>1310.2</v>
      </c>
      <c r="J288" s="31" t="n">
        <v>1</v>
      </c>
      <c r="K288" s="31" t="n">
        <v>54460</v>
      </c>
      <c r="L288" s="30" t="n">
        <v>72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76.63</v>
      </c>
      <c r="P288" s="31" t="n">
        <v>32.29</v>
      </c>
      <c r="Q288" s="31" t="n">
        <v>938.54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0.85</v>
      </c>
      <c r="U288" s="31" t="n">
        <v>43</v>
      </c>
      <c r="V288" s="31" t="n">
        <v>41.79</v>
      </c>
      <c r="W288" s="31" t="n">
        <v>18.39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Above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IF(B289=0,"",RANK(B289,$B$2:$B$396,0))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UNOMINDA</t>
        </is>
      </c>
      <c r="D289" s="32" t="inlineStr">
        <is>
          <t>Uno Minda Ltd</t>
        </is>
      </c>
      <c r="E289" s="30" t="inlineStr">
        <is>
          <t>auto</t>
        </is>
      </c>
      <c r="F289" s="30" t="inlineStr">
        <is>
          <t>auto ancillaries</t>
        </is>
      </c>
      <c r="G289" s="30" t="inlineStr">
        <is>
          <t>largecap</t>
        </is>
      </c>
      <c r="H289" s="31" t="n">
        <v>73800.31</v>
      </c>
      <c r="I289" s="31" t="n">
        <v>1285</v>
      </c>
      <c r="J289" s="31" t="n">
        <v>0.55</v>
      </c>
      <c r="K289" s="31" t="n">
        <v>1109626</v>
      </c>
      <c r="L289" s="30" t="n">
        <v>35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63.85</v>
      </c>
      <c r="P289" s="31" t="n">
        <v>17.12</v>
      </c>
      <c r="Q289" s="31" t="n">
        <v>1047.92</v>
      </c>
      <c r="R289" s="30" t="inlineStr">
        <is>
          <t>Volume Spike &amp; Near 52W High Breakout</t>
        </is>
      </c>
      <c r="S289" s="30" t="inlineStr">
        <is>
          <t>Nifty Auto</t>
        </is>
      </c>
      <c r="T289" s="31" t="n">
        <v>24.67</v>
      </c>
      <c r="U289" s="31" t="n">
        <v>18.69</v>
      </c>
      <c r="V289" s="31" t="n">
        <v>-4.79</v>
      </c>
      <c r="W289" s="31" t="n">
        <v>7.01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IF(B290=0,"",RANK(B290,$B$2:$B$396,0))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SUNFLAG</t>
        </is>
      </c>
      <c r="D290" s="32" t="inlineStr">
        <is>
          <t>Sunflag Iron And Steel Company Limited</t>
        </is>
      </c>
      <c r="E290" s="30" t="inlineStr">
        <is>
          <t>metals &amp; mining</t>
        </is>
      </c>
      <c r="F290" s="30" t="inlineStr">
        <is>
          <t>steel - medium / small</t>
        </is>
      </c>
      <c r="G290" s="30" t="inlineStr">
        <is>
          <t>midcap</t>
        </is>
      </c>
      <c r="H290" s="31" t="n">
        <v>7009.64</v>
      </c>
      <c r="I290" s="31" t="n">
        <v>391</v>
      </c>
      <c r="J290" s="31" t="n">
        <v>0.53</v>
      </c>
      <c r="K290" s="31" t="n">
        <v>305259</v>
      </c>
      <c r="L290" s="30" t="n">
        <v>63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67.23</v>
      </c>
      <c r="P290" s="31" t="n">
        <v>45.23</v>
      </c>
      <c r="Q290" s="31" t="n">
        <v>317.72</v>
      </c>
      <c r="R290" s="30" t="inlineStr">
        <is>
          <t>Volume Spike / Accumulation</t>
        </is>
      </c>
      <c r="S290" s="30" t="inlineStr">
        <is>
          <t>Nifty Metal</t>
        </is>
      </c>
      <c r="T290" s="31" t="n">
        <v>39.94</v>
      </c>
      <c r="U290" s="31" t="n">
        <v>37.33</v>
      </c>
      <c r="V290" s="31" t="n">
        <v>-1.87</v>
      </c>
      <c r="W290" s="31" t="n">
        <v>15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Yes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Above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IF(B291=0,"",RANK(B291,$B$2:$B$396,0))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RAYMONDREL</t>
        </is>
      </c>
      <c r="D291" s="30" t="inlineStr">
        <is>
          <t>Raymond Realty Ltd</t>
        </is>
      </c>
      <c r="E291" s="30" t="inlineStr">
        <is>
          <t>realty</t>
        </is>
      </c>
      <c r="F291" s="30" t="inlineStr">
        <is>
          <t>construction</t>
        </is>
      </c>
      <c r="G291" s="30" t="inlineStr">
        <is>
          <t>smallcap</t>
        </is>
      </c>
      <c r="H291" s="31" t="n">
        <v>4581.6</v>
      </c>
      <c r="I291" s="31" t="n">
        <v>690</v>
      </c>
      <c r="J291" s="31" t="n">
        <v>0.26</v>
      </c>
      <c r="K291" s="31" t="n">
        <v>347491</v>
      </c>
      <c r="L291" s="30" t="n">
        <v>64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60.99</v>
      </c>
      <c r="P291" s="31" t="n">
        <v>48.93</v>
      </c>
      <c r="Q291" s="31" t="n">
        <v>500.2</v>
      </c>
      <c r="R291" s="30" t="inlineStr">
        <is>
          <t>Near 52W High Breakout</t>
        </is>
      </c>
      <c r="S291" s="30" t="inlineStr">
        <is>
          <t>Nifty Realty</t>
        </is>
      </c>
      <c r="T291" s="31" t="n">
        <v>-6.8</v>
      </c>
      <c r="U291" s="31" t="n">
        <v>-3.14</v>
      </c>
      <c r="V291" s="31" t="n">
        <v>3.93</v>
      </c>
      <c r="W291" s="31" t="n">
        <v>15.26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Above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IF(B292=0,"",RANK(B292,$B$2:$B$396,0))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RATNAVEER</t>
        </is>
      </c>
      <c r="D292" s="32" t="inlineStr">
        <is>
          <t>Ratnaveer Precision Engineering Ltd</t>
        </is>
      </c>
      <c r="E292" s="30" t="inlineStr">
        <is>
          <t>metals &amp; mining</t>
        </is>
      </c>
      <c r="F292" s="30" t="inlineStr">
        <is>
          <t>steel - medium / small</t>
        </is>
      </c>
      <c r="G292" s="30" t="inlineStr">
        <is>
          <t>smallcap</t>
        </is>
      </c>
      <c r="H292" s="31" t="n">
        <v>1468.6</v>
      </c>
      <c r="I292" s="31" t="n">
        <v>206.1</v>
      </c>
      <c r="J292" s="31" t="n">
        <v>0.24</v>
      </c>
      <c r="K292" s="31" t="n">
        <v>6422570</v>
      </c>
      <c r="L292" s="30" t="n">
        <v>66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66.48</v>
      </c>
      <c r="P292" s="31" t="n">
        <v>50.21</v>
      </c>
      <c r="Q292" s="31" t="n">
        <v>146.66</v>
      </c>
      <c r="R292" s="30" t="inlineStr">
        <is>
          <t>Volume Spike &amp; Near 52W High Breakout</t>
        </is>
      </c>
      <c r="S292" s="30" t="inlineStr">
        <is>
          <t>Nifty Metal</t>
        </is>
      </c>
      <c r="T292" s="31" t="n">
        <v>39.94</v>
      </c>
      <c r="U292" s="31" t="n">
        <v>32.85</v>
      </c>
      <c r="V292" s="31" t="n">
        <v>-5.07</v>
      </c>
      <c r="W292" s="31" t="n">
        <v>15.67</v>
      </c>
      <c r="X292" s="30" t="inlineStr">
        <is>
          <t>Cyclical in an Upturn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Cyclical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Volatile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IF(B293=0,"",RANK(B293,$B$2:$B$396,0))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ETERNAL</t>
        </is>
      </c>
      <c r="D293" s="30" t="inlineStr">
        <is>
          <t>Eternal Ltd</t>
        </is>
      </c>
      <c r="E293" s="30" t="inlineStr">
        <is>
          <t>i.t</t>
        </is>
      </c>
      <c r="F293" s="30" t="inlineStr">
        <is>
          <t>miscellaneous</t>
        </is>
      </c>
      <c r="G293" s="30" t="inlineStr">
        <is>
          <t>largecap</t>
        </is>
      </c>
      <c r="H293" s="31" t="n">
        <v>305192.34</v>
      </c>
      <c r="I293" s="31" t="n">
        <v>315</v>
      </c>
      <c r="J293" s="31" t="n">
        <v>-0.4</v>
      </c>
      <c r="K293" s="31" t="n">
        <v>24606002</v>
      </c>
      <c r="L293" s="30" t="n">
        <v>31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65.15000000000001</v>
      </c>
      <c r="P293" s="31" t="n">
        <v>16.08</v>
      </c>
      <c r="Q293" s="31" t="n">
        <v>249.87</v>
      </c>
      <c r="R293" s="30" t="inlineStr">
        <is>
          <t>Earnings / Momentum Support</t>
        </is>
      </c>
      <c r="S293" s="30" t="inlineStr">
        <is>
          <t>Nifty IT</t>
        </is>
      </c>
      <c r="T293" s="31" t="n">
        <v>-8.289999999999999</v>
      </c>
      <c r="U293" s="31" t="n">
        <v>4.69</v>
      </c>
      <c r="V293" s="31" t="n">
        <v>14.15</v>
      </c>
      <c r="W293" s="31" t="n">
        <v>6.1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IF(B294=0,"",RANK(B294,$B$2:$B$396,0))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SICALLOG</t>
        </is>
      </c>
      <c r="D294" s="32" t="inlineStr">
        <is>
          <t>Sical Logistics Ltd</t>
        </is>
      </c>
      <c r="E294" s="30" t="inlineStr">
        <is>
          <t>transportation</t>
        </is>
      </c>
      <c r="F294" s="30" t="inlineStr">
        <is>
          <t>miscellaneous</t>
        </is>
      </c>
      <c r="G294" s="30" t="inlineStr">
        <is>
          <t>smallcap</t>
        </is>
      </c>
      <c r="H294" s="31" t="n">
        <v>828.5700000000001</v>
      </c>
      <c r="I294" s="31" t="n">
        <v>103</v>
      </c>
      <c r="J294" s="31" t="n">
        <v>-0.82</v>
      </c>
      <c r="K294" s="31" t="n">
        <v>30930</v>
      </c>
      <c r="L294" s="30" t="n">
        <v>56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61.07</v>
      </c>
      <c r="P294" s="31" t="n">
        <v>27.87</v>
      </c>
      <c r="Q294" s="31" t="n">
        <v>86.72</v>
      </c>
      <c r="R294" s="30" t="inlineStr">
        <is>
          <t>Earnings / Momentum Support</t>
        </is>
      </c>
      <c r="S294" s="30" t="inlineStr">
        <is>
          <t>Nifty 50</t>
        </is>
      </c>
      <c r="T294" s="31" t="n">
        <v>0.85</v>
      </c>
      <c r="U294" s="31" t="n">
        <v>-2.99</v>
      </c>
      <c r="V294" s="31" t="n">
        <v>-3.81</v>
      </c>
      <c r="W294" s="31" t="n">
        <v>13.22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20 to 40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Less than 1.5</t>
        </is>
      </c>
      <c r="BU294" s="30">
        <f>IF(BT294="Above 2",0,IF(BT294="Between 1.5 to 2",5,IF(BT294="Less than 1.5",10,0)))</f>
        <v/>
      </c>
      <c r="BV294" s="30" t="inlineStr">
        <is>
          <t>Between 50% to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More than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IF(B295=0,"",RANK(B295,$B$2:$B$396,0))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TTKHLTCARE</t>
        </is>
      </c>
      <c r="D295" s="32" t="inlineStr">
        <is>
          <t>Ttk Healthcare Limited</t>
        </is>
      </c>
      <c r="E295" s="30" t="inlineStr">
        <is>
          <t>miscellaneous</t>
        </is>
      </c>
      <c r="F295" s="30" t="inlineStr">
        <is>
          <t>diversified - medium / small</t>
        </is>
      </c>
      <c r="G295" s="30" t="inlineStr">
        <is>
          <t>smallcap</t>
        </is>
      </c>
      <c r="H295" s="31" t="n">
        <v>1546</v>
      </c>
      <c r="I295" s="31" t="n">
        <v>1084.8</v>
      </c>
      <c r="J295" s="31" t="n">
        <v>-0.85</v>
      </c>
      <c r="K295" s="31" t="n">
        <v>22552</v>
      </c>
      <c r="L295" s="30" t="n">
        <v>19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65.77</v>
      </c>
      <c r="P295" s="31" t="n">
        <v>15.59</v>
      </c>
      <c r="Q295" s="31" t="n">
        <v>833.26</v>
      </c>
      <c r="R295" s="30" t="inlineStr">
        <is>
          <t>Volume Spike / Accumulation</t>
        </is>
      </c>
      <c r="S295" s="30" t="inlineStr">
        <is>
          <t>Nifty 50</t>
        </is>
      </c>
      <c r="T295" s="31" t="n">
        <v>0.85</v>
      </c>
      <c r="U295" s="31" t="n">
        <v>-4.02</v>
      </c>
      <c r="V295" s="31" t="n">
        <v>-4.83</v>
      </c>
      <c r="W295" s="31" t="n">
        <v>3.48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No</t>
        </is>
      </c>
      <c r="BS295" s="30">
        <f>IF(BR295="NO",5,0)</f>
        <v/>
      </c>
      <c r="BT295" s="30" t="inlineStr">
        <is>
          <t>Less than 1.5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IF(B296=0,"",RANK(B296,$B$2:$B$396,0))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TIMETECHNO</t>
        </is>
      </c>
      <c r="D296" s="32" t="inlineStr">
        <is>
          <t>Time Technoplast Limited</t>
        </is>
      </c>
      <c r="E296" s="30" t="inlineStr">
        <is>
          <t>plastic products</t>
        </is>
      </c>
      <c r="F296" s="30" t="inlineStr">
        <is>
          <t>plastics products</t>
        </is>
      </c>
      <c r="G296" s="30" t="inlineStr">
        <is>
          <t>midcap</t>
        </is>
      </c>
      <c r="H296" s="31" t="n">
        <v>10209.37</v>
      </c>
      <c r="I296" s="31" t="n">
        <v>204.88</v>
      </c>
      <c r="J296" s="31" t="n">
        <v>-0.9399999999999999</v>
      </c>
      <c r="K296" s="31" t="n">
        <v>4532881</v>
      </c>
      <c r="L296" s="30" t="n">
        <v>6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59.67</v>
      </c>
      <c r="P296" s="31" t="n">
        <v>12.31</v>
      </c>
      <c r="Q296" s="31" t="n">
        <v>164.11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0.85</v>
      </c>
      <c r="U296" s="31" t="n">
        <v>-10.08</v>
      </c>
      <c r="V296" s="31" t="n">
        <v>-10.84</v>
      </c>
      <c r="W296" s="31" t="n">
        <v>0.03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Between 12 to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No</t>
        </is>
      </c>
      <c r="BS296" s="30">
        <f>IF(BR296="NO",5,0)</f>
        <v/>
      </c>
      <c r="BT296" s="30" t="inlineStr">
        <is>
          <t>Between 1.5 to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IF(B297=0,"",RANK(B297,$B$2:$B$396,0))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BERGEPAINT</t>
        </is>
      </c>
      <c r="D297" s="32" t="inlineStr">
        <is>
          <t>Berger Paints (i) Limited</t>
        </is>
      </c>
      <c r="E297" s="30" t="inlineStr">
        <is>
          <t>building materials</t>
        </is>
      </c>
      <c r="F297" s="30" t="inlineStr">
        <is>
          <t>paints / varnishes</t>
        </is>
      </c>
      <c r="G297" s="30" t="inlineStr">
        <is>
          <t>largecap</t>
        </is>
      </c>
      <c r="H297" s="31" t="n">
        <v>62684.31</v>
      </c>
      <c r="I297" s="31" t="n">
        <v>530.1</v>
      </c>
      <c r="J297" s="31" t="n">
        <v>-1.4</v>
      </c>
      <c r="K297" s="31" t="n">
        <v>286606</v>
      </c>
      <c r="L297" s="30" t="n">
        <v>16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57.74</v>
      </c>
      <c r="P297" s="31" t="n">
        <v>19.41</v>
      </c>
      <c r="Q297" s="31" t="n">
        <v>445.57</v>
      </c>
      <c r="R297" s="30" t="inlineStr">
        <is>
          <t>Earnings / Momentum Support</t>
        </is>
      </c>
      <c r="S297" s="30" t="inlineStr">
        <is>
          <t>Nifty Infra</t>
        </is>
      </c>
      <c r="T297" s="31" t="n">
        <v>4.83</v>
      </c>
      <c r="U297" s="31" t="n">
        <v>-3.56</v>
      </c>
      <c r="V297" s="31" t="n">
        <v>-8</v>
      </c>
      <c r="W297" s="31" t="n">
        <v>2.87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Between 1.5 to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IF(B298=0,"",RANK(B298,$B$2:$B$396,0))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SRM</t>
        </is>
      </c>
      <c r="D298" s="30" t="inlineStr">
        <is>
          <t>SRM Contractors Ltd</t>
        </is>
      </c>
      <c r="E298" s="30" t="inlineStr">
        <is>
          <t>realty</t>
        </is>
      </c>
      <c r="F298" s="30" t="inlineStr">
        <is>
          <t>construction</t>
        </is>
      </c>
      <c r="G298" s="30" t="inlineStr">
        <is>
          <t>smallcap</t>
        </is>
      </c>
      <c r="H298" s="31" t="n">
        <v>1213.86</v>
      </c>
      <c r="I298" s="31" t="n">
        <v>521.5</v>
      </c>
      <c r="J298" s="31" t="n">
        <v>-1.43</v>
      </c>
      <c r="K298" s="31" t="n">
        <v>91003</v>
      </c>
      <c r="L298" s="30" t="n">
        <v>16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56.49</v>
      </c>
      <c r="P298" s="31" t="n">
        <v>6.15</v>
      </c>
      <c r="Q298" s="31" t="n">
        <v>385.42</v>
      </c>
      <c r="R298" s="30" t="inlineStr">
        <is>
          <t>Earnings / Momentum Support</t>
        </is>
      </c>
      <c r="S298" s="30" t="inlineStr">
        <is>
          <t>Nifty Realty</t>
        </is>
      </c>
      <c r="T298" s="31" t="n">
        <v>-6.8</v>
      </c>
      <c r="U298" s="31" t="n">
        <v>11.07</v>
      </c>
      <c r="V298" s="31" t="n">
        <v>19.18</v>
      </c>
      <c r="W298" s="31" t="n">
        <v>2.83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Between 50% to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IF(B299=0,"",RANK(B299,$B$2:$B$396,0))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UNIVPHOTO</t>
        </is>
      </c>
      <c r="D299" s="30" t="inlineStr">
        <is>
          <t>Universus Photo Imagings Ltd</t>
        </is>
      </c>
      <c r="E299" s="30" t="inlineStr">
        <is>
          <t>consumer discretionary</t>
        </is>
      </c>
      <c r="F299" s="30" t="inlineStr">
        <is>
          <t>photographic and allied products</t>
        </is>
      </c>
      <c r="G299" s="30" t="inlineStr">
        <is>
          <t>smallcap</t>
        </is>
      </c>
      <c r="H299" s="31" t="n">
        <v>524.29</v>
      </c>
      <c r="I299" s="31" t="n">
        <v>471.7</v>
      </c>
      <c r="J299" s="31" t="n">
        <v>-1.51</v>
      </c>
      <c r="K299" s="31" t="n">
        <v>1154</v>
      </c>
      <c r="L299" s="30" t="n">
        <v>80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62.51</v>
      </c>
      <c r="P299" s="31" t="n">
        <v>15.56</v>
      </c>
      <c r="Q299" s="31" t="n">
        <v>344.81</v>
      </c>
      <c r="R299" s="30" t="inlineStr">
        <is>
          <t>Earnings / Momentum Support</t>
        </is>
      </c>
      <c r="S299" s="30" t="inlineStr">
        <is>
          <t>Nifty 50</t>
        </is>
      </c>
      <c r="T299" s="31" t="n">
        <v>0.85</v>
      </c>
      <c r="U299" s="31" t="n">
        <v>78.47</v>
      </c>
      <c r="V299" s="31" t="n">
        <v>76.97</v>
      </c>
      <c r="W299" s="31" t="n">
        <v>22.17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Less than 1.5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IF(B300=0,"",RANK(B300,$B$2:$B$396,0))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SHALPAINTS</t>
        </is>
      </c>
      <c r="D300" s="32" t="inlineStr">
        <is>
          <t>Shalimar Paints Limited</t>
        </is>
      </c>
      <c r="E300" s="30" t="inlineStr">
        <is>
          <t>building materials</t>
        </is>
      </c>
      <c r="F300" s="30" t="inlineStr">
        <is>
          <t>paints / varnishes</t>
        </is>
      </c>
      <c r="G300" s="30" t="inlineStr">
        <is>
          <t>smallcap</t>
        </is>
      </c>
      <c r="H300" s="31" t="n">
        <v>738.08</v>
      </c>
      <c r="I300" s="31" t="n">
        <v>85</v>
      </c>
      <c r="J300" s="31" t="n">
        <v>-3.6</v>
      </c>
      <c r="K300" s="31" t="n">
        <v>163127</v>
      </c>
      <c r="L300" s="30" t="n">
        <v>72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71.19</v>
      </c>
      <c r="P300" s="31" t="n">
        <v>15.04</v>
      </c>
      <c r="Q300" s="31" t="n">
        <v>60.33</v>
      </c>
      <c r="R300" s="30" t="inlineStr">
        <is>
          <t>Volume Spike &amp; Near 52W High Breakout</t>
        </is>
      </c>
      <c r="S300" s="30" t="inlineStr">
        <is>
          <t>Nifty Infra</t>
        </is>
      </c>
      <c r="T300" s="31" t="n">
        <v>4.83</v>
      </c>
      <c r="U300" s="31" t="n">
        <v>-0.06</v>
      </c>
      <c r="V300" s="31" t="n">
        <v>-4.66</v>
      </c>
      <c r="W300" s="31" t="n">
        <v>18.03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Negative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IF(B301=0,"",RANK(B301,$B$2:$B$396,0))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NAVINFLUOR</t>
        </is>
      </c>
      <c r="D301" s="30" t="inlineStr">
        <is>
          <t>Navin Fluorine International Limited</t>
        </is>
      </c>
      <c r="E301" s="30" t="inlineStr">
        <is>
          <t>chemicals</t>
        </is>
      </c>
      <c r="F301" s="30" t="inlineStr">
        <is>
          <t>chemicals</t>
        </is>
      </c>
      <c r="G301" s="30" t="inlineStr">
        <is>
          <t>largecap</t>
        </is>
      </c>
      <c r="H301" s="31" t="n">
        <v>44366.85</v>
      </c>
      <c r="I301" s="31" t="n">
        <v>8271</v>
      </c>
      <c r="J301" s="31" t="n">
        <v>-4.38</v>
      </c>
      <c r="K301" s="31" t="n">
        <v>590351</v>
      </c>
      <c r="L301" s="30" t="n">
        <v>64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74.31</v>
      </c>
      <c r="P301" s="31" t="n">
        <v>54.04</v>
      </c>
      <c r="Q301" s="31" t="n">
        <v>6770.09</v>
      </c>
      <c r="R301" s="30" t="inlineStr">
        <is>
          <t>Volume Spike &amp; Near 52W High Breakout</t>
        </is>
      </c>
      <c r="S301" s="30" t="inlineStr">
        <is>
          <t>Nifty 50</t>
        </is>
      </c>
      <c r="T301" s="31" t="n">
        <v>0.85</v>
      </c>
      <c r="U301" s="31" t="n">
        <v>72.22</v>
      </c>
      <c r="V301" s="31" t="n">
        <v>70.77</v>
      </c>
      <c r="W301" s="31" t="n">
        <v>15.32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Oligopoly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Shallow Cyclical (2 to 3 Years Growth)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3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Between 50% to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IF(B302=0,"",RANK(B302,$B$2:$B$396,0))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2" t="inlineStr">
        <is>
          <t>MEDANTA</t>
        </is>
      </c>
      <c r="D302" s="32" t="inlineStr">
        <is>
          <t>Global Health Ltd</t>
        </is>
      </c>
      <c r="E302" s="30" t="inlineStr">
        <is>
          <t>healthcare</t>
        </is>
      </c>
      <c r="F302" s="30" t="inlineStr">
        <is>
          <t>healthcare</t>
        </is>
      </c>
      <c r="G302" s="30" t="inlineStr">
        <is>
          <t>largecap</t>
        </is>
      </c>
      <c r="H302" s="31" t="n">
        <v>38833.15</v>
      </c>
      <c r="I302" s="31" t="n">
        <v>1462</v>
      </c>
      <c r="J302" s="31" t="n">
        <v>1.23</v>
      </c>
      <c r="K302" s="31" t="n">
        <v>550910</v>
      </c>
      <c r="L302" s="30" t="n">
        <v>27</v>
      </c>
      <c r="M302" s="30" t="inlineStr">
        <is>
          <t>Underperforming</t>
        </is>
      </c>
      <c r="N302" s="31">
        <f>IF(M302="Underperforming",-5,IF(L302&gt;=95,15,IF(L302&gt;=90,10,IF(L302&gt;=80,5,0))))</f>
        <v/>
      </c>
      <c r="O302" s="31" t="n">
        <v>71.84999999999999</v>
      </c>
      <c r="P302" s="31" t="n">
        <v>19.71</v>
      </c>
      <c r="Q302" s="31" t="n">
        <v>1230.8</v>
      </c>
      <c r="R302" s="30" t="inlineStr">
        <is>
          <t>Near 52W High Breakout</t>
        </is>
      </c>
      <c r="S302" s="30" t="inlineStr">
        <is>
          <t>Nifty Pharma</t>
        </is>
      </c>
      <c r="T302" s="31" t="n">
        <v>24.01</v>
      </c>
      <c r="U302" s="31" t="n">
        <v>2.31</v>
      </c>
      <c r="V302" s="31" t="n">
        <v>-17.5</v>
      </c>
      <c r="W302" s="31" t="n">
        <v>5.36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Yes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Annuity, Lower One Time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Blue sky scenario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IF(B303=0,"",RANK(B303,$B$2:$B$396,0))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INDGN</t>
        </is>
      </c>
      <c r="D303" s="32" t="inlineStr">
        <is>
          <t>Indegene Ltd</t>
        </is>
      </c>
      <c r="E303" s="30" t="inlineStr">
        <is>
          <t>healthcare</t>
        </is>
      </c>
      <c r="F303" s="30" t="inlineStr">
        <is>
          <t>miscellaneous</t>
        </is>
      </c>
      <c r="G303" s="30" t="inlineStr">
        <is>
          <t>midcap</t>
        </is>
      </c>
      <c r="H303" s="31" t="n">
        <v>13257.31</v>
      </c>
      <c r="I303" s="31" t="n">
        <v>554.45</v>
      </c>
      <c r="J303" s="31" t="n">
        <v>0.77</v>
      </c>
      <c r="K303" s="31" t="n">
        <v>963198</v>
      </c>
      <c r="L303" s="30" t="n">
        <v>8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61.85</v>
      </c>
      <c r="P303" s="31" t="n">
        <v>15.16</v>
      </c>
      <c r="Q303" s="31" t="n">
        <v>452.1</v>
      </c>
      <c r="R303" s="30" t="inlineStr">
        <is>
          <t>Volume Spike / Accumulation</t>
        </is>
      </c>
      <c r="S303" s="30" t="inlineStr">
        <is>
          <t>Nifty Pharma</t>
        </is>
      </c>
      <c r="T303" s="31" t="n">
        <v>24.01</v>
      </c>
      <c r="U303" s="31" t="n">
        <v>-2.48</v>
      </c>
      <c r="V303" s="31" t="n">
        <v>-21.36</v>
      </c>
      <c r="W303" s="31" t="n">
        <v>0.72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Annuity, Lower One Time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IF(B304=0,"",RANK(B304,$B$2:$B$396,0))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BCLIND</t>
        </is>
      </c>
      <c r="D304" s="32" t="inlineStr">
        <is>
          <t>BCL Industries Ltd</t>
        </is>
      </c>
      <c r="E304" s="30" t="inlineStr">
        <is>
          <t>fmcg</t>
        </is>
      </c>
      <c r="F304" s="30" t="inlineStr">
        <is>
          <t>breweries &amp; distilleries</t>
        </is>
      </c>
      <c r="G304" s="30" t="inlineStr">
        <is>
          <t>smallcap</t>
        </is>
      </c>
      <c r="H304" s="31" t="n">
        <v>1084.73</v>
      </c>
      <c r="I304" s="31" t="n">
        <v>36.96</v>
      </c>
      <c r="J304" s="31" t="n">
        <v>0.57</v>
      </c>
      <c r="K304" s="31" t="n">
        <v>367704</v>
      </c>
      <c r="L304" s="30" t="n">
        <v>5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56.5</v>
      </c>
      <c r="P304" s="31" t="n">
        <v>13.67</v>
      </c>
      <c r="Q304" s="31" t="n">
        <v>27.85</v>
      </c>
      <c r="R304" s="30" t="inlineStr">
        <is>
          <t>Earnings / Momentum Support</t>
        </is>
      </c>
      <c r="S304" s="30" t="inlineStr">
        <is>
          <t>Nifty FMCG</t>
        </is>
      </c>
      <c r="T304" s="31" t="n">
        <v>-9.43</v>
      </c>
      <c r="U304" s="31" t="n">
        <v>-16.51</v>
      </c>
      <c r="V304" s="31" t="n">
        <v>-7.82</v>
      </c>
      <c r="W304" s="31" t="n">
        <v>-0.07000000000000001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B2C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Annuity, Lower One Time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No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IF(B305=0,"",RANK(B305,$B$2:$B$396,0))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PERSISTENT</t>
        </is>
      </c>
      <c r="D305" s="30" t="inlineStr">
        <is>
          <t>Persistent Systems Limited</t>
        </is>
      </c>
      <c r="E305" s="30" t="inlineStr">
        <is>
          <t>i.t</t>
        </is>
      </c>
      <c r="F305" s="30" t="inlineStr">
        <is>
          <t>computers - software - large</t>
        </is>
      </c>
      <c r="G305" s="30" t="inlineStr">
        <is>
          <t>largecap</t>
        </is>
      </c>
      <c r="H305" s="31" t="n">
        <v>86123.61</v>
      </c>
      <c r="I305" s="31" t="n">
        <v>5475</v>
      </c>
      <c r="J305" s="31" t="n">
        <v>0.28</v>
      </c>
      <c r="K305" s="31" t="n">
        <v>1004277</v>
      </c>
      <c r="L305" s="30" t="n">
        <v>18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56.22</v>
      </c>
      <c r="P305" s="31" t="n">
        <v>9.140000000000001</v>
      </c>
      <c r="Q305" s="31" t="n">
        <v>4284.08</v>
      </c>
      <c r="R305" s="30" t="inlineStr">
        <is>
          <t>Earnings / Momentum Support</t>
        </is>
      </c>
      <c r="S305" s="30" t="inlineStr">
        <is>
          <t>Nifty IT</t>
        </is>
      </c>
      <c r="T305" s="31" t="n">
        <v>-8.289999999999999</v>
      </c>
      <c r="U305" s="31" t="n">
        <v>8</v>
      </c>
      <c r="V305" s="31" t="n">
        <v>17.75</v>
      </c>
      <c r="W305" s="31" t="n">
        <v>3.42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Between 12 to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IF(B306=0,"",RANK(B306,$B$2:$B$396,0))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APCOTEXIND</t>
        </is>
      </c>
      <c r="D306" s="30" t="inlineStr">
        <is>
          <t>Apcotex Industries Limited</t>
        </is>
      </c>
      <c r="E306" s="30" t="inlineStr">
        <is>
          <t>chemicals</t>
        </is>
      </c>
      <c r="F306" s="30" t="inlineStr">
        <is>
          <t>miscellaneous</t>
        </is>
      </c>
      <c r="G306" s="30" t="inlineStr">
        <is>
          <t>smallcap</t>
        </is>
      </c>
      <c r="H306" s="31" t="n">
        <v>3217.5</v>
      </c>
      <c r="I306" s="31" t="n">
        <v>614.8</v>
      </c>
      <c r="J306" s="31" t="n">
        <v>-0.93</v>
      </c>
      <c r="K306" s="31" t="n">
        <v>130616</v>
      </c>
      <c r="L306" s="30" t="n">
        <v>61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73.84</v>
      </c>
      <c r="P306" s="31" t="n">
        <v>63.36</v>
      </c>
      <c r="Q306" s="31" t="n">
        <v>459.61</v>
      </c>
      <c r="R306" s="30" t="inlineStr">
        <is>
          <t>Near 52W High Breakout</t>
        </is>
      </c>
      <c r="S306" s="30" t="inlineStr">
        <is>
          <t>Nifty 50</t>
        </is>
      </c>
      <c r="T306" s="31" t="n">
        <v>0.85</v>
      </c>
      <c r="U306" s="31" t="n">
        <v>53.86</v>
      </c>
      <c r="V306" s="31" t="n">
        <v>52.57</v>
      </c>
      <c r="W306" s="31" t="n">
        <v>14.24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Oligopoly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Fully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Above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1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Sideways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Overhead supply in last 2 years in last 2 years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Less than 1.5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IF(B307=0,"",RANK(B307,$B$2:$B$396,0))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TARSONS</t>
        </is>
      </c>
      <c r="D307" s="32" t="inlineStr">
        <is>
          <t>Tarsons Products Ltd</t>
        </is>
      </c>
      <c r="E307" s="30" t="inlineStr">
        <is>
          <t>healthcare</t>
        </is>
      </c>
      <c r="F307" s="30" t="inlineStr">
        <is>
          <t>miscellaneous</t>
        </is>
      </c>
      <c r="G307" s="30" t="inlineStr">
        <is>
          <t>smallcap</t>
        </is>
      </c>
      <c r="H307" s="31" t="n">
        <v>1689.3</v>
      </c>
      <c r="I307" s="31" t="n">
        <v>312.3</v>
      </c>
      <c r="J307" s="31" t="n">
        <v>-1.64</v>
      </c>
      <c r="K307" s="31" t="n">
        <v>102639</v>
      </c>
      <c r="L307" s="30" t="n">
        <v>35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67.28</v>
      </c>
      <c r="P307" s="31" t="n">
        <v>32.43</v>
      </c>
      <c r="Q307" s="31" t="n">
        <v>226.42</v>
      </c>
      <c r="R307" s="30" t="inlineStr">
        <is>
          <t>Earnings / Momentum Support</t>
        </is>
      </c>
      <c r="S307" s="30" t="inlineStr">
        <is>
          <t>Nifty Pharma</t>
        </is>
      </c>
      <c r="T307" s="31" t="n">
        <v>24.01</v>
      </c>
      <c r="U307" s="31" t="n">
        <v>-12.42</v>
      </c>
      <c r="V307" s="31" t="n">
        <v>-29.38</v>
      </c>
      <c r="W307" s="31" t="n">
        <v>7.01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Yes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Yes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IF(B308=0,"",RANK(B308,$B$2:$B$396,0))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ASIANENE</t>
        </is>
      </c>
      <c r="D308" s="30" t="inlineStr">
        <is>
          <t>Asian Energy Services Ltd</t>
        </is>
      </c>
      <c r="E308" s="30" t="inlineStr">
        <is>
          <t>energy</t>
        </is>
      </c>
      <c r="F308" s="30" t="inlineStr">
        <is>
          <t>oil drilling / allied services</t>
        </is>
      </c>
      <c r="G308" s="30" t="inlineStr">
        <is>
          <t>smallcap</t>
        </is>
      </c>
      <c r="H308" s="31" t="n">
        <v>1904.58</v>
      </c>
      <c r="I308" s="31" t="n">
        <v>408.55</v>
      </c>
      <c r="J308" s="31" t="n">
        <v>4.32</v>
      </c>
      <c r="K308" s="31" t="n">
        <v>680128</v>
      </c>
      <c r="L308" s="30" t="n">
        <v>69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66.56999999999999</v>
      </c>
      <c r="P308" s="31" t="n">
        <v>15.34</v>
      </c>
      <c r="Q308" s="31" t="n">
        <v>299.53</v>
      </c>
      <c r="R308" s="30" t="inlineStr">
        <is>
          <t>Near 52W High Breakout</t>
        </is>
      </c>
      <c r="S308" s="30" t="inlineStr">
        <is>
          <t>Nifty Energy</t>
        </is>
      </c>
      <c r="T308" s="31" t="n">
        <v>9.93</v>
      </c>
      <c r="U308" s="31" t="n">
        <v>43.68</v>
      </c>
      <c r="V308" s="31" t="n">
        <v>30.71</v>
      </c>
      <c r="W308" s="31" t="n">
        <v>16.91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Cyclical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Volatile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Yes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Blue sky scenario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Between 50% to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IF(B309=0,"",RANK(B309,$B$2:$B$396,0))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RKFORGE</t>
        </is>
      </c>
      <c r="D309" s="30" t="inlineStr">
        <is>
          <t>Ramkrishna Forgings Limited</t>
        </is>
      </c>
      <c r="E309" s="30" t="inlineStr">
        <is>
          <t>industrials</t>
        </is>
      </c>
      <c r="F309" s="30" t="inlineStr">
        <is>
          <t>castings &amp; forgings</t>
        </is>
      </c>
      <c r="G309" s="30" t="inlineStr">
        <is>
          <t>midcap</t>
        </is>
      </c>
      <c r="H309" s="31" t="n">
        <v>12761.01</v>
      </c>
      <c r="I309" s="31" t="n">
        <v>726.55</v>
      </c>
      <c r="J309" s="31" t="n">
        <v>3.72</v>
      </c>
      <c r="K309" s="31" t="n">
        <v>1750097</v>
      </c>
      <c r="L309" s="30" t="n">
        <v>41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71.95</v>
      </c>
      <c r="P309" s="31" t="n">
        <v>10.51</v>
      </c>
      <c r="Q309" s="31" t="n">
        <v>585.53</v>
      </c>
      <c r="R309" s="30" t="inlineStr">
        <is>
          <t>Volume Spike &amp; Near 52W High Breakout</t>
        </is>
      </c>
      <c r="S309" s="30" t="inlineStr">
        <is>
          <t>Nifty 50</t>
        </is>
      </c>
      <c r="T309" s="31" t="n">
        <v>0.85</v>
      </c>
      <c r="U309" s="31" t="n">
        <v>24.4</v>
      </c>
      <c r="V309" s="31" t="n">
        <v>23.35</v>
      </c>
      <c r="W309" s="31" t="n">
        <v>8.699999999999999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Between 0.7 to 1.2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IF(B310=0,"",RANK(B310,$B$2:$B$396,0))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INDIANHUME</t>
        </is>
      </c>
      <c r="D310" s="30" t="inlineStr">
        <is>
          <t>Indian Hume Pipe Company Limited</t>
        </is>
      </c>
      <c r="E310" s="30" t="inlineStr">
        <is>
          <t>realty</t>
        </is>
      </c>
      <c r="F310" s="30" t="inlineStr">
        <is>
          <t>construction</t>
        </is>
      </c>
      <c r="G310" s="30" t="inlineStr">
        <is>
          <t>smallcap</t>
        </is>
      </c>
      <c r="H310" s="31" t="n">
        <v>2043</v>
      </c>
      <c r="I310" s="31" t="n">
        <v>392</v>
      </c>
      <c r="J310" s="31" t="n">
        <v>1.08</v>
      </c>
      <c r="K310" s="31" t="n">
        <v>19966</v>
      </c>
      <c r="L310" s="30" t="n">
        <v>22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63.18</v>
      </c>
      <c r="P310" s="31" t="n">
        <v>19.44</v>
      </c>
      <c r="Q310" s="31" t="n">
        <v>298.37</v>
      </c>
      <c r="R310" s="30" t="inlineStr">
        <is>
          <t>Earnings / Momentum Support</t>
        </is>
      </c>
      <c r="S310" s="30" t="inlineStr">
        <is>
          <t>Nifty Realty</t>
        </is>
      </c>
      <c r="T310" s="31" t="n">
        <v>-6.8</v>
      </c>
      <c r="U310" s="31" t="n">
        <v>-6.58</v>
      </c>
      <c r="V310" s="31" t="n">
        <v>0.24</v>
      </c>
      <c r="W310" s="31" t="n">
        <v>4.32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Less than 12%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IF(B311=0,"",RANK(B311,$B$2:$B$396,0))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ANDHRSUGAR</t>
        </is>
      </c>
      <c r="D311" s="30" t="inlineStr">
        <is>
          <t>The Andhra Sugars Limited</t>
        </is>
      </c>
      <c r="E311" s="30" t="inlineStr">
        <is>
          <t>chemicals</t>
        </is>
      </c>
      <c r="F311" s="30" t="inlineStr">
        <is>
          <t>chlor alkali / soda ash</t>
        </is>
      </c>
      <c r="G311" s="30" t="inlineStr">
        <is>
          <t>smallcap</t>
        </is>
      </c>
      <c r="H311" s="31" t="n">
        <v>1180.78</v>
      </c>
      <c r="I311" s="31" t="n">
        <v>87.98</v>
      </c>
      <c r="J311" s="31" t="n">
        <v>0.99</v>
      </c>
      <c r="K311" s="31" t="n">
        <v>646696</v>
      </c>
      <c r="L311" s="30" t="n">
        <v>11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55.51</v>
      </c>
      <c r="P311" s="31" t="n">
        <v>15.52</v>
      </c>
      <c r="Q311" s="31" t="n">
        <v>77.53</v>
      </c>
      <c r="R311" s="30" t="inlineStr">
        <is>
          <t>Earnings / Momentum Support</t>
        </is>
      </c>
      <c r="S311" s="30" t="inlineStr">
        <is>
          <t>Nifty 50</t>
        </is>
      </c>
      <c r="T311" s="31" t="n">
        <v>0.85</v>
      </c>
      <c r="U311" s="31" t="n">
        <v>13.31</v>
      </c>
      <c r="V311" s="31" t="n">
        <v>12.35</v>
      </c>
      <c r="W311" s="31" t="n">
        <v>1.38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IF(B312=0,"",RANK(B312,$B$2:$B$396,0))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RGL</t>
        </is>
      </c>
      <c r="D312" s="30" t="inlineStr">
        <is>
          <t>Renaissance Global Ltd</t>
        </is>
      </c>
      <c r="E312" s="30" t="inlineStr">
        <is>
          <t>consumer discretionary</t>
        </is>
      </c>
      <c r="F312" s="30" t="inlineStr">
        <is>
          <t>diamond cutting / jewellery</t>
        </is>
      </c>
      <c r="G312" s="30" t="inlineStr">
        <is>
          <t>smallcap</t>
        </is>
      </c>
      <c r="H312" s="31" t="n">
        <v>1315.05</v>
      </c>
      <c r="I312" s="31" t="n">
        <v>123.2</v>
      </c>
      <c r="J312" s="31" t="n">
        <v>0.59</v>
      </c>
      <c r="K312" s="31" t="n">
        <v>621597</v>
      </c>
      <c r="L312" s="30" t="n">
        <v>24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58.25</v>
      </c>
      <c r="P312" s="31" t="n">
        <v>14.58</v>
      </c>
      <c r="Q312" s="31" t="n">
        <v>91.66</v>
      </c>
      <c r="R312" s="30" t="inlineStr">
        <is>
          <t>Earnings / Momentum Support</t>
        </is>
      </c>
      <c r="S312" s="30" t="inlineStr">
        <is>
          <t>Nifty 50</t>
        </is>
      </c>
      <c r="T312" s="31" t="n">
        <v>0.85</v>
      </c>
      <c r="U312" s="31" t="n">
        <v>14.13</v>
      </c>
      <c r="V312" s="31" t="n">
        <v>13.16</v>
      </c>
      <c r="W312" s="31" t="n">
        <v>4.93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Between 1.5 to 2</t>
        </is>
      </c>
      <c r="BU312" s="30">
        <f>IF(BT312="Above 2",0,IF(BT312="Between 1.5 to 2",5,IF(BT312="Less than 1.5",10,0)))</f>
        <v/>
      </c>
      <c r="BV312" s="30" t="inlineStr">
        <is>
          <t>Less than 50%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IF(B313=0,"",RANK(B313,$B$2:$B$396,0))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2" t="inlineStr">
        <is>
          <t>RAJRATAN</t>
        </is>
      </c>
      <c r="D313" s="32" t="inlineStr">
        <is>
          <t>Rajratan Global Wire Ltd</t>
        </is>
      </c>
      <c r="E313" s="30" t="inlineStr">
        <is>
          <t>metals &amp; mining</t>
        </is>
      </c>
      <c r="F313" s="30" t="inlineStr">
        <is>
          <t>steel - medium / small</t>
        </is>
      </c>
      <c r="G313" s="30" t="inlineStr">
        <is>
          <t>smallcap</t>
        </is>
      </c>
      <c r="H313" s="31" t="n">
        <v>2649.99</v>
      </c>
      <c r="I313" s="31" t="n">
        <v>525</v>
      </c>
      <c r="J313" s="31" t="n">
        <v>0.58</v>
      </c>
      <c r="K313" s="31" t="n">
        <v>77052</v>
      </c>
      <c r="L313" s="30" t="n">
        <v>52</v>
      </c>
      <c r="M313" s="30" t="inlineStr">
        <is>
          <t>Underperforming</t>
        </is>
      </c>
      <c r="N313" s="31">
        <f>IF(M313="Underperforming",-5,IF(L313&gt;=95,15,IF(L313&gt;=90,10,IF(L313&gt;=80,5,0))))</f>
        <v/>
      </c>
      <c r="O313" s="31" t="n">
        <v>67.23999999999999</v>
      </c>
      <c r="P313" s="31" t="n">
        <v>16.16</v>
      </c>
      <c r="Q313" s="31" t="n">
        <v>387.66</v>
      </c>
      <c r="R313" s="30" t="inlineStr">
        <is>
          <t>Volume Spike &amp; Near 52W High Breakout</t>
        </is>
      </c>
      <c r="S313" s="30" t="inlineStr">
        <is>
          <t>Nifty Metal</t>
        </is>
      </c>
      <c r="T313" s="31" t="n">
        <v>39.94</v>
      </c>
      <c r="U313" s="31" t="n">
        <v>31.35</v>
      </c>
      <c r="V313" s="31" t="n">
        <v>-6.14</v>
      </c>
      <c r="W313" s="31" t="n">
        <v>11.45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Cyclical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Volatile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Yes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No</t>
        </is>
      </c>
      <c r="BS313" s="30">
        <f>IF(BR313="NO",5,0)</f>
        <v/>
      </c>
      <c r="BT313" s="30" t="inlineStr">
        <is>
          <t>Less than 1.5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IF(B314=0,"",RANK(B314,$B$2:$B$396,0))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ULTRACEMCO</t>
        </is>
      </c>
      <c r="D314" s="32" t="inlineStr">
        <is>
          <t>Ultratech Cement Limited</t>
        </is>
      </c>
      <c r="E314" s="30" t="inlineStr">
        <is>
          <t>building materials</t>
        </is>
      </c>
      <c r="F314" s="30" t="inlineStr">
        <is>
          <t>cement - north india</t>
        </is>
      </c>
      <c r="G314" s="30" t="inlineStr">
        <is>
          <t>largecap</t>
        </is>
      </c>
      <c r="H314" s="31" t="n">
        <v>355825.1</v>
      </c>
      <c r="I314" s="31" t="n">
        <v>12105</v>
      </c>
      <c r="J314" s="31" t="n">
        <v>0.25</v>
      </c>
      <c r="K314" s="31" t="n">
        <v>333688</v>
      </c>
      <c r="L314" s="30" t="n">
        <v>8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59.58</v>
      </c>
      <c r="P314" s="31" t="n">
        <v>14.06</v>
      </c>
      <c r="Q314" s="31" t="n">
        <v>10495.96</v>
      </c>
      <c r="R314" s="30" t="inlineStr">
        <is>
          <t>Near 52W High Breakout</t>
        </is>
      </c>
      <c r="S314" s="30" t="inlineStr">
        <is>
          <t>Nifty Infra</t>
        </is>
      </c>
      <c r="T314" s="31" t="n">
        <v>4.83</v>
      </c>
      <c r="U314" s="31" t="n">
        <v>0.83</v>
      </c>
      <c r="V314" s="31" t="n">
        <v>-3.81</v>
      </c>
      <c r="W314" s="31" t="n">
        <v>0.8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Headwind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0 to 20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Blue sky scenario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Between 12 to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IF(B315=0,"",RANK(B315,$B$2:$B$396,0))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MAZDOCK</t>
        </is>
      </c>
      <c r="D315" s="32" t="inlineStr">
        <is>
          <t>Mazagon Dock Shipbuilders Ltd</t>
        </is>
      </c>
      <c r="E315" s="30" t="inlineStr">
        <is>
          <t>aerospace &amp; defence</t>
        </is>
      </c>
      <c r="F315" s="30" t="inlineStr">
        <is>
          <t>miscellaneous</t>
        </is>
      </c>
      <c r="G315" s="30" t="inlineStr">
        <is>
          <t>largecap</t>
        </is>
      </c>
      <c r="H315" s="31" t="n">
        <v>102055.14</v>
      </c>
      <c r="I315" s="31" t="n">
        <v>2514.9</v>
      </c>
      <c r="J315" s="31" t="n">
        <v>-0.6</v>
      </c>
      <c r="K315" s="31" t="n">
        <v>2086135</v>
      </c>
      <c r="L315" s="30" t="n">
        <v>2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52.16</v>
      </c>
      <c r="P315" s="31" t="n">
        <v>7.33</v>
      </c>
      <c r="Q315" s="31" t="n">
        <v>2161.94</v>
      </c>
      <c r="R315" s="30" t="inlineStr">
        <is>
          <t>Volume Spike / Accumulation</t>
        </is>
      </c>
      <c r="S315" s="30" t="inlineStr">
        <is>
          <t>Nifty 500</t>
        </is>
      </c>
      <c r="T315" s="31" t="n">
        <v>5.65</v>
      </c>
      <c r="U315" s="31" t="n">
        <v>-4.03</v>
      </c>
      <c r="V315" s="31" t="n">
        <v>-9.16</v>
      </c>
      <c r="W315" s="31" t="n">
        <v>-1.64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1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Between 1.5 to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IF(B316=0,"",RANK(B316,$B$2:$B$396,0))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JSWSTEEL</t>
        </is>
      </c>
      <c r="D316" s="32" t="inlineStr">
        <is>
          <t>Jsw Steel Limited</t>
        </is>
      </c>
      <c r="E316" s="30" t="inlineStr">
        <is>
          <t>metals &amp; mining</t>
        </is>
      </c>
      <c r="F316" s="30" t="inlineStr">
        <is>
          <t>steel - large</t>
        </is>
      </c>
      <c r="G316" s="30" t="inlineStr">
        <is>
          <t>largecap</t>
        </is>
      </c>
      <c r="H316" s="31" t="n">
        <v>319840.92</v>
      </c>
      <c r="I316" s="31" t="n">
        <v>1299.5</v>
      </c>
      <c r="J316" s="31" t="n">
        <v>-0.64</v>
      </c>
      <c r="K316" s="31" t="n">
        <v>1399228</v>
      </c>
      <c r="L316" s="30" t="n">
        <v>29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62.5</v>
      </c>
      <c r="P316" s="31" t="n">
        <v>29.33</v>
      </c>
      <c r="Q316" s="31" t="n">
        <v>1127.35</v>
      </c>
      <c r="R316" s="30" t="inlineStr">
        <is>
          <t>Near 52W High Breakout</t>
        </is>
      </c>
      <c r="S316" s="30" t="inlineStr">
        <is>
          <t>Nifty Metal</t>
        </is>
      </c>
      <c r="T316" s="31" t="n">
        <v>39.94</v>
      </c>
      <c r="U316" s="31" t="n">
        <v>27.27</v>
      </c>
      <c r="V316" s="31" t="n">
        <v>-9.050000000000001</v>
      </c>
      <c r="W316" s="31" t="n">
        <v>5.83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Cyclical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Volatile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Blue sky scenario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Between 0.7 to 1.2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IF(B317=0,"",RANK(B317,$B$2:$B$396,0))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EMAMIPAP</t>
        </is>
      </c>
      <c r="D317" s="30" t="inlineStr">
        <is>
          <t>Emami Paper Mills Ltd</t>
        </is>
      </c>
      <c r="E317" s="30" t="inlineStr">
        <is>
          <t>building materials</t>
        </is>
      </c>
      <c r="F317" s="30" t="inlineStr">
        <is>
          <t>paper</t>
        </is>
      </c>
      <c r="G317" s="30" t="inlineStr">
        <is>
          <t>smallcap</t>
        </is>
      </c>
      <c r="H317" s="31" t="n">
        <v>677.95</v>
      </c>
      <c r="I317" s="31" t="n">
        <v>110.89</v>
      </c>
      <c r="J317" s="31" t="n">
        <v>-1.04</v>
      </c>
      <c r="K317" s="31" t="n">
        <v>40826</v>
      </c>
      <c r="L317" s="30" t="n">
        <v>64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65.68000000000001</v>
      </c>
      <c r="P317" s="31" t="n">
        <v>16.08</v>
      </c>
      <c r="Q317" s="31" t="n">
        <v>86.34</v>
      </c>
      <c r="R317" s="30" t="inlineStr">
        <is>
          <t>Earnings / Momentum Support</t>
        </is>
      </c>
      <c r="S317" s="30" t="inlineStr">
        <is>
          <t>Nifty Infra</t>
        </is>
      </c>
      <c r="T317" s="31" t="n">
        <v>4.83</v>
      </c>
      <c r="U317" s="31" t="n">
        <v>14.72</v>
      </c>
      <c r="V317" s="31" t="n">
        <v>9.43</v>
      </c>
      <c r="W317" s="31" t="n">
        <v>15.37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More than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IF(B318=0,"",RANK(B318,$B$2:$B$396,0))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CASTROLIND</t>
        </is>
      </c>
      <c r="D318" s="32" t="inlineStr">
        <is>
          <t>Castrol India Limited</t>
        </is>
      </c>
      <c r="E318" s="30" t="inlineStr">
        <is>
          <t>chemicals</t>
        </is>
      </c>
      <c r="F318" s="30" t="inlineStr">
        <is>
          <t>chemicals</t>
        </is>
      </c>
      <c r="G318" s="30" t="inlineStr">
        <is>
          <t>midcap</t>
        </is>
      </c>
      <c r="H318" s="31" t="n">
        <v>19205.79</v>
      </c>
      <c r="I318" s="31" t="n">
        <v>192.08</v>
      </c>
      <c r="J318" s="31" t="n">
        <v>-1.08</v>
      </c>
      <c r="K318" s="31" t="n">
        <v>3122432</v>
      </c>
      <c r="L318" s="30" t="n">
        <v>5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65.11</v>
      </c>
      <c r="P318" s="31" t="n">
        <v>14.42</v>
      </c>
      <c r="Q318" s="31" t="n">
        <v>177.04</v>
      </c>
      <c r="R318" s="30" t="inlineStr">
        <is>
          <t>Volume Spike &amp; Near 52W High Breakout</t>
        </is>
      </c>
      <c r="S318" s="30" t="inlineStr">
        <is>
          <t>Nifty 50</t>
        </is>
      </c>
      <c r="T318" s="31" t="n">
        <v>0.85</v>
      </c>
      <c r="U318" s="31" t="n">
        <v>-5.69</v>
      </c>
      <c r="V318" s="31" t="n">
        <v>-6.48</v>
      </c>
      <c r="W318" s="31" t="n">
        <v>-0.28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1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Less than 1.5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IF(B319=0,"",RANK(B319,$B$2:$B$396,0))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SALSTEEL</t>
        </is>
      </c>
      <c r="D319" s="30" t="inlineStr">
        <is>
          <t>SAL Steel</t>
        </is>
      </c>
      <c r="E319" s="30" t="inlineStr">
        <is>
          <t>metals &amp; mining</t>
        </is>
      </c>
      <c r="F319" s="30" t="inlineStr">
        <is>
          <t>steel - sponge iron</t>
        </is>
      </c>
      <c r="G319" s="30" t="inlineStr">
        <is>
          <t>smallcap</t>
        </is>
      </c>
      <c r="H319" s="31" t="n">
        <v>908.7</v>
      </c>
      <c r="I319" s="31" t="n">
        <v>61.75</v>
      </c>
      <c r="J319" s="31" t="n">
        <v>-1.63</v>
      </c>
      <c r="K319" s="31" t="n">
        <v>1160726</v>
      </c>
      <c r="L319" s="30" t="n">
        <v>95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64.64</v>
      </c>
      <c r="P319" s="31" t="n">
        <v>23.84</v>
      </c>
      <c r="Q319" s="31" t="n">
        <v>41.8</v>
      </c>
      <c r="R319" s="30" t="inlineStr">
        <is>
          <t>Volume Spike &amp; Near 52W High Breakout</t>
        </is>
      </c>
      <c r="S319" s="30" t="inlineStr">
        <is>
          <t>Nifty Metal</t>
        </is>
      </c>
      <c r="T319" s="31" t="n">
        <v>39.94</v>
      </c>
      <c r="U319" s="31" t="n">
        <v>287.63</v>
      </c>
      <c r="V319" s="31" t="n">
        <v>176.99</v>
      </c>
      <c r="W319" s="31" t="n">
        <v>39.4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Yes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Blue sky scenario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Negative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More than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IF(B320=0,"",RANK(B320,$B$2:$B$396,0))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LANDMARK</t>
        </is>
      </c>
      <c r="D320" s="30" t="inlineStr">
        <is>
          <t>Landmark Cars Ltd</t>
        </is>
      </c>
      <c r="E320" s="30" t="inlineStr">
        <is>
          <t>consumer discretionary</t>
        </is>
      </c>
      <c r="F320" s="30" t="inlineStr">
        <is>
          <t>trading</t>
        </is>
      </c>
      <c r="G320" s="30" t="inlineStr">
        <is>
          <t>smallcap</t>
        </is>
      </c>
      <c r="H320" s="31" t="n">
        <v>2267.72</v>
      </c>
      <c r="I320" s="31" t="n">
        <v>535.05</v>
      </c>
      <c r="J320" s="31" t="n">
        <v>-2.17</v>
      </c>
      <c r="K320" s="31" t="n">
        <v>170451</v>
      </c>
      <c r="L320" s="30" t="n">
        <v>51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64.73</v>
      </c>
      <c r="P320" s="31" t="n">
        <v>20.82</v>
      </c>
      <c r="Q320" s="31" t="n">
        <v>393.96</v>
      </c>
      <c r="R320" s="30" t="inlineStr">
        <is>
          <t>Earnings / Momentum Support</t>
        </is>
      </c>
      <c r="S320" s="30" t="inlineStr">
        <is>
          <t>Nifty 50</t>
        </is>
      </c>
      <c r="T320" s="31" t="n">
        <v>0.85</v>
      </c>
      <c r="U320" s="31" t="n">
        <v>9.199999999999999</v>
      </c>
      <c r="V320" s="31" t="n">
        <v>8.279999999999999</v>
      </c>
      <c r="W320" s="31" t="n">
        <v>11.28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More than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IF(B321=0,"",RANK(B321,$B$2:$B$396,0))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AKUMS</t>
        </is>
      </c>
      <c r="D321" s="30" t="inlineStr">
        <is>
          <t>Akums Drugs &amp; Pharmaceuticals Ltd</t>
        </is>
      </c>
      <c r="E321" s="30" t="inlineStr">
        <is>
          <t>healthcare</t>
        </is>
      </c>
      <c r="F321" s="30" t="inlineStr">
        <is>
          <t>pharmaceuticals - indian - bulk drugs &amp; formln</t>
        </is>
      </c>
      <c r="G321" s="30" t="inlineStr">
        <is>
          <t>midcap</t>
        </is>
      </c>
      <c r="H321" s="31" t="n">
        <v>10428.14</v>
      </c>
      <c r="I321" s="31" t="n">
        <v>697.45</v>
      </c>
      <c r="J321" s="31" t="n">
        <v>5.27</v>
      </c>
      <c r="K321" s="31" t="n">
        <v>637076</v>
      </c>
      <c r="L321" s="30" t="n">
        <v>59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68.83</v>
      </c>
      <c r="P321" s="31" t="n">
        <v>49.72</v>
      </c>
      <c r="Q321" s="31" t="n">
        <v>563.97</v>
      </c>
      <c r="R321" s="30" t="inlineStr">
        <is>
          <t>Near 52W High Breakout</t>
        </is>
      </c>
      <c r="S321" s="30" t="inlineStr">
        <is>
          <t>Nifty Pharma</t>
        </is>
      </c>
      <c r="T321" s="31" t="n">
        <v>24.01</v>
      </c>
      <c r="U321" s="31" t="n">
        <v>45.88</v>
      </c>
      <c r="V321" s="31" t="n">
        <v>17.63</v>
      </c>
      <c r="W321" s="31" t="n">
        <v>13.84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Yes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Annuity, Lower One Time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Above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IF(B322=0,"",RANK(B322,$B$2:$B$396,0))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MPHASIS</t>
        </is>
      </c>
      <c r="D322" s="30" t="inlineStr">
        <is>
          <t>Mphasis Limited</t>
        </is>
      </c>
      <c r="E322" s="30" t="inlineStr">
        <is>
          <t>i.t</t>
        </is>
      </c>
      <c r="F322" s="30" t="inlineStr">
        <is>
          <t>computers - software - large</t>
        </is>
      </c>
      <c r="G322" s="30" t="inlineStr">
        <is>
          <t>largecap</t>
        </is>
      </c>
      <c r="H322" s="31" t="n">
        <v>46227.57</v>
      </c>
      <c r="I322" s="31" t="n">
        <v>2475</v>
      </c>
      <c r="J322" s="31" t="n">
        <v>2.19</v>
      </c>
      <c r="K322" s="31" t="n">
        <v>1194528</v>
      </c>
      <c r="L322" s="30" t="n">
        <v>13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57.37</v>
      </c>
      <c r="P322" s="31" t="n">
        <v>10.89</v>
      </c>
      <c r="Q322" s="31" t="n">
        <v>1952.6</v>
      </c>
      <c r="R322" s="30" t="inlineStr">
        <is>
          <t>Earnings / Momentum Support</t>
        </is>
      </c>
      <c r="S322" s="30" t="inlineStr">
        <is>
          <t>Nifty IT</t>
        </is>
      </c>
      <c r="T322" s="31" t="n">
        <v>-8.289999999999999</v>
      </c>
      <c r="U322" s="31" t="n">
        <v>-5.73</v>
      </c>
      <c r="V322" s="31" t="n">
        <v>2.79</v>
      </c>
      <c r="W322" s="31" t="n">
        <v>2.25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Annuity, Lower One Time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0 to 20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Between 50% to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IF(B323=0,"",RANK(B323,$B$2:$B$396,0))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UGARSUGAR</t>
        </is>
      </c>
      <c r="D323" s="30" t="inlineStr">
        <is>
          <t>The Ugar Sugar Works Limited</t>
        </is>
      </c>
      <c r="E323" s="30" t="inlineStr">
        <is>
          <t>fmcg</t>
        </is>
      </c>
      <c r="F323" s="30" t="inlineStr">
        <is>
          <t>sugar</t>
        </is>
      </c>
      <c r="G323" s="30" t="inlineStr">
        <is>
          <t>smallcap</t>
        </is>
      </c>
      <c r="H323" s="31" t="n">
        <v>514.46</v>
      </c>
      <c r="I323" s="31" t="n">
        <v>44.92</v>
      </c>
      <c r="J323" s="31" t="n">
        <v>-1.77</v>
      </c>
      <c r="K323" s="31" t="n">
        <v>207125</v>
      </c>
      <c r="L323" s="30" t="n">
        <v>11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64.40000000000001</v>
      </c>
      <c r="P323" s="31" t="n">
        <v>13.75</v>
      </c>
      <c r="Q323" s="31" t="n">
        <v>34.38</v>
      </c>
      <c r="R323" s="30" t="inlineStr">
        <is>
          <t>Volume Spike &amp; Near 52W High Breakout</t>
        </is>
      </c>
      <c r="S323" s="30" t="inlineStr">
        <is>
          <t>Nifty FMCG</t>
        </is>
      </c>
      <c r="T323" s="31" t="n">
        <v>-9.43</v>
      </c>
      <c r="U323" s="31" t="n">
        <v>0.13</v>
      </c>
      <c r="V323" s="31" t="n">
        <v>10.55</v>
      </c>
      <c r="W323" s="31" t="n">
        <v>1.68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B2C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Annuity, Lower One Time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More than 1.2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IF(B324=0,"",RANK(B324,$B$2:$B$396,0))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PRICOLLTD</t>
        </is>
      </c>
      <c r="D324" s="30" t="inlineStr">
        <is>
          <t>Pricol Ltd.</t>
        </is>
      </c>
      <c r="E324" s="30" t="inlineStr">
        <is>
          <t>auto</t>
        </is>
      </c>
      <c r="F324" s="30" t="inlineStr">
        <is>
          <t>auto ancillaries</t>
        </is>
      </c>
      <c r="G324" s="30" t="inlineStr">
        <is>
          <t>midcap</t>
        </is>
      </c>
      <c r="H324" s="31" t="n">
        <v>9280.67</v>
      </c>
      <c r="I324" s="31" t="n">
        <v>737.9</v>
      </c>
      <c r="J324" s="31" t="n">
        <v>-3.09</v>
      </c>
      <c r="K324" s="31" t="n">
        <v>553113</v>
      </c>
      <c r="L324" s="30" t="n">
        <v>68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71.20999999999999</v>
      </c>
      <c r="P324" s="31" t="n">
        <v>23.71</v>
      </c>
      <c r="Q324" s="31" t="n">
        <v>588.73</v>
      </c>
      <c r="R324" s="30" t="inlineStr">
        <is>
          <t>Near 52W High Breakout</t>
        </is>
      </c>
      <c r="S324" s="30" t="inlineStr">
        <is>
          <t>Nifty Auto</t>
        </is>
      </c>
      <c r="T324" s="31" t="n">
        <v>24.67</v>
      </c>
      <c r="U324" s="31" t="n">
        <v>69.18000000000001</v>
      </c>
      <c r="V324" s="31" t="n">
        <v>35.7</v>
      </c>
      <c r="W324" s="31" t="n">
        <v>16.3</v>
      </c>
      <c r="X324" s="30" t="inlineStr">
        <is>
          <t>Cyclical in an Upturn</t>
        </is>
      </c>
      <c r="Y324" s="30">
        <f>IF(X324="Growing Industry",10,IF(X324="Cyclical in an Upturn",5,0))</f>
        <v/>
      </c>
      <c r="Z324" s="30" t="inlineStr">
        <is>
          <t>Oligopoly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Shallow Cyclical (2 to 3 Years Growth)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Yes</t>
        </is>
      </c>
      <c r="AQ324" s="30">
        <f>IF(AP324="Yes",10,0)</f>
        <v/>
      </c>
      <c r="AR324" s="30" t="inlineStr">
        <is>
          <t>Fully One Time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Allocated capital in Non-core Areas</t>
        </is>
      </c>
      <c r="AU324" s="30">
        <f>IF(AT324="Good",10,0)</f>
        <v/>
      </c>
      <c r="AV324" s="30" t="inlineStr">
        <is>
          <t>Yes only for next 1 to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Blue sky scenario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Between 12 to 20%</t>
        </is>
      </c>
      <c r="BO324" s="30">
        <f>IF(BN324="More than 20%",10,IF(BN324="Between 12 to 20%",5,IF(BN324="Less than 12%",0,0)))</f>
        <v/>
      </c>
      <c r="BP324" s="30" t="inlineStr">
        <is>
          <t>Yes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Between 1.5 to 2</t>
        </is>
      </c>
      <c r="BU324" s="30">
        <f>IF(BT324="Above 2",0,IF(BT324="Between 1.5 to 2",5,IF(BT324="Less than 1.5",10,0)))</f>
        <v/>
      </c>
      <c r="BV324" s="30" t="inlineStr">
        <is>
          <t>Between 50% to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IF(B325=0,"",RANK(B325,$B$2:$B$396,0))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MATRIMONY</t>
        </is>
      </c>
      <c r="D325" s="32" t="inlineStr">
        <is>
          <t>Matrimony.com Ltd</t>
        </is>
      </c>
      <c r="E325" s="30" t="inlineStr">
        <is>
          <t>miscellaneous</t>
        </is>
      </c>
      <c r="F325" s="30" t="inlineStr">
        <is>
          <t>miscellaneous</t>
        </is>
      </c>
      <c r="G325" s="30" t="inlineStr">
        <is>
          <t>smallcap</t>
        </is>
      </c>
      <c r="H325" s="31" t="n">
        <v>925.96</v>
      </c>
      <c r="I325" s="31" t="n">
        <v>480.8</v>
      </c>
      <c r="J325" s="31" t="n">
        <v>7.35</v>
      </c>
      <c r="K325" s="31" t="n">
        <v>193717</v>
      </c>
      <c r="L325" s="30" t="n">
        <v>8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60.23</v>
      </c>
      <c r="P325" s="31" t="n">
        <v>17.08</v>
      </c>
      <c r="Q325" s="31" t="n">
        <v>372.32</v>
      </c>
      <c r="R325" s="30" t="inlineStr">
        <is>
          <t>Volume Spike / Accumulation</t>
        </is>
      </c>
      <c r="S325" s="30" t="inlineStr">
        <is>
          <t>Nifty 50</t>
        </is>
      </c>
      <c r="T325" s="31" t="n">
        <v>0.85</v>
      </c>
      <c r="U325" s="31" t="n">
        <v>-6.68</v>
      </c>
      <c r="V325" s="31" t="n">
        <v>-7.47</v>
      </c>
      <c r="W325" s="31" t="n">
        <v>0.8100000000000001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1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Less than 1.5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IF(B326=0,"",RANK(B326,$B$2:$B$396,0))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2" t="inlineStr">
        <is>
          <t>BHAGCHEM</t>
        </is>
      </c>
      <c r="D326" s="32" t="inlineStr">
        <is>
          <t>Bhagiradha Chemicals &amp; Industries Ltd</t>
        </is>
      </c>
      <c r="E326" s="30" t="inlineStr">
        <is>
          <t>chemicals</t>
        </is>
      </c>
      <c r="F326" s="30" t="inlineStr">
        <is>
          <t>pesticides / agrochemicals - indian</t>
        </is>
      </c>
      <c r="G326" s="30" t="inlineStr">
        <is>
          <t>smallcap</t>
        </is>
      </c>
      <c r="H326" s="31" t="n">
        <v>3571.09</v>
      </c>
      <c r="I326" s="31" t="n">
        <v>290.8</v>
      </c>
      <c r="J326" s="31" t="n">
        <v>5.59</v>
      </c>
      <c r="K326" s="31" t="n">
        <v>242919</v>
      </c>
      <c r="L326" s="30" t="n">
        <v>16</v>
      </c>
      <c r="M326" s="30" t="inlineStr">
        <is>
          <t>Underperforming</t>
        </is>
      </c>
      <c r="N326" s="31">
        <f>IF(M326="Underperforming",-5,IF(L326&gt;=95,15,IF(L326&gt;=90,10,IF(L326&gt;=80,5,0))))</f>
        <v/>
      </c>
      <c r="O326" s="31" t="n">
        <v>61.34</v>
      </c>
      <c r="P326" s="31" t="n">
        <v>25</v>
      </c>
      <c r="Q326" s="31" t="n">
        <v>219.68</v>
      </c>
      <c r="R326" s="30" t="inlineStr">
        <is>
          <t>Volume Spike &amp; Near 52W High Breakout</t>
        </is>
      </c>
      <c r="S326" s="30" t="inlineStr">
        <is>
          <t>Nifty 50</t>
        </is>
      </c>
      <c r="T326" s="31" t="n">
        <v>0.85</v>
      </c>
      <c r="U326" s="31" t="n">
        <v>-0.27</v>
      </c>
      <c r="V326" s="31" t="n">
        <v>-1.12</v>
      </c>
      <c r="W326" s="31" t="n">
        <v>2.75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IF(B327=0,"",RANK(B327,$B$2:$B$396,0))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PTCIL</t>
        </is>
      </c>
      <c r="D327" s="30" t="inlineStr">
        <is>
          <t>PTC Industries Ltd</t>
        </is>
      </c>
      <c r="E327" s="30" t="inlineStr">
        <is>
          <t>industrials</t>
        </is>
      </c>
      <c r="F327" s="30" t="inlineStr">
        <is>
          <t>castings &amp; forgings</t>
        </is>
      </c>
      <c r="G327" s="30" t="inlineStr">
        <is>
          <t>largecap</t>
        </is>
      </c>
      <c r="H327" s="31" t="n">
        <v>27317.92</v>
      </c>
      <c r="I327" s="31" t="n">
        <v>19100</v>
      </c>
      <c r="J327" s="31" t="n">
        <v>4.82</v>
      </c>
      <c r="K327" s="31" t="n">
        <v>91324</v>
      </c>
      <c r="L327" s="30" t="n">
        <v>37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61.9</v>
      </c>
      <c r="P327" s="31" t="n">
        <v>17.62</v>
      </c>
      <c r="Q327" s="31" t="n">
        <v>15252.36</v>
      </c>
      <c r="R327" s="30" t="inlineStr">
        <is>
          <t>Near 52W High Breakout</t>
        </is>
      </c>
      <c r="S327" s="30" t="inlineStr">
        <is>
          <t>Nifty 50</t>
        </is>
      </c>
      <c r="T327" s="31" t="n">
        <v>0.85</v>
      </c>
      <c r="U327" s="31" t="n">
        <v>26.29</v>
      </c>
      <c r="V327" s="31" t="n">
        <v>25.22</v>
      </c>
      <c r="W327" s="31" t="n">
        <v>7.8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Blue sky scenario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Negative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IF(B328=0,"",RANK(B328,$B$2:$B$396,0))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M&amp;M</t>
        </is>
      </c>
      <c r="D328" s="32" t="inlineStr">
        <is>
          <t>Mahindra &amp; Mahindra Limited</t>
        </is>
      </c>
      <c r="E328" s="30" t="inlineStr">
        <is>
          <t>auto</t>
        </is>
      </c>
      <c r="F328" s="30" t="inlineStr">
        <is>
          <t>automobiles - passenger cars</t>
        </is>
      </c>
      <c r="G328" s="30" t="inlineStr">
        <is>
          <t>largecap</t>
        </is>
      </c>
      <c r="H328" s="31" t="n">
        <v>423545.92</v>
      </c>
      <c r="I328" s="31" t="n">
        <v>3502</v>
      </c>
      <c r="J328" s="31" t="n">
        <v>2.82</v>
      </c>
      <c r="K328" s="31" t="n">
        <v>6499120</v>
      </c>
      <c r="L328" s="30" t="n">
        <v>28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62.56</v>
      </c>
      <c r="P328" s="31" t="n">
        <v>10.51</v>
      </c>
      <c r="Q328" s="31" t="n">
        <v>2972.72</v>
      </c>
      <c r="R328" s="30" t="inlineStr">
        <is>
          <t>Earnings / Momentum Support</t>
        </is>
      </c>
      <c r="S328" s="30" t="inlineStr">
        <is>
          <t>Nifty Auto</t>
        </is>
      </c>
      <c r="T328" s="31" t="n">
        <v>24.67</v>
      </c>
      <c r="U328" s="31" t="n">
        <v>9.01</v>
      </c>
      <c r="V328" s="31" t="n">
        <v>-12.56</v>
      </c>
      <c r="W328" s="31" t="n">
        <v>5.62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More than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IF(B329=0,"",RANK(B329,$B$2:$B$396,0))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DEEPAKNTR</t>
        </is>
      </c>
      <c r="D329" s="32" t="inlineStr">
        <is>
          <t>Deepak Nitrite Limited</t>
        </is>
      </c>
      <c r="E329" s="30" t="inlineStr">
        <is>
          <t>chemicals</t>
        </is>
      </c>
      <c r="F329" s="30" t="inlineStr">
        <is>
          <t>chemicals</t>
        </is>
      </c>
      <c r="G329" s="30" t="inlineStr">
        <is>
          <t>largecap</t>
        </is>
      </c>
      <c r="H329" s="31" t="n">
        <v>23874.24</v>
      </c>
      <c r="I329" s="31" t="n">
        <v>1796.5</v>
      </c>
      <c r="J329" s="31" t="n">
        <v>2.63</v>
      </c>
      <c r="K329" s="31" t="n">
        <v>1628102</v>
      </c>
      <c r="L329" s="30" t="n">
        <v>4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59.25</v>
      </c>
      <c r="P329" s="31" t="n">
        <v>13.8</v>
      </c>
      <c r="Q329" s="31" t="n">
        <v>1525.26</v>
      </c>
      <c r="R329" s="30" t="inlineStr">
        <is>
          <t>Volume Spike &amp; Near 52W High Breakout</t>
        </is>
      </c>
      <c r="S329" s="30" t="inlineStr">
        <is>
          <t>Nifty 50</t>
        </is>
      </c>
      <c r="T329" s="31" t="n">
        <v>0.85</v>
      </c>
      <c r="U329" s="31" t="n">
        <v>-0.06</v>
      </c>
      <c r="V329" s="31" t="n">
        <v>-0.9</v>
      </c>
      <c r="W329" s="31" t="n">
        <v>-0.46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Between 50% to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IF(B330=0,"",RANK(B330,$B$2:$B$396,0))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KAPSTON</t>
        </is>
      </c>
      <c r="D330" s="30" t="inlineStr">
        <is>
          <t>Kapston Services Ltd</t>
        </is>
      </c>
      <c r="E330" s="30" t="inlineStr">
        <is>
          <t>miscellaneous</t>
        </is>
      </c>
      <c r="F330" s="30" t="inlineStr">
        <is>
          <t>miscellaneous</t>
        </is>
      </c>
      <c r="G330" s="30" t="inlineStr">
        <is>
          <t>smallcap</t>
        </is>
      </c>
      <c r="H330" s="31" t="n">
        <v>1568.78</v>
      </c>
      <c r="I330" s="31" t="n">
        <v>529</v>
      </c>
      <c r="J330" s="31" t="n">
        <v>2.62</v>
      </c>
      <c r="K330" s="31" t="n">
        <v>37556</v>
      </c>
      <c r="L330" s="30" t="n">
        <v>89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80.42</v>
      </c>
      <c r="P330" s="31" t="n">
        <v>26.78</v>
      </c>
      <c r="Q330" s="31" t="n">
        <v>408.97</v>
      </c>
      <c r="R330" s="30" t="inlineStr">
        <is>
          <t>Volume Spike &amp; Near 52W High Breakout</t>
        </is>
      </c>
      <c r="S330" s="30" t="inlineStr">
        <is>
          <t>Nifty 50</t>
        </is>
      </c>
      <c r="T330" s="31" t="n">
        <v>0.85</v>
      </c>
      <c r="U330" s="31" t="n">
        <v>109.04</v>
      </c>
      <c r="V330" s="31" t="n">
        <v>107.27</v>
      </c>
      <c r="W330" s="31" t="n">
        <v>29.39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20 to 40</t>
        </is>
      </c>
      <c r="AY330" s="30">
        <f>IF(AX330="Above 40",20,IF(AX330="20 to 40",10,IF(AX330="0 to 20",-5,0)))</f>
        <v/>
      </c>
      <c r="AZ330" s="30" t="inlineStr">
        <is>
          <t>Above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Blue sky scenario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Less than 50% and Borrowings are increasing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More than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IF(B331=0,"",RANK(B331,$B$2:$B$396,0))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REDTAPE</t>
        </is>
      </c>
      <c r="D331" s="30" t="inlineStr">
        <is>
          <t>Redtape Ltd</t>
        </is>
      </c>
      <c r="E331" s="30" t="inlineStr">
        <is>
          <t>consumer discretionary</t>
        </is>
      </c>
      <c r="F331" s="30" t="inlineStr">
        <is>
          <t>trading</t>
        </is>
      </c>
      <c r="G331" s="30" t="inlineStr">
        <is>
          <t>midcap</t>
        </is>
      </c>
      <c r="H331" s="31" t="n">
        <v>7565.72</v>
      </c>
      <c r="I331" s="31" t="n">
        <v>139.97</v>
      </c>
      <c r="J331" s="31" t="n">
        <v>2.27</v>
      </c>
      <c r="K331" s="31" t="n">
        <v>895112</v>
      </c>
      <c r="L331" s="30" t="n">
        <v>23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57.39</v>
      </c>
      <c r="P331" s="31" t="n">
        <v>32.23</v>
      </c>
      <c r="Q331" s="31" t="n">
        <v>106.29</v>
      </c>
      <c r="R331" s="30" t="inlineStr">
        <is>
          <t>Earnings / Momentum Support</t>
        </is>
      </c>
      <c r="S331" s="30" t="inlineStr">
        <is>
          <t>Nifty 50</t>
        </is>
      </c>
      <c r="T331" s="31" t="n">
        <v>0.85</v>
      </c>
      <c r="U331" s="31" t="n">
        <v>17.2</v>
      </c>
      <c r="V331" s="31" t="n">
        <v>16.21</v>
      </c>
      <c r="W331" s="31" t="n">
        <v>4.67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1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Less than 1.5</t>
        </is>
      </c>
      <c r="BU331" s="30">
        <f>IF(BT331="Above 2",0,IF(BT331="Between 1.5 to 2",5,IF(BT331="Less than 1.5",10,0)))</f>
        <v/>
      </c>
      <c r="BV331" s="30" t="inlineStr">
        <is>
          <t>Less than 50%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Between 0.7 to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IF(B332=0,"",RANK(B332,$B$2:$B$396,0))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2" t="inlineStr">
        <is>
          <t>FMGOETZE</t>
        </is>
      </c>
      <c r="D332" s="32" t="inlineStr">
        <is>
          <t>Federal-mogul Goetze (india) Limited.</t>
        </is>
      </c>
      <c r="E332" s="30" t="inlineStr">
        <is>
          <t>auto</t>
        </is>
      </c>
      <c r="F332" s="30" t="inlineStr">
        <is>
          <t>auto ancillaries</t>
        </is>
      </c>
      <c r="G332" s="30" t="inlineStr">
        <is>
          <t>smallcap</t>
        </is>
      </c>
      <c r="H332" s="31" t="n">
        <v>2702.61</v>
      </c>
      <c r="I332" s="31" t="n">
        <v>491</v>
      </c>
      <c r="J332" s="31" t="n">
        <v>1.07</v>
      </c>
      <c r="K332" s="31" t="n">
        <v>76946</v>
      </c>
      <c r="L332" s="30" t="n">
        <v>5</v>
      </c>
      <c r="M332" s="30" t="inlineStr">
        <is>
          <t>Underperforming</t>
        </is>
      </c>
      <c r="N332" s="31">
        <f>IF(M332="Underperforming",-5,IF(L332&gt;=95,15,IF(L332&gt;=90,10,IF(L332&gt;=80,5,0))))</f>
        <v/>
      </c>
      <c r="O332" s="31" t="n">
        <v>59.21</v>
      </c>
      <c r="P332" s="31" t="n">
        <v>12.92</v>
      </c>
      <c r="Q332" s="31" t="n">
        <v>384.54</v>
      </c>
      <c r="R332" s="30" t="inlineStr">
        <is>
          <t>Earnings / Momentum Support</t>
        </is>
      </c>
      <c r="S332" s="30" t="inlineStr">
        <is>
          <t>Nifty Auto</t>
        </is>
      </c>
      <c r="T332" s="31" t="n">
        <v>24.67</v>
      </c>
      <c r="U332" s="31" t="n">
        <v>-17.22</v>
      </c>
      <c r="V332" s="31" t="n">
        <v>-33.6</v>
      </c>
      <c r="W332" s="31" t="n">
        <v>-0.1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Less than 12%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No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Less than 0.7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IF(B333=0,"",RANK(B333,$B$2:$B$396,0))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BOSCH-HCIL</t>
        </is>
      </c>
      <c r="D333" s="32" t="inlineStr">
        <is>
          <t>Bosch Home Comfort India Ltd</t>
        </is>
      </c>
      <c r="E333" s="30" t="inlineStr">
        <is>
          <t>consumer discretionary</t>
        </is>
      </c>
      <c r="F333" s="30" t="inlineStr">
        <is>
          <t>air-conditioners</t>
        </is>
      </c>
      <c r="G333" s="30" t="inlineStr">
        <is>
          <t>smallcap</t>
        </is>
      </c>
      <c r="H333" s="31" t="n">
        <v>4473.44</v>
      </c>
      <c r="I333" s="31" t="n">
        <v>1651.1</v>
      </c>
      <c r="J333" s="31" t="n">
        <v>0.36</v>
      </c>
      <c r="K333" s="31" t="n">
        <v>138636</v>
      </c>
      <c r="L333" s="30" t="n">
        <v>20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68.14</v>
      </c>
      <c r="P333" s="31" t="n">
        <v>15.19</v>
      </c>
      <c r="Q333" s="31" t="n">
        <v>1349.65</v>
      </c>
      <c r="R333" s="30" t="inlineStr">
        <is>
          <t>Volume Spike &amp; Near 52W High Breakout</t>
        </is>
      </c>
      <c r="S333" s="30" t="inlineStr">
        <is>
          <t>Nifty 50</t>
        </is>
      </c>
      <c r="T333" s="31" t="n">
        <v>0.85</v>
      </c>
      <c r="U333" s="31" t="n">
        <v>-3.15</v>
      </c>
      <c r="V333" s="31" t="n">
        <v>-3.97</v>
      </c>
      <c r="W333" s="31" t="n">
        <v>3.65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0 to 20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1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Less than 12%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Less than 1.5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Less than 0.7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IF(B334=0,"",RANK(B334,$B$2:$B$396,0))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MUKANDLTD</t>
        </is>
      </c>
      <c r="D334" s="32" t="inlineStr">
        <is>
          <t>Mukand Limited</t>
        </is>
      </c>
      <c r="E334" s="30" t="inlineStr">
        <is>
          <t>metals &amp; mining</t>
        </is>
      </c>
      <c r="F334" s="30" t="inlineStr">
        <is>
          <t>steel - medium / small</t>
        </is>
      </c>
      <c r="G334" s="30" t="inlineStr">
        <is>
          <t>smallcap</t>
        </is>
      </c>
      <c r="H334" s="31" t="n">
        <v>2070.48</v>
      </c>
      <c r="I334" s="31" t="n">
        <v>143.22</v>
      </c>
      <c r="J334" s="31" t="n">
        <v>-0.05</v>
      </c>
      <c r="K334" s="31" t="n">
        <v>282032</v>
      </c>
      <c r="L334" s="30" t="n">
        <v>14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59.93</v>
      </c>
      <c r="P334" s="31" t="n">
        <v>42.16</v>
      </c>
      <c r="Q334" s="31" t="n">
        <v>113.81</v>
      </c>
      <c r="R334" s="30" t="inlineStr">
        <is>
          <t>Near 52W High Breakout</t>
        </is>
      </c>
      <c r="S334" s="30" t="inlineStr">
        <is>
          <t>Nifty Metal</t>
        </is>
      </c>
      <c r="T334" s="31" t="n">
        <v>39.94</v>
      </c>
      <c r="U334" s="31" t="n">
        <v>4.96</v>
      </c>
      <c r="V334" s="31" t="n">
        <v>-25</v>
      </c>
      <c r="W334" s="31" t="n">
        <v>2.33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Above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Positive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Between 0.7 to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IF(B335=0,"",RANK(B335,$B$2:$B$396,0))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SIS</t>
        </is>
      </c>
      <c r="D335" s="30" t="inlineStr">
        <is>
          <t>Security &amp; Intelligence Services India</t>
        </is>
      </c>
      <c r="E335" s="30" t="inlineStr">
        <is>
          <t>miscellaneous</t>
        </is>
      </c>
      <c r="F335" s="30" t="inlineStr">
        <is>
          <t>miscellaneous</t>
        </is>
      </c>
      <c r="G335" s="30" t="inlineStr">
        <is>
          <t>midcap</t>
        </is>
      </c>
      <c r="H335" s="31" t="n">
        <v>6159.3</v>
      </c>
      <c r="I335" s="31" t="n">
        <v>434.95</v>
      </c>
      <c r="J335" s="31" t="n">
        <v>-0.22</v>
      </c>
      <c r="K335" s="31" t="n">
        <v>97224</v>
      </c>
      <c r="L335" s="30" t="n">
        <v>33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69.34999999999999</v>
      </c>
      <c r="P335" s="31" t="n">
        <v>56.94</v>
      </c>
      <c r="Q335" s="31" t="n">
        <v>355.06</v>
      </c>
      <c r="R335" s="30" t="inlineStr">
        <is>
          <t>Near 52W High Breakout</t>
        </is>
      </c>
      <c r="S335" s="30" t="inlineStr">
        <is>
          <t>Nifty 50</t>
        </is>
      </c>
      <c r="T335" s="31" t="n">
        <v>0.85</v>
      </c>
      <c r="U335" s="31" t="n">
        <v>19.06</v>
      </c>
      <c r="V335" s="31" t="n">
        <v>18.06</v>
      </c>
      <c r="W335" s="31" t="n">
        <v>6.24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Above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Blue sky scenario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Between 0.7 to 1.2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IF(B336=0,"",RANK(B336,$B$2:$B$396,0))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ANANTRAJ</t>
        </is>
      </c>
      <c r="D336" s="30" t="inlineStr">
        <is>
          <t>Anant Raj Limited</t>
        </is>
      </c>
      <c r="E336" s="30" t="inlineStr">
        <is>
          <t>realty</t>
        </is>
      </c>
      <c r="F336" s="30" t="inlineStr">
        <is>
          <t>construction</t>
        </is>
      </c>
      <c r="G336" s="30" t="inlineStr">
        <is>
          <t>largecap</t>
        </is>
      </c>
      <c r="H336" s="31" t="n">
        <v>22218.8</v>
      </c>
      <c r="I336" s="31" t="n">
        <v>615.9</v>
      </c>
      <c r="J336" s="31" t="n">
        <v>-0.24</v>
      </c>
      <c r="K336" s="31" t="n">
        <v>1039177</v>
      </c>
      <c r="L336" s="30" t="n">
        <v>45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60.12</v>
      </c>
      <c r="P336" s="31" t="n">
        <v>19.15</v>
      </c>
      <c r="Q336" s="31" t="n">
        <v>476.85</v>
      </c>
      <c r="R336" s="30" t="inlineStr">
        <is>
          <t>Earnings / Momentum Support</t>
        </is>
      </c>
      <c r="S336" s="30" t="inlineStr">
        <is>
          <t>Nifty Realty</t>
        </is>
      </c>
      <c r="T336" s="31" t="n">
        <v>-6.8</v>
      </c>
      <c r="U336" s="31" t="n">
        <v>7.58</v>
      </c>
      <c r="V336" s="31" t="n">
        <v>15.43</v>
      </c>
      <c r="W336" s="31" t="n">
        <v>9.59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Between 1.5 to 2</t>
        </is>
      </c>
      <c r="BU336" s="30">
        <f>IF(BT336="Above 2",0,IF(BT336="Between 1.5 to 2",5,IF(BT336="Less than 1.5",10,0)))</f>
        <v/>
      </c>
      <c r="BV336" s="30" t="inlineStr">
        <is>
          <t>Negative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IF(B337=0,"",RANK(B337,$B$2:$B$396,0))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SIEMENS</t>
        </is>
      </c>
      <c r="D337" s="30" t="inlineStr">
        <is>
          <t>Siemens Limited</t>
        </is>
      </c>
      <c r="E337" s="30" t="inlineStr">
        <is>
          <t>industrials</t>
        </is>
      </c>
      <c r="F337" s="30" t="inlineStr">
        <is>
          <t>electric equipment</t>
        </is>
      </c>
      <c r="G337" s="30" t="inlineStr">
        <is>
          <t>largecap</t>
        </is>
      </c>
      <c r="H337" s="31" t="n">
        <v>140738.82</v>
      </c>
      <c r="I337" s="31" t="n">
        <v>3940.1</v>
      </c>
      <c r="J337" s="31" t="n">
        <v>-0.3</v>
      </c>
      <c r="K337" s="31" t="n">
        <v>439133</v>
      </c>
      <c r="L337" s="30" t="n">
        <v>33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63.44</v>
      </c>
      <c r="P337" s="31" t="n">
        <v>23.69</v>
      </c>
      <c r="Q337" s="31" t="n">
        <v>3210.74</v>
      </c>
      <c r="R337" s="30" t="inlineStr">
        <is>
          <t>Near 52W High Breakout</t>
        </is>
      </c>
      <c r="S337" s="30" t="inlineStr">
        <is>
          <t>Nifty 500</t>
        </is>
      </c>
      <c r="T337" s="31" t="n">
        <v>5.65</v>
      </c>
      <c r="U337" s="31" t="n">
        <v>30.6</v>
      </c>
      <c r="V337" s="31" t="n">
        <v>23.61</v>
      </c>
      <c r="W337" s="31" t="n">
        <v>6.45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20 to 40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Negative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IF(B338=0,"",RANK(B338,$B$2:$B$396,0))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SANATHAN</t>
        </is>
      </c>
      <c r="D338" s="30" t="inlineStr">
        <is>
          <t>Sanathan Textiles Ltd</t>
        </is>
      </c>
      <c r="E338" s="30" t="inlineStr">
        <is>
          <t>textiles</t>
        </is>
      </c>
      <c r="F338" s="30" t="inlineStr">
        <is>
          <t>textiles - cotton/blended</t>
        </is>
      </c>
      <c r="G338" s="30" t="inlineStr">
        <is>
          <t>smallcap</t>
        </is>
      </c>
      <c r="H338" s="31" t="n">
        <v>4006.66</v>
      </c>
      <c r="I338" s="31" t="n">
        <v>472.9</v>
      </c>
      <c r="J338" s="31" t="n">
        <v>-0.38</v>
      </c>
      <c r="K338" s="31" t="n">
        <v>62420</v>
      </c>
      <c r="L338" s="30" t="n">
        <v>11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61.14</v>
      </c>
      <c r="P338" s="31" t="n">
        <v>14.65</v>
      </c>
      <c r="Q338" s="31" t="n">
        <v>375.2</v>
      </c>
      <c r="R338" s="30" t="inlineStr">
        <is>
          <t>Volume Spike / Accumulation</t>
        </is>
      </c>
      <c r="S338" s="30" t="inlineStr">
        <is>
          <t>Nifty 50</t>
        </is>
      </c>
      <c r="T338" s="31" t="n">
        <v>0.85</v>
      </c>
      <c r="U338" s="31" t="n">
        <v>2.17</v>
      </c>
      <c r="V338" s="31" t="n">
        <v>1.31</v>
      </c>
      <c r="W338" s="31" t="n">
        <v>1.68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Between 0.7 to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IF(B339=0,"",RANK(B339,$B$2:$B$396,0))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INDIGOPNTS</t>
        </is>
      </c>
      <c r="D339" s="32" t="inlineStr">
        <is>
          <t>Indigo Paints Ltd</t>
        </is>
      </c>
      <c r="E339" s="30" t="inlineStr">
        <is>
          <t>building materials</t>
        </is>
      </c>
      <c r="F339" s="30" t="inlineStr">
        <is>
          <t>paints / varnishes</t>
        </is>
      </c>
      <c r="G339" s="30" t="inlineStr">
        <is>
          <t>midcap</t>
        </is>
      </c>
      <c r="H339" s="31" t="n">
        <v>5380.68</v>
      </c>
      <c r="I339" s="31" t="n">
        <v>1122.4</v>
      </c>
      <c r="J339" s="31" t="n">
        <v>-0.55</v>
      </c>
      <c r="K339" s="31" t="n">
        <v>32674</v>
      </c>
      <c r="L339" s="30" t="n">
        <v>35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62.76</v>
      </c>
      <c r="P339" s="31" t="n">
        <v>10.92</v>
      </c>
      <c r="Q339" s="31" t="n">
        <v>893.28</v>
      </c>
      <c r="R339" s="30" t="inlineStr">
        <is>
          <t>Earnings / Momentum Support</t>
        </is>
      </c>
      <c r="S339" s="30" t="inlineStr">
        <is>
          <t>Nifty Infra</t>
        </is>
      </c>
      <c r="T339" s="31" t="n">
        <v>4.83</v>
      </c>
      <c r="U339" s="31" t="n">
        <v>-1.44</v>
      </c>
      <c r="V339" s="31" t="n">
        <v>-5.98</v>
      </c>
      <c r="W339" s="31" t="n">
        <v>6.99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IF(B340=0,"",RANK(B340,$B$2:$B$396,0))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BORANA</t>
        </is>
      </c>
      <c r="D340" s="30" t="inlineStr">
        <is>
          <t>Borana Weaves Ltd</t>
        </is>
      </c>
      <c r="E340" s="30" t="inlineStr">
        <is>
          <t>textiles</t>
        </is>
      </c>
      <c r="F340" s="30" t="inlineStr">
        <is>
          <t>textiles - processing</t>
        </is>
      </c>
      <c r="G340" s="30" t="inlineStr">
        <is>
          <t>smallcap</t>
        </is>
      </c>
      <c r="H340" s="31" t="n">
        <v>918.2</v>
      </c>
      <c r="I340" s="31" t="n">
        <v>340</v>
      </c>
      <c r="J340" s="31" t="n">
        <v>-1.33</v>
      </c>
      <c r="K340" s="31" t="n">
        <v>45615</v>
      </c>
      <c r="L340" s="30" t="n">
        <v>51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56.16</v>
      </c>
      <c r="P340" s="31" t="n">
        <v>13.81</v>
      </c>
      <c r="Q340" s="31" t="n">
        <v>251.47</v>
      </c>
      <c r="R340" s="30" t="inlineStr">
        <is>
          <t>Earnings / Momentum Support</t>
        </is>
      </c>
      <c r="S340" s="30" t="inlineStr">
        <is>
          <t>Nifty 50</t>
        </is>
      </c>
      <c r="T340" s="31" t="n">
        <v>0.85</v>
      </c>
      <c r="U340" s="31" t="n">
        <v>54.24</v>
      </c>
      <c r="V340" s="31" t="n">
        <v>52.94</v>
      </c>
      <c r="W340" s="31" t="n">
        <v>11.26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0 to 20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Between 12 to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No</t>
        </is>
      </c>
      <c r="BS340" s="30">
        <f>IF(BR340="NO",5,0)</f>
        <v/>
      </c>
      <c r="BT340" s="30" t="inlineStr">
        <is>
          <t>Less than 1.5</t>
        </is>
      </c>
      <c r="BU340" s="30">
        <f>IF(BT340="Above 2",0,IF(BT340="Between 1.5 to 2",5,IF(BT340="Less than 1.5",10,0)))</f>
        <v/>
      </c>
      <c r="BV340" s="30" t="inlineStr">
        <is>
          <t>Less than 50%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IF(B341=0,"",RANK(B341,$B$2:$B$396,0))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IMFA</t>
        </is>
      </c>
      <c r="D341" s="30" t="inlineStr">
        <is>
          <t>Indian Metals &amp; Ferro Alloys Limited</t>
        </is>
      </c>
      <c r="E341" s="30" t="inlineStr">
        <is>
          <t>metals &amp; mining</t>
        </is>
      </c>
      <c r="F341" s="30" t="inlineStr">
        <is>
          <t>mining / minerals / metals</t>
        </is>
      </c>
      <c r="G341" s="30" t="inlineStr">
        <is>
          <t>midcap</t>
        </is>
      </c>
      <c r="H341" s="31" t="n">
        <v>8147.61</v>
      </c>
      <c r="I341" s="31" t="n">
        <v>1472.2</v>
      </c>
      <c r="J341" s="31" t="n">
        <v>-2.51</v>
      </c>
      <c r="K341" s="31" t="n">
        <v>207743</v>
      </c>
      <c r="L341" s="30" t="n">
        <v>68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57.32</v>
      </c>
      <c r="P341" s="31" t="n">
        <v>15.02</v>
      </c>
      <c r="Q341" s="31" t="n">
        <v>1138.01</v>
      </c>
      <c r="R341" s="30" t="inlineStr">
        <is>
          <t>Volume Spike / Accumulation</t>
        </is>
      </c>
      <c r="S341" s="30" t="inlineStr">
        <is>
          <t>Nifty Metal</t>
        </is>
      </c>
      <c r="T341" s="31" t="n">
        <v>39.94</v>
      </c>
      <c r="U341" s="31" t="n">
        <v>100.7</v>
      </c>
      <c r="V341" s="31" t="n">
        <v>43.41</v>
      </c>
      <c r="W341" s="31" t="n">
        <v>16.3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Cyclical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Volatile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No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IF(B342=0,"",RANK(B342,$B$2:$B$396,0))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LTFOODS</t>
        </is>
      </c>
      <c r="D342" s="32" t="inlineStr">
        <is>
          <t>L T Foods Ltd</t>
        </is>
      </c>
      <c r="E342" s="30" t="inlineStr">
        <is>
          <t>fmcg</t>
        </is>
      </c>
      <c r="F342" s="30" t="inlineStr">
        <is>
          <t>food - processing - indian</t>
        </is>
      </c>
      <c r="G342" s="30" t="inlineStr">
        <is>
          <t>midcap</t>
        </is>
      </c>
      <c r="H342" s="31" t="n">
        <v>14563.79</v>
      </c>
      <c r="I342" s="31" t="n">
        <v>427.55</v>
      </c>
      <c r="J342" s="31" t="n">
        <v>1.94</v>
      </c>
      <c r="K342" s="31" t="n">
        <v>643817</v>
      </c>
      <c r="L342" s="30" t="n">
        <v>3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59.81</v>
      </c>
      <c r="P342" s="31" t="n">
        <v>14.29</v>
      </c>
      <c r="Q342" s="31" t="n">
        <v>348.23</v>
      </c>
      <c r="R342" s="30" t="inlineStr">
        <is>
          <t>Earnings / Momentum Support</t>
        </is>
      </c>
      <c r="S342" s="30" t="inlineStr">
        <is>
          <t>Nifty FMCG</t>
        </is>
      </c>
      <c r="T342" s="31" t="n">
        <v>-9.43</v>
      </c>
      <c r="U342" s="31" t="n">
        <v>-11.83</v>
      </c>
      <c r="V342" s="31" t="n">
        <v>-2.65</v>
      </c>
      <c r="W342" s="31" t="n">
        <v>-1.17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B2C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Annuity, Lower One Time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No</t>
        </is>
      </c>
      <c r="BS342" s="30">
        <f>IF(BR342="NO",5,0)</f>
        <v/>
      </c>
      <c r="BT342" s="30" t="inlineStr">
        <is>
          <t>Less than 1.5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IF(B343=0,"",RANK(B343,$B$2:$B$396,0))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VIYASH</t>
        </is>
      </c>
      <c r="D343" s="30" t="inlineStr">
        <is>
          <t>Viyash Scientific Ltd</t>
        </is>
      </c>
      <c r="E343" s="30" t="inlineStr">
        <is>
          <t>healthcare</t>
        </is>
      </c>
      <c r="F343" s="30" t="inlineStr">
        <is>
          <t>pharmaceuticals - indian - bulk drugs &amp; formln</t>
        </is>
      </c>
      <c r="G343" s="30" t="inlineStr">
        <is>
          <t>midcap</t>
        </is>
      </c>
      <c r="H343" s="31" t="n">
        <v>11911.41</v>
      </c>
      <c r="I343" s="31" t="n">
        <v>277</v>
      </c>
      <c r="J343" s="31" t="n">
        <v>1.6</v>
      </c>
      <c r="K343" s="31" t="n">
        <v>2066705</v>
      </c>
      <c r="L343" s="30" t="n">
        <v>69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62.99</v>
      </c>
      <c r="P343" s="31" t="n">
        <v>47.62</v>
      </c>
      <c r="Q343" s="31" t="n">
        <v>227.03</v>
      </c>
      <c r="R343" s="30" t="inlineStr">
        <is>
          <t>Earnings / Momentum Support</t>
        </is>
      </c>
      <c r="S343" s="30" t="inlineStr">
        <is>
          <t>Nifty Pharma</t>
        </is>
      </c>
      <c r="T343" s="31" t="n">
        <v>24.01</v>
      </c>
      <c r="U343" s="31" t="n">
        <v>64.84</v>
      </c>
      <c r="V343" s="31" t="n">
        <v>32.92</v>
      </c>
      <c r="W343" s="31" t="n">
        <v>16.58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Yes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Annuity, Lower One Time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Above 40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Between 50% to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IF(B344=0,"",RANK(B344,$B$2:$B$396,0))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WINDLAS</t>
        </is>
      </c>
      <c r="D344" s="32" t="inlineStr">
        <is>
          <t>Windlas Biotech Ltd</t>
        </is>
      </c>
      <c r="E344" s="30" t="inlineStr">
        <is>
          <t>healthcare</t>
        </is>
      </c>
      <c r="F344" s="30" t="inlineStr">
        <is>
          <t>pharmaceuticals - indian - formulations</t>
        </is>
      </c>
      <c r="G344" s="30" t="inlineStr">
        <is>
          <t>smallcap</t>
        </is>
      </c>
      <c r="H344" s="31" t="n">
        <v>1803.09</v>
      </c>
      <c r="I344" s="31" t="n">
        <v>879</v>
      </c>
      <c r="J344" s="31" t="n">
        <v>0.6</v>
      </c>
      <c r="K344" s="31" t="n">
        <v>59521</v>
      </c>
      <c r="L344" s="30" t="n">
        <v>9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58.76</v>
      </c>
      <c r="P344" s="31" t="n">
        <v>13.19</v>
      </c>
      <c r="Q344" s="31" t="n">
        <v>705.4400000000001</v>
      </c>
      <c r="R344" s="30" t="inlineStr">
        <is>
          <t>Earnings / Momentum Support</t>
        </is>
      </c>
      <c r="S344" s="30" t="inlineStr">
        <is>
          <t>Nifty Pharma</t>
        </is>
      </c>
      <c r="T344" s="31" t="n">
        <v>24.01</v>
      </c>
      <c r="U344" s="31" t="n">
        <v>-3.24</v>
      </c>
      <c r="V344" s="31" t="n">
        <v>-21.98</v>
      </c>
      <c r="W344" s="31" t="n">
        <v>1.07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Yes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Annuity, Lower One Time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2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IF(B345=0,"",RANK(B345,$B$2:$B$396,0))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CIPLA</t>
        </is>
      </c>
      <c r="D345" s="32" t="inlineStr">
        <is>
          <t>Cipla Limited</t>
        </is>
      </c>
      <c r="E345" s="30" t="inlineStr">
        <is>
          <t>healthcare</t>
        </is>
      </c>
      <c r="F345" s="30" t="inlineStr">
        <is>
          <t>pharmaceuticals - indian - bulk drugs &amp; formln</t>
        </is>
      </c>
      <c r="G345" s="30" t="inlineStr">
        <is>
          <t>largecap</t>
        </is>
      </c>
      <c r="H345" s="31" t="n">
        <v>119318.75</v>
      </c>
      <c r="I345" s="31" t="n">
        <v>1463.8</v>
      </c>
      <c r="J345" s="31" t="n">
        <v>-0.89</v>
      </c>
      <c r="K345" s="31" t="n">
        <v>1496786</v>
      </c>
      <c r="L345" s="30" t="n">
        <v>13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59.26</v>
      </c>
      <c r="P345" s="31" t="n">
        <v>9.08</v>
      </c>
      <c r="Q345" s="31" t="n">
        <v>1274.61</v>
      </c>
      <c r="R345" s="30" t="inlineStr">
        <is>
          <t>Earnings / Momentum Support</t>
        </is>
      </c>
      <c r="S345" s="30" t="inlineStr">
        <is>
          <t>Nifty Pharma</t>
        </is>
      </c>
      <c r="T345" s="31" t="n">
        <v>24.01</v>
      </c>
      <c r="U345" s="31" t="n">
        <v>-0.5600000000000001</v>
      </c>
      <c r="V345" s="31" t="n">
        <v>-19.81</v>
      </c>
      <c r="W345" s="31" t="n">
        <v>2.07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Yes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Annuity, Lower One Time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IF(B346=0,"",RANK(B346,$B$2:$B$396,0))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PVP</t>
        </is>
      </c>
      <c r="D346" s="30" t="inlineStr">
        <is>
          <t>Pvp Ventures Limited</t>
        </is>
      </c>
      <c r="E346" s="30" t="inlineStr">
        <is>
          <t>realty</t>
        </is>
      </c>
      <c r="F346" s="30" t="inlineStr">
        <is>
          <t>construction</t>
        </is>
      </c>
      <c r="G346" s="30" t="inlineStr">
        <is>
          <t>smallcap</t>
        </is>
      </c>
      <c r="H346" s="31" t="n">
        <v>862.98</v>
      </c>
      <c r="I346" s="31" t="n">
        <v>34.74</v>
      </c>
      <c r="J346" s="31" t="n">
        <v>4.83</v>
      </c>
      <c r="K346" s="31" t="n">
        <v>10194426</v>
      </c>
      <c r="L346" s="30" t="n">
        <v>57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60.14</v>
      </c>
      <c r="P346" s="31" t="n">
        <v>10.41</v>
      </c>
      <c r="Q346" s="31" t="n">
        <v>22.86</v>
      </c>
      <c r="R346" s="30" t="inlineStr">
        <is>
          <t>Volume Spike / Accumulation</t>
        </is>
      </c>
      <c r="S346" s="30" t="inlineStr">
        <is>
          <t>Nifty Realty</t>
        </is>
      </c>
      <c r="T346" s="31" t="n">
        <v>-6.8</v>
      </c>
      <c r="U346" s="31" t="n">
        <v>64.48999999999999</v>
      </c>
      <c r="V346" s="31" t="n">
        <v>76.48999999999999</v>
      </c>
      <c r="W346" s="31" t="n">
        <v>13.31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1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IF(B347=0,"",RANK(B347,$B$2:$B$396,0))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DOLPHIN</t>
        </is>
      </c>
      <c r="D347" s="32" t="inlineStr">
        <is>
          <t>Dolphin Offshore Enterprises (India) Ltd</t>
        </is>
      </c>
      <c r="E347" s="30" t="inlineStr">
        <is>
          <t>energy</t>
        </is>
      </c>
      <c r="F347" s="30" t="inlineStr">
        <is>
          <t>oil drilling / allied services</t>
        </is>
      </c>
      <c r="G347" s="30" t="inlineStr">
        <is>
          <t>smallcap</t>
        </is>
      </c>
      <c r="H347" s="31" t="n">
        <v>1623.19</v>
      </c>
      <c r="I347" s="31" t="n">
        <v>411.5</v>
      </c>
      <c r="J347" s="31" t="n">
        <v>1.42</v>
      </c>
      <c r="K347" s="31" t="n">
        <v>18038</v>
      </c>
      <c r="L347" s="30" t="n">
        <v>3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54.47</v>
      </c>
      <c r="P347" s="31" t="n">
        <v>26.32</v>
      </c>
      <c r="Q347" s="31" t="n">
        <v>308.61</v>
      </c>
      <c r="R347" s="30" t="inlineStr">
        <is>
          <t>Volume Spike / Accumulation</t>
        </is>
      </c>
      <c r="S347" s="30" t="inlineStr">
        <is>
          <t>Nifty Energy</t>
        </is>
      </c>
      <c r="T347" s="31" t="n">
        <v>9.93</v>
      </c>
      <c r="U347" s="31" t="n">
        <v>-6.97</v>
      </c>
      <c r="V347" s="31" t="n">
        <v>-15.37</v>
      </c>
      <c r="W347" s="31" t="n">
        <v>-1.17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Oligopoly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Yes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1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Less than 1.5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IF(B348=0,"",RANK(B348,$B$2:$B$396,0))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IKIO</t>
        </is>
      </c>
      <c r="D348" s="30" t="inlineStr">
        <is>
          <t>IKIO Lighting Ltd</t>
        </is>
      </c>
      <c r="E348" s="30" t="inlineStr">
        <is>
          <t>consumer discretionary</t>
        </is>
      </c>
      <c r="F348" s="30" t="inlineStr">
        <is>
          <t>electric equipment</t>
        </is>
      </c>
      <c r="G348" s="30" t="inlineStr">
        <is>
          <t>smallcap</t>
        </is>
      </c>
      <c r="H348" s="31" t="n">
        <v>1558.37</v>
      </c>
      <c r="I348" s="31" t="n">
        <v>204.05</v>
      </c>
      <c r="J348" s="31" t="n">
        <v>1.19</v>
      </c>
      <c r="K348" s="31" t="n">
        <v>224604</v>
      </c>
      <c r="L348" s="30" t="n">
        <v>30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61.51</v>
      </c>
      <c r="P348" s="31" t="n">
        <v>29.93</v>
      </c>
      <c r="Q348" s="31" t="n">
        <v>159.31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0.85</v>
      </c>
      <c r="U348" s="31" t="n">
        <v>7.13</v>
      </c>
      <c r="V348" s="31" t="n">
        <v>6.23</v>
      </c>
      <c r="W348" s="31" t="n">
        <v>5.86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Yes</t>
        </is>
      </c>
      <c r="BS348" s="30">
        <f>IF(BR348="NO",5,0)</f>
        <v/>
      </c>
      <c r="BT348" s="30" t="inlineStr">
        <is>
          <t>Less than 1.5</t>
        </is>
      </c>
      <c r="BU348" s="30">
        <f>IF(BT348="Above 2",0,IF(BT348="Between 1.5 to 2",5,IF(BT348="Less than 1.5",10,0)))</f>
        <v/>
      </c>
      <c r="BV348" s="30" t="inlineStr">
        <is>
          <t>Less than 50%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IF(B349=0,"",RANK(B349,$B$2:$B$396,0))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BHARTIARTL</t>
        </is>
      </c>
      <c r="D349" s="30" t="inlineStr">
        <is>
          <t>Bharti Airtel Limited</t>
        </is>
      </c>
      <c r="E349" s="30" t="inlineStr">
        <is>
          <t>telecom-service</t>
        </is>
      </c>
      <c r="F349" s="30" t="inlineStr">
        <is>
          <t>telecommunications - service provider</t>
        </is>
      </c>
      <c r="G349" s="30" t="inlineStr">
        <is>
          <t>largecap</t>
        </is>
      </c>
      <c r="H349" s="31" t="n">
        <v>1215776.86</v>
      </c>
      <c r="I349" s="31" t="n">
        <v>1959.9</v>
      </c>
      <c r="J349" s="31" t="n">
        <v>0.61</v>
      </c>
      <c r="K349" s="31" t="n">
        <v>5686046</v>
      </c>
      <c r="L349" s="30" t="n">
        <v>17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57.19</v>
      </c>
      <c r="P349" s="31" t="n">
        <v>17.33</v>
      </c>
      <c r="Q349" s="31" t="n">
        <v>1715.21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0.85</v>
      </c>
      <c r="U349" s="31" t="n">
        <v>6.78</v>
      </c>
      <c r="V349" s="31" t="n">
        <v>5.88</v>
      </c>
      <c r="W349" s="31" t="n">
        <v>3.18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Oligopoly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Yes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Less than 1.5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Between 0.7 to 1.2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IF(B350=0,"",RANK(B350,$B$2:$B$396,0))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TIMKEN</t>
        </is>
      </c>
      <c r="D350" s="30" t="inlineStr">
        <is>
          <t>Timken India Limited</t>
        </is>
      </c>
      <c r="E350" s="30" t="inlineStr">
        <is>
          <t>industrials</t>
        </is>
      </c>
      <c r="F350" s="30" t="inlineStr">
        <is>
          <t>bearings</t>
        </is>
      </c>
      <c r="G350" s="30" t="inlineStr">
        <is>
          <t>largecap</t>
        </is>
      </c>
      <c r="H350" s="31" t="n">
        <v>25146.38</v>
      </c>
      <c r="I350" s="31" t="n">
        <v>3351</v>
      </c>
      <c r="J350" s="31" t="n">
        <v>0.24</v>
      </c>
      <c r="K350" s="31" t="n">
        <v>30976</v>
      </c>
      <c r="L350" s="30" t="n">
        <v>13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50.22</v>
      </c>
      <c r="P350" s="31" t="n">
        <v>24.72</v>
      </c>
      <c r="Q350" s="31" t="n">
        <v>3081.03</v>
      </c>
      <c r="R350" s="30" t="inlineStr">
        <is>
          <t>Earnings / Momentum Support</t>
        </is>
      </c>
      <c r="S350" s="30" t="inlineStr">
        <is>
          <t>Nifty 50</t>
        </is>
      </c>
      <c r="T350" s="31" t="n">
        <v>0.85</v>
      </c>
      <c r="U350" s="31" t="n">
        <v>16.89</v>
      </c>
      <c r="V350" s="31" t="n">
        <v>15.9</v>
      </c>
      <c r="W350" s="31" t="n">
        <v>2.02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1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Between 12 to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IF(B351=0,"",RANK(B351,$B$2:$B$396,0))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CCAVENUE</t>
        </is>
      </c>
      <c r="D351" s="30" t="inlineStr">
        <is>
          <t>AvenuesAI Ltd</t>
        </is>
      </c>
      <c r="E351" s="30" t="inlineStr">
        <is>
          <t>i.t</t>
        </is>
      </c>
      <c r="F351" s="30" t="inlineStr">
        <is>
          <t>miscellaneous</t>
        </is>
      </c>
      <c r="G351" s="30" t="inlineStr">
        <is>
          <t>midcap</t>
        </is>
      </c>
      <c r="H351" s="31" t="n">
        <v>5989.37</v>
      </c>
      <c r="I351" s="31" t="n">
        <v>17.17</v>
      </c>
      <c r="J351" s="31" t="n">
        <v>0.23</v>
      </c>
      <c r="K351" s="31" t="n">
        <v>7938235</v>
      </c>
      <c r="L351" s="30" t="n">
        <v>39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56.62</v>
      </c>
      <c r="P351" s="31" t="n">
        <v>18.78</v>
      </c>
      <c r="Q351" s="31" t="n">
        <v>13.6</v>
      </c>
      <c r="R351" s="30" t="inlineStr">
        <is>
          <t>Volume Spike / Accumulation</t>
        </is>
      </c>
      <c r="S351" s="30" t="inlineStr">
        <is>
          <t>Nifty IT</t>
        </is>
      </c>
      <c r="T351" s="31" t="n">
        <v>-8.289999999999999</v>
      </c>
      <c r="U351" s="31" t="n">
        <v>12.89</v>
      </c>
      <c r="V351" s="31" t="n">
        <v>23.09</v>
      </c>
      <c r="W351" s="31" t="n">
        <v>8.26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Yes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IF(B352=0,"",RANK(B352,$B$2:$B$396,0))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TEXINFRA</t>
        </is>
      </c>
      <c r="D352" s="30" t="inlineStr">
        <is>
          <t>Texmaco Infrastructure &amp; Holdings Limited</t>
        </is>
      </c>
      <c r="E352" s="30" t="inlineStr">
        <is>
          <t>realty</t>
        </is>
      </c>
      <c r="F352" s="30" t="inlineStr">
        <is>
          <t>construction</t>
        </is>
      </c>
      <c r="G352" s="30" t="inlineStr">
        <is>
          <t>smallcap</t>
        </is>
      </c>
      <c r="H352" s="31" t="n">
        <v>1446.04</v>
      </c>
      <c r="I352" s="31" t="n">
        <v>113.5</v>
      </c>
      <c r="J352" s="31" t="n">
        <v>0.02</v>
      </c>
      <c r="K352" s="31" t="n">
        <v>38889</v>
      </c>
      <c r="L352" s="30" t="n">
        <v>34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64.59999999999999</v>
      </c>
      <c r="P352" s="31" t="n">
        <v>36.02</v>
      </c>
      <c r="Q352" s="31" t="n">
        <v>94.92</v>
      </c>
      <c r="R352" s="30" t="inlineStr">
        <is>
          <t>Near 52W High Breakout</t>
        </is>
      </c>
      <c r="S352" s="30" t="inlineStr">
        <is>
          <t>Nifty Realty</t>
        </is>
      </c>
      <c r="T352" s="31" t="n">
        <v>-6.8</v>
      </c>
      <c r="U352" s="31" t="n">
        <v>15.55</v>
      </c>
      <c r="V352" s="31" t="n">
        <v>23.98</v>
      </c>
      <c r="W352" s="31" t="n">
        <v>6.85</v>
      </c>
      <c r="X352" s="30" t="inlineStr">
        <is>
          <t>Growing Industry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Structural (10 Years Consistency)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Stable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Yes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20 to 40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Less than 12%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Yes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IF(B353=0,"",RANK(B353,$B$2:$B$396,0))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NATIONALUM</t>
        </is>
      </c>
      <c r="D353" s="30" t="inlineStr">
        <is>
          <t>National Aluminium Company Limited</t>
        </is>
      </c>
      <c r="E353" s="30" t="inlineStr">
        <is>
          <t>metals &amp; mining</t>
        </is>
      </c>
      <c r="F353" s="30" t="inlineStr">
        <is>
          <t>aluminium and aluminium products</t>
        </is>
      </c>
      <c r="G353" s="30" t="inlineStr">
        <is>
          <t>largecap</t>
        </is>
      </c>
      <c r="H353" s="31" t="n">
        <v>69975.67</v>
      </c>
      <c r="I353" s="31" t="n">
        <v>381</v>
      </c>
      <c r="J353" s="31" t="n">
        <v>0</v>
      </c>
      <c r="K353" s="31" t="n">
        <v>8771640</v>
      </c>
      <c r="L353" s="30" t="n">
        <v>65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55.6</v>
      </c>
      <c r="P353" s="31" t="n">
        <v>25.41</v>
      </c>
      <c r="Q353" s="31" t="n">
        <v>334.86</v>
      </c>
      <c r="R353" s="30" t="inlineStr">
        <is>
          <t>Earnings / Momentum Support</t>
        </is>
      </c>
      <c r="S353" s="30" t="inlineStr">
        <is>
          <t>Nifty Metal</t>
        </is>
      </c>
      <c r="T353" s="31" t="n">
        <v>39.94</v>
      </c>
      <c r="U353" s="31" t="n">
        <v>105.62</v>
      </c>
      <c r="V353" s="31" t="n">
        <v>46.93</v>
      </c>
      <c r="W353" s="31" t="n">
        <v>15.47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Cyclical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Volatile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1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Less than 1.5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IF(B354=0,"",RANK(B354,$B$2:$B$396,0))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DYNAMATECH</t>
        </is>
      </c>
      <c r="D354" s="30" t="inlineStr">
        <is>
          <t>Dynamatic Technologies Limited</t>
        </is>
      </c>
      <c r="E354" s="30" t="inlineStr">
        <is>
          <t>industrials</t>
        </is>
      </c>
      <c r="F354" s="30" t="inlineStr">
        <is>
          <t>engineering</t>
        </is>
      </c>
      <c r="G354" s="30" t="inlineStr">
        <is>
          <t>midcap</t>
        </is>
      </c>
      <c r="H354" s="31" t="n">
        <v>7744.28</v>
      </c>
      <c r="I354" s="31" t="n">
        <v>11401</v>
      </c>
      <c r="J354" s="31" t="n">
        <v>-0.02</v>
      </c>
      <c r="K354" s="31" t="n">
        <v>26226</v>
      </c>
      <c r="L354" s="30" t="n">
        <v>51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58.17</v>
      </c>
      <c r="P354" s="31" t="n">
        <v>21.65</v>
      </c>
      <c r="Q354" s="31" t="n">
        <v>9453.09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0.85</v>
      </c>
      <c r="U354" s="31" t="n">
        <v>70.40000000000001</v>
      </c>
      <c r="V354" s="31" t="n">
        <v>68.97</v>
      </c>
      <c r="W354" s="31" t="n">
        <v>11.25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20 to 40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Yes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Between 50% to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Between 0.7 to 1.2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IF(B355=0,"",RANK(B355,$B$2:$B$396,0))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ENGINERSIN</t>
        </is>
      </c>
      <c r="D355" s="30" t="inlineStr">
        <is>
          <t>Engineers India Limited</t>
        </is>
      </c>
      <c r="E355" s="30" t="inlineStr">
        <is>
          <t>realty</t>
        </is>
      </c>
      <c r="F355" s="30" t="inlineStr">
        <is>
          <t>engineering - turnkey services</t>
        </is>
      </c>
      <c r="G355" s="30" t="inlineStr">
        <is>
          <t>midcap</t>
        </is>
      </c>
      <c r="H355" s="31" t="n">
        <v>13623.35</v>
      </c>
      <c r="I355" s="31" t="n">
        <v>240.6</v>
      </c>
      <c r="J355" s="31" t="n">
        <v>-0.74</v>
      </c>
      <c r="K355" s="31" t="n">
        <v>1241562</v>
      </c>
      <c r="L355" s="30" t="n">
        <v>18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56.04</v>
      </c>
      <c r="P355" s="31" t="n">
        <v>13.57</v>
      </c>
      <c r="Q355" s="31" t="n">
        <v>199.79</v>
      </c>
      <c r="R355" s="30" t="inlineStr">
        <is>
          <t>Earnings / Momentum Support</t>
        </is>
      </c>
      <c r="S355" s="30" t="inlineStr">
        <is>
          <t>Nifty Realty</t>
        </is>
      </c>
      <c r="T355" s="31" t="n">
        <v>-6.8</v>
      </c>
      <c r="U355" s="31" t="n">
        <v>7.27</v>
      </c>
      <c r="V355" s="31" t="n">
        <v>15.1</v>
      </c>
      <c r="W355" s="31" t="n">
        <v>3.32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Less than 50%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IF(B356=0,"",RANK(B356,$B$2:$B$396,0))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VRLLOG</t>
        </is>
      </c>
      <c r="D356" s="30" t="inlineStr">
        <is>
          <t>Vrl Logistics Limited</t>
        </is>
      </c>
      <c r="E356" s="30" t="inlineStr">
        <is>
          <t>transportation</t>
        </is>
      </c>
      <c r="F356" s="30" t="inlineStr">
        <is>
          <t>miscellaneous</t>
        </is>
      </c>
      <c r="G356" s="30" t="inlineStr">
        <is>
          <t>smallcap</t>
        </is>
      </c>
      <c r="H356" s="31" t="n">
        <v>4979.58</v>
      </c>
      <c r="I356" s="31" t="n">
        <v>281.35</v>
      </c>
      <c r="J356" s="31" t="n">
        <v>-1.16</v>
      </c>
      <c r="K356" s="31" t="n">
        <v>256801</v>
      </c>
      <c r="L356" s="30" t="n">
        <v>12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62.72</v>
      </c>
      <c r="P356" s="31" t="n">
        <v>10.64</v>
      </c>
      <c r="Q356" s="31" t="n">
        <v>228.15</v>
      </c>
      <c r="R356" s="30" t="inlineStr">
        <is>
          <t>Volume Spike &amp; Near 52W High Breakout</t>
        </is>
      </c>
      <c r="S356" s="30" t="inlineStr">
        <is>
          <t>Nifty 50</t>
        </is>
      </c>
      <c r="T356" s="31" t="n">
        <v>0.85</v>
      </c>
      <c r="U356" s="31" t="n">
        <v>2.65</v>
      </c>
      <c r="V356" s="31" t="n">
        <v>1.78</v>
      </c>
      <c r="W356" s="31" t="n">
        <v>1.87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Less than 1.5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IF(B357=0,"",RANK(B357,$B$2:$B$396,0))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UTTAMSUGAR</t>
        </is>
      </c>
      <c r="D357" s="30" t="inlineStr">
        <is>
          <t>Uttam Sugar Mills Limited</t>
        </is>
      </c>
      <c r="E357" s="30" t="inlineStr">
        <is>
          <t>fmcg</t>
        </is>
      </c>
      <c r="F357" s="30" t="inlineStr">
        <is>
          <t>sugar</t>
        </is>
      </c>
      <c r="G357" s="30" t="inlineStr">
        <is>
          <t>smallcap</t>
        </is>
      </c>
      <c r="H357" s="31" t="n">
        <v>971.84</v>
      </c>
      <c r="I357" s="31" t="n">
        <v>251</v>
      </c>
      <c r="J357" s="31" t="n">
        <v>-1.5</v>
      </c>
      <c r="K357" s="31" t="n">
        <v>61573</v>
      </c>
      <c r="L357" s="30" t="n">
        <v>4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56.42</v>
      </c>
      <c r="P357" s="31" t="n">
        <v>12.3</v>
      </c>
      <c r="Q357" s="31" t="n">
        <v>185.09</v>
      </c>
      <c r="R357" s="30" t="inlineStr">
        <is>
          <t>Volume Spike / Accumulation</t>
        </is>
      </c>
      <c r="S357" s="30" t="inlineStr">
        <is>
          <t>Nifty FMCG</t>
        </is>
      </c>
      <c r="T357" s="31" t="n">
        <v>-9.43</v>
      </c>
      <c r="U357" s="31" t="n">
        <v>-5.12</v>
      </c>
      <c r="V357" s="31" t="n">
        <v>4.75</v>
      </c>
      <c r="W357" s="31" t="n">
        <v>-0.72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B2C</t>
        </is>
      </c>
      <c r="AO357" s="30">
        <f>IF(AN357="B2C",10,IF(AN357="B2B",5,0))</f>
        <v/>
      </c>
      <c r="AP357" s="30" t="inlineStr">
        <is>
          <t>Yes</t>
        </is>
      </c>
      <c r="AQ357" s="30">
        <f>IF(AP357="Yes",10,0)</f>
        <v/>
      </c>
      <c r="AR357" s="30" t="inlineStr">
        <is>
          <t>Higher Annuity, Lower One Time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1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Less than 12%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Between 0.7 to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IF(B358=0,"",RANK(B358,$B$2:$B$396,0))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KOLTEPATIL</t>
        </is>
      </c>
      <c r="D358" s="30" t="inlineStr">
        <is>
          <t>Kolte - Patil Developers Limited</t>
        </is>
      </c>
      <c r="E358" s="30" t="inlineStr">
        <is>
          <t>realty</t>
        </is>
      </c>
      <c r="F358" s="30" t="inlineStr">
        <is>
          <t>construction</t>
        </is>
      </c>
      <c r="G358" s="30" t="inlineStr">
        <is>
          <t>smallcap</t>
        </is>
      </c>
      <c r="H358" s="31" t="n">
        <v>3807.04</v>
      </c>
      <c r="I358" s="31" t="n">
        <v>445.1</v>
      </c>
      <c r="J358" s="31" t="n">
        <v>3.68</v>
      </c>
      <c r="K358" s="31" t="n">
        <v>369103</v>
      </c>
      <c r="L358" s="30" t="n">
        <v>22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67.47</v>
      </c>
      <c r="P358" s="31" t="n">
        <v>12.9</v>
      </c>
      <c r="Q358" s="31" t="n">
        <v>353.55</v>
      </c>
      <c r="R358" s="30" t="inlineStr">
        <is>
          <t>Volume Spike &amp; Near 52W High Breakout</t>
        </is>
      </c>
      <c r="S358" s="30" t="inlineStr">
        <is>
          <t>Nifty Realty</t>
        </is>
      </c>
      <c r="T358" s="31" t="n">
        <v>-6.8</v>
      </c>
      <c r="U358" s="31" t="n">
        <v>0</v>
      </c>
      <c r="V358" s="31" t="n">
        <v>7.3</v>
      </c>
      <c r="W358" s="31" t="n">
        <v>4.29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Between 0.7 to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IF(B359=0,"",RANK(B359,$B$2:$B$396,0))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JINDALSAW</t>
        </is>
      </c>
      <c r="D359" s="32" t="inlineStr">
        <is>
          <t>Jindal Saw Limited</t>
        </is>
      </c>
      <c r="E359" s="30" t="inlineStr">
        <is>
          <t>industrials</t>
        </is>
      </c>
      <c r="F359" s="30" t="inlineStr">
        <is>
          <t>steel - large</t>
        </is>
      </c>
      <c r="G359" s="30" t="inlineStr">
        <is>
          <t>midcap</t>
        </is>
      </c>
      <c r="H359" s="31" t="n">
        <v>16962.96</v>
      </c>
      <c r="I359" s="31" t="n">
        <v>271.4</v>
      </c>
      <c r="J359" s="31" t="n">
        <v>2.32</v>
      </c>
      <c r="K359" s="31" t="n">
        <v>1613077</v>
      </c>
      <c r="L359" s="30" t="n">
        <v>40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63.44</v>
      </c>
      <c r="P359" s="31" t="n">
        <v>39.3</v>
      </c>
      <c r="Q359" s="31" t="n">
        <v>212.49</v>
      </c>
      <c r="R359" s="30" t="inlineStr">
        <is>
          <t>Near 52W High Breakout</t>
        </is>
      </c>
      <c r="S359" s="30" t="inlineStr">
        <is>
          <t>Nifty Metal</t>
        </is>
      </c>
      <c r="T359" s="31" t="n">
        <v>39.94</v>
      </c>
      <c r="U359" s="31" t="n">
        <v>22.91</v>
      </c>
      <c r="V359" s="31" t="n">
        <v>-12.17</v>
      </c>
      <c r="W359" s="31" t="n">
        <v>8.58</v>
      </c>
      <c r="X359" s="30" t="inlineStr">
        <is>
          <t>Cyclical in an Upturn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Yes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2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IF(B360=0,"",RANK(B360,$B$2:$B$396,0))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SANDHAR</t>
        </is>
      </c>
      <c r="D360" s="30" t="inlineStr">
        <is>
          <t>Sandhar Technologies Limited</t>
        </is>
      </c>
      <c r="E360" s="30" t="inlineStr">
        <is>
          <t>auto</t>
        </is>
      </c>
      <c r="F360" s="30" t="inlineStr">
        <is>
          <t>auto ancillaries</t>
        </is>
      </c>
      <c r="G360" s="30" t="inlineStr">
        <is>
          <t>smallcap</t>
        </is>
      </c>
      <c r="H360" s="31" t="n">
        <v>3950.62</v>
      </c>
      <c r="I360" s="31" t="n">
        <v>666.65</v>
      </c>
      <c r="J360" s="31" t="n">
        <v>1.57</v>
      </c>
      <c r="K360" s="31" t="n">
        <v>207588</v>
      </c>
      <c r="L360" s="30" t="n">
        <v>66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59.47</v>
      </c>
      <c r="P360" s="31" t="n">
        <v>35.68</v>
      </c>
      <c r="Q360" s="31" t="n">
        <v>534.3200000000001</v>
      </c>
      <c r="R360" s="30" t="inlineStr">
        <is>
          <t>Earnings / Momentum Support</t>
        </is>
      </c>
      <c r="S360" s="30" t="inlineStr">
        <is>
          <t>Nifty Auto</t>
        </is>
      </c>
      <c r="T360" s="31" t="n">
        <v>24.67</v>
      </c>
      <c r="U360" s="31" t="n">
        <v>35.22</v>
      </c>
      <c r="V360" s="31" t="n">
        <v>8.470000000000001</v>
      </c>
      <c r="W360" s="31" t="n">
        <v>15.77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20 to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No</t>
        </is>
      </c>
      <c r="BS360" s="30">
        <f>IF(BR360="NO",5,0)</f>
        <v/>
      </c>
      <c r="BT360" s="30" t="inlineStr">
        <is>
          <t>Less than 1.5</t>
        </is>
      </c>
      <c r="BU360" s="30">
        <f>IF(BT360="Above 2",0,IF(BT360="Between 1.5 to 2",5,IF(BT360="Less than 1.5",10,0)))</f>
        <v/>
      </c>
      <c r="BV360" s="30" t="inlineStr">
        <is>
          <t>Less than 50%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Between 0.7 to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IF(B361=0,"",RANK(B361,$B$2:$B$396,0))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LUMAXTECH</t>
        </is>
      </c>
      <c r="D361" s="30" t="inlineStr">
        <is>
          <t>Lumax Auto Technologies Limited</t>
        </is>
      </c>
      <c r="E361" s="30" t="inlineStr">
        <is>
          <t>auto</t>
        </is>
      </c>
      <c r="F361" s="30" t="inlineStr">
        <is>
          <t>auto ancillaries</t>
        </is>
      </c>
      <c r="G361" s="30" t="inlineStr">
        <is>
          <t>midcap</t>
        </is>
      </c>
      <c r="H361" s="31" t="n">
        <v>11575.22</v>
      </c>
      <c r="I361" s="31" t="n">
        <v>1722.4</v>
      </c>
      <c r="J361" s="31" t="n">
        <v>1.42</v>
      </c>
      <c r="K361" s="31" t="n">
        <v>165034</v>
      </c>
      <c r="L361" s="30" t="n">
        <v>51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58.05</v>
      </c>
      <c r="P361" s="31" t="n">
        <v>12.56</v>
      </c>
      <c r="Q361" s="31" t="n">
        <v>1273.69</v>
      </c>
      <c r="R361" s="30" t="inlineStr">
        <is>
          <t>Earnings / Momentum Support</t>
        </is>
      </c>
      <c r="S361" s="30" t="inlineStr">
        <is>
          <t>Nifty Auto</t>
        </is>
      </c>
      <c r="T361" s="31" t="n">
        <v>24.67</v>
      </c>
      <c r="U361" s="31" t="n">
        <v>67.37</v>
      </c>
      <c r="V361" s="31" t="n">
        <v>34.25</v>
      </c>
      <c r="W361" s="31" t="n">
        <v>11.34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1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Less than 1.5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Between 0.7 to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IF(B362=0,"",RANK(B362,$B$2:$B$396,0))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RBZJEWEL</t>
        </is>
      </c>
      <c r="D362" s="30" t="inlineStr">
        <is>
          <t>RBZ Jewellers Ltd</t>
        </is>
      </c>
      <c r="E362" s="30" t="inlineStr">
        <is>
          <t>consumer discretionary</t>
        </is>
      </c>
      <c r="F362" s="30" t="inlineStr">
        <is>
          <t>diamond cutting / jewellery</t>
        </is>
      </c>
      <c r="G362" s="30" t="inlineStr">
        <is>
          <t>smallcap</t>
        </is>
      </c>
      <c r="H362" s="31" t="n">
        <v>603.84</v>
      </c>
      <c r="I362" s="31" t="n">
        <v>151.48</v>
      </c>
      <c r="J362" s="31" t="n">
        <v>0.34</v>
      </c>
      <c r="K362" s="31" t="n">
        <v>59744</v>
      </c>
      <c r="L362" s="30" t="n">
        <v>19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56.66</v>
      </c>
      <c r="P362" s="31" t="n">
        <v>26.93</v>
      </c>
      <c r="Q362" s="31" t="n">
        <v>109.16</v>
      </c>
      <c r="R362" s="30" t="inlineStr">
        <is>
          <t>Near 52W High Breakout</t>
        </is>
      </c>
      <c r="S362" s="30" t="inlineStr">
        <is>
          <t>Nifty 50</t>
        </is>
      </c>
      <c r="T362" s="31" t="n">
        <v>0.85</v>
      </c>
      <c r="U362" s="31" t="n">
        <v>16.64</v>
      </c>
      <c r="V362" s="31" t="n">
        <v>15.66</v>
      </c>
      <c r="W362" s="31" t="n">
        <v>3.46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Yes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20 to 40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More than 20%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Less than 1.5</t>
        </is>
      </c>
      <c r="BU362" s="30">
        <f>IF(BT362="Above 2",0,IF(BT362="Between 1.5 to 2",5,IF(BT362="Less than 1.5",10,0)))</f>
        <v/>
      </c>
      <c r="BV362" s="30" t="inlineStr">
        <is>
          <t>Negative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IF(B363=0,"",RANK(B363,$B$2:$B$396,0))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ARIHANT</t>
        </is>
      </c>
      <c r="D363" s="30" t="inlineStr">
        <is>
          <t>Arihant Foundations &amp; Housing Limited</t>
        </is>
      </c>
      <c r="E363" s="30" t="inlineStr">
        <is>
          <t>realty</t>
        </is>
      </c>
      <c r="F363" s="30" t="inlineStr">
        <is>
          <t>construction</t>
        </is>
      </c>
      <c r="G363" s="30" t="inlineStr">
        <is>
          <t>smallcap</t>
        </is>
      </c>
      <c r="H363" s="31" t="n">
        <v>1126.51</v>
      </c>
      <c r="I363" s="31" t="n">
        <v>1130</v>
      </c>
      <c r="J363" s="31" t="n">
        <v>-0.04</v>
      </c>
      <c r="K363" s="31" t="n">
        <v>2579</v>
      </c>
      <c r="L363" s="30" t="n">
        <v>24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62.86</v>
      </c>
      <c r="P363" s="31" t="n">
        <v>22.91</v>
      </c>
      <c r="Q363" s="31" t="n">
        <v>698.8200000000001</v>
      </c>
      <c r="R363" s="30" t="inlineStr">
        <is>
          <t>Earnings / Momentum Support</t>
        </is>
      </c>
      <c r="S363" s="30" t="inlineStr">
        <is>
          <t>Nifty Realty</t>
        </is>
      </c>
      <c r="T363" s="31" t="n">
        <v>-6.8</v>
      </c>
      <c r="U363" s="31" t="n">
        <v>-1.37</v>
      </c>
      <c r="V363" s="31" t="n">
        <v>5.83</v>
      </c>
      <c r="W363" s="31" t="n">
        <v>4.93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20 to 40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2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More than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IF(B364=0,"",RANK(B364,$B$2:$B$396,0))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RITCO</t>
        </is>
      </c>
      <c r="D364" s="30" t="inlineStr">
        <is>
          <t>Ritco Logistics Ltd</t>
        </is>
      </c>
      <c r="E364" s="30" t="inlineStr">
        <is>
          <t>transportation</t>
        </is>
      </c>
      <c r="F364" s="30" t="inlineStr">
        <is>
          <t>miscellaneous</t>
        </is>
      </c>
      <c r="G364" s="30" t="inlineStr">
        <is>
          <t>smallcap</t>
        </is>
      </c>
      <c r="H364" s="31" t="n">
        <v>876</v>
      </c>
      <c r="I364" s="31" t="n">
        <v>296</v>
      </c>
      <c r="J364" s="31" t="n">
        <v>-3.28</v>
      </c>
      <c r="K364" s="31" t="n">
        <v>261336</v>
      </c>
      <c r="L364" s="30" t="n">
        <v>27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63.64</v>
      </c>
      <c r="P364" s="31" t="n">
        <v>35.24</v>
      </c>
      <c r="Q364" s="31" t="n">
        <v>222.26</v>
      </c>
      <c r="R364" s="30" t="inlineStr">
        <is>
          <t>Volume Spike &amp; Near 52W High Breakout</t>
        </is>
      </c>
      <c r="S364" s="30" t="inlineStr">
        <is>
          <t>Nifty 50</t>
        </is>
      </c>
      <c r="T364" s="31" t="n">
        <v>0.85</v>
      </c>
      <c r="U364" s="31" t="n">
        <v>3.86</v>
      </c>
      <c r="V364" s="31" t="n">
        <v>2.98</v>
      </c>
      <c r="W364" s="31" t="n">
        <v>5.27</v>
      </c>
      <c r="X364" s="30" t="inlineStr">
        <is>
          <t>Growing Industry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Yes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20 to 40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Positive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More than 1.2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IF(B365=0,"",RANK(B365,$B$2:$B$396,0))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JINDRILL</t>
        </is>
      </c>
      <c r="D365" s="32" t="inlineStr">
        <is>
          <t>Jindal Drilling And Industries Limited</t>
        </is>
      </c>
      <c r="E365" s="30" t="inlineStr">
        <is>
          <t>energy</t>
        </is>
      </c>
      <c r="F365" s="30" t="inlineStr">
        <is>
          <t>oil drilling / allied services</t>
        </is>
      </c>
      <c r="G365" s="30" t="inlineStr">
        <is>
          <t>smallcap</t>
        </is>
      </c>
      <c r="H365" s="31" t="n">
        <v>1784.8</v>
      </c>
      <c r="I365" s="31" t="n">
        <v>636.05</v>
      </c>
      <c r="J365" s="31" t="n">
        <v>3.28</v>
      </c>
      <c r="K365" s="31" t="n">
        <v>352976</v>
      </c>
      <c r="L365" s="30" t="n">
        <v>23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59.24</v>
      </c>
      <c r="P365" s="31" t="n">
        <v>46.94</v>
      </c>
      <c r="Q365" s="31" t="n">
        <v>492.27</v>
      </c>
      <c r="R365" s="30" t="inlineStr">
        <is>
          <t>Earnings / Momentum Support</t>
        </is>
      </c>
      <c r="S365" s="30" t="inlineStr">
        <is>
          <t>Nifty Energy</t>
        </is>
      </c>
      <c r="T365" s="31" t="n">
        <v>9.93</v>
      </c>
      <c r="U365" s="31" t="n">
        <v>1.95</v>
      </c>
      <c r="V365" s="31" t="n">
        <v>-7.25</v>
      </c>
      <c r="W365" s="31" t="n">
        <v>4.6</v>
      </c>
      <c r="X365" s="30" t="inlineStr">
        <is>
          <t>Cyclical in an Upturn</t>
        </is>
      </c>
      <c r="Y365" s="30">
        <f>IF(X365="Growing Industry",10,IF(X365="Cyclical in an Upturn",5,0))</f>
        <v/>
      </c>
      <c r="Z365" s="30" t="inlineStr">
        <is>
          <t>Oligopoly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Yes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Cyclical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Volatile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Above 40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2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Less than 50%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IF(B366=0,"",RANK(B366,$B$2:$B$396,0))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UFLEX</t>
        </is>
      </c>
      <c r="D366" s="32" t="inlineStr">
        <is>
          <t>Uflex Limited</t>
        </is>
      </c>
      <c r="E366" s="30" t="inlineStr">
        <is>
          <t>industrials</t>
        </is>
      </c>
      <c r="F366" s="30" t="inlineStr">
        <is>
          <t>packaging</t>
        </is>
      </c>
      <c r="G366" s="30" t="inlineStr">
        <is>
          <t>smallcap</t>
        </is>
      </c>
      <c r="H366" s="31" t="n">
        <v>3494.31</v>
      </c>
      <c r="I366" s="31" t="n">
        <v>486</v>
      </c>
      <c r="J366" s="31" t="n">
        <v>0.43</v>
      </c>
      <c r="K366" s="31" t="n">
        <v>262987</v>
      </c>
      <c r="L366" s="30" t="n">
        <v>4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60.15</v>
      </c>
      <c r="P366" s="31" t="n">
        <v>13.39</v>
      </c>
      <c r="Q366" s="31" t="n">
        <v>382.4</v>
      </c>
      <c r="R366" s="30" t="inlineStr">
        <is>
          <t>Earnings / Momentum Support</t>
        </is>
      </c>
      <c r="S366" s="30" t="inlineStr">
        <is>
          <t>Nifty 50</t>
        </is>
      </c>
      <c r="T366" s="31" t="n">
        <v>0.85</v>
      </c>
      <c r="U366" s="31" t="n">
        <v>-16.35</v>
      </c>
      <c r="V366" s="31" t="n">
        <v>-17.06</v>
      </c>
      <c r="W366" s="31" t="n">
        <v>-0.6899999999999999</v>
      </c>
      <c r="X366" s="30" t="inlineStr">
        <is>
          <t>Cyclical in an Upturn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2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Between 12 to 20%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No</t>
        </is>
      </c>
      <c r="BS366" s="30">
        <f>IF(BR366="NO",5,0)</f>
        <v/>
      </c>
      <c r="BT366" s="30" t="inlineStr">
        <is>
          <t>Less than 1.5</t>
        </is>
      </c>
      <c r="BU366" s="30">
        <f>IF(BT366="Above 2",0,IF(BT366="Between 1.5 to 2",5,IF(BT366="Less than 1.5",10,0)))</f>
        <v/>
      </c>
      <c r="BV366" s="30" t="inlineStr">
        <is>
          <t>Between 50% to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More than 1.2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IF(B367=0,"",RANK(B367,$B$2:$B$396,0))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SIRCA</t>
        </is>
      </c>
      <c r="D367" s="30" t="inlineStr">
        <is>
          <t>Sirca Paints India Ltd</t>
        </is>
      </c>
      <c r="E367" s="30" t="inlineStr">
        <is>
          <t>building materials</t>
        </is>
      </c>
      <c r="F367" s="30" t="inlineStr">
        <is>
          <t>paints / varnishes</t>
        </is>
      </c>
      <c r="G367" s="30" t="inlineStr">
        <is>
          <t>smallcap</t>
        </is>
      </c>
      <c r="H367" s="31" t="n">
        <v>2555.39</v>
      </c>
      <c r="I367" s="31" t="n">
        <v>447</v>
      </c>
      <c r="J367" s="31" t="n">
        <v>-0.66</v>
      </c>
      <c r="K367" s="31" t="n">
        <v>453431</v>
      </c>
      <c r="L367" s="30" t="n">
        <v>16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58.61</v>
      </c>
      <c r="P367" s="31" t="n">
        <v>16.39</v>
      </c>
      <c r="Q367" s="31" t="n">
        <v>370.38</v>
      </c>
      <c r="R367" s="30" t="inlineStr">
        <is>
          <t>Volume Spike / Accumulation</t>
        </is>
      </c>
      <c r="S367" s="30" t="inlineStr">
        <is>
          <t>Nifty Infra</t>
        </is>
      </c>
      <c r="T367" s="31" t="n">
        <v>4.83</v>
      </c>
      <c r="U367" s="31" t="n">
        <v>8.68</v>
      </c>
      <c r="V367" s="31" t="n">
        <v>3.68</v>
      </c>
      <c r="W367" s="31" t="n">
        <v>2.83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Yes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1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No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IF(B368=0,"",RANK(B368,$B$2:$B$396,0))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INDSWFTLAB</t>
        </is>
      </c>
      <c r="D368" s="30" t="inlineStr">
        <is>
          <t>Ind-swift Laboratories Limited</t>
        </is>
      </c>
      <c r="E368" s="30" t="inlineStr">
        <is>
          <t>healthcare</t>
        </is>
      </c>
      <c r="F368" s="30" t="inlineStr">
        <is>
          <t>pharmaceuticals - indian - bulk drugs &amp; formln</t>
        </is>
      </c>
      <c r="G368" s="30" t="inlineStr">
        <is>
          <t>smallcap</t>
        </is>
      </c>
      <c r="H368" s="31" t="n">
        <v>1969.51</v>
      </c>
      <c r="I368" s="31" t="n">
        <v>228.41</v>
      </c>
      <c r="J368" s="31" t="n">
        <v>0.85</v>
      </c>
      <c r="K368" s="31" t="n">
        <v>277067</v>
      </c>
      <c r="L368" s="30" t="n">
        <v>93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73.7</v>
      </c>
      <c r="P368" s="31" t="n">
        <v>56.76</v>
      </c>
      <c r="Q368" s="31" t="n">
        <v>188.07</v>
      </c>
      <c r="R368" s="30" t="inlineStr">
        <is>
          <t>Earnings / Momentum Support</t>
        </is>
      </c>
      <c r="S368" s="30" t="inlineStr">
        <is>
          <t>Nifty Pharma</t>
        </is>
      </c>
      <c r="T368" s="31" t="n">
        <v>24.01</v>
      </c>
      <c r="U368" s="31" t="n">
        <v>130.37</v>
      </c>
      <c r="V368" s="31" t="n">
        <v>85.76000000000001</v>
      </c>
      <c r="W368" s="31" t="n">
        <v>33.61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Yes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Annuity, Lower One Time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Above 40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2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Less than 12%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Yes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Negative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IF(B369=0,"",RANK(B369,$B$2:$B$396,0))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FAZE3Q</t>
        </is>
      </c>
      <c r="D369" s="30" t="inlineStr">
        <is>
          <t>Faze Three Ltd</t>
        </is>
      </c>
      <c r="E369" s="30" t="inlineStr">
        <is>
          <t>textiles</t>
        </is>
      </c>
      <c r="F369" s="30" t="inlineStr">
        <is>
          <t>textiles - processing</t>
        </is>
      </c>
      <c r="G369" s="30" t="inlineStr">
        <is>
          <t>smallcap</t>
        </is>
      </c>
      <c r="H369" s="31" t="n">
        <v>1314.69</v>
      </c>
      <c r="I369" s="31" t="n">
        <v>570.6</v>
      </c>
      <c r="J369" s="31" t="n">
        <v>5.55</v>
      </c>
      <c r="K369" s="31" t="n">
        <v>21897</v>
      </c>
      <c r="L369" s="30" t="n">
        <v>37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57.13</v>
      </c>
      <c r="P369" s="31" t="n">
        <v>22.23</v>
      </c>
      <c r="Q369" s="31" t="n">
        <v>458.04</v>
      </c>
      <c r="R369" s="30" t="inlineStr">
        <is>
          <t>Earnings / Momentum Support</t>
        </is>
      </c>
      <c r="S369" s="30" t="inlineStr">
        <is>
          <t>Nifty 50</t>
        </is>
      </c>
      <c r="T369" s="31" t="n">
        <v>0.85</v>
      </c>
      <c r="U369" s="31" t="n">
        <v>7.36</v>
      </c>
      <c r="V369" s="31" t="n">
        <v>6.45</v>
      </c>
      <c r="W369" s="31" t="n">
        <v>7.41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20 to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2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Between 12 to 20%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IF(B370=0,"",RANK(B370,$B$2:$B$396,0))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SADHNANIQ</t>
        </is>
      </c>
      <c r="D370" s="32" t="inlineStr">
        <is>
          <t>Sadhana Nitro Chem Ltd</t>
        </is>
      </c>
      <c r="E370" s="30" t="inlineStr">
        <is>
          <t>chemicals</t>
        </is>
      </c>
      <c r="F370" s="30" t="inlineStr">
        <is>
          <t>chemicals</t>
        </is>
      </c>
      <c r="G370" s="30" t="inlineStr">
        <is>
          <t>smallcap</t>
        </is>
      </c>
      <c r="H370" s="31" t="n">
        <v>853.83</v>
      </c>
      <c r="I370" s="31" t="n">
        <v>3.02</v>
      </c>
      <c r="J370" s="31" t="n">
        <v>4.86</v>
      </c>
      <c r="K370" s="31" t="n">
        <v>4721398</v>
      </c>
      <c r="L370" s="30" t="n">
        <v>1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44.84</v>
      </c>
      <c r="P370" s="31" t="n">
        <v>14.26</v>
      </c>
      <c r="Q370" s="31" t="n">
        <v>1.61</v>
      </c>
      <c r="R370" s="30" t="inlineStr">
        <is>
          <t>Earnings / Momentum Support</t>
        </is>
      </c>
      <c r="S370" s="30" t="inlineStr">
        <is>
          <t>Nifty 50</t>
        </is>
      </c>
      <c r="T370" s="31" t="n">
        <v>0.85</v>
      </c>
      <c r="U370" s="31" t="n">
        <v>-52.44</v>
      </c>
      <c r="V370" s="31" t="n">
        <v>-52.84</v>
      </c>
      <c r="W370" s="31" t="n">
        <v>-6.7</v>
      </c>
      <c r="X370" s="30" t="inlineStr">
        <is>
          <t>Growing Industry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Structural (10 Years Consistency)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Stable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Below 45</t>
        </is>
      </c>
      <c r="BA370" s="30">
        <f>IF(AZ370="Between 50 to 75",10,IF(AZ370="Above 75",0,0))</f>
        <v/>
      </c>
      <c r="BB370" s="30" t="inlineStr">
        <is>
          <t>Stage 4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Less than 1.5</t>
        </is>
      </c>
      <c r="BU370" s="30">
        <f>IF(BT370="Above 2",0,IF(BT370="Between 1.5 to 2",5,IF(BT370="Less than 1.5",10,0)))</f>
        <v/>
      </c>
      <c r="BV370" s="30" t="inlineStr">
        <is>
          <t>Between 50% to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IF(B371=0,"",RANK(B371,$B$2:$B$396,0))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LLOYDSME</t>
        </is>
      </c>
      <c r="D371" s="32" t="inlineStr">
        <is>
          <t>Lloyds Metals &amp; Energy Ltd</t>
        </is>
      </c>
      <c r="E371" s="30" t="inlineStr">
        <is>
          <t>metals &amp; mining</t>
        </is>
      </c>
      <c r="F371" s="30" t="inlineStr">
        <is>
          <t>mining / minerals / metals</t>
        </is>
      </c>
      <c r="G371" s="30" t="inlineStr">
        <is>
          <t>largecap</t>
        </is>
      </c>
      <c r="H371" s="31" t="n">
        <v>115902.54</v>
      </c>
      <c r="I371" s="31" t="n">
        <v>2109.9</v>
      </c>
      <c r="J371" s="31" t="n">
        <v>2.47</v>
      </c>
      <c r="K371" s="31" t="n">
        <v>609118</v>
      </c>
      <c r="L371" s="30" t="n">
        <v>62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79.67</v>
      </c>
      <c r="P371" s="31" t="n">
        <v>44.92</v>
      </c>
      <c r="Q371" s="31" t="n">
        <v>1759.09</v>
      </c>
      <c r="R371" s="30" t="inlineStr">
        <is>
          <t>Near 52W High Breakout</t>
        </is>
      </c>
      <c r="S371" s="30" t="inlineStr">
        <is>
          <t>Nifty Metal</t>
        </is>
      </c>
      <c r="T371" s="31" t="n">
        <v>39.94</v>
      </c>
      <c r="U371" s="31" t="n">
        <v>39.76</v>
      </c>
      <c r="V371" s="31" t="n">
        <v>-0.13</v>
      </c>
      <c r="W371" s="31" t="n">
        <v>14.46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Cyclical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Yes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Above 40</t>
        </is>
      </c>
      <c r="AY371" s="30">
        <f>IF(AX371="Above 40",20,IF(AX371="20 to 40",10,IF(AX371="0 to 20",-5,0)))</f>
        <v/>
      </c>
      <c r="AZ371" s="30" t="inlineStr">
        <is>
          <t>Above 75</t>
        </is>
      </c>
      <c r="BA371" s="30">
        <f>IF(AZ371="Between 50 to 75",10,IF(AZ371="Above 75",0,0))</f>
        <v/>
      </c>
      <c r="BB371" s="30" t="inlineStr">
        <is>
          <t>Stage 2</t>
        </is>
      </c>
      <c r="BC371" s="30">
        <f>IF(BB371="Stage 2",20,IF(BB371="Stage 1",0,IF(BB371="Stage 3",5,IF(BB371="Stage 4",-5,0))))</f>
        <v/>
      </c>
      <c r="BD371" s="30" t="inlineStr">
        <is>
          <t>Positive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Blue sky scenario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More than 20%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Less than 50% and Borrowings are increasing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More than 1.2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IF(B372=0,"",RANK(B372,$B$2:$B$396,0))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INDIGO</t>
        </is>
      </c>
      <c r="D372" s="32" t="inlineStr">
        <is>
          <t>Interglobe Aviation Limited</t>
        </is>
      </c>
      <c r="E372" s="30" t="inlineStr">
        <is>
          <t>transportation</t>
        </is>
      </c>
      <c r="F372" s="30" t="inlineStr">
        <is>
          <t>transport - airlines</t>
        </is>
      </c>
      <c r="G372" s="30" t="inlineStr">
        <is>
          <t>largecap</t>
        </is>
      </c>
      <c r="H372" s="31" t="n">
        <v>205643.79</v>
      </c>
      <c r="I372" s="31" t="n">
        <v>5333</v>
      </c>
      <c r="J372" s="31" t="n">
        <v>0.27</v>
      </c>
      <c r="K372" s="31" t="n">
        <v>843333</v>
      </c>
      <c r="L372" s="30" t="n">
        <v>15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59.26</v>
      </c>
      <c r="P372" s="31" t="n">
        <v>18.58</v>
      </c>
      <c r="Q372" s="31" t="n">
        <v>4443.61</v>
      </c>
      <c r="R372" s="30" t="inlineStr">
        <is>
          <t>Earnings / Momentum Support</t>
        </is>
      </c>
      <c r="S372" s="30" t="inlineStr">
        <is>
          <t>Nifty 50</t>
        </is>
      </c>
      <c r="T372" s="31" t="n">
        <v>0.85</v>
      </c>
      <c r="U372" s="31" t="n">
        <v>-7.41</v>
      </c>
      <c r="V372" s="31" t="n">
        <v>-8.19</v>
      </c>
      <c r="W372" s="31" t="n">
        <v>2.56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Too Many Players with High ROCE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Tailwind</t>
        </is>
      </c>
      <c r="AE372" s="30">
        <f>IF(AD372="Tailwind",10,0)</f>
        <v/>
      </c>
      <c r="AF372" s="30" t="inlineStr">
        <is>
          <t>Structural (10 Years Consistency)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2</t>
        </is>
      </c>
      <c r="BC372" s="30">
        <f>IF(BB372="Stage 2",20,IF(BB372="Stage 1",0,IF(BB372="Stage 3",5,IF(BB372="Stage 4",-5,0))))</f>
        <v/>
      </c>
      <c r="BD372" s="30" t="inlineStr">
        <is>
          <t>Positive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More than 1.2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IF(B373=0,"",RANK(B373,$B$2:$B$396,0))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KOTHARIPET</t>
        </is>
      </c>
      <c r="D373" s="32" t="inlineStr">
        <is>
          <t>Kothari Petrochemicals Limited</t>
        </is>
      </c>
      <c r="E373" s="30" t="inlineStr">
        <is>
          <t>energy</t>
        </is>
      </c>
      <c r="F373" s="30" t="inlineStr">
        <is>
          <t>petrochemicals</t>
        </is>
      </c>
      <c r="G373" s="30" t="inlineStr">
        <is>
          <t>smallcap</t>
        </is>
      </c>
      <c r="H373" s="31" t="n">
        <v>879.9299999999999</v>
      </c>
      <c r="I373" s="31" t="n">
        <v>149.52</v>
      </c>
      <c r="J373" s="31" t="n">
        <v>-0.01</v>
      </c>
      <c r="K373" s="31" t="n">
        <v>214433</v>
      </c>
      <c r="L373" s="30" t="n">
        <v>10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65.47</v>
      </c>
      <c r="P373" s="31" t="n">
        <v>17.4</v>
      </c>
      <c r="Q373" s="31" t="n">
        <v>113.16</v>
      </c>
      <c r="R373" s="30" t="inlineStr">
        <is>
          <t>Volume Spike / Accumulation</t>
        </is>
      </c>
      <c r="S373" s="30" t="inlineStr">
        <is>
          <t>Nifty Energy</t>
        </is>
      </c>
      <c r="T373" s="31" t="n">
        <v>9.93</v>
      </c>
      <c r="U373" s="31" t="n">
        <v>-10.06</v>
      </c>
      <c r="V373" s="31" t="n">
        <v>-18.18</v>
      </c>
      <c r="W373" s="31" t="n">
        <v>1.2</v>
      </c>
      <c r="X373" s="30" t="inlineStr">
        <is>
          <t>Cyclical in an Upturn</t>
        </is>
      </c>
      <c r="Y373" s="30">
        <f>IF(X373="Growing Industry",10,IF(X373="Cyclical in an Upturn",5,0))</f>
        <v/>
      </c>
      <c r="Z373" s="30" t="inlineStr">
        <is>
          <t>Oligopoly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Yes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Cyclical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Volatile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Yes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2</t>
        </is>
      </c>
      <c r="BC373" s="30">
        <f>IF(BB373="Stage 2",20,IF(BB373="Stage 1",0,IF(BB373="Stage 3",5,IF(BB373="Stage 4",-5,0))))</f>
        <v/>
      </c>
      <c r="BD373" s="30" t="inlineStr">
        <is>
          <t>Positive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Less than 12%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IF(B374=0,"",RANK(B374,$B$2:$B$396,0))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SAIL</t>
        </is>
      </c>
      <c r="D374" s="32" t="inlineStr">
        <is>
          <t>Steel Authority Of India Limited</t>
        </is>
      </c>
      <c r="E374" s="30" t="inlineStr">
        <is>
          <t>metals &amp; mining</t>
        </is>
      </c>
      <c r="F374" s="30" t="inlineStr">
        <is>
          <t>steel - large</t>
        </is>
      </c>
      <c r="G374" s="30" t="inlineStr">
        <is>
          <t>largecap</t>
        </is>
      </c>
      <c r="H374" s="31" t="n">
        <v>73002.89999999999</v>
      </c>
      <c r="I374" s="31" t="n">
        <v>176.58</v>
      </c>
      <c r="J374" s="31" t="n">
        <v>-0.09</v>
      </c>
      <c r="K374" s="31" t="n">
        <v>19016169</v>
      </c>
      <c r="L374" s="30" t="n">
        <v>33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55.62</v>
      </c>
      <c r="P374" s="31" t="n">
        <v>35.44</v>
      </c>
      <c r="Q374" s="31" t="n">
        <v>166.32</v>
      </c>
      <c r="R374" s="30" t="inlineStr">
        <is>
          <t>Earnings / Momentum Support</t>
        </is>
      </c>
      <c r="S374" s="30" t="inlineStr">
        <is>
          <t>Nifty Metal</t>
        </is>
      </c>
      <c r="T374" s="31" t="n">
        <v>39.94</v>
      </c>
      <c r="U374" s="31" t="n">
        <v>36.83</v>
      </c>
      <c r="V374" s="31" t="n">
        <v>-2.23</v>
      </c>
      <c r="W374" s="31" t="n">
        <v>6.61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20 to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1</t>
        </is>
      </c>
      <c r="BC374" s="30">
        <f>IF(BB374="Stage 2",20,IF(BB374="Stage 1",0,IF(BB374="Stage 3",5,IF(BB374="Stage 4",-5,0))))</f>
        <v/>
      </c>
      <c r="BD374" s="30" t="inlineStr">
        <is>
          <t>Positive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IF(B375=0,"",RANK(B375,$B$2:$B$396,0))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2" t="inlineStr">
        <is>
          <t>GANDHITUBE</t>
        </is>
      </c>
      <c r="D375" s="32" t="inlineStr">
        <is>
          <t>Gandhi Special Tubes Limited</t>
        </is>
      </c>
      <c r="E375" s="30" t="inlineStr">
        <is>
          <t>metals &amp; mining</t>
        </is>
      </c>
      <c r="F375" s="30" t="inlineStr">
        <is>
          <t>steel - medium / small</t>
        </is>
      </c>
      <c r="G375" s="30" t="inlineStr">
        <is>
          <t>smallcap</t>
        </is>
      </c>
      <c r="H375" s="31" t="n">
        <v>1085.36</v>
      </c>
      <c r="I375" s="31" t="n">
        <v>889</v>
      </c>
      <c r="J375" s="31" t="n">
        <v>-0.46</v>
      </c>
      <c r="K375" s="31" t="n">
        <v>2579</v>
      </c>
      <c r="L375" s="30" t="n">
        <v>33</v>
      </c>
      <c r="M375" s="30" t="inlineStr">
        <is>
          <t>Underperforming</t>
        </is>
      </c>
      <c r="N375" s="31">
        <f>IF(M375="Underperforming",-5,IF(L375&gt;=95,15,IF(L375&gt;=90,10,IF(L375&gt;=80,5,0))))</f>
        <v/>
      </c>
      <c r="O375" s="31" t="n">
        <v>59.37</v>
      </c>
      <c r="P375" s="31" t="n">
        <v>14.39</v>
      </c>
      <c r="Q375" s="31" t="n">
        <v>765.62</v>
      </c>
      <c r="R375" s="30" t="inlineStr">
        <is>
          <t>Volume Spike / Accumulation</t>
        </is>
      </c>
      <c r="S375" s="30" t="inlineStr">
        <is>
          <t>Nifty Metal</t>
        </is>
      </c>
      <c r="T375" s="31" t="n">
        <v>39.94</v>
      </c>
      <c r="U375" s="31" t="n">
        <v>22.6</v>
      </c>
      <c r="V375" s="31" t="n">
        <v>-12.39</v>
      </c>
      <c r="W375" s="31" t="n">
        <v>6.54</v>
      </c>
      <c r="X375" s="30" t="inlineStr">
        <is>
          <t>Cyclical in an Upturn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Cyclical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Volatile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Yes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2</t>
        </is>
      </c>
      <c r="BC375" s="30">
        <f>IF(BB375="Stage 2",20,IF(BB375="Stage 1",0,IF(BB375="Stage 3",5,IF(BB375="Stage 4",-5,0))))</f>
        <v/>
      </c>
      <c r="BD375" s="30" t="inlineStr">
        <is>
          <t>Positive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Between 50% to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IF(B376=0,"",RANK(B376,$B$2:$B$396,0))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RAYMOND</t>
        </is>
      </c>
      <c r="D376" s="32" t="inlineStr">
        <is>
          <t>Raymond Limited</t>
        </is>
      </c>
      <c r="E376" s="30" t="inlineStr">
        <is>
          <t>transportation</t>
        </is>
      </c>
      <c r="F376" s="30" t="inlineStr">
        <is>
          <t>transport - airlines</t>
        </is>
      </c>
      <c r="G376" s="30" t="inlineStr">
        <is>
          <t>smallcap</t>
        </is>
      </c>
      <c r="H376" s="31" t="n">
        <v>4178.17</v>
      </c>
      <c r="I376" s="31" t="n">
        <v>614.95</v>
      </c>
      <c r="J376" s="31" t="n">
        <v>-2.02</v>
      </c>
      <c r="K376" s="31" t="n">
        <v>395873</v>
      </c>
      <c r="L376" s="30" t="n">
        <v>29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61.37</v>
      </c>
      <c r="P376" s="31" t="n">
        <v>38.4</v>
      </c>
      <c r="Q376" s="31" t="n">
        <v>479.46</v>
      </c>
      <c r="R376" s="30" t="inlineStr">
        <is>
          <t>Near 52W High Breakout</t>
        </is>
      </c>
      <c r="S376" s="30" t="inlineStr">
        <is>
          <t>Nifty 50</t>
        </is>
      </c>
      <c r="T376" s="31" t="n">
        <v>0.85</v>
      </c>
      <c r="U376" s="31" t="n">
        <v>-0.63</v>
      </c>
      <c r="V376" s="31" t="n">
        <v>-1.47</v>
      </c>
      <c r="W376" s="31" t="n">
        <v>5.74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Yes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20 to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2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Less than 50%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IF(B377=0,"",RANK(B377,$B$2:$B$396,0))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2" t="inlineStr">
        <is>
          <t>GLENMARK</t>
        </is>
      </c>
      <c r="D377" s="32" t="inlineStr">
        <is>
          <t>Glenmark Pharmaceuticals Limited</t>
        </is>
      </c>
      <c r="E377" s="30" t="inlineStr">
        <is>
          <t>healthcare</t>
        </is>
      </c>
      <c r="F377" s="30" t="inlineStr">
        <is>
          <t>pharmaceuticals - indian - bulk drugs &amp; formln</t>
        </is>
      </c>
      <c r="G377" s="30" t="inlineStr">
        <is>
          <t>largecap</t>
        </is>
      </c>
      <c r="H377" s="31" t="n">
        <v>64059.58</v>
      </c>
      <c r="I377" s="31" t="n">
        <v>2279.1</v>
      </c>
      <c r="J377" s="31" t="n">
        <v>0.4</v>
      </c>
      <c r="K377" s="31" t="n">
        <v>865833</v>
      </c>
      <c r="L377" s="30" t="n">
        <v>14</v>
      </c>
      <c r="M377" s="30" t="inlineStr">
        <is>
          <t>Underperforming</t>
        </is>
      </c>
      <c r="N377" s="31">
        <f>IF(M377="Underperforming",-5,IF(L377&gt;=95,15,IF(L377&gt;=90,10,IF(L377&gt;=80,5,0))))</f>
        <v/>
      </c>
      <c r="O377" s="31" t="n">
        <v>57.57</v>
      </c>
      <c r="P377" s="31" t="n">
        <v>19.99</v>
      </c>
      <c r="Q377" s="31" t="n">
        <v>1989.67</v>
      </c>
      <c r="R377" s="30" t="inlineStr">
        <is>
          <t>Earnings / Momentum Support</t>
        </is>
      </c>
      <c r="S377" s="30" t="inlineStr">
        <is>
          <t>Nifty Pharma</t>
        </is>
      </c>
      <c r="T377" s="31" t="n">
        <v>24.01</v>
      </c>
      <c r="U377" s="31" t="n">
        <v>13.13</v>
      </c>
      <c r="V377" s="31" t="n">
        <v>-8.779999999999999</v>
      </c>
      <c r="W377" s="31" t="n">
        <v>2.33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Too Many Players with High ROCE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Yes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Structural (10 Years Consistency)</t>
        </is>
      </c>
      <c r="AG377" s="30">
        <f>IF(AF377="Structural (10 Years Consistency)",10,IF(AF377="Shallow Cyclical (2 to 3 years growth)",5,0))</f>
        <v/>
      </c>
      <c r="AH377" s="30" t="inlineStr">
        <is>
          <t>No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Stable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No</t>
        </is>
      </c>
      <c r="AQ377" s="30">
        <f>IF(AP377="Yes",10,0)</f>
        <v/>
      </c>
      <c r="AR377" s="30" t="inlineStr">
        <is>
          <t>Higher Annuity, Lower One Time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Good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0 to 20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2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Uptrend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Close to 52 week high or retracement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More than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Above 2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Less than 15%</t>
        </is>
      </c>
      <c r="CC377" s="30">
        <f>IF(CB377="More than 15%",-10,IF(CB377="Less than 15%",10,0))</f>
        <v/>
      </c>
      <c r="CD377" s="30" t="inlineStr">
        <is>
          <t>No</t>
        </is>
      </c>
      <c r="CE377" s="30">
        <f>IF(CD377="Yes, more than 10%",-10,IF(CD377="No",10,0))</f>
        <v/>
      </c>
    </row>
    <row r="378">
      <c r="A378" s="30">
        <f>IF(B378=0,"",RANK(B378,$B$2:$B$396,0))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2" t="inlineStr">
        <is>
          <t>WINDMACHIN</t>
        </is>
      </c>
      <c r="D378" s="32" t="inlineStr">
        <is>
          <t>Windsor Machines Limited</t>
        </is>
      </c>
      <c r="E378" s="30" t="inlineStr">
        <is>
          <t>industrials</t>
        </is>
      </c>
      <c r="F378" s="30" t="inlineStr">
        <is>
          <t>engineering</t>
        </is>
      </c>
      <c r="G378" s="30" t="inlineStr">
        <is>
          <t>smallcap</t>
        </is>
      </c>
      <c r="H378" s="31" t="n">
        <v>2812.75</v>
      </c>
      <c r="I378" s="31" t="n">
        <v>303.55</v>
      </c>
      <c r="J378" s="31" t="n">
        <v>9.779999999999999</v>
      </c>
      <c r="K378" s="31" t="n">
        <v>1605824</v>
      </c>
      <c r="L378" s="30" t="n">
        <v>4</v>
      </c>
      <c r="M378" s="30" t="inlineStr">
        <is>
          <t>Underperforming</t>
        </is>
      </c>
      <c r="N378" s="31">
        <f>IF(M378="Underperforming",-5,IF(L378&gt;=95,15,IF(L378&gt;=90,10,IF(L378&gt;=80,5,0))))</f>
        <v/>
      </c>
      <c r="O378" s="31" t="n">
        <v>54.24</v>
      </c>
      <c r="P378" s="31" t="n">
        <v>22.71</v>
      </c>
      <c r="Q378" s="31" t="n">
        <v>237.49</v>
      </c>
      <c r="R378" s="30" t="inlineStr">
        <is>
          <t>Volume Spike / Accumulation</t>
        </is>
      </c>
      <c r="S378" s="30" t="inlineStr">
        <is>
          <t>Nifty 50</t>
        </is>
      </c>
      <c r="T378" s="31" t="n">
        <v>0.85</v>
      </c>
      <c r="U378" s="31" t="n">
        <v>-2.02</v>
      </c>
      <c r="V378" s="31" t="n">
        <v>-2.84</v>
      </c>
      <c r="W378" s="31" t="n">
        <v>-0.64</v>
      </c>
      <c r="X378" s="30" t="inlineStr">
        <is>
          <t>Cyclical in an Upturn</t>
        </is>
      </c>
      <c r="Y378" s="30">
        <f>IF(X378="Growing Industry",10,IF(X378="Cyclical in an Upturn",5,0))</f>
        <v/>
      </c>
      <c r="Z378" s="30" t="inlineStr">
        <is>
          <t>Too Many Players with High ROCE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No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Stable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B2B</t>
        </is>
      </c>
      <c r="AO378" s="30">
        <f>IF(AN378="B2C",10,IF(AN378="B2B",5,0))</f>
        <v/>
      </c>
      <c r="AP378" s="30" t="inlineStr">
        <is>
          <t>Yes</t>
        </is>
      </c>
      <c r="AQ378" s="30">
        <f>IF(AP378="Yes",10,0)</f>
        <v/>
      </c>
      <c r="AR378" s="30" t="inlineStr">
        <is>
          <t>Higher One Time, Lower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Good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20 to 40</t>
        </is>
      </c>
      <c r="AY378" s="30">
        <f>IF(AX378="Above 40",20,IF(AX378="20 to 40",10,IF(AX378="0 to 20",-5,0)))</f>
        <v/>
      </c>
      <c r="AZ378" s="30" t="inlineStr">
        <is>
          <t>Between 50 to 75</t>
        </is>
      </c>
      <c r="BA378" s="30">
        <f>IF(AZ378="Between 50 to 75",10,IF(AZ378="Above 75",0,0))</f>
        <v/>
      </c>
      <c r="BB378" s="30" t="inlineStr">
        <is>
          <t>Stage 2</t>
        </is>
      </c>
      <c r="BC378" s="30">
        <f>IF(BB378="Stage 2",20,IF(BB378="Stage 1",0,IF(BB378="Stage 3",5,IF(BB378="Stage 4",-5,0))))</f>
        <v/>
      </c>
      <c r="BD378" s="30" t="inlineStr">
        <is>
          <t>Negative Trend</t>
        </is>
      </c>
      <c r="BE378" s="30">
        <f>IF(BD378="Positive Trend",20,IF(BD378="Negative Trend",-10,0))</f>
        <v/>
      </c>
      <c r="BF378" s="30" t="inlineStr">
        <is>
          <t>Uptrend</t>
        </is>
      </c>
      <c r="BG378" s="30">
        <f>IF(BF378="Uptrend",10,IF(BF378="Sideways",5,0))</f>
        <v/>
      </c>
      <c r="BH378" s="30" t="inlineStr">
        <is>
          <t>Uptrend</t>
        </is>
      </c>
      <c r="BI378" s="30">
        <f>IF(BH378="Uptrend",10,IF(BH378="Sideways",5,0))</f>
        <v/>
      </c>
      <c r="BJ378" s="30" t="inlineStr">
        <is>
          <t>Close to 52 week high or retracement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More than 20%</t>
        </is>
      </c>
      <c r="BO378" s="30">
        <f>IF(BN378="More than 20%",10,IF(BN378="Between 12 to 20%",5,IF(BN378="Less than 12%",0,0)))</f>
        <v/>
      </c>
      <c r="BP378" s="30" t="inlineStr">
        <is>
          <t>No</t>
        </is>
      </c>
      <c r="BQ378" s="30">
        <f>IF(BP378="No",10,0)</f>
        <v/>
      </c>
      <c r="BR378" s="30" t="inlineStr">
        <is>
          <t>Yes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Negative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IF(B379=0,"",RANK(B379,$B$2:$B$396,0))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HINDALCO</t>
        </is>
      </c>
      <c r="D379" s="30" t="inlineStr">
        <is>
          <t>Hindalco Industries Limited</t>
        </is>
      </c>
      <c r="E379" s="30" t="inlineStr">
        <is>
          <t>metals &amp; mining</t>
        </is>
      </c>
      <c r="F379" s="30" t="inlineStr">
        <is>
          <t>aluminium and aluminium products</t>
        </is>
      </c>
      <c r="G379" s="30" t="inlineStr">
        <is>
          <t>largecap</t>
        </is>
      </c>
      <c r="H379" s="31" t="n">
        <v>230790.16</v>
      </c>
      <c r="I379" s="31" t="n">
        <v>1059.6</v>
      </c>
      <c r="J379" s="31" t="n">
        <v>3.17</v>
      </c>
      <c r="K379" s="31" t="n">
        <v>17876623</v>
      </c>
      <c r="L379" s="30" t="n">
        <v>45</v>
      </c>
      <c r="M379" s="30" t="inlineStr">
        <is>
          <t>Outperforming</t>
        </is>
      </c>
      <c r="N379" s="31">
        <f>IF(M379="Underperforming",-5,IF(L379&gt;=95,15,IF(L379&gt;=90,10,IF(L379&gt;=80,5,0))))</f>
        <v/>
      </c>
      <c r="O379" s="31" t="n">
        <v>61.39</v>
      </c>
      <c r="P379" s="31" t="n">
        <v>36.46</v>
      </c>
      <c r="Q379" s="31" t="n">
        <v>942.66</v>
      </c>
      <c r="R379" s="30" t="inlineStr">
        <is>
          <t>Earnings / Momentum Support</t>
        </is>
      </c>
      <c r="S379" s="30" t="inlineStr">
        <is>
          <t>Nifty Metal</t>
        </is>
      </c>
      <c r="T379" s="31" t="n">
        <v>39.94</v>
      </c>
      <c r="U379" s="31" t="n">
        <v>54.72</v>
      </c>
      <c r="V379" s="31" t="n">
        <v>10.56</v>
      </c>
      <c r="W379" s="31" t="n">
        <v>9.710000000000001</v>
      </c>
      <c r="X379" s="30" t="inlineStr">
        <is>
          <t>Cyclical in an Upturn</t>
        </is>
      </c>
      <c r="Y379" s="30">
        <f>IF(X379="Growing Industry",10,IF(X379="Cyclical in an Upturn",5,0))</f>
        <v/>
      </c>
      <c r="Z379" s="30" t="inlineStr">
        <is>
          <t>Too Many Players with High ROCE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Cyclical</t>
        </is>
      </c>
      <c r="AG379" s="30">
        <f>IF(AF379="Structural (10 Years Consistency)",10,IF(AF379="Shallow Cyclical (2 to 3 years growth)",5,0))</f>
        <v/>
      </c>
      <c r="AH379" s="30" t="inlineStr">
        <is>
          <t>No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Volatile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No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Good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20 to 40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2</t>
        </is>
      </c>
      <c r="BC379" s="30">
        <f>IF(BB379="Stage 2",20,IF(BB379="Stage 1",0,IF(BB379="Stage 3",5,IF(BB379="Stage 4",-5,0))))</f>
        <v/>
      </c>
      <c r="BD379" s="30" t="inlineStr">
        <is>
          <t>Positive Trend</t>
        </is>
      </c>
      <c r="BE379" s="30">
        <f>IF(BD379="Positive Trend",20,IF(BD379="Negative Trend",-10,0))</f>
        <v/>
      </c>
      <c r="BF379" s="30" t="inlineStr">
        <is>
          <t>Uptrend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Close to 52 week high or retracement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Less than 12%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Above 2</t>
        </is>
      </c>
      <c r="BU379" s="30">
        <f>IF(BT379="Above 2",0,IF(BT379="Between 1.5 to 2",5,IF(BT379="Less than 1.5",10,0)))</f>
        <v/>
      </c>
      <c r="BV379" s="30" t="inlineStr">
        <is>
          <t>Less than 50%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Between 0.7 to 1.2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Less than 15%</t>
        </is>
      </c>
      <c r="CC379" s="30">
        <f>IF(CB379="More than 15%",-10,IF(CB379="Less than 15%",10,0))</f>
        <v/>
      </c>
      <c r="CD379" s="30" t="inlineStr">
        <is>
          <t>No</t>
        </is>
      </c>
      <c r="CE379" s="30">
        <f>IF(CD379="Yes, more than 10%",-10,IF(CD379="No",10,0))</f>
        <v/>
      </c>
    </row>
    <row r="380">
      <c r="A380" s="30">
        <f>IF(B380=0,"",RANK(B380,$B$2:$B$396,0))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HINDZINC</t>
        </is>
      </c>
      <c r="D380" s="32" t="inlineStr">
        <is>
          <t>Hindustan Zinc Limited</t>
        </is>
      </c>
      <c r="E380" s="30" t="inlineStr">
        <is>
          <t>metals &amp; mining</t>
        </is>
      </c>
      <c r="F380" s="30" t="inlineStr">
        <is>
          <t>mining / minerals / metals</t>
        </is>
      </c>
      <c r="G380" s="30" t="inlineStr">
        <is>
          <t>largecap</t>
        </is>
      </c>
      <c r="H380" s="31" t="n">
        <v>249293.82</v>
      </c>
      <c r="I380" s="31" t="n">
        <v>603</v>
      </c>
      <c r="J380" s="31" t="n">
        <v>2.2</v>
      </c>
      <c r="K380" s="31" t="n">
        <v>12658730</v>
      </c>
      <c r="L380" s="30" t="n">
        <v>44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57.53</v>
      </c>
      <c r="P380" s="31" t="n">
        <v>14.2</v>
      </c>
      <c r="Q380" s="31" t="n">
        <v>514.4</v>
      </c>
      <c r="R380" s="30" t="inlineStr">
        <is>
          <t>Volume Spike / Accumulation</t>
        </is>
      </c>
      <c r="S380" s="30" t="inlineStr">
        <is>
          <t>Nifty Metal</t>
        </is>
      </c>
      <c r="T380" s="31" t="n">
        <v>39.94</v>
      </c>
      <c r="U380" s="31" t="n">
        <v>39.8</v>
      </c>
      <c r="V380" s="31" t="n">
        <v>-0.1</v>
      </c>
      <c r="W380" s="31" t="n">
        <v>9.449999999999999</v>
      </c>
      <c r="X380" s="30" t="inlineStr">
        <is>
          <t>Cyclical in an Upturn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Cyclical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Volatile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Yes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1</t>
        </is>
      </c>
      <c r="BC380" s="30">
        <f>IF(BB380="Stage 2",20,IF(BB380="Stage 1",0,IF(BB380="Stage 3",5,IF(BB380="Stage 4",-5,0))))</f>
        <v/>
      </c>
      <c r="BD380" s="30" t="inlineStr">
        <is>
          <t>Positive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More than 20%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Above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  <row r="381">
      <c r="A381" s="30">
        <f>IF(B381=0,"",RANK(B381,$B$2:$B$396,0))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2" t="inlineStr">
        <is>
          <t>RITES</t>
        </is>
      </c>
      <c r="D381" s="32" t="inlineStr">
        <is>
          <t>Rites Ltd</t>
        </is>
      </c>
      <c r="E381" s="30" t="inlineStr">
        <is>
          <t>miscellaneous</t>
        </is>
      </c>
      <c r="F381" s="30" t="inlineStr">
        <is>
          <t>miscellaneous</t>
        </is>
      </c>
      <c r="G381" s="30" t="inlineStr">
        <is>
          <t>midcap</t>
        </is>
      </c>
      <c r="H381" s="31" t="n">
        <v>11120.21</v>
      </c>
      <c r="I381" s="31" t="n">
        <v>234.24</v>
      </c>
      <c r="J381" s="31" t="n">
        <v>1.24</v>
      </c>
      <c r="K381" s="31" t="n">
        <v>1536756</v>
      </c>
      <c r="L381" s="30" t="n">
        <v>6</v>
      </c>
      <c r="M381" s="30" t="inlineStr">
        <is>
          <t>Underperforming</t>
        </is>
      </c>
      <c r="N381" s="31">
        <f>IF(M381="Underperforming",-5,IF(L381&gt;=95,15,IF(L381&gt;=90,10,IF(L381&gt;=80,5,0))))</f>
        <v/>
      </c>
      <c r="O381" s="31" t="n">
        <v>58.21</v>
      </c>
      <c r="P381" s="31" t="n">
        <v>13.06</v>
      </c>
      <c r="Q381" s="31" t="n">
        <v>187.09</v>
      </c>
      <c r="R381" s="30" t="inlineStr">
        <is>
          <t>Earnings / Momentum Support</t>
        </is>
      </c>
      <c r="S381" s="30" t="inlineStr">
        <is>
          <t>Nifty 50</t>
        </is>
      </c>
      <c r="T381" s="31" t="n">
        <v>0.85</v>
      </c>
      <c r="U381" s="31" t="n">
        <v>-2.16</v>
      </c>
      <c r="V381" s="31" t="n">
        <v>-2.98</v>
      </c>
      <c r="W381" s="31" t="n">
        <v>0.25</v>
      </c>
      <c r="X381" s="30" t="inlineStr">
        <is>
          <t>Growing Industry</t>
        </is>
      </c>
      <c r="Y381" s="30">
        <f>IF(X381="Growing Industry",10,IF(X381="Cyclical in an Upturn",5,0))</f>
        <v/>
      </c>
      <c r="Z381" s="30" t="inlineStr">
        <is>
          <t>Too Many Players with High ROCE</t>
        </is>
      </c>
      <c r="AA381" s="30">
        <f>IF(Z381="Monopoly",10,IF(Z381="Oligopoly",5,IF(Z381="Duopoly that cooperate",10,IF(Z381="Duopoly that compete",5,IF(Z381="Too many players with High ROCE",5,0)))))</f>
        <v/>
      </c>
      <c r="AB381" s="30" t="inlineStr">
        <is>
          <t>No</t>
        </is>
      </c>
      <c r="AC381" s="30">
        <f>IF(AB381="No",5,0)</f>
        <v/>
      </c>
      <c r="AD381" s="30" t="inlineStr">
        <is>
          <t>Tailwind</t>
        </is>
      </c>
      <c r="AE381" s="30">
        <f>IF(AD381="Tailwind",10,0)</f>
        <v/>
      </c>
      <c r="AF381" s="30" t="inlineStr">
        <is>
          <t>Structural (10 Years Consistency)</t>
        </is>
      </c>
      <c r="AG381" s="30">
        <f>IF(AF381="Structural (10 Years Consistency)",10,IF(AF381="Shallow Cyclical (2 to 3 years growth)",5,0))</f>
        <v/>
      </c>
      <c r="AH381" s="30" t="inlineStr">
        <is>
          <t>No</t>
        </is>
      </c>
      <c r="AI381" s="30">
        <f>IF(AH381="Yes due to Product Mix change or Operating Leverage",10,IF(AH381="Yes, these are peak margins",-5,IF(AH381="No",5,0)))</f>
        <v/>
      </c>
      <c r="AJ381" s="30" t="inlineStr">
        <is>
          <t>Stable</t>
        </is>
      </c>
      <c r="AK381" s="30">
        <f>IF(AJ381="Stable",10,0)</f>
        <v/>
      </c>
      <c r="AL381" s="30" t="inlineStr">
        <is>
          <t>Yes</t>
        </is>
      </c>
      <c r="AM381" s="30">
        <f>IF(AL381="Yes",10,0)</f>
        <v/>
      </c>
      <c r="AN381" s="30" t="inlineStr">
        <is>
          <t>B2B</t>
        </is>
      </c>
      <c r="AO381" s="30">
        <f>IF(AN381="B2C",10,IF(AN381="B2B",5,0))</f>
        <v/>
      </c>
      <c r="AP381" s="30" t="inlineStr">
        <is>
          <t>No</t>
        </is>
      </c>
      <c r="AQ381" s="30">
        <f>IF(AP381="Yes",10,0)</f>
        <v/>
      </c>
      <c r="AR381" s="30" t="inlineStr">
        <is>
          <t>Higher One Time, Lower Annuity</t>
        </is>
      </c>
      <c r="AS381" s="30">
        <f>IF(AR381="Fully Annuity",10,IF(AR381="Higher Annuity, Lower One Time",5,IF(AR381="Higher One Time, Lower Annuity",3,0)))</f>
        <v/>
      </c>
      <c r="AT381" s="30" t="inlineStr">
        <is>
          <t>Good</t>
        </is>
      </c>
      <c r="AU381" s="30">
        <f>IF(AT381="Good",10,0)</f>
        <v/>
      </c>
      <c r="AV381" s="30" t="inlineStr">
        <is>
          <t>Yes for more than 2 years</t>
        </is>
      </c>
      <c r="AW381" s="30">
        <f>IF(AV381="Yes for more than 2 years",10,IF(AV381="Yes only for next 1 to 2 years",5,0))</f>
        <v/>
      </c>
      <c r="AX381" s="30" t="inlineStr">
        <is>
          <t>0 to 20</t>
        </is>
      </c>
      <c r="AY381" s="30">
        <f>IF(AX381="Above 40",20,IF(AX381="20 to 40",10,IF(AX381="0 to 20",-5,0)))</f>
        <v/>
      </c>
      <c r="AZ381" s="30" t="inlineStr">
        <is>
          <t>Between 50 to 75</t>
        </is>
      </c>
      <c r="BA381" s="30">
        <f>IF(AZ381="Between 50 to 75",10,IF(AZ381="Above 75",0,0))</f>
        <v/>
      </c>
      <c r="BB381" s="30" t="inlineStr">
        <is>
          <t>Stage 1</t>
        </is>
      </c>
      <c r="BC381" s="30">
        <f>IF(BB381="Stage 2",20,IF(BB381="Stage 1",0,IF(BB381="Stage 3",5,IF(BB381="Stage 4",-5,0))))</f>
        <v/>
      </c>
      <c r="BD381" s="30" t="inlineStr">
        <is>
          <t>Positive Trend</t>
        </is>
      </c>
      <c r="BE381" s="30">
        <f>IF(BD381="Positive Trend",20,IF(BD381="Negative Trend",-10,0))</f>
        <v/>
      </c>
      <c r="BF381" s="30" t="inlineStr">
        <is>
          <t>Uptrend</t>
        </is>
      </c>
      <c r="BG381" s="30">
        <f>IF(BF381="Uptrend",10,IF(BF381="Sideways",5,0))</f>
        <v/>
      </c>
      <c r="BH381" s="30" t="inlineStr">
        <is>
          <t>Uptrend</t>
        </is>
      </c>
      <c r="BI381" s="30">
        <f>IF(BH381="Uptrend",10,IF(BH381="Sideways",5,0))</f>
        <v/>
      </c>
      <c r="BJ381" s="30" t="inlineStr">
        <is>
          <t>Close to 52 week high or retracement</t>
        </is>
      </c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inlineStr">
        <is>
          <t>Yes</t>
        </is>
      </c>
      <c r="BM381" s="30">
        <f>IF(BL381="Yes",10,0)</f>
        <v/>
      </c>
      <c r="BN381" s="30" t="inlineStr">
        <is>
          <t>Less than 12%</t>
        </is>
      </c>
      <c r="BO381" s="30">
        <f>IF(BN381="More than 20%",10,IF(BN381="Between 12 to 20%",5,IF(BN381="Less than 12%",0,0)))</f>
        <v/>
      </c>
      <c r="BP381" s="30" t="inlineStr">
        <is>
          <t>No</t>
        </is>
      </c>
      <c r="BQ381" s="30">
        <f>IF(BP381="No",10,0)</f>
        <v/>
      </c>
      <c r="BR381" s="30" t="inlineStr">
        <is>
          <t>No</t>
        </is>
      </c>
      <c r="BS381" s="30">
        <f>IF(BR381="NO",5,0)</f>
        <v/>
      </c>
      <c r="BT381" s="30" t="inlineStr">
        <is>
          <t>Above 2</t>
        </is>
      </c>
      <c r="BU381" s="30">
        <f>IF(BT381="Above 2",0,IF(BT381="Between 1.5 to 2",5,IF(BT381="Less than 1.5",10,0)))</f>
        <v/>
      </c>
      <c r="BV381" s="30" t="inlineStr">
        <is>
          <t>Between 50% to 70%</t>
        </is>
      </c>
      <c r="BW381" s="30">
        <f>IF(BV381="Above 70%",10,IF(BV381="Between 50% to 70%",5,IF(BV381="Less than 50%",0,IF(BV381="Negative",-10,IF(BV381="Less than 50% and Borrowings are increasing",-5,0)))))</f>
        <v/>
      </c>
      <c r="BX381" s="30" t="inlineStr">
        <is>
          <t>Less than 0.7</t>
        </is>
      </c>
      <c r="BY381" s="30">
        <f>IF(BX381="More than 1.2",-10,IF(BX381="Between 0.7 to 1.2",0,IF(BX381="Less than 0.7",10,0)))</f>
        <v/>
      </c>
      <c r="BZ381" s="30" t="inlineStr">
        <is>
          <t>No</t>
        </is>
      </c>
      <c r="CA381" s="30">
        <f>IF(BZ381="Yes",-10,0)</f>
        <v/>
      </c>
      <c r="CB381" s="30" t="inlineStr">
        <is>
          <t>Less than 15%</t>
        </is>
      </c>
      <c r="CC381" s="30">
        <f>IF(CB381="More than 15%",-10,IF(CB381="Less than 15%",10,0))</f>
        <v/>
      </c>
      <c r="CD381" s="30" t="inlineStr">
        <is>
          <t>No</t>
        </is>
      </c>
      <c r="CE381" s="30">
        <f>IF(CD381="Yes, more than 10%",-10,IF(CD381="No",10,0))</f>
        <v/>
      </c>
    </row>
    <row r="382">
      <c r="A382" s="30">
        <f>IF(B382=0,"",RANK(B382,$B$2:$B$396,0))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2" t="inlineStr">
        <is>
          <t>BANSALWIRE</t>
        </is>
      </c>
      <c r="D382" s="32" t="inlineStr">
        <is>
          <t>Bansal Wire Industries Ltd</t>
        </is>
      </c>
      <c r="E382" s="30" t="inlineStr">
        <is>
          <t>metals &amp; mining</t>
        </is>
      </c>
      <c r="F382" s="30" t="inlineStr">
        <is>
          <t>steel - medium / small</t>
        </is>
      </c>
      <c r="G382" s="30" t="inlineStr">
        <is>
          <t>midcap</t>
        </is>
      </c>
      <c r="H382" s="31" t="n">
        <v>5183.57</v>
      </c>
      <c r="I382" s="31" t="n">
        <v>331.2</v>
      </c>
      <c r="J382" s="31" t="n">
        <v>0.03</v>
      </c>
      <c r="K382" s="31" t="n">
        <v>284713</v>
      </c>
      <c r="L382" s="30" t="n">
        <v>3</v>
      </c>
      <c r="M382" s="30" t="inlineStr">
        <is>
          <t>Underperforming</t>
        </is>
      </c>
      <c r="N382" s="31">
        <f>IF(M382="Underperforming",-5,IF(L382&gt;=95,15,IF(L382&gt;=90,10,IF(L382&gt;=80,5,0))))</f>
        <v/>
      </c>
      <c r="O382" s="31" t="n">
        <v>55.88</v>
      </c>
      <c r="P382" s="31" t="n">
        <v>11.88</v>
      </c>
      <c r="Q382" s="31" t="n">
        <v>276.64</v>
      </c>
      <c r="R382" s="30" t="inlineStr">
        <is>
          <t>Earnings / Momentum Support</t>
        </is>
      </c>
      <c r="S382" s="30" t="inlineStr">
        <is>
          <t>Nifty Metal</t>
        </is>
      </c>
      <c r="T382" s="31" t="n">
        <v>39.94</v>
      </c>
      <c r="U382" s="31" t="n">
        <v>-18.93</v>
      </c>
      <c r="V382" s="31" t="n">
        <v>-42.07</v>
      </c>
      <c r="W382" s="31" t="n">
        <v>-1.06</v>
      </c>
      <c r="X382" s="30" t="inlineStr">
        <is>
          <t>Cyclical in an Upturn</t>
        </is>
      </c>
      <c r="Y382" s="30">
        <f>IF(X382="Growing Industry",10,IF(X382="Cyclical in an Upturn",5,0))</f>
        <v/>
      </c>
      <c r="Z382" s="30" t="inlineStr">
        <is>
          <t>Too Many Players with High ROCE</t>
        </is>
      </c>
      <c r="AA382" s="30">
        <f>IF(Z382="Monopoly",10,IF(Z382="Oligopoly",5,IF(Z382="Duopoly that cooperate",10,IF(Z382="Duopoly that compete",5,IF(Z382="Too many players with High ROCE",5,0)))))</f>
        <v/>
      </c>
      <c r="AB382" s="30" t="inlineStr">
        <is>
          <t>No</t>
        </is>
      </c>
      <c r="AC382" s="30">
        <f>IF(AB382="No",5,0)</f>
        <v/>
      </c>
      <c r="AD382" s="30" t="inlineStr">
        <is>
          <t>Tailwind</t>
        </is>
      </c>
      <c r="AE382" s="30">
        <f>IF(AD382="Tailwind",10,0)</f>
        <v/>
      </c>
      <c r="AF382" s="30" t="inlineStr">
        <is>
          <t>Cyclical</t>
        </is>
      </c>
      <c r="AG382" s="30">
        <f>IF(AF382="Structural (10 Years Consistency)",10,IF(AF382="Shallow Cyclical (2 to 3 years growth)",5,0))</f>
        <v/>
      </c>
      <c r="AH382" s="30" t="inlineStr">
        <is>
          <t>No</t>
        </is>
      </c>
      <c r="AI382" s="30">
        <f>IF(AH382="Yes due to Product Mix change or Operating Leverage",10,IF(AH382="Yes, these are peak margins",-5,IF(AH382="No",5,0)))</f>
        <v/>
      </c>
      <c r="AJ382" s="30" t="inlineStr">
        <is>
          <t>Volatile</t>
        </is>
      </c>
      <c r="AK382" s="30">
        <f>IF(AJ382="Stable",10,0)</f>
        <v/>
      </c>
      <c r="AL382" s="30" t="inlineStr">
        <is>
          <t>Yes</t>
        </is>
      </c>
      <c r="AM382" s="30">
        <f>IF(AL382="Yes",10,0)</f>
        <v/>
      </c>
      <c r="AN382" s="30" t="inlineStr">
        <is>
          <t>B2B</t>
        </is>
      </c>
      <c r="AO382" s="30">
        <f>IF(AN382="B2C",10,IF(AN382="B2B",5,0))</f>
        <v/>
      </c>
      <c r="AP382" s="30" t="inlineStr">
        <is>
          <t>No</t>
        </is>
      </c>
      <c r="AQ382" s="30">
        <f>IF(AP382="Yes",10,0)</f>
        <v/>
      </c>
      <c r="AR382" s="30" t="inlineStr">
        <is>
          <t>Higher One Time, Lower Annuity</t>
        </is>
      </c>
      <c r="AS382" s="30">
        <f>IF(AR382="Fully Annuity",10,IF(AR382="Higher Annuity, Lower One Time",5,IF(AR382="Higher One Time, Lower Annuity",3,0)))</f>
        <v/>
      </c>
      <c r="AT382" s="30" t="inlineStr">
        <is>
          <t>Good</t>
        </is>
      </c>
      <c r="AU382" s="30">
        <f>IF(AT382="Good",10,0)</f>
        <v/>
      </c>
      <c r="AV382" s="30" t="inlineStr">
        <is>
          <t>Yes for more than 2 years</t>
        </is>
      </c>
      <c r="AW382" s="30">
        <f>IF(AV382="Yes for more than 2 years",10,IF(AV382="Yes only for next 1 to 2 years",5,0))</f>
        <v/>
      </c>
      <c r="AX382" s="30" t="inlineStr">
        <is>
          <t>0 to 20</t>
        </is>
      </c>
      <c r="AY382" s="30">
        <f>IF(AX382="Above 40",20,IF(AX382="20 to 40",10,IF(AX382="0 to 20",-5,0)))</f>
        <v/>
      </c>
      <c r="AZ382" s="30" t="inlineStr">
        <is>
          <t>Between 50 to 75</t>
        </is>
      </c>
      <c r="BA382" s="30">
        <f>IF(AZ382="Between 50 to 75",10,IF(AZ382="Above 75",0,0))</f>
        <v/>
      </c>
      <c r="BB382" s="30" t="inlineStr">
        <is>
          <t>Stage 2</t>
        </is>
      </c>
      <c r="BC382" s="30">
        <f>IF(BB382="Stage 2",20,IF(BB382="Stage 1",0,IF(BB382="Stage 3",5,IF(BB382="Stage 4",-5,0))))</f>
        <v/>
      </c>
      <c r="BD382" s="30" t="inlineStr">
        <is>
          <t>Positive Trend</t>
        </is>
      </c>
      <c r="BE382" s="30">
        <f>IF(BD382="Positive Trend",20,IF(BD382="Negative Trend",-10,0))</f>
        <v/>
      </c>
      <c r="BF382" s="30" t="inlineStr">
        <is>
          <t>Uptrend</t>
        </is>
      </c>
      <c r="BG382" s="30">
        <f>IF(BF382="Uptrend",10,IF(BF382="Sideways",5,0))</f>
        <v/>
      </c>
      <c r="BH382" s="30" t="inlineStr">
        <is>
          <t>Uptrend</t>
        </is>
      </c>
      <c r="BI382" s="30">
        <f>IF(BH382="Uptrend",10,IF(BH382="Sideways",5,0))</f>
        <v/>
      </c>
      <c r="BJ382" s="30" t="inlineStr">
        <is>
          <t>Close to 52 week high or retracement</t>
        </is>
      </c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inlineStr">
        <is>
          <t>Yes</t>
        </is>
      </c>
      <c r="BM382" s="30">
        <f>IF(BL382="Yes",10,0)</f>
        <v/>
      </c>
      <c r="BN382" s="30" t="inlineStr">
        <is>
          <t>Less than 12%</t>
        </is>
      </c>
      <c r="BO382" s="30">
        <f>IF(BN382="More than 20%",10,IF(BN382="Between 12 to 20%",5,IF(BN382="Less than 12%",0,0)))</f>
        <v/>
      </c>
      <c r="BP382" s="30" t="inlineStr">
        <is>
          <t>No</t>
        </is>
      </c>
      <c r="BQ382" s="30">
        <f>IF(BP382="No",10,0)</f>
        <v/>
      </c>
      <c r="BR382" s="30" t="inlineStr">
        <is>
          <t>No</t>
        </is>
      </c>
      <c r="BS382" s="30">
        <f>IF(BR382="NO",5,0)</f>
        <v/>
      </c>
      <c r="BT382" s="30" t="inlineStr">
        <is>
          <t>Above 2</t>
        </is>
      </c>
      <c r="BU382" s="30">
        <f>IF(BT382="Above 2",0,IF(BT382="Between 1.5 to 2",5,IF(BT382="Less than 1.5",10,0)))</f>
        <v/>
      </c>
      <c r="BV382" s="30" t="inlineStr">
        <is>
          <t>Above 70%</t>
        </is>
      </c>
      <c r="BW382" s="30">
        <f>IF(BV382="Above 70%",10,IF(BV382="Between 50% to 70%",5,IF(BV382="Less than 50%",0,IF(BV382="Negative",-10,IF(BV382="Less than 50% and Borrowings are increasing",-5,0)))))</f>
        <v/>
      </c>
      <c r="BX382" s="30" t="inlineStr">
        <is>
          <t>Less than 0.7</t>
        </is>
      </c>
      <c r="BY382" s="30">
        <f>IF(BX382="More than 1.2",-10,IF(BX382="Between 0.7 to 1.2",0,IF(BX382="Less than 0.7",10,0)))</f>
        <v/>
      </c>
      <c r="BZ382" s="30" t="inlineStr">
        <is>
          <t>No</t>
        </is>
      </c>
      <c r="CA382" s="30">
        <f>IF(BZ382="Yes",-10,0)</f>
        <v/>
      </c>
      <c r="CB382" s="30" t="inlineStr">
        <is>
          <t>Less than 15%</t>
        </is>
      </c>
      <c r="CC382" s="30">
        <f>IF(CB382="More than 15%",-10,IF(CB382="Less than 15%",10,0))</f>
        <v/>
      </c>
      <c r="CD382" s="30" t="inlineStr">
        <is>
          <t>No</t>
        </is>
      </c>
      <c r="CE382" s="30">
        <f>IF(CD382="Yes, more than 10%",-10,IF(CD382="No",10,0))</f>
        <v/>
      </c>
    </row>
    <row r="383">
      <c r="A383" s="30">
        <f>IF(B383=0,"",RANK(B383,$B$2:$B$396,0))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2" t="inlineStr">
        <is>
          <t>MAMATA</t>
        </is>
      </c>
      <c r="D383" s="32" t="inlineStr">
        <is>
          <t>Mamata Machinery Ltd</t>
        </is>
      </c>
      <c r="E383" s="30" t="inlineStr">
        <is>
          <t>industrials</t>
        </is>
      </c>
      <c r="F383" s="30" t="inlineStr">
        <is>
          <t>engineering</t>
        </is>
      </c>
      <c r="G383" s="30" t="inlineStr">
        <is>
          <t>smallcap</t>
        </is>
      </c>
      <c r="H383" s="31" t="n">
        <v>1046.08</v>
      </c>
      <c r="I383" s="31" t="n">
        <v>428</v>
      </c>
      <c r="J383" s="31" t="n">
        <v>0.68</v>
      </c>
      <c r="K383" s="31" t="n">
        <v>95907</v>
      </c>
      <c r="L383" s="30" t="n">
        <v>2</v>
      </c>
      <c r="M383" s="30" t="inlineStr">
        <is>
          <t>Underperforming</t>
        </is>
      </c>
      <c r="N383" s="31">
        <f>IF(M383="Underperforming",-5,IF(L383&gt;=95,15,IF(L383&gt;=90,10,IF(L383&gt;=80,5,0))))</f>
        <v/>
      </c>
      <c r="O383" s="31" t="n">
        <v>55.92</v>
      </c>
      <c r="P383" s="31" t="n">
        <v>6.51</v>
      </c>
      <c r="Q383" s="31" t="n">
        <v>333.63</v>
      </c>
      <c r="R383" s="30" t="inlineStr">
        <is>
          <t>Volume Spike / Accumulation</t>
        </is>
      </c>
      <c r="S383" s="30" t="inlineStr">
        <is>
          <t>Nifty Infra</t>
        </is>
      </c>
      <c r="T383" s="31" t="n">
        <v>4.83</v>
      </c>
      <c r="U383" s="31" t="n">
        <v>-16.91</v>
      </c>
      <c r="V383" s="31" t="n">
        <v>-20.74</v>
      </c>
      <c r="W383" s="31" t="n">
        <v>-1.42</v>
      </c>
      <c r="X383" s="30" t="inlineStr">
        <is>
          <t>Cyclical in an Upturn</t>
        </is>
      </c>
      <c r="Y383" s="30">
        <f>IF(X383="Growing Industry",10,IF(X383="Cyclical in an Upturn",5,0))</f>
        <v/>
      </c>
      <c r="Z383" s="30" t="inlineStr">
        <is>
          <t>Too Many Players with High ROCE</t>
        </is>
      </c>
      <c r="AA383" s="30">
        <f>IF(Z383="Monopoly",10,IF(Z383="Oligopoly",5,IF(Z383="Duopoly that cooperate",10,IF(Z383="Duopoly that compete",5,IF(Z383="Too many players with High ROCE",5,0)))))</f>
        <v/>
      </c>
      <c r="AB383" s="30" t="inlineStr">
        <is>
          <t>No</t>
        </is>
      </c>
      <c r="AC383" s="30">
        <f>IF(AB383="No",5,0)</f>
        <v/>
      </c>
      <c r="AD383" s="30" t="inlineStr">
        <is>
          <t>Tailwind</t>
        </is>
      </c>
      <c r="AE383" s="30">
        <f>IF(AD383="Tailwind",10,0)</f>
        <v/>
      </c>
      <c r="AF383" s="30" t="inlineStr">
        <is>
          <t>Structural (10 Years Consistency)</t>
        </is>
      </c>
      <c r="AG383" s="30">
        <f>IF(AF383="Structural (10 Years Consistency)",10,IF(AF383="Shallow Cyclical (2 to 3 years growth)",5,0))</f>
        <v/>
      </c>
      <c r="AH383" s="30" t="inlineStr">
        <is>
          <t>No</t>
        </is>
      </c>
      <c r="AI383" s="30">
        <f>IF(AH383="Yes due to Product Mix change or Operating Leverage",10,IF(AH383="Yes, these are peak margins",-5,IF(AH383="No",5,0)))</f>
        <v/>
      </c>
      <c r="AJ383" s="30" t="inlineStr">
        <is>
          <t>Stable</t>
        </is>
      </c>
      <c r="AK383" s="30">
        <f>IF(AJ383="Stable",10,0)</f>
        <v/>
      </c>
      <c r="AL383" s="30" t="inlineStr">
        <is>
          <t>Yes</t>
        </is>
      </c>
      <c r="AM383" s="30">
        <f>IF(AL383="Yes",10,0)</f>
        <v/>
      </c>
      <c r="AN383" s="30" t="inlineStr">
        <is>
          <t>B2B</t>
        </is>
      </c>
      <c r="AO383" s="30">
        <f>IF(AN383="B2C",10,IF(AN383="B2B",5,0))</f>
        <v/>
      </c>
      <c r="AP383" s="30" t="inlineStr">
        <is>
          <t>Yes</t>
        </is>
      </c>
      <c r="AQ383" s="30">
        <f>IF(AP383="Yes",10,0)</f>
        <v/>
      </c>
      <c r="AR383" s="30" t="inlineStr">
        <is>
          <t>Higher One Time, Lower Annuity</t>
        </is>
      </c>
      <c r="AS383" s="30">
        <f>IF(AR383="Fully Annuity",10,IF(AR383="Higher Annuity, Lower One Time",5,IF(AR383="Higher One Time, Lower Annuity",3,0)))</f>
        <v/>
      </c>
      <c r="AT383" s="30" t="inlineStr">
        <is>
          <t>Good</t>
        </is>
      </c>
      <c r="AU383" s="30">
        <f>IF(AT383="Good",10,0)</f>
        <v/>
      </c>
      <c r="AV383" s="30" t="inlineStr">
        <is>
          <t>Yes for more than 2 years</t>
        </is>
      </c>
      <c r="AW383" s="30">
        <f>IF(AV383="Yes for more than 2 years",10,IF(AV383="Yes only for next 1 to 2 years",5,0))</f>
        <v/>
      </c>
      <c r="AX383" s="30" t="inlineStr">
        <is>
          <t>0 to 20</t>
        </is>
      </c>
      <c r="AY383" s="30">
        <f>IF(AX383="Above 40",20,IF(AX383="20 to 40",10,IF(AX383="0 to 20",-5,0)))</f>
        <v/>
      </c>
      <c r="AZ383" s="30" t="inlineStr">
        <is>
          <t>Between 50 to 75</t>
        </is>
      </c>
      <c r="BA383" s="30">
        <f>IF(AZ383="Between 50 to 75",10,IF(AZ383="Above 75",0,0))</f>
        <v/>
      </c>
      <c r="BB383" s="30" t="inlineStr">
        <is>
          <t>Stage 1</t>
        </is>
      </c>
      <c r="BC383" s="30">
        <f>IF(BB383="Stage 2",20,IF(BB383="Stage 1",0,IF(BB383="Stage 3",5,IF(BB383="Stage 4",-5,0))))</f>
        <v/>
      </c>
      <c r="BD383" s="30" t="inlineStr">
        <is>
          <t>Positive Trend</t>
        </is>
      </c>
      <c r="BE383" s="30">
        <f>IF(BD383="Positive Trend",20,IF(BD383="Negative Trend",-10,0))</f>
        <v/>
      </c>
      <c r="BF383" s="30" t="inlineStr">
        <is>
          <t>Uptrend</t>
        </is>
      </c>
      <c r="BG383" s="30">
        <f>IF(BF383="Uptrend",10,IF(BF383="Sideways",5,0))</f>
        <v/>
      </c>
      <c r="BH383" s="30" t="inlineStr">
        <is>
          <t>Uptrend</t>
        </is>
      </c>
      <c r="BI383" s="30">
        <f>IF(BH383="Uptrend",10,IF(BH383="Sideways",5,0))</f>
        <v/>
      </c>
      <c r="BJ383" s="30" t="inlineStr">
        <is>
          <t>Close to 52 week high or retracement</t>
        </is>
      </c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inlineStr">
        <is>
          <t>Yes</t>
        </is>
      </c>
      <c r="BM383" s="30">
        <f>IF(BL383="Yes",10,0)</f>
        <v/>
      </c>
      <c r="BN383" s="30" t="inlineStr">
        <is>
          <t>Less than 12%</t>
        </is>
      </c>
      <c r="BO383" s="30">
        <f>IF(BN383="More than 20%",10,IF(BN383="Between 12 to 20%",5,IF(BN383="Less than 12%",0,0)))</f>
        <v/>
      </c>
      <c r="BP383" s="30" t="inlineStr">
        <is>
          <t>No</t>
        </is>
      </c>
      <c r="BQ383" s="30">
        <f>IF(BP383="No",10,0)</f>
        <v/>
      </c>
      <c r="BR383" s="30" t="inlineStr">
        <is>
          <t>Yes</t>
        </is>
      </c>
      <c r="BS383" s="30">
        <f>IF(BR383="NO",5,0)</f>
        <v/>
      </c>
      <c r="BT383" s="30" t="inlineStr">
        <is>
          <t>Above 2</t>
        </is>
      </c>
      <c r="BU383" s="30">
        <f>IF(BT383="Above 2",0,IF(BT383="Between 1.5 to 2",5,IF(BT383="Less than 1.5",10,0)))</f>
        <v/>
      </c>
      <c r="BV383" s="30" t="inlineStr">
        <is>
          <t>Less than 50%</t>
        </is>
      </c>
      <c r="BW383" s="30">
        <f>IF(BV383="Above 70%",10,IF(BV383="Between 50% to 70%",5,IF(BV383="Less than 50%",0,IF(BV383="Negative",-10,IF(BV383="Less than 50% and Borrowings are increasing",-5,0)))))</f>
        <v/>
      </c>
      <c r="BX383" s="30" t="inlineStr">
        <is>
          <t>Less than 0.7</t>
        </is>
      </c>
      <c r="BY383" s="30">
        <f>IF(BX383="More than 1.2",-10,IF(BX383="Between 0.7 to 1.2",0,IF(BX383="Less than 0.7",10,0)))</f>
        <v/>
      </c>
      <c r="BZ383" s="30" t="inlineStr">
        <is>
          <t>No</t>
        </is>
      </c>
      <c r="CA383" s="30">
        <f>IF(BZ383="Yes",-10,0)</f>
        <v/>
      </c>
      <c r="CB383" s="30" t="inlineStr">
        <is>
          <t>Less than 15%</t>
        </is>
      </c>
      <c r="CC383" s="30">
        <f>IF(CB383="More than 15%",-10,IF(CB383="Less than 15%",10,0))</f>
        <v/>
      </c>
      <c r="CD383" s="30" t="inlineStr">
        <is>
          <t>No</t>
        </is>
      </c>
      <c r="CE383" s="30">
        <f>IF(CD383="Yes, more than 10%",-10,IF(CD383="No",10,0))</f>
        <v/>
      </c>
    </row>
    <row r="384">
      <c r="A384" s="30">
        <f>IF(B384=0,"",RANK(B384,$B$2:$B$396,0))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2" t="inlineStr">
        <is>
          <t>BALKRISIND</t>
        </is>
      </c>
      <c r="D384" s="32" t="inlineStr">
        <is>
          <t>Balkrishna Industries Limited</t>
        </is>
      </c>
      <c r="E384" s="30" t="inlineStr">
        <is>
          <t>auto</t>
        </is>
      </c>
      <c r="F384" s="30" t="inlineStr">
        <is>
          <t>tyres</t>
        </is>
      </c>
      <c r="G384" s="30" t="inlineStr">
        <is>
          <t>largecap</t>
        </is>
      </c>
      <c r="H384" s="31" t="n">
        <v>47666.22</v>
      </c>
      <c r="I384" s="31" t="n">
        <v>2466.3</v>
      </c>
      <c r="J384" s="31" t="n">
        <v>0.02</v>
      </c>
      <c r="K384" s="31" t="n">
        <v>116753</v>
      </c>
      <c r="L384" s="30" t="n">
        <v>10</v>
      </c>
      <c r="M384" s="30" t="inlineStr">
        <is>
          <t>Underperforming</t>
        </is>
      </c>
      <c r="N384" s="31">
        <f>IF(M384="Underperforming",-5,IF(L384&gt;=95,15,IF(L384&gt;=90,10,IF(L384&gt;=80,5,0))))</f>
        <v/>
      </c>
      <c r="O384" s="31" t="n">
        <v>57.91</v>
      </c>
      <c r="P384" s="31" t="n">
        <v>14.08</v>
      </c>
      <c r="Q384" s="31" t="n">
        <v>1931.21</v>
      </c>
      <c r="R384" s="30" t="inlineStr">
        <is>
          <t>Earnings / Momentum Support</t>
        </is>
      </c>
      <c r="S384" s="30" t="inlineStr">
        <is>
          <t>Nifty Auto</t>
        </is>
      </c>
      <c r="T384" s="31" t="n">
        <v>24.67</v>
      </c>
      <c r="U384" s="31" t="n">
        <v>-7.4</v>
      </c>
      <c r="V384" s="31" t="n">
        <v>-25.72</v>
      </c>
      <c r="W384" s="31" t="n">
        <v>1.09</v>
      </c>
      <c r="X384" s="30" t="inlineStr">
        <is>
          <t>Growing Industry</t>
        </is>
      </c>
      <c r="Y384" s="30">
        <f>IF(X384="Growing Industry",10,IF(X384="Cyclical in an Upturn",5,0))</f>
        <v/>
      </c>
      <c r="Z384" s="30" t="inlineStr">
        <is>
          <t>Too Many Players with High ROCE</t>
        </is>
      </c>
      <c r="AA384" s="30">
        <f>IF(Z384="Monopoly",10,IF(Z384="Oligopoly",5,IF(Z384="Duopoly that cooperate",10,IF(Z384="Duopoly that compete",5,IF(Z384="Too many players with High ROCE",5,0)))))</f>
        <v/>
      </c>
      <c r="AB384" s="30" t="inlineStr">
        <is>
          <t>No</t>
        </is>
      </c>
      <c r="AC384" s="30">
        <f>IF(AB384="No",5,0)</f>
        <v/>
      </c>
      <c r="AD384" s="30" t="inlineStr">
        <is>
          <t>Headwind</t>
        </is>
      </c>
      <c r="AE384" s="30">
        <f>IF(AD384="Tailwind",10,0)</f>
        <v/>
      </c>
      <c r="AF384" s="30" t="inlineStr">
        <is>
          <t>Structural (10 Years Consistency)</t>
        </is>
      </c>
      <c r="AG384" s="30">
        <f>IF(AF384="Structural (10 Years Consistency)",10,IF(AF384="Shallow Cyclical (2 to 3 years growth)",5,0))</f>
        <v/>
      </c>
      <c r="AH384" s="30" t="inlineStr">
        <is>
          <t>No</t>
        </is>
      </c>
      <c r="AI384" s="30">
        <f>IF(AH384="Yes due to Product Mix change or Operating Leverage",10,IF(AH384="Yes, these are peak margins",-5,IF(AH384="No",5,0)))</f>
        <v/>
      </c>
      <c r="AJ384" s="30" t="inlineStr">
        <is>
          <t>Stable</t>
        </is>
      </c>
      <c r="AK384" s="30">
        <f>IF(AJ384="Stable",10,0)</f>
        <v/>
      </c>
      <c r="AL384" s="30" t="inlineStr">
        <is>
          <t>Yes</t>
        </is>
      </c>
      <c r="AM384" s="30">
        <f>IF(AL384="Yes",10,0)</f>
        <v/>
      </c>
      <c r="AN384" s="30" t="inlineStr">
        <is>
          <t>B2B</t>
        </is>
      </c>
      <c r="AO384" s="30">
        <f>IF(AN384="B2C",10,IF(AN384="B2B",5,0))</f>
        <v/>
      </c>
      <c r="AP384" s="30" t="inlineStr">
        <is>
          <t>No</t>
        </is>
      </c>
      <c r="AQ384" s="30">
        <f>IF(AP384="Yes",10,0)</f>
        <v/>
      </c>
      <c r="AR384" s="30" t="inlineStr">
        <is>
          <t>Higher One Time, Lower Annuity</t>
        </is>
      </c>
      <c r="AS384" s="30">
        <f>IF(AR384="Fully Annuity",10,IF(AR384="Higher Annuity, Lower One Time",5,IF(AR384="Higher One Time, Lower Annuity",3,0)))</f>
        <v/>
      </c>
      <c r="AT384" s="30" t="inlineStr">
        <is>
          <t>Good</t>
        </is>
      </c>
      <c r="AU384" s="30">
        <f>IF(AT384="Good",10,0)</f>
        <v/>
      </c>
      <c r="AV384" s="30" t="inlineStr">
        <is>
          <t>Yes for more than 2 years</t>
        </is>
      </c>
      <c r="AW384" s="30">
        <f>IF(AV384="Yes for more than 2 years",10,IF(AV384="Yes only for next 1 to 2 years",5,0))</f>
        <v/>
      </c>
      <c r="AX384" s="30" t="inlineStr">
        <is>
          <t>0 to 20</t>
        </is>
      </c>
      <c r="AY384" s="30">
        <f>IF(AX384="Above 40",20,IF(AX384="20 to 40",10,IF(AX384="0 to 20",-5,0)))</f>
        <v/>
      </c>
      <c r="AZ384" s="30" t="inlineStr">
        <is>
          <t>Between 50 to 75</t>
        </is>
      </c>
      <c r="BA384" s="30">
        <f>IF(AZ384="Between 50 to 75",10,IF(AZ384="Above 75",0,0))</f>
        <v/>
      </c>
      <c r="BB384" s="30" t="inlineStr">
        <is>
          <t>Stage 1</t>
        </is>
      </c>
      <c r="BC384" s="30">
        <f>IF(BB384="Stage 2",20,IF(BB384="Stage 1",0,IF(BB384="Stage 3",5,IF(BB384="Stage 4",-5,0))))</f>
        <v/>
      </c>
      <c r="BD384" s="30" t="inlineStr">
        <is>
          <t>Positive Trend</t>
        </is>
      </c>
      <c r="BE384" s="30">
        <f>IF(BD384="Positive Trend",20,IF(BD384="Negative Trend",-10,0))</f>
        <v/>
      </c>
      <c r="BF384" s="30" t="inlineStr">
        <is>
          <t>Uptrend</t>
        </is>
      </c>
      <c r="BG384" s="30">
        <f>IF(BF384="Uptrend",10,IF(BF384="Sideways",5,0))</f>
        <v/>
      </c>
      <c r="BH384" s="30" t="inlineStr">
        <is>
          <t>Uptrend</t>
        </is>
      </c>
      <c r="BI384" s="30">
        <f>IF(BH384="Uptrend",10,IF(BH384="Sideways",5,0))</f>
        <v/>
      </c>
      <c r="BJ384" s="30" t="inlineStr">
        <is>
          <t>Close to 52 week high or retracement</t>
        </is>
      </c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inlineStr">
        <is>
          <t>Yes</t>
        </is>
      </c>
      <c r="BM384" s="30">
        <f>IF(BL384="Yes",10,0)</f>
        <v/>
      </c>
      <c r="BN384" s="30" t="inlineStr">
        <is>
          <t>Less than 12%</t>
        </is>
      </c>
      <c r="BO384" s="30">
        <f>IF(BN384="More than 20%",10,IF(BN384="Between 12 to 20%",5,IF(BN384="Less than 12%",0,0)))</f>
        <v/>
      </c>
      <c r="BP384" s="30" t="inlineStr">
        <is>
          <t>No</t>
        </is>
      </c>
      <c r="BQ384" s="30">
        <f>IF(BP384="No",10,0)</f>
        <v/>
      </c>
      <c r="BR384" s="30" t="inlineStr">
        <is>
          <t>No</t>
        </is>
      </c>
      <c r="BS384" s="30">
        <f>IF(BR384="NO",5,0)</f>
        <v/>
      </c>
      <c r="BT384" s="30" t="inlineStr">
        <is>
          <t>Above 2</t>
        </is>
      </c>
      <c r="BU384" s="30">
        <f>IF(BT384="Above 2",0,IF(BT384="Between 1.5 to 2",5,IF(BT384="Less than 1.5",10,0)))</f>
        <v/>
      </c>
      <c r="BV384" s="30" t="inlineStr">
        <is>
          <t>Above 70%</t>
        </is>
      </c>
      <c r="BW384" s="30">
        <f>IF(BV384="Above 70%",10,IF(BV384="Between 50% to 70%",5,IF(BV384="Less than 50%",0,IF(BV384="Negative",-10,IF(BV384="Less than 50% and Borrowings are increasing",-5,0)))))</f>
        <v/>
      </c>
      <c r="BX384" s="30" t="inlineStr">
        <is>
          <t>Less than 0.7</t>
        </is>
      </c>
      <c r="BY384" s="30">
        <f>IF(BX384="More than 1.2",-10,IF(BX384="Between 0.7 to 1.2",0,IF(BX384="Less than 0.7",10,0)))</f>
        <v/>
      </c>
      <c r="BZ384" s="30" t="inlineStr">
        <is>
          <t>No</t>
        </is>
      </c>
      <c r="CA384" s="30">
        <f>IF(BZ384="Yes",-10,0)</f>
        <v/>
      </c>
      <c r="CB384" s="30" t="inlineStr">
        <is>
          <t>Less than 15%</t>
        </is>
      </c>
      <c r="CC384" s="30">
        <f>IF(CB384="More than 15%",-10,IF(CB384="Less than 15%",10,0))</f>
        <v/>
      </c>
      <c r="CD384" s="30" t="inlineStr">
        <is>
          <t>No</t>
        </is>
      </c>
      <c r="CE384" s="30">
        <f>IF(CD384="Yes, more than 10%",-10,IF(CD384="No",10,0))</f>
        <v/>
      </c>
    </row>
    <row r="385">
      <c r="A385" s="30">
        <f>IF(B385=0,"",RANK(B385,$B$2:$B$396,0))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0" t="inlineStr">
        <is>
          <t>LT</t>
        </is>
      </c>
      <c r="D385" s="30" t="inlineStr">
        <is>
          <t>Larsen &amp; Toubro Limited</t>
        </is>
      </c>
      <c r="E385" s="30" t="inlineStr">
        <is>
          <t>realty</t>
        </is>
      </c>
      <c r="F385" s="30" t="inlineStr">
        <is>
          <t>engineering - turnkey services</t>
        </is>
      </c>
      <c r="G385" s="30" t="inlineStr">
        <is>
          <t>largecap</t>
        </is>
      </c>
      <c r="H385" s="31" t="n">
        <v>558793.6800000001</v>
      </c>
      <c r="I385" s="31" t="n">
        <v>4056</v>
      </c>
      <c r="J385" s="31" t="n">
        <v>-0.14</v>
      </c>
      <c r="K385" s="31" t="n">
        <v>1741273</v>
      </c>
      <c r="L385" s="30" t="n">
        <v>22</v>
      </c>
      <c r="M385" s="30" t="inlineStr">
        <is>
          <t>Outperforming</t>
        </is>
      </c>
      <c r="N385" s="31">
        <f>IF(M385="Underperforming",-5,IF(L385&gt;=95,15,IF(L385&gt;=90,10,IF(L385&gt;=80,5,0))))</f>
        <v/>
      </c>
      <c r="O385" s="31" t="n">
        <v>54.18</v>
      </c>
      <c r="P385" s="31" t="n">
        <v>7.1</v>
      </c>
      <c r="Q385" s="31" t="n">
        <v>3621.49</v>
      </c>
      <c r="R385" s="30" t="inlineStr">
        <is>
          <t>Earnings / Momentum Support</t>
        </is>
      </c>
      <c r="S385" s="30" t="inlineStr">
        <is>
          <t>Nifty Realty</t>
        </is>
      </c>
      <c r="T385" s="31" t="n">
        <v>-6.8</v>
      </c>
      <c r="U385" s="31" t="n">
        <v>18.96</v>
      </c>
      <c r="V385" s="31" t="n">
        <v>27.64</v>
      </c>
      <c r="W385" s="31" t="n">
        <v>4.11</v>
      </c>
      <c r="X385" s="30" t="inlineStr">
        <is>
          <t>Growing Industry</t>
        </is>
      </c>
      <c r="Y385" s="30">
        <f>IF(X385="Growing Industry",10,IF(X385="Cyclical in an Upturn",5,0))</f>
        <v/>
      </c>
      <c r="Z385" s="30" t="inlineStr">
        <is>
          <t>Too Many Players with High ROCE</t>
        </is>
      </c>
      <c r="AA385" s="30">
        <f>IF(Z385="Monopoly",10,IF(Z385="Oligopoly",5,IF(Z385="Duopoly that cooperate",10,IF(Z385="Duopoly that compete",5,IF(Z385="Too many players with High ROCE",5,0)))))</f>
        <v/>
      </c>
      <c r="AB385" s="30" t="inlineStr">
        <is>
          <t>No</t>
        </is>
      </c>
      <c r="AC385" s="30">
        <f>IF(AB385="No",5,0)</f>
        <v/>
      </c>
      <c r="AD385" s="30" t="inlineStr">
        <is>
          <t>Headwind</t>
        </is>
      </c>
      <c r="AE385" s="30">
        <f>IF(AD385="Tailwind",10,0)</f>
        <v/>
      </c>
      <c r="AF385" s="30" t="inlineStr">
        <is>
          <t>Structural (10 Years Consistency)</t>
        </is>
      </c>
      <c r="AG385" s="30">
        <f>IF(AF385="Structural (10 Years Consistency)",10,IF(AF385="Shallow Cyclical (2 to 3 years growth)",5,0))</f>
        <v/>
      </c>
      <c r="AH385" s="30" t="inlineStr">
        <is>
          <t>No</t>
        </is>
      </c>
      <c r="AI385" s="30">
        <f>IF(AH385="Yes due to Product Mix change or Operating Leverage",10,IF(AH385="Yes, these are peak margins",-5,IF(AH385="No",5,0)))</f>
        <v/>
      </c>
      <c r="AJ385" s="30" t="inlineStr">
        <is>
          <t>Stable</t>
        </is>
      </c>
      <c r="AK385" s="30">
        <f>IF(AJ385="Stable",10,0)</f>
        <v/>
      </c>
      <c r="AL385" s="30" t="inlineStr">
        <is>
          <t>Yes</t>
        </is>
      </c>
      <c r="AM385" s="30">
        <f>IF(AL385="Yes",10,0)</f>
        <v/>
      </c>
      <c r="AN385" s="30" t="inlineStr">
        <is>
          <t>B2B</t>
        </is>
      </c>
      <c r="AO385" s="30">
        <f>IF(AN385="B2C",10,IF(AN385="B2B",5,0))</f>
        <v/>
      </c>
      <c r="AP385" s="30" t="inlineStr">
        <is>
          <t>No</t>
        </is>
      </c>
      <c r="AQ385" s="30">
        <f>IF(AP385="Yes",10,0)</f>
        <v/>
      </c>
      <c r="AR385" s="30" t="inlineStr">
        <is>
          <t>Higher One Time, Lower Annuity</t>
        </is>
      </c>
      <c r="AS385" s="30">
        <f>IF(AR385="Fully Annuity",10,IF(AR385="Higher Annuity, Lower One Time",5,IF(AR385="Higher One Time, Lower Annuity",3,0)))</f>
        <v/>
      </c>
      <c r="AT385" s="30" t="inlineStr">
        <is>
          <t>Good</t>
        </is>
      </c>
      <c r="AU385" s="30">
        <f>IF(AT385="Good",10,0)</f>
        <v/>
      </c>
      <c r="AV385" s="30" t="inlineStr">
        <is>
          <t>Yes for more than 2 years</t>
        </is>
      </c>
      <c r="AW385" s="30">
        <f>IF(AV385="Yes for more than 2 years",10,IF(AV385="Yes only for next 1 to 2 years",5,0))</f>
        <v/>
      </c>
      <c r="AX385" s="30" t="inlineStr">
        <is>
          <t>0 to 20</t>
        </is>
      </c>
      <c r="AY385" s="30">
        <f>IF(AX385="Above 40",20,IF(AX385="20 to 40",10,IF(AX385="0 to 20",-5,0)))</f>
        <v/>
      </c>
      <c r="AZ385" s="30" t="inlineStr">
        <is>
          <t>Between 50 to 75</t>
        </is>
      </c>
      <c r="BA385" s="30">
        <f>IF(AZ385="Between 50 to 75",10,IF(AZ385="Above 75",0,0))</f>
        <v/>
      </c>
      <c r="BB385" s="30" t="inlineStr">
        <is>
          <t>Stage 1</t>
        </is>
      </c>
      <c r="BC385" s="30">
        <f>IF(BB385="Stage 2",20,IF(BB385="Stage 1",0,IF(BB385="Stage 3",5,IF(BB385="Stage 4",-5,0))))</f>
        <v/>
      </c>
      <c r="BD385" s="30" t="inlineStr">
        <is>
          <t>Positive Trend</t>
        </is>
      </c>
      <c r="BE385" s="30">
        <f>IF(BD385="Positive Trend",20,IF(BD385="Negative Trend",-10,0))</f>
        <v/>
      </c>
      <c r="BF385" s="30" t="inlineStr">
        <is>
          <t>Uptrend</t>
        </is>
      </c>
      <c r="BG385" s="30">
        <f>IF(BF385="Uptrend",10,IF(BF385="Sideways",5,0))</f>
        <v/>
      </c>
      <c r="BH385" s="30" t="inlineStr">
        <is>
          <t>Uptrend</t>
        </is>
      </c>
      <c r="BI385" s="30">
        <f>IF(BH385="Uptrend",10,IF(BH385="Sideways",5,0))</f>
        <v/>
      </c>
      <c r="BJ385" s="30" t="inlineStr">
        <is>
          <t>Close to 52 week high or retracement</t>
        </is>
      </c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inlineStr">
        <is>
          <t>Yes</t>
        </is>
      </c>
      <c r="BM385" s="30">
        <f>IF(BL385="Yes",10,0)</f>
        <v/>
      </c>
      <c r="BN385" s="30" t="inlineStr">
        <is>
          <t>Between 12 to 20%</t>
        </is>
      </c>
      <c r="BO385" s="30">
        <f>IF(BN385="More than 20%",10,IF(BN385="Between 12 to 20%",5,IF(BN385="Less than 12%",0,0)))</f>
        <v/>
      </c>
      <c r="BP385" s="30" t="inlineStr">
        <is>
          <t>No</t>
        </is>
      </c>
      <c r="BQ385" s="30">
        <f>IF(BP385="No",10,0)</f>
        <v/>
      </c>
      <c r="BR385" s="30" t="inlineStr">
        <is>
          <t>No</t>
        </is>
      </c>
      <c r="BS385" s="30">
        <f>IF(BR385="NO",5,0)</f>
        <v/>
      </c>
      <c r="BT385" s="30" t="inlineStr">
        <is>
          <t>Above 2</t>
        </is>
      </c>
      <c r="BU385" s="30">
        <f>IF(BT385="Above 2",0,IF(BT385="Between 1.5 to 2",5,IF(BT385="Less than 1.5",10,0)))</f>
        <v/>
      </c>
      <c r="BV385" s="30" t="inlineStr">
        <is>
          <t>Above 70%</t>
        </is>
      </c>
      <c r="BW385" s="30">
        <f>IF(BV385="Above 70%",10,IF(BV385="Between 50% to 70%",5,IF(BV385="Less than 50%",0,IF(BV385="Negative",-10,IF(BV385="Less than 50% and Borrowings are increasing",-5,0)))))</f>
        <v/>
      </c>
      <c r="BX385" s="30" t="inlineStr">
        <is>
          <t>Between 0.7 to 1.2</t>
        </is>
      </c>
      <c r="BY385" s="30">
        <f>IF(BX385="More than 1.2",-10,IF(BX385="Between 0.7 to 1.2",0,IF(BX385="Less than 0.7",10,0)))</f>
        <v/>
      </c>
      <c r="BZ385" s="30" t="inlineStr">
        <is>
          <t>No</t>
        </is>
      </c>
      <c r="CA385" s="30">
        <f>IF(BZ385="Yes",-10,0)</f>
        <v/>
      </c>
      <c r="CB385" s="30" t="inlineStr">
        <is>
          <t>Less than 15%</t>
        </is>
      </c>
      <c r="CC385" s="30">
        <f>IF(CB385="More than 15%",-10,IF(CB385="Less than 15%",10,0))</f>
        <v/>
      </c>
      <c r="CD385" s="30" t="inlineStr">
        <is>
          <t>No</t>
        </is>
      </c>
      <c r="CE385" s="30">
        <f>IF(CD385="Yes, more than 10%",-10,IF(CD385="No",10,0))</f>
        <v/>
      </c>
    </row>
    <row r="386">
      <c r="A386" s="30">
        <f>IF(B386=0,"",RANK(B386,$B$2:$B$396,0))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2" t="inlineStr">
        <is>
          <t>MARUTI</t>
        </is>
      </c>
      <c r="D386" s="32" t="inlineStr">
        <is>
          <t>Maruti Suzuki India Limited</t>
        </is>
      </c>
      <c r="E386" s="30" t="inlineStr">
        <is>
          <t>auto</t>
        </is>
      </c>
      <c r="F386" s="30" t="inlineStr">
        <is>
          <t>automobiles - passenger cars</t>
        </is>
      </c>
      <c r="G386" s="30" t="inlineStr">
        <is>
          <t>largecap</t>
        </is>
      </c>
      <c r="H386" s="31" t="n">
        <v>442678.82</v>
      </c>
      <c r="I386" s="31" t="n">
        <v>14037</v>
      </c>
      <c r="J386" s="31" t="n">
        <v>-0.31</v>
      </c>
      <c r="K386" s="31" t="n">
        <v>633403</v>
      </c>
      <c r="L386" s="30" t="n">
        <v>30</v>
      </c>
      <c r="M386" s="30" t="inlineStr">
        <is>
          <t>Underperforming</t>
        </is>
      </c>
      <c r="N386" s="31">
        <f>IF(M386="Underperforming",-5,IF(L386&gt;=95,15,IF(L386&gt;=90,10,IF(L386&gt;=80,5,0))))</f>
        <v/>
      </c>
      <c r="O386" s="31" t="n">
        <v>53.32</v>
      </c>
      <c r="P386" s="31" t="n">
        <v>11.13</v>
      </c>
      <c r="Q386" s="31" t="n">
        <v>12100.53</v>
      </c>
      <c r="R386" s="30" t="inlineStr">
        <is>
          <t>Earnings / Momentum Support</t>
        </is>
      </c>
      <c r="S386" s="30" t="inlineStr">
        <is>
          <t>Nifty Auto</t>
        </is>
      </c>
      <c r="T386" s="31" t="n">
        <v>24.67</v>
      </c>
      <c r="U386" s="31" t="n">
        <v>15.54</v>
      </c>
      <c r="V386" s="31" t="n">
        <v>-7.32</v>
      </c>
      <c r="W386" s="31" t="n">
        <v>5.87</v>
      </c>
      <c r="X386" s="30" t="inlineStr">
        <is>
          <t>Growing Industry</t>
        </is>
      </c>
      <c r="Y386" s="30">
        <f>IF(X386="Growing Industry",10,IF(X386="Cyclical in an Upturn",5,0))</f>
        <v/>
      </c>
      <c r="Z386" s="30" t="inlineStr">
        <is>
          <t>Too Many Players with High ROCE</t>
        </is>
      </c>
      <c r="AA386" s="30">
        <f>IF(Z386="Monopoly",10,IF(Z386="Oligopoly",5,IF(Z386="Duopoly that cooperate",10,IF(Z386="Duopoly that compete",5,IF(Z386="Too many players with High ROCE",5,0)))))</f>
        <v/>
      </c>
      <c r="AB386" s="30" t="inlineStr">
        <is>
          <t>No</t>
        </is>
      </c>
      <c r="AC386" s="30">
        <f>IF(AB386="No",5,0)</f>
        <v/>
      </c>
      <c r="AD386" s="30" t="inlineStr">
        <is>
          <t>Headwind</t>
        </is>
      </c>
      <c r="AE386" s="30">
        <f>IF(AD386="Tailwind",10,0)</f>
        <v/>
      </c>
      <c r="AF386" s="30" t="inlineStr">
        <is>
          <t>Structural (10 Years Consistency)</t>
        </is>
      </c>
      <c r="AG386" s="30">
        <f>IF(AF386="Structural (10 Years Consistency)",10,IF(AF386="Shallow Cyclical (2 to 3 years growth)",5,0))</f>
        <v/>
      </c>
      <c r="AH386" s="30" t="inlineStr">
        <is>
          <t>No</t>
        </is>
      </c>
      <c r="AI386" s="30">
        <f>IF(AH386="Yes due to Product Mix change or Operating Leverage",10,IF(AH386="Yes, these are peak margins",-5,IF(AH386="No",5,0)))</f>
        <v/>
      </c>
      <c r="AJ386" s="30" t="inlineStr">
        <is>
          <t>Stable</t>
        </is>
      </c>
      <c r="AK386" s="30">
        <f>IF(AJ386="Stable",10,0)</f>
        <v/>
      </c>
      <c r="AL386" s="30" t="inlineStr">
        <is>
          <t>Yes</t>
        </is>
      </c>
      <c r="AM386" s="30">
        <f>IF(AL386="Yes",10,0)</f>
        <v/>
      </c>
      <c r="AN386" s="30" t="inlineStr">
        <is>
          <t>B2B</t>
        </is>
      </c>
      <c r="AO386" s="30">
        <f>IF(AN386="B2C",10,IF(AN386="B2B",5,0))</f>
        <v/>
      </c>
      <c r="AP386" s="30" t="inlineStr">
        <is>
          <t>No</t>
        </is>
      </c>
      <c r="AQ386" s="30">
        <f>IF(AP386="Yes",10,0)</f>
        <v/>
      </c>
      <c r="AR386" s="30" t="inlineStr">
        <is>
          <t>Higher One Time, Lower Annuity</t>
        </is>
      </c>
      <c r="AS386" s="30">
        <f>IF(AR386="Fully Annuity",10,IF(AR386="Higher Annuity, Lower One Time",5,IF(AR386="Higher One Time, Lower Annuity",3,0)))</f>
        <v/>
      </c>
      <c r="AT386" s="30" t="inlineStr">
        <is>
          <t>Good</t>
        </is>
      </c>
      <c r="AU386" s="30">
        <f>IF(AT386="Good",10,0)</f>
        <v/>
      </c>
      <c r="AV386" s="30" t="inlineStr">
        <is>
          <t>Yes for more than 2 years</t>
        </is>
      </c>
      <c r="AW386" s="30">
        <f>IF(AV386="Yes for more than 2 years",10,IF(AV386="Yes only for next 1 to 2 years",5,0))</f>
        <v/>
      </c>
      <c r="AX386" s="30" t="inlineStr">
        <is>
          <t>0 to 20</t>
        </is>
      </c>
      <c r="AY386" s="30">
        <f>IF(AX386="Above 40",20,IF(AX386="20 to 40",10,IF(AX386="0 to 20",-5,0)))</f>
        <v/>
      </c>
      <c r="AZ386" s="30" t="inlineStr">
        <is>
          <t>Between 50 to 75</t>
        </is>
      </c>
      <c r="BA386" s="30">
        <f>IF(AZ386="Between 50 to 75",10,IF(AZ386="Above 75",0,0))</f>
        <v/>
      </c>
      <c r="BB386" s="30" t="inlineStr">
        <is>
          <t>Stage 1</t>
        </is>
      </c>
      <c r="BC386" s="30">
        <f>IF(BB386="Stage 2",20,IF(BB386="Stage 1",0,IF(BB386="Stage 3",5,IF(BB386="Stage 4",-5,0))))</f>
        <v/>
      </c>
      <c r="BD386" s="30" t="inlineStr">
        <is>
          <t>Positive Trend</t>
        </is>
      </c>
      <c r="BE386" s="30">
        <f>IF(BD386="Positive Trend",20,IF(BD386="Negative Trend",-10,0))</f>
        <v/>
      </c>
      <c r="BF386" s="30" t="inlineStr">
        <is>
          <t>Uptrend</t>
        </is>
      </c>
      <c r="BG386" s="30">
        <f>IF(BF386="Uptrend",10,IF(BF386="Sideways",5,0))</f>
        <v/>
      </c>
      <c r="BH386" s="30" t="inlineStr">
        <is>
          <t>Uptrend</t>
        </is>
      </c>
      <c r="BI386" s="30">
        <f>IF(BH386="Uptrend",10,IF(BH386="Sideways",5,0))</f>
        <v/>
      </c>
      <c r="BJ386" s="30" t="inlineStr">
        <is>
          <t>Close to 52 week high or retracement</t>
        </is>
      </c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inlineStr">
        <is>
          <t>Yes</t>
        </is>
      </c>
      <c r="BM386" s="30">
        <f>IF(BL386="Yes",10,0)</f>
        <v/>
      </c>
      <c r="BN386" s="30" t="inlineStr">
        <is>
          <t>Less than 12%</t>
        </is>
      </c>
      <c r="BO386" s="30">
        <f>IF(BN386="More than 20%",10,IF(BN386="Between 12 to 20%",5,IF(BN386="Less than 12%",0,0)))</f>
        <v/>
      </c>
      <c r="BP386" s="30" t="inlineStr">
        <is>
          <t>No</t>
        </is>
      </c>
      <c r="BQ386" s="30">
        <f>IF(BP386="No",10,0)</f>
        <v/>
      </c>
      <c r="BR386" s="30" t="inlineStr">
        <is>
          <t>No</t>
        </is>
      </c>
      <c r="BS386" s="30">
        <f>IF(BR386="NO",5,0)</f>
        <v/>
      </c>
      <c r="BT386" s="30" t="inlineStr">
        <is>
          <t>Above 2</t>
        </is>
      </c>
      <c r="BU386" s="30">
        <f>IF(BT386="Above 2",0,IF(BT386="Between 1.5 to 2",5,IF(BT386="Less than 1.5",10,0)))</f>
        <v/>
      </c>
      <c r="BV386" s="30" t="inlineStr">
        <is>
          <t>Above 70%</t>
        </is>
      </c>
      <c r="BW386" s="30">
        <f>IF(BV386="Above 70%",10,IF(BV386="Between 50% to 70%",5,IF(BV386="Less than 50%",0,IF(BV386="Negative",-10,IF(BV386="Less than 50% and Borrowings are increasing",-5,0)))))</f>
        <v/>
      </c>
      <c r="BX386" s="30" t="inlineStr">
        <is>
          <t>Less than 0.7</t>
        </is>
      </c>
      <c r="BY386" s="30">
        <f>IF(BX386="More than 1.2",-10,IF(BX386="Between 0.7 to 1.2",0,IF(BX386="Less than 0.7",10,0)))</f>
        <v/>
      </c>
      <c r="BZ386" s="30" t="inlineStr">
        <is>
          <t>No</t>
        </is>
      </c>
      <c r="CA386" s="30">
        <f>IF(BZ386="Yes",-10,0)</f>
        <v/>
      </c>
      <c r="CB386" s="30" t="inlineStr">
        <is>
          <t>Less than 15%</t>
        </is>
      </c>
      <c r="CC386" s="30">
        <f>IF(CB386="More than 15%",-10,IF(CB386="Less than 15%",10,0))</f>
        <v/>
      </c>
      <c r="CD386" s="30" t="inlineStr">
        <is>
          <t>No</t>
        </is>
      </c>
      <c r="CE386" s="30">
        <f>IF(CD386="Yes, more than 10%",-10,IF(CD386="No",10,0))</f>
        <v/>
      </c>
    </row>
    <row r="387">
      <c r="A387" s="30">
        <f>IF(B387=0,"",RANK(B387,$B$2:$B$396,0))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2" t="inlineStr">
        <is>
          <t>PFIZER</t>
        </is>
      </c>
      <c r="D387" s="32" t="inlineStr">
        <is>
          <t>Pfizer Limited</t>
        </is>
      </c>
      <c r="E387" s="30" t="inlineStr">
        <is>
          <t>healthcare</t>
        </is>
      </c>
      <c r="F387" s="30" t="inlineStr">
        <is>
          <t>pharmaceuticals - multinational</t>
        </is>
      </c>
      <c r="G387" s="30" t="inlineStr">
        <is>
          <t>largecap</t>
        </is>
      </c>
      <c r="H387" s="31" t="n">
        <v>22416.39</v>
      </c>
      <c r="I387" s="31" t="n">
        <v>4886.1</v>
      </c>
      <c r="J387" s="31" t="n">
        <v>-0.28</v>
      </c>
      <c r="K387" s="31" t="n">
        <v>5857</v>
      </c>
      <c r="L387" s="30" t="n">
        <v>7</v>
      </c>
      <c r="M387" s="30" t="inlineStr">
        <is>
          <t>Underperforming</t>
        </is>
      </c>
      <c r="N387" s="31">
        <f>IF(M387="Underperforming",-5,IF(L387&gt;=95,15,IF(L387&gt;=90,10,IF(L387&gt;=80,5,0))))</f>
        <v/>
      </c>
      <c r="O387" s="31" t="n">
        <v>56.73</v>
      </c>
      <c r="P387" s="31" t="n">
        <v>9.94</v>
      </c>
      <c r="Q387" s="31" t="n">
        <v>4178.19</v>
      </c>
      <c r="R387" s="30" t="inlineStr">
        <is>
          <t>Earnings / Momentum Support</t>
        </is>
      </c>
      <c r="S387" s="30" t="inlineStr">
        <is>
          <t>Nifty Pharma</t>
        </is>
      </c>
      <c r="T387" s="31" t="n">
        <v>24.01</v>
      </c>
      <c r="U387" s="31" t="n">
        <v>-0.67</v>
      </c>
      <c r="V387" s="31" t="n">
        <v>-19.9</v>
      </c>
      <c r="W387" s="31" t="n">
        <v>0.58</v>
      </c>
      <c r="X387" s="30" t="inlineStr">
        <is>
          <t>Growing Industry</t>
        </is>
      </c>
      <c r="Y387" s="30">
        <f>IF(X387="Growing Industry",10,IF(X387="Cyclical in an Upturn",5,0))</f>
        <v/>
      </c>
      <c r="Z387" s="30" t="inlineStr">
        <is>
          <t>Too Many Players with High ROCE</t>
        </is>
      </c>
      <c r="AA387" s="30">
        <f>IF(Z387="Monopoly",10,IF(Z387="Oligopoly",5,IF(Z387="Duopoly that cooperate",10,IF(Z387="Duopoly that compete",5,IF(Z387="Too many players with High ROCE",5,0)))))</f>
        <v/>
      </c>
      <c r="AB387" s="30" t="inlineStr">
        <is>
          <t>Yes</t>
        </is>
      </c>
      <c r="AC387" s="30">
        <f>IF(AB387="No",5,0)</f>
        <v/>
      </c>
      <c r="AD387" s="30" t="inlineStr">
        <is>
          <t>Headwind</t>
        </is>
      </c>
      <c r="AE387" s="30">
        <f>IF(AD387="Tailwind",10,0)</f>
        <v/>
      </c>
      <c r="AF387" s="30" t="inlineStr">
        <is>
          <t>Structural (10 Years Consistency)</t>
        </is>
      </c>
      <c r="AG387" s="30">
        <f>IF(AF387="Structural (10 Years Consistency)",10,IF(AF387="Shallow Cyclical (2 to 3 years growth)",5,0))</f>
        <v/>
      </c>
      <c r="AH387" s="30" t="inlineStr">
        <is>
          <t>No</t>
        </is>
      </c>
      <c r="AI387" s="30">
        <f>IF(AH387="Yes due to Product Mix change or Operating Leverage",10,IF(AH387="Yes, these are peak margins",-5,IF(AH387="No",5,0)))</f>
        <v/>
      </c>
      <c r="AJ387" s="30" t="inlineStr">
        <is>
          <t>Stable</t>
        </is>
      </c>
      <c r="AK387" s="30">
        <f>IF(AJ387="Stable",10,0)</f>
        <v/>
      </c>
      <c r="AL387" s="30" t="inlineStr">
        <is>
          <t>Yes</t>
        </is>
      </c>
      <c r="AM387" s="30">
        <f>IF(AL387="Yes",10,0)</f>
        <v/>
      </c>
      <c r="AN387" s="30" t="inlineStr">
        <is>
          <t>B2B</t>
        </is>
      </c>
      <c r="AO387" s="30">
        <f>IF(AN387="B2C",10,IF(AN387="B2B",5,0))</f>
        <v/>
      </c>
      <c r="AP387" s="30" t="inlineStr">
        <is>
          <t>No</t>
        </is>
      </c>
      <c r="AQ387" s="30">
        <f>IF(AP387="Yes",10,0)</f>
        <v/>
      </c>
      <c r="AR387" s="30" t="inlineStr">
        <is>
          <t>Higher Annuity, Lower One Time</t>
        </is>
      </c>
      <c r="AS387" s="30">
        <f>IF(AR387="Fully Annuity",10,IF(AR387="Higher Annuity, Lower One Time",5,IF(AR387="Higher One Time, Lower Annuity",3,0)))</f>
        <v/>
      </c>
      <c r="AT387" s="30" t="inlineStr">
        <is>
          <t>Good</t>
        </is>
      </c>
      <c r="AU387" s="30">
        <f>IF(AT387="Good",10,0)</f>
        <v/>
      </c>
      <c r="AV387" s="30" t="inlineStr">
        <is>
          <t>Yes for more than 2 years</t>
        </is>
      </c>
      <c r="AW387" s="30">
        <f>IF(AV387="Yes for more than 2 years",10,IF(AV387="Yes only for next 1 to 2 years",5,0))</f>
        <v/>
      </c>
      <c r="AX387" s="30" t="inlineStr">
        <is>
          <t>0 to 20</t>
        </is>
      </c>
      <c r="AY387" s="30">
        <f>IF(AX387="Above 40",20,IF(AX387="20 to 40",10,IF(AX387="0 to 20",-5,0)))</f>
        <v/>
      </c>
      <c r="AZ387" s="30" t="inlineStr">
        <is>
          <t>Between 50 to 75</t>
        </is>
      </c>
      <c r="BA387" s="30">
        <f>IF(AZ387="Between 50 to 75",10,IF(AZ387="Above 75",0,0))</f>
        <v/>
      </c>
      <c r="BB387" s="30" t="inlineStr">
        <is>
          <t>Stage 1</t>
        </is>
      </c>
      <c r="BC387" s="30">
        <f>IF(BB387="Stage 2",20,IF(BB387="Stage 1",0,IF(BB387="Stage 3",5,IF(BB387="Stage 4",-5,0))))</f>
        <v/>
      </c>
      <c r="BD387" s="30" t="inlineStr">
        <is>
          <t>Positive Trend</t>
        </is>
      </c>
      <c r="BE387" s="30">
        <f>IF(BD387="Positive Trend",20,IF(BD387="Negative Trend",-10,0))</f>
        <v/>
      </c>
      <c r="BF387" s="30" t="inlineStr">
        <is>
          <t>Uptrend</t>
        </is>
      </c>
      <c r="BG387" s="30">
        <f>IF(BF387="Uptrend",10,IF(BF387="Sideways",5,0))</f>
        <v/>
      </c>
      <c r="BH387" s="30" t="inlineStr">
        <is>
          <t>Uptrend</t>
        </is>
      </c>
      <c r="BI387" s="30">
        <f>IF(BH387="Uptrend",10,IF(BH387="Sideways",5,0))</f>
        <v/>
      </c>
      <c r="BJ387" s="30" t="inlineStr">
        <is>
          <t>Close to 52 week high or retracement</t>
        </is>
      </c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inlineStr">
        <is>
          <t>Yes</t>
        </is>
      </c>
      <c r="BM387" s="30">
        <f>IF(BL387="Yes",10,0)</f>
        <v/>
      </c>
      <c r="BN387" s="30" t="inlineStr">
        <is>
          <t>Less than 12%</t>
        </is>
      </c>
      <c r="BO387" s="30">
        <f>IF(BN387="More than 20%",10,IF(BN387="Between 12 to 20%",5,IF(BN387="Less than 12%",0,0)))</f>
        <v/>
      </c>
      <c r="BP387" s="30" t="inlineStr">
        <is>
          <t>No</t>
        </is>
      </c>
      <c r="BQ387" s="30">
        <f>IF(BP387="No",10,0)</f>
        <v/>
      </c>
      <c r="BR387" s="30" t="inlineStr">
        <is>
          <t>No</t>
        </is>
      </c>
      <c r="BS387" s="30">
        <f>IF(BR387="NO",5,0)</f>
        <v/>
      </c>
      <c r="BT387" s="30" t="inlineStr">
        <is>
          <t>Above 2</t>
        </is>
      </c>
      <c r="BU387" s="30">
        <f>IF(BT387="Above 2",0,IF(BT387="Between 1.5 to 2",5,IF(BT387="Less than 1.5",10,0)))</f>
        <v/>
      </c>
      <c r="BV387" s="30" t="inlineStr">
        <is>
          <t>Above 70%</t>
        </is>
      </c>
      <c r="BW387" s="30">
        <f>IF(BV387="Above 70%",10,IF(BV387="Between 50% to 70%",5,IF(BV387="Less than 50%",0,IF(BV387="Negative",-10,IF(BV387="Less than 50% and Borrowings are increasing",-5,0)))))</f>
        <v/>
      </c>
      <c r="BX387" s="30" t="inlineStr">
        <is>
          <t>Less than 0.7</t>
        </is>
      </c>
      <c r="BY387" s="30">
        <f>IF(BX387="More than 1.2",-10,IF(BX387="Between 0.7 to 1.2",0,IF(BX387="Less than 0.7",10,0)))</f>
        <v/>
      </c>
      <c r="BZ387" s="30" t="inlineStr">
        <is>
          <t>No</t>
        </is>
      </c>
      <c r="CA387" s="30">
        <f>IF(BZ387="Yes",-10,0)</f>
        <v/>
      </c>
      <c r="CB387" s="30" t="inlineStr">
        <is>
          <t>Less than 15%</t>
        </is>
      </c>
      <c r="CC387" s="30">
        <f>IF(CB387="More than 15%",-10,IF(CB387="Less than 15%",10,0))</f>
        <v/>
      </c>
      <c r="CD387" s="30" t="inlineStr">
        <is>
          <t>No</t>
        </is>
      </c>
      <c r="CE387" s="30">
        <f>IF(CD387="Yes, more than 10%",-10,IF(CD387="No",10,0))</f>
        <v/>
      </c>
    </row>
    <row r="388">
      <c r="A388" s="30">
        <f>IF(B388=0,"",RANK(B388,$B$2:$B$396,0))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POKARNA</t>
        </is>
      </c>
      <c r="D388" s="30" t="inlineStr">
        <is>
          <t>Pokarna Limited</t>
        </is>
      </c>
      <c r="E388" s="30" t="inlineStr">
        <is>
          <t>consumer discretionary</t>
        </is>
      </c>
      <c r="F388" s="30" t="inlineStr">
        <is>
          <t>miscellaneous</t>
        </is>
      </c>
      <c r="G388" s="30" t="inlineStr">
        <is>
          <t>smallcap</t>
        </is>
      </c>
      <c r="H388" s="31" t="n">
        <v>2998.55</v>
      </c>
      <c r="I388" s="31" t="n">
        <v>986.6</v>
      </c>
      <c r="J388" s="31" t="n">
        <v>2.01</v>
      </c>
      <c r="K388" s="31" t="n">
        <v>153323</v>
      </c>
      <c r="L388" s="30" t="n">
        <v>23</v>
      </c>
      <c r="M388" s="30" t="inlineStr">
        <is>
          <t>Outperforming</t>
        </is>
      </c>
      <c r="N388" s="31">
        <f>IF(M388="Underperforming",-5,IF(L388&gt;=95,15,IF(L388&gt;=90,10,IF(L388&gt;=80,5,0))))</f>
        <v/>
      </c>
      <c r="O388" s="31" t="n">
        <v>55.25</v>
      </c>
      <c r="P388" s="31" t="n">
        <v>18.31</v>
      </c>
      <c r="Q388" s="31" t="n">
        <v>801.37</v>
      </c>
      <c r="R388" s="30" t="inlineStr">
        <is>
          <t>Earnings / Momentum Support</t>
        </is>
      </c>
      <c r="S388" s="30" t="inlineStr">
        <is>
          <t>Nifty 50</t>
        </is>
      </c>
      <c r="T388" s="31" t="n">
        <v>0.85</v>
      </c>
      <c r="U388" s="31" t="n">
        <v>9.93</v>
      </c>
      <c r="V388" s="31" t="n">
        <v>9</v>
      </c>
      <c r="W388" s="31" t="n">
        <v>4.67</v>
      </c>
      <c r="X388" s="30" t="inlineStr">
        <is>
          <t>Growing Industry</t>
        </is>
      </c>
      <c r="Y388" s="30">
        <f>IF(X388="Growing Industry",10,IF(X388="Cyclical in an Upturn",5,0))</f>
        <v/>
      </c>
      <c r="Z388" s="30" t="inlineStr">
        <is>
          <t>Too Many Players with High ROCE</t>
        </is>
      </c>
      <c r="AA388" s="30">
        <f>IF(Z388="Monopoly",10,IF(Z388="Oligopoly",5,IF(Z388="Duopoly that cooperate",10,IF(Z388="Duopoly that compete",5,IF(Z388="Too many players with High ROCE",5,0)))))</f>
        <v/>
      </c>
      <c r="AB388" s="30" t="inlineStr">
        <is>
          <t>No</t>
        </is>
      </c>
      <c r="AC388" s="30">
        <f>IF(AB388="No",5,0)</f>
        <v/>
      </c>
      <c r="AD388" s="30" t="inlineStr">
        <is>
          <t>Headwind</t>
        </is>
      </c>
      <c r="AE388" s="30">
        <f>IF(AD388="Tailwind",10,0)</f>
        <v/>
      </c>
      <c r="AF388" s="30" t="inlineStr">
        <is>
          <t>Structural (10 Years Consistency)</t>
        </is>
      </c>
      <c r="AG388" s="30">
        <f>IF(AF388="Structural (10 Years Consistency)",10,IF(AF388="Shallow Cyclical (2 to 3 years growth)",5,0))</f>
        <v/>
      </c>
      <c r="AH388" s="30" t="inlineStr">
        <is>
          <t>No</t>
        </is>
      </c>
      <c r="AI388" s="30">
        <f>IF(AH388="Yes due to Product Mix change or Operating Leverage",10,IF(AH388="Yes, these are peak margins",-5,IF(AH388="No",5,0)))</f>
        <v/>
      </c>
      <c r="AJ388" s="30" t="inlineStr">
        <is>
          <t>Stable</t>
        </is>
      </c>
      <c r="AK388" s="30">
        <f>IF(AJ388="Stable",10,0)</f>
        <v/>
      </c>
      <c r="AL388" s="30" t="inlineStr">
        <is>
          <t>Yes</t>
        </is>
      </c>
      <c r="AM388" s="30">
        <f>IF(AL388="Yes",10,0)</f>
        <v/>
      </c>
      <c r="AN388" s="30" t="inlineStr">
        <is>
          <t>B2B</t>
        </is>
      </c>
      <c r="AO388" s="30">
        <f>IF(AN388="B2C",10,IF(AN388="B2B",5,0))</f>
        <v/>
      </c>
      <c r="AP388" s="30" t="inlineStr">
        <is>
          <t>No</t>
        </is>
      </c>
      <c r="AQ388" s="30">
        <f>IF(AP388="Yes",10,0)</f>
        <v/>
      </c>
      <c r="AR388" s="30" t="inlineStr">
        <is>
          <t>Higher One Time, Lower Annuity</t>
        </is>
      </c>
      <c r="AS388" s="30">
        <f>IF(AR388="Fully Annuity",10,IF(AR388="Higher Annuity, Lower One Time",5,IF(AR388="Higher One Time, Lower Annuity",3,0)))</f>
        <v/>
      </c>
      <c r="AT388" s="30" t="inlineStr">
        <is>
          <t>Good</t>
        </is>
      </c>
      <c r="AU388" s="30">
        <f>IF(AT388="Good",10,0)</f>
        <v/>
      </c>
      <c r="AV388" s="30" t="inlineStr">
        <is>
          <t>Yes for more than 2 years</t>
        </is>
      </c>
      <c r="AW388" s="30">
        <f>IF(AV388="Yes for more than 2 years",10,IF(AV388="Yes only for next 1 to 2 years",5,0))</f>
        <v/>
      </c>
      <c r="AX388" s="30" t="inlineStr">
        <is>
          <t>0 to 20</t>
        </is>
      </c>
      <c r="AY388" s="30">
        <f>IF(AX388="Above 40",20,IF(AX388="20 to 40",10,IF(AX388="0 to 20",-5,0)))</f>
        <v/>
      </c>
      <c r="AZ388" s="30" t="inlineStr">
        <is>
          <t>Between 50 to 75</t>
        </is>
      </c>
      <c r="BA388" s="30">
        <f>IF(AZ388="Between 50 to 75",10,IF(AZ388="Above 75",0,0))</f>
        <v/>
      </c>
      <c r="BB388" s="30" t="inlineStr">
        <is>
          <t>Stage 2</t>
        </is>
      </c>
      <c r="BC388" s="30">
        <f>IF(BB388="Stage 2",20,IF(BB388="Stage 1",0,IF(BB388="Stage 3",5,IF(BB388="Stage 4",-5,0))))</f>
        <v/>
      </c>
      <c r="BD388" s="30" t="inlineStr">
        <is>
          <t>Negative Trend</t>
        </is>
      </c>
      <c r="BE388" s="30">
        <f>IF(BD388="Positive Trend",20,IF(BD388="Negative Trend",-10,0))</f>
        <v/>
      </c>
      <c r="BF388" s="30" t="inlineStr">
        <is>
          <t>Uptrend</t>
        </is>
      </c>
      <c r="BG388" s="30">
        <f>IF(BF388="Uptrend",10,IF(BF388="Sideways",5,0))</f>
        <v/>
      </c>
      <c r="BH388" s="30" t="inlineStr">
        <is>
          <t>Uptrend</t>
        </is>
      </c>
      <c r="BI388" s="30">
        <f>IF(BH388="Uptrend",10,IF(BH388="Sideways",5,0))</f>
        <v/>
      </c>
      <c r="BJ388" s="30" t="inlineStr">
        <is>
          <t>Close to 52 week high or retracement</t>
        </is>
      </c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inlineStr">
        <is>
          <t>Yes</t>
        </is>
      </c>
      <c r="BM388" s="30">
        <f>IF(BL388="Yes",10,0)</f>
        <v/>
      </c>
      <c r="BN388" s="30" t="inlineStr">
        <is>
          <t>Less than 12%</t>
        </is>
      </c>
      <c r="BO388" s="30">
        <f>IF(BN388="More than 20%",10,IF(BN388="Between 12 to 20%",5,IF(BN388="Less than 12%",0,0)))</f>
        <v/>
      </c>
      <c r="BP388" s="30" t="inlineStr">
        <is>
          <t>No</t>
        </is>
      </c>
      <c r="BQ388" s="30">
        <f>IF(BP388="No",10,0)</f>
        <v/>
      </c>
      <c r="BR388" s="30" t="inlineStr">
        <is>
          <t>No</t>
        </is>
      </c>
      <c r="BS388" s="30">
        <f>IF(BR388="NO",5,0)</f>
        <v/>
      </c>
      <c r="BT388" s="30" t="inlineStr">
        <is>
          <t>Above 2</t>
        </is>
      </c>
      <c r="BU388" s="30">
        <f>IF(BT388="Above 2",0,IF(BT388="Between 1.5 to 2",5,IF(BT388="Less than 1.5",10,0)))</f>
        <v/>
      </c>
      <c r="BV388" s="30" t="inlineStr">
        <is>
          <t>Above 70%</t>
        </is>
      </c>
      <c r="BW388" s="30">
        <f>IF(BV388="Above 70%",10,IF(BV388="Between 50% to 70%",5,IF(BV388="Less than 50%",0,IF(BV388="Negative",-10,IF(BV388="Less than 50% and Borrowings are increasing",-5,0)))))</f>
        <v/>
      </c>
      <c r="BX388" s="30" t="inlineStr">
        <is>
          <t>Less than 0.7</t>
        </is>
      </c>
      <c r="BY388" s="30">
        <f>IF(BX388="More than 1.2",-10,IF(BX388="Between 0.7 to 1.2",0,IF(BX388="Less than 0.7",10,0)))</f>
        <v/>
      </c>
      <c r="BZ388" s="30" t="inlineStr">
        <is>
          <t>No</t>
        </is>
      </c>
      <c r="CA388" s="30">
        <f>IF(BZ388="Yes",-10,0)</f>
        <v/>
      </c>
      <c r="CB388" s="30" t="inlineStr">
        <is>
          <t>Less than 15%</t>
        </is>
      </c>
      <c r="CC388" s="30">
        <f>IF(CB388="More than 15%",-10,IF(CB388="Less than 15%",10,0))</f>
        <v/>
      </c>
      <c r="CD388" s="30" t="inlineStr">
        <is>
          <t>No</t>
        </is>
      </c>
      <c r="CE388" s="30">
        <f>IF(CD388="Yes, more than 10%",-10,IF(CD388="No",10,0))</f>
        <v/>
      </c>
    </row>
    <row r="389">
      <c r="A389" s="30">
        <f>IF(B389=0,"",RANK(B389,$B$2:$B$396,0))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2" t="inlineStr">
        <is>
          <t>BIL</t>
        </is>
      </c>
      <c r="D389" s="32" t="inlineStr">
        <is>
          <t>Bhartiya International Limited</t>
        </is>
      </c>
      <c r="E389" s="30" t="inlineStr">
        <is>
          <t>consumer discretionary</t>
        </is>
      </c>
      <c r="F389" s="30" t="inlineStr">
        <is>
          <t>leather / leather products</t>
        </is>
      </c>
      <c r="G389" s="30" t="inlineStr">
        <is>
          <t>smallcap</t>
        </is>
      </c>
      <c r="H389" s="31" t="n">
        <v>1086.11</v>
      </c>
      <c r="I389" s="31" t="n">
        <v>834.95</v>
      </c>
      <c r="J389" s="31" t="n">
        <v>3.09</v>
      </c>
      <c r="K389" s="31" t="n">
        <v>7894</v>
      </c>
      <c r="L389" s="30" t="n">
        <v>17</v>
      </c>
      <c r="M389" s="30" t="inlineStr">
        <is>
          <t>Underperforming</t>
        </is>
      </c>
      <c r="N389" s="31">
        <f>IF(M389="Underperforming",-5,IF(L389&gt;=95,15,IF(L389&gt;=90,10,IF(L389&gt;=80,5,0))))</f>
        <v/>
      </c>
      <c r="O389" s="31" t="n">
        <v>58.31</v>
      </c>
      <c r="P389" s="31" t="n">
        <v>13.48</v>
      </c>
      <c r="Q389" s="31" t="n">
        <v>581.1900000000001</v>
      </c>
      <c r="R389" s="30" t="inlineStr">
        <is>
          <t>Volume Spike / Accumulation</t>
        </is>
      </c>
      <c r="S389" s="30" t="inlineStr">
        <is>
          <t>Nifty 50</t>
        </is>
      </c>
      <c r="T389" s="31" t="n">
        <v>0.85</v>
      </c>
      <c r="U389" s="31" t="n">
        <v>-2.35</v>
      </c>
      <c r="V389" s="31" t="n">
        <v>-3.17</v>
      </c>
      <c r="W389" s="31" t="n">
        <v>3.05</v>
      </c>
      <c r="X389" s="30" t="inlineStr">
        <is>
          <t>Growing Industry</t>
        </is>
      </c>
      <c r="Y389" s="30">
        <f>IF(X389="Growing Industry",10,IF(X389="Cyclical in an Upturn",5,0))</f>
        <v/>
      </c>
      <c r="Z389" s="30" t="inlineStr">
        <is>
          <t>Too Many Players with High ROCE</t>
        </is>
      </c>
      <c r="AA389" s="30">
        <f>IF(Z389="Monopoly",10,IF(Z389="Oligopoly",5,IF(Z389="Duopoly that cooperate",10,IF(Z389="Duopoly that compete",5,IF(Z389="Too many players with High ROCE",5,0)))))</f>
        <v/>
      </c>
      <c r="AB389" s="30" t="inlineStr">
        <is>
          <t>No</t>
        </is>
      </c>
      <c r="AC389" s="30">
        <f>IF(AB389="No",5,0)</f>
        <v/>
      </c>
      <c r="AD389" s="30" t="inlineStr">
        <is>
          <t>Headwind</t>
        </is>
      </c>
      <c r="AE389" s="30">
        <f>IF(AD389="Tailwind",10,0)</f>
        <v/>
      </c>
      <c r="AF389" s="30" t="inlineStr">
        <is>
          <t>Structural (10 Years Consistency)</t>
        </is>
      </c>
      <c r="AG389" s="30">
        <f>IF(AF389="Structural (10 Years Consistency)",10,IF(AF389="Shallow Cyclical (2 to 3 years growth)",5,0))</f>
        <v/>
      </c>
      <c r="AH389" s="30" t="inlineStr">
        <is>
          <t>No</t>
        </is>
      </c>
      <c r="AI389" s="30">
        <f>IF(AH389="Yes due to Product Mix change or Operating Leverage",10,IF(AH389="Yes, these are peak margins",-5,IF(AH389="No",5,0)))</f>
        <v/>
      </c>
      <c r="AJ389" s="30" t="inlineStr">
        <is>
          <t>Stable</t>
        </is>
      </c>
      <c r="AK389" s="30">
        <f>IF(AJ389="Stable",10,0)</f>
        <v/>
      </c>
      <c r="AL389" s="30" t="inlineStr">
        <is>
          <t>Yes</t>
        </is>
      </c>
      <c r="AM389" s="30">
        <f>IF(AL389="Yes",10,0)</f>
        <v/>
      </c>
      <c r="AN389" s="30" t="inlineStr">
        <is>
          <t>B2B</t>
        </is>
      </c>
      <c r="AO389" s="30">
        <f>IF(AN389="B2C",10,IF(AN389="B2B",5,0))</f>
        <v/>
      </c>
      <c r="AP389" s="30" t="inlineStr">
        <is>
          <t>Yes</t>
        </is>
      </c>
      <c r="AQ389" s="30">
        <f>IF(AP389="Yes",10,0)</f>
        <v/>
      </c>
      <c r="AR389" s="30" t="inlineStr">
        <is>
          <t>Higher One Time, Lower Annuity</t>
        </is>
      </c>
      <c r="AS389" s="30">
        <f>IF(AR389="Fully Annuity",10,IF(AR389="Higher Annuity, Lower One Time",5,IF(AR389="Higher One Time, Lower Annuity",3,0)))</f>
        <v/>
      </c>
      <c r="AT389" s="30" t="inlineStr">
        <is>
          <t>Good</t>
        </is>
      </c>
      <c r="AU389" s="30">
        <f>IF(AT389="Good",10,0)</f>
        <v/>
      </c>
      <c r="AV389" s="30" t="inlineStr">
        <is>
          <t>Yes for more than 2 years</t>
        </is>
      </c>
      <c r="AW389" s="30">
        <f>IF(AV389="Yes for more than 2 years",10,IF(AV389="Yes only for next 1 to 2 years",5,0))</f>
        <v/>
      </c>
      <c r="AX389" s="30" t="inlineStr">
        <is>
          <t>0 to 20</t>
        </is>
      </c>
      <c r="AY389" s="30">
        <f>IF(AX389="Above 40",20,IF(AX389="20 to 40",10,IF(AX389="0 to 20",-5,0)))</f>
        <v/>
      </c>
      <c r="AZ389" s="30" t="inlineStr">
        <is>
          <t>Between 50 to 75</t>
        </is>
      </c>
      <c r="BA389" s="30">
        <f>IF(AZ389="Between 50 to 75",10,IF(AZ389="Above 75",0,0))</f>
        <v/>
      </c>
      <c r="BB389" s="30" t="inlineStr">
        <is>
          <t>Stage 1</t>
        </is>
      </c>
      <c r="BC389" s="30">
        <f>IF(BB389="Stage 2",20,IF(BB389="Stage 1",0,IF(BB389="Stage 3",5,IF(BB389="Stage 4",-5,0))))</f>
        <v/>
      </c>
      <c r="BD389" s="30" t="inlineStr">
        <is>
          <t>Positive Trend</t>
        </is>
      </c>
      <c r="BE389" s="30">
        <f>IF(BD389="Positive Trend",20,IF(BD389="Negative Trend",-10,0))</f>
        <v/>
      </c>
      <c r="BF389" s="30" t="inlineStr">
        <is>
          <t>Uptrend</t>
        </is>
      </c>
      <c r="BG389" s="30">
        <f>IF(BF389="Uptrend",10,IF(BF389="Sideways",5,0))</f>
        <v/>
      </c>
      <c r="BH389" s="30" t="inlineStr">
        <is>
          <t>Uptrend</t>
        </is>
      </c>
      <c r="BI389" s="30">
        <f>IF(BH389="Uptrend",10,IF(BH389="Sideways",5,0))</f>
        <v/>
      </c>
      <c r="BJ389" s="30" t="inlineStr">
        <is>
          <t>Close to 52 week high or retracement</t>
        </is>
      </c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inlineStr">
        <is>
          <t>Yes</t>
        </is>
      </c>
      <c r="BM389" s="30">
        <f>IF(BL389="Yes",10,0)</f>
        <v/>
      </c>
      <c r="BN389" s="30" t="inlineStr">
        <is>
          <t>More than 20%</t>
        </is>
      </c>
      <c r="BO389" s="30">
        <f>IF(BN389="More than 20%",10,IF(BN389="Between 12 to 20%",5,IF(BN389="Less than 12%",0,0)))</f>
        <v/>
      </c>
      <c r="BP389" s="30" t="inlineStr">
        <is>
          <t>No</t>
        </is>
      </c>
      <c r="BQ389" s="30">
        <f>IF(BP389="No",10,0)</f>
        <v/>
      </c>
      <c r="BR389" s="30" t="inlineStr">
        <is>
          <t>Yes</t>
        </is>
      </c>
      <c r="BS389" s="30">
        <f>IF(BR389="NO",5,0)</f>
        <v/>
      </c>
      <c r="BT389" s="30" t="inlineStr">
        <is>
          <t>Above 2</t>
        </is>
      </c>
      <c r="BU389" s="30">
        <f>IF(BT389="Above 2",0,IF(BT389="Between 1.5 to 2",5,IF(BT389="Less than 1.5",10,0)))</f>
        <v/>
      </c>
      <c r="BV389" s="30" t="inlineStr">
        <is>
          <t>Less than 50% and Borrowings are increasing</t>
        </is>
      </c>
      <c r="BW389" s="30">
        <f>IF(BV389="Above 70%",10,IF(BV389="Between 50% to 70%",5,IF(BV389="Less than 50%",0,IF(BV389="Negative",-10,IF(BV389="Less than 50% and Borrowings are increasing",-5,0)))))</f>
        <v/>
      </c>
      <c r="BX389" s="30" t="inlineStr">
        <is>
          <t>Between 0.7 to 1.2</t>
        </is>
      </c>
      <c r="BY389" s="30">
        <f>IF(BX389="More than 1.2",-10,IF(BX389="Between 0.7 to 1.2",0,IF(BX389="Less than 0.7",10,0)))</f>
        <v/>
      </c>
      <c r="BZ389" s="30" t="inlineStr">
        <is>
          <t>No</t>
        </is>
      </c>
      <c r="CA389" s="30">
        <f>IF(BZ389="Yes",-10,0)</f>
        <v/>
      </c>
      <c r="CB389" s="30" t="inlineStr">
        <is>
          <t>Less than 15%</t>
        </is>
      </c>
      <c r="CC389" s="30">
        <f>IF(CB389="More than 15%",-10,IF(CB389="Less than 15%",10,0))</f>
        <v/>
      </c>
      <c r="CD389" s="30" t="inlineStr">
        <is>
          <t>No</t>
        </is>
      </c>
      <c r="CE389" s="30">
        <f>IF(CD389="Yes, more than 10%",-10,IF(CD389="No",10,0))</f>
        <v/>
      </c>
    </row>
    <row r="390">
      <c r="A390" s="30">
        <f>IF(B390=0,"",RANK(B390,$B$2:$B$396,0))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2" t="inlineStr">
        <is>
          <t>BPCL</t>
        </is>
      </c>
      <c r="D390" s="32" t="inlineStr">
        <is>
          <t>Bharat Petroleum Corporation Limited</t>
        </is>
      </c>
      <c r="E390" s="30" t="inlineStr">
        <is>
          <t>energy</t>
        </is>
      </c>
      <c r="F390" s="30" t="inlineStr">
        <is>
          <t>refineries</t>
        </is>
      </c>
      <c r="G390" s="30" t="inlineStr">
        <is>
          <t>largecap</t>
        </is>
      </c>
      <c r="H390" s="31" t="n">
        <v>140437.42</v>
      </c>
      <c r="I390" s="31" t="n">
        <v>321</v>
      </c>
      <c r="J390" s="31" t="n">
        <v>-0.83</v>
      </c>
      <c r="K390" s="31" t="n">
        <v>10687582</v>
      </c>
      <c r="L390" s="30" t="n">
        <v>11</v>
      </c>
      <c r="M390" s="30" t="inlineStr">
        <is>
          <t>Underperforming</t>
        </is>
      </c>
      <c r="N390" s="31">
        <f>IF(M390="Underperforming",-5,IF(L390&gt;=95,15,IF(L390&gt;=90,10,IF(L390&gt;=80,5,0))))</f>
        <v/>
      </c>
      <c r="O390" s="31" t="n">
        <v>53.25</v>
      </c>
      <c r="P390" s="31" t="n">
        <v>11.04</v>
      </c>
      <c r="Q390" s="31" t="n">
        <v>263.58</v>
      </c>
      <c r="R390" s="30" t="inlineStr">
        <is>
          <t>Earnings / Momentum Support</t>
        </is>
      </c>
      <c r="S390" s="30" t="inlineStr">
        <is>
          <t>Nifty Energy</t>
        </is>
      </c>
      <c r="T390" s="31" t="n">
        <v>9.93</v>
      </c>
      <c r="U390" s="31" t="n">
        <v>2.73</v>
      </c>
      <c r="V390" s="31" t="n">
        <v>-6.55</v>
      </c>
      <c r="W390" s="31" t="n">
        <v>1.54</v>
      </c>
      <c r="X390" s="30" t="inlineStr">
        <is>
          <t>Cyclical in an Upturn</t>
        </is>
      </c>
      <c r="Y390" s="30">
        <f>IF(X390="Growing Industry",10,IF(X390="Cyclical in an Upturn",5,0))</f>
        <v/>
      </c>
      <c r="Z390" s="30" t="inlineStr">
        <is>
          <t>Oligopoly</t>
        </is>
      </c>
      <c r="AA390" s="30">
        <f>IF(Z390="Monopoly",10,IF(Z390="Oligopoly",5,IF(Z390="Duopoly that cooperate",10,IF(Z390="Duopoly that compete",5,IF(Z390="Too many players with High ROCE",5,0)))))</f>
        <v/>
      </c>
      <c r="AB390" s="30" t="inlineStr">
        <is>
          <t>Yes</t>
        </is>
      </c>
      <c r="AC390" s="30">
        <f>IF(AB390="No",5,0)</f>
        <v/>
      </c>
      <c r="AD390" s="30" t="inlineStr">
        <is>
          <t>Headwind</t>
        </is>
      </c>
      <c r="AE390" s="30">
        <f>IF(AD390="Tailwind",10,0)</f>
        <v/>
      </c>
      <c r="AF390" s="30" t="inlineStr">
        <is>
          <t>Cyclical</t>
        </is>
      </c>
      <c r="AG390" s="30">
        <f>IF(AF390="Structural (10 Years Consistency)",10,IF(AF390="Shallow Cyclical (2 to 3 years growth)",5,0))</f>
        <v/>
      </c>
      <c r="AH390" s="30" t="inlineStr">
        <is>
          <t>No</t>
        </is>
      </c>
      <c r="AI390" s="30">
        <f>IF(AH390="Yes due to Product Mix change or Operating Leverage",10,IF(AH390="Yes, these are peak margins",-5,IF(AH390="No",5,0)))</f>
        <v/>
      </c>
      <c r="AJ390" s="30" t="inlineStr">
        <is>
          <t>Volatile</t>
        </is>
      </c>
      <c r="AK390" s="30">
        <f>IF(AJ390="Stable",10,0)</f>
        <v/>
      </c>
      <c r="AL390" s="30" t="inlineStr">
        <is>
          <t>Yes</t>
        </is>
      </c>
      <c r="AM390" s="30">
        <f>IF(AL390="Yes",10,0)</f>
        <v/>
      </c>
      <c r="AN390" s="30" t="inlineStr">
        <is>
          <t>B2B</t>
        </is>
      </c>
      <c r="AO390" s="30">
        <f>IF(AN390="B2C",10,IF(AN390="B2B",5,0))</f>
        <v/>
      </c>
      <c r="AP390" s="30" t="inlineStr">
        <is>
          <t>No</t>
        </is>
      </c>
      <c r="AQ390" s="30">
        <f>IF(AP390="Yes",10,0)</f>
        <v/>
      </c>
      <c r="AR390" s="30" t="inlineStr">
        <is>
          <t>Higher One Time, Lower Annuity</t>
        </is>
      </c>
      <c r="AS390" s="30">
        <f>IF(AR390="Fully Annuity",10,IF(AR390="Higher Annuity, Lower One Time",5,IF(AR390="Higher One Time, Lower Annuity",3,0)))</f>
        <v/>
      </c>
      <c r="AT390" s="30" t="inlineStr">
        <is>
          <t>Good</t>
        </is>
      </c>
      <c r="AU390" s="30">
        <f>IF(AT390="Good",10,0)</f>
        <v/>
      </c>
      <c r="AV390" s="30" t="inlineStr">
        <is>
          <t>Yes for more than 2 years</t>
        </is>
      </c>
      <c r="AW390" s="30">
        <f>IF(AV390="Yes for more than 2 years",10,IF(AV390="Yes only for next 1 to 2 years",5,0))</f>
        <v/>
      </c>
      <c r="AX390" s="30" t="inlineStr">
        <is>
          <t>0 to 20</t>
        </is>
      </c>
      <c r="AY390" s="30">
        <f>IF(AX390="Above 40",20,IF(AX390="20 to 40",10,IF(AX390="0 to 20",-5,0)))</f>
        <v/>
      </c>
      <c r="AZ390" s="30" t="inlineStr">
        <is>
          <t>Between 50 to 75</t>
        </is>
      </c>
      <c r="BA390" s="30">
        <f>IF(AZ390="Between 50 to 75",10,IF(AZ390="Above 75",0,0))</f>
        <v/>
      </c>
      <c r="BB390" s="30" t="inlineStr">
        <is>
          <t>Stage 1</t>
        </is>
      </c>
      <c r="BC390" s="30">
        <f>IF(BB390="Stage 2",20,IF(BB390="Stage 1",0,IF(BB390="Stage 3",5,IF(BB390="Stage 4",-5,0))))</f>
        <v/>
      </c>
      <c r="BD390" s="30" t="inlineStr">
        <is>
          <t>Positive Trend</t>
        </is>
      </c>
      <c r="BE390" s="30">
        <f>IF(BD390="Positive Trend",20,IF(BD390="Negative Trend",-10,0))</f>
        <v/>
      </c>
      <c r="BF390" s="30" t="inlineStr">
        <is>
          <t>Uptrend</t>
        </is>
      </c>
      <c r="BG390" s="30">
        <f>IF(BF390="Uptrend",10,IF(BF390="Sideways",5,0))</f>
        <v/>
      </c>
      <c r="BH390" s="30" t="inlineStr">
        <is>
          <t>Uptrend</t>
        </is>
      </c>
      <c r="BI390" s="30">
        <f>IF(BH390="Uptrend",10,IF(BH390="Sideways",5,0))</f>
        <v/>
      </c>
      <c r="BJ390" s="30" t="inlineStr">
        <is>
          <t>Close to 52 week high or retracement</t>
        </is>
      </c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inlineStr">
        <is>
          <t>Yes</t>
        </is>
      </c>
      <c r="BM390" s="30">
        <f>IF(BL390="Yes",10,0)</f>
        <v/>
      </c>
      <c r="BN390" s="30" t="inlineStr">
        <is>
          <t>More than 20%</t>
        </is>
      </c>
      <c r="BO390" s="30">
        <f>IF(BN390="More than 20%",10,IF(BN390="Between 12 to 20%",5,IF(BN390="Less than 12%",0,0)))</f>
        <v/>
      </c>
      <c r="BP390" s="30" t="inlineStr">
        <is>
          <t>No</t>
        </is>
      </c>
      <c r="BQ390" s="30">
        <f>IF(BP390="No",10,0)</f>
        <v/>
      </c>
      <c r="BR390" s="30" t="inlineStr">
        <is>
          <t>No</t>
        </is>
      </c>
      <c r="BS390" s="30">
        <f>IF(BR390="NO",5,0)</f>
        <v/>
      </c>
      <c r="BT390" s="30" t="inlineStr">
        <is>
          <t>Less than 1.5</t>
        </is>
      </c>
      <c r="BU390" s="30">
        <f>IF(BT390="Above 2",0,IF(BT390="Between 1.5 to 2",5,IF(BT390="Less than 1.5",10,0)))</f>
        <v/>
      </c>
      <c r="BV390" s="30" t="inlineStr">
        <is>
          <t>Above 70%</t>
        </is>
      </c>
      <c r="BW390" s="30">
        <f>IF(BV390="Above 70%",10,IF(BV390="Between 50% to 70%",5,IF(BV390="Less than 50%",0,IF(BV390="Negative",-10,IF(BV390="Less than 50% and Borrowings are increasing",-5,0)))))</f>
        <v/>
      </c>
      <c r="BX390" s="30" t="inlineStr">
        <is>
          <t>Less than 0.7</t>
        </is>
      </c>
      <c r="BY390" s="30">
        <f>IF(BX390="More than 1.2",-10,IF(BX390="Between 0.7 to 1.2",0,IF(BX390="Less than 0.7",10,0)))</f>
        <v/>
      </c>
      <c r="BZ390" s="30" t="inlineStr">
        <is>
          <t>No</t>
        </is>
      </c>
      <c r="CA390" s="30">
        <f>IF(BZ390="Yes",-10,0)</f>
        <v/>
      </c>
      <c r="CB390" s="30" t="inlineStr">
        <is>
          <t>Less than 15%</t>
        </is>
      </c>
      <c r="CC390" s="30">
        <f>IF(CB390="More than 15%",-10,IF(CB390="Less than 15%",10,0))</f>
        <v/>
      </c>
      <c r="CD390" s="30" t="inlineStr">
        <is>
          <t>No</t>
        </is>
      </c>
      <c r="CE390" s="30">
        <f>IF(CD390="Yes, more than 10%",-10,IF(CD390="No",10,0))</f>
        <v/>
      </c>
    </row>
    <row r="391">
      <c r="A391" s="30">
        <f>IF(B391=0,"",RANK(B391,$B$2:$B$396,0))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0" t="inlineStr">
        <is>
          <t>ASHOKLEY</t>
        </is>
      </c>
      <c r="D391" s="30" t="inlineStr">
        <is>
          <t>Ashok Leyland Limited</t>
        </is>
      </c>
      <c r="E391" s="30" t="inlineStr">
        <is>
          <t>auto</t>
        </is>
      </c>
      <c r="F391" s="30" t="inlineStr">
        <is>
          <t>automobiles - lcvs / hcvs</t>
        </is>
      </c>
      <c r="G391" s="30" t="inlineStr">
        <is>
          <t>largecap</t>
        </is>
      </c>
      <c r="H391" s="31" t="n">
        <v>104260.92</v>
      </c>
      <c r="I391" s="31" t="n">
        <v>177.5</v>
      </c>
      <c r="J391" s="31" t="n">
        <v>0</v>
      </c>
      <c r="K391" s="31" t="n">
        <v>22203474</v>
      </c>
      <c r="L391" s="30" t="n">
        <v>49</v>
      </c>
      <c r="M391" s="30" t="inlineStr">
        <is>
          <t>Outperforming</t>
        </is>
      </c>
      <c r="N391" s="31">
        <f>IF(M391="Underperforming",-5,IF(L391&gt;=95,15,IF(L391&gt;=90,10,IF(L391&gt;=80,5,0))))</f>
        <v/>
      </c>
      <c r="O391" s="31" t="n">
        <v>58.27</v>
      </c>
      <c r="P391" s="31" t="n">
        <v>14.81</v>
      </c>
      <c r="Q391" s="31" t="n">
        <v>140.44</v>
      </c>
      <c r="R391" s="30" t="inlineStr">
        <is>
          <t>Earnings / Momentum Support</t>
        </is>
      </c>
      <c r="S391" s="30" t="inlineStr">
        <is>
          <t>Nifty Auto</t>
        </is>
      </c>
      <c r="T391" s="31" t="n">
        <v>24.67</v>
      </c>
      <c r="U391" s="31" t="n">
        <v>49.04</v>
      </c>
      <c r="V391" s="31" t="n">
        <v>19.55</v>
      </c>
      <c r="W391" s="31" t="n">
        <v>10.97</v>
      </c>
      <c r="X391" s="30" t="inlineStr">
        <is>
          <t>Growing Industry</t>
        </is>
      </c>
      <c r="Y391" s="30">
        <f>IF(X391="Growing Industry",10,IF(X391="Cyclical in an Upturn",5,0))</f>
        <v/>
      </c>
      <c r="Z391" s="30" t="inlineStr">
        <is>
          <t>Too Many Players with High ROCE</t>
        </is>
      </c>
      <c r="AA391" s="30">
        <f>IF(Z391="Monopoly",10,IF(Z391="Oligopoly",5,IF(Z391="Duopoly that cooperate",10,IF(Z391="Duopoly that compete",5,IF(Z391="Too many players with High ROCE",5,0)))))</f>
        <v/>
      </c>
      <c r="AB391" s="30" t="inlineStr">
        <is>
          <t>No</t>
        </is>
      </c>
      <c r="AC391" s="30">
        <f>IF(AB391="No",5,0)</f>
        <v/>
      </c>
      <c r="AD391" s="30" t="inlineStr">
        <is>
          <t>Headwind</t>
        </is>
      </c>
      <c r="AE391" s="30">
        <f>IF(AD391="Tailwind",10,0)</f>
        <v/>
      </c>
      <c r="AF391" s="30" t="inlineStr">
        <is>
          <t>Structural (10 Years Consistency)</t>
        </is>
      </c>
      <c r="AG391" s="30">
        <f>IF(AF391="Structural (10 Years Consistency)",10,IF(AF391="Shallow Cyclical (2 to 3 years growth)",5,0))</f>
        <v/>
      </c>
      <c r="AH391" s="30" t="inlineStr">
        <is>
          <t>No</t>
        </is>
      </c>
      <c r="AI391" s="30">
        <f>IF(AH391="Yes due to Product Mix change or Operating Leverage",10,IF(AH391="Yes, these are peak margins",-5,IF(AH391="No",5,0)))</f>
        <v/>
      </c>
      <c r="AJ391" s="30" t="inlineStr">
        <is>
          <t>Stable</t>
        </is>
      </c>
      <c r="AK391" s="30">
        <f>IF(AJ391="Stable",10,0)</f>
        <v/>
      </c>
      <c r="AL391" s="30" t="inlineStr">
        <is>
          <t>Yes</t>
        </is>
      </c>
      <c r="AM391" s="30">
        <f>IF(AL391="Yes",10,0)</f>
        <v/>
      </c>
      <c r="AN391" s="30" t="inlineStr">
        <is>
          <t>B2B</t>
        </is>
      </c>
      <c r="AO391" s="30">
        <f>IF(AN391="B2C",10,IF(AN391="B2B",5,0))</f>
        <v/>
      </c>
      <c r="AP391" s="30" t="inlineStr">
        <is>
          <t>No</t>
        </is>
      </c>
      <c r="AQ391" s="30">
        <f>IF(AP391="Yes",10,0)</f>
        <v/>
      </c>
      <c r="AR391" s="30" t="inlineStr">
        <is>
          <t>Higher One Time, Lower Annuity</t>
        </is>
      </c>
      <c r="AS391" s="30">
        <f>IF(AR391="Fully Annuity",10,IF(AR391="Higher Annuity, Lower One Time",5,IF(AR391="Higher One Time, Lower Annuity",3,0)))</f>
        <v/>
      </c>
      <c r="AT391" s="30" t="inlineStr">
        <is>
          <t>Good</t>
        </is>
      </c>
      <c r="AU391" s="30">
        <f>IF(AT391="Good",10,0)</f>
        <v/>
      </c>
      <c r="AV391" s="30" t="inlineStr">
        <is>
          <t>Yes for more than 2 years</t>
        </is>
      </c>
      <c r="AW391" s="30">
        <f>IF(AV391="Yes for more than 2 years",10,IF(AV391="Yes only for next 1 to 2 years",5,0))</f>
        <v/>
      </c>
      <c r="AX391" s="30" t="inlineStr">
        <is>
          <t>0 to 20</t>
        </is>
      </c>
      <c r="AY391" s="30">
        <f>IF(AX391="Above 40",20,IF(AX391="20 to 40",10,IF(AX391="0 to 20",-5,0)))</f>
        <v/>
      </c>
      <c r="AZ391" s="30" t="inlineStr">
        <is>
          <t>Between 50 to 75</t>
        </is>
      </c>
      <c r="BA391" s="30">
        <f>IF(AZ391="Between 50 to 75",10,IF(AZ391="Above 75",0,0))</f>
        <v/>
      </c>
      <c r="BB391" s="30" t="inlineStr">
        <is>
          <t>Stage 1</t>
        </is>
      </c>
      <c r="BC391" s="30">
        <f>IF(BB391="Stage 2",20,IF(BB391="Stage 1",0,IF(BB391="Stage 3",5,IF(BB391="Stage 4",-5,0))))</f>
        <v/>
      </c>
      <c r="BD391" s="30" t="inlineStr">
        <is>
          <t>Positive Trend</t>
        </is>
      </c>
      <c r="BE391" s="30">
        <f>IF(BD391="Positive Trend",20,IF(BD391="Negative Trend",-10,0))</f>
        <v/>
      </c>
      <c r="BF391" s="30" t="inlineStr">
        <is>
          <t>Uptrend</t>
        </is>
      </c>
      <c r="BG391" s="30">
        <f>IF(BF391="Uptrend",10,IF(BF391="Sideways",5,0))</f>
        <v/>
      </c>
      <c r="BH391" s="30" t="inlineStr">
        <is>
          <t>Uptrend</t>
        </is>
      </c>
      <c r="BI391" s="30">
        <f>IF(BH391="Uptrend",10,IF(BH391="Sideways",5,0))</f>
        <v/>
      </c>
      <c r="BJ391" s="30" t="inlineStr">
        <is>
          <t>Close to 52 week high or retracement</t>
        </is>
      </c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inlineStr">
        <is>
          <t>Yes</t>
        </is>
      </c>
      <c r="BM391" s="30">
        <f>IF(BL391="Yes",10,0)</f>
        <v/>
      </c>
      <c r="BN391" s="30" t="inlineStr">
        <is>
          <t>More than 20%</t>
        </is>
      </c>
      <c r="BO391" s="30">
        <f>IF(BN391="More than 20%",10,IF(BN391="Between 12 to 20%",5,IF(BN391="Less than 12%",0,0)))</f>
        <v/>
      </c>
      <c r="BP391" s="30" t="inlineStr">
        <is>
          <t>No</t>
        </is>
      </c>
      <c r="BQ391" s="30">
        <f>IF(BP391="No",10,0)</f>
        <v/>
      </c>
      <c r="BR391" s="30" t="inlineStr">
        <is>
          <t>No</t>
        </is>
      </c>
      <c r="BS391" s="30">
        <f>IF(BR391="NO",5,0)</f>
        <v/>
      </c>
      <c r="BT391" s="30" t="inlineStr">
        <is>
          <t>Less than 1.5</t>
        </is>
      </c>
      <c r="BU391" s="30">
        <f>IF(BT391="Above 2",0,IF(BT391="Between 1.5 to 2",5,IF(BT391="Less than 1.5",10,0)))</f>
        <v/>
      </c>
      <c r="BV391" s="30" t="inlineStr">
        <is>
          <t>Negative</t>
        </is>
      </c>
      <c r="BW391" s="30">
        <f>IF(BV391="Above 70%",10,IF(BV391="Between 50% to 70%",5,IF(BV391="Less than 50%",0,IF(BV391="Negative",-10,IF(BV391="Less than 50% and Borrowings are increasing",-5,0)))))</f>
        <v/>
      </c>
      <c r="BX391" s="30" t="inlineStr">
        <is>
          <t>More than 1.2</t>
        </is>
      </c>
      <c r="BY391" s="30">
        <f>IF(BX391="More than 1.2",-10,IF(BX391="Between 0.7 to 1.2",0,IF(BX391="Less than 0.7",10,0)))</f>
        <v/>
      </c>
      <c r="BZ391" s="30" t="inlineStr">
        <is>
          <t>No</t>
        </is>
      </c>
      <c r="CA391" s="30">
        <f>IF(BZ391="Yes",-10,0)</f>
        <v/>
      </c>
      <c r="CB391" s="30" t="inlineStr">
        <is>
          <t>Less than 15%</t>
        </is>
      </c>
      <c r="CC391" s="30">
        <f>IF(CB391="More than 15%",-10,IF(CB391="Less than 15%",10,0))</f>
        <v/>
      </c>
      <c r="CD391" s="30" t="inlineStr">
        <is>
          <t>No</t>
        </is>
      </c>
      <c r="CE391" s="30">
        <f>IF(CD391="Yes, more than 10%",-10,IF(CD391="No",10,0))</f>
        <v/>
      </c>
    </row>
    <row r="392">
      <c r="A392" s="30">
        <f>IF(B392=0,"",RANK(B392,$B$2:$B$396,0))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FLUOROCHEM</t>
        </is>
      </c>
      <c r="D392" s="30" t="inlineStr">
        <is>
          <t>Gujarat Fluorochemicals Ltd</t>
        </is>
      </c>
      <c r="E392" s="30" t="inlineStr">
        <is>
          <t>chemicals</t>
        </is>
      </c>
      <c r="F392" s="30" t="inlineStr">
        <is>
          <t>chemicals</t>
        </is>
      </c>
      <c r="G392" s="30" t="inlineStr">
        <is>
          <t>largecap</t>
        </is>
      </c>
      <c r="H392" s="31" t="n">
        <v>49959.78</v>
      </c>
      <c r="I392" s="31" t="n">
        <v>4518.1</v>
      </c>
      <c r="J392" s="31" t="n">
        <v>-0.66</v>
      </c>
      <c r="K392" s="31" t="n">
        <v>133639</v>
      </c>
      <c r="L392" s="30" t="n">
        <v>45</v>
      </c>
      <c r="M392" s="30" t="inlineStr">
        <is>
          <t>Outperforming</t>
        </is>
      </c>
      <c r="N392" s="31">
        <f>IF(M392="Underperforming",-5,IF(L392&gt;=95,15,IF(L392&gt;=90,10,IF(L392&gt;=80,5,0))))</f>
        <v/>
      </c>
      <c r="O392" s="31" t="n">
        <v>69.54000000000001</v>
      </c>
      <c r="P392" s="31" t="n">
        <v>27.17</v>
      </c>
      <c r="Q392" s="31" t="n">
        <v>3779.9</v>
      </c>
      <c r="R392" s="30" t="inlineStr">
        <is>
          <t>Near 52W High Breakout</t>
        </is>
      </c>
      <c r="S392" s="30" t="inlineStr">
        <is>
          <t>Nifty 50</t>
        </is>
      </c>
      <c r="T392" s="31" t="n">
        <v>0.85</v>
      </c>
      <c r="U392" s="31" t="n">
        <v>29.69</v>
      </c>
      <c r="V392" s="31" t="n">
        <v>28.6</v>
      </c>
      <c r="W392" s="31" t="n">
        <v>9.66</v>
      </c>
      <c r="X392" s="30" t="inlineStr">
        <is>
          <t>Growing Industry</t>
        </is>
      </c>
      <c r="Y392" s="30">
        <f>IF(X392="Growing Industry",10,IF(X392="Cyclical in an Upturn",5,0))</f>
        <v/>
      </c>
      <c r="Z392" s="30" t="inlineStr">
        <is>
          <t>Oligopoly</t>
        </is>
      </c>
      <c r="AA392" s="30">
        <f>IF(Z392="Monopoly",10,IF(Z392="Oligopoly",5,IF(Z392="Duopoly that cooperate",10,IF(Z392="Duopoly that compete",5,IF(Z392="Too many players with High ROCE",5,0)))))</f>
        <v/>
      </c>
      <c r="AB392" s="30" t="inlineStr">
        <is>
          <t>No</t>
        </is>
      </c>
      <c r="AC392" s="30">
        <f>IF(AB392="No",5,0)</f>
        <v/>
      </c>
      <c r="AD392" s="30" t="inlineStr">
        <is>
          <t>Tailwind</t>
        </is>
      </c>
      <c r="AE392" s="30">
        <f>IF(AD392="Tailwind",10,0)</f>
        <v/>
      </c>
      <c r="AF392" s="30" t="inlineStr">
        <is>
          <t>Shallow Cyclical (2 to 3 Years Growth)</t>
        </is>
      </c>
      <c r="AG392" s="30">
        <f>IF(AF392="Structural (10 Years Consistency)",10,IF(AF392="Shallow Cyclical (2 to 3 years growth)",5,0))</f>
        <v/>
      </c>
      <c r="AH392" s="30" t="inlineStr">
        <is>
          <t>Yes due to Product Mix change or Operating Leverage</t>
        </is>
      </c>
      <c r="AI392" s="30">
        <f>IF(AH392="Yes due to Product Mix change or Operating Leverage",10,IF(AH392="Yes, these are peak margins",-5,IF(AH392="No",5,0)))</f>
        <v/>
      </c>
      <c r="AJ392" s="30" t="inlineStr">
        <is>
          <t>Volatile</t>
        </is>
      </c>
      <c r="AK392" s="30">
        <f>IF(AJ392="Stable",10,0)</f>
        <v/>
      </c>
      <c r="AL392" s="30" t="inlineStr">
        <is>
          <t>Yes</t>
        </is>
      </c>
      <c r="AM392" s="30">
        <f>IF(AL392="Yes",10,0)</f>
        <v/>
      </c>
      <c r="AN392" s="30" t="inlineStr">
        <is>
          <t>B2B</t>
        </is>
      </c>
      <c r="AO392" s="30">
        <f>IF(AN392="B2C",10,IF(AN392="B2B",5,0))</f>
        <v/>
      </c>
      <c r="AP392" s="30" t="inlineStr">
        <is>
          <t>Yes</t>
        </is>
      </c>
      <c r="AQ392" s="30">
        <f>IF(AP392="Yes",10,0)</f>
        <v/>
      </c>
      <c r="AR392" s="30" t="inlineStr">
        <is>
          <t>Higher One Time, Lower Annuity</t>
        </is>
      </c>
      <c r="AS392" s="30">
        <f>IF(AR392="Fully Annuity",10,IF(AR392="Higher Annuity, Lower One Time",5,IF(AR392="Higher One Time, Lower Annuity",3,0)))</f>
        <v/>
      </c>
      <c r="AT392" s="30" t="inlineStr">
        <is>
          <t>Allocated capital in Non-core Areas</t>
        </is>
      </c>
      <c r="AU392" s="30">
        <f>IF(AT392="Good",10,0)</f>
        <v/>
      </c>
      <c r="AV392" s="30" t="inlineStr">
        <is>
          <t>Yes for more than 2 years</t>
        </is>
      </c>
      <c r="AW392" s="30">
        <f>IF(AV392="Yes for more than 2 years",10,IF(AV392="Yes only for next 1 to 2 years",5,0))</f>
        <v/>
      </c>
      <c r="AX392" s="30" t="inlineStr">
        <is>
          <t>Above 40</t>
        </is>
      </c>
      <c r="AY392" s="30">
        <f>IF(AX392="Above 40",20,IF(AX392="20 to 40",10,IF(AX392="0 to 20",-5,0)))</f>
        <v/>
      </c>
      <c r="AZ392" s="30" t="inlineStr">
        <is>
          <t>Between 50 to 75</t>
        </is>
      </c>
      <c r="BA392" s="30">
        <f>IF(AZ392="Between 50 to 75",10,IF(AZ392="Above 75",0,0))</f>
        <v/>
      </c>
      <c r="BB392" s="30" t="inlineStr">
        <is>
          <t>Stage 3</t>
        </is>
      </c>
      <c r="BC392" s="30">
        <f>IF(BB392="Stage 2",20,IF(BB392="Stage 1",0,IF(BB392="Stage 3",5,IF(BB392="Stage 4",-5,0))))</f>
        <v/>
      </c>
      <c r="BD392" s="30" t="inlineStr">
        <is>
          <t>Negative Trend</t>
        </is>
      </c>
      <c r="BE392" s="30">
        <f>IF(BD392="Positive Trend",20,IF(BD392="Negative Trend",-10,0))</f>
        <v/>
      </c>
      <c r="BF392" s="30" t="inlineStr">
        <is>
          <t>Sideways</t>
        </is>
      </c>
      <c r="BG392" s="30">
        <f>IF(BF392="Uptrend",10,IF(BF392="Sideways",5,0))</f>
        <v/>
      </c>
      <c r="BH392" s="30" t="inlineStr">
        <is>
          <t>Uptrend</t>
        </is>
      </c>
      <c r="BI392" s="30">
        <f>IF(BH392="Uptrend",10,IF(BH392="Sideways",5,0))</f>
        <v/>
      </c>
      <c r="BJ392" s="30" t="inlineStr">
        <is>
          <t>Overhead supply in last 2 years in last 2 years</t>
        </is>
      </c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inlineStr">
        <is>
          <t>Yes</t>
        </is>
      </c>
      <c r="BM392" s="30">
        <f>IF(BL392="Yes",10,0)</f>
        <v/>
      </c>
      <c r="BN392" s="30" t="inlineStr">
        <is>
          <t>More than 20%</t>
        </is>
      </c>
      <c r="BO392" s="30">
        <f>IF(BN392="More than 20%",10,IF(BN392="Between 12 to 20%",5,IF(BN392="Less than 12%",0,0)))</f>
        <v/>
      </c>
      <c r="BP392" s="30" t="inlineStr">
        <is>
          <t>No</t>
        </is>
      </c>
      <c r="BQ392" s="30">
        <f>IF(BP392="No",10,0)</f>
        <v/>
      </c>
      <c r="BR392" s="30" t="inlineStr">
        <is>
          <t>No</t>
        </is>
      </c>
      <c r="BS392" s="30">
        <f>IF(BR392="NO",5,0)</f>
        <v/>
      </c>
      <c r="BT392" s="30" t="inlineStr">
        <is>
          <t>Less than 1.5</t>
        </is>
      </c>
      <c r="BU392" s="30">
        <f>IF(BT392="Above 2",0,IF(BT392="Between 1.5 to 2",5,IF(BT392="Less than 1.5",10,0)))</f>
        <v/>
      </c>
      <c r="BV392" s="30" t="inlineStr">
        <is>
          <t>Above 70%</t>
        </is>
      </c>
      <c r="BW392" s="30">
        <f>IF(BV392="Above 70%",10,IF(BV392="Between 50% to 70%",5,IF(BV392="Less than 50%",0,IF(BV392="Negative",-10,IF(BV392="Less than 50% and Borrowings are increasing",-5,0)))))</f>
        <v/>
      </c>
      <c r="BX392" s="30" t="inlineStr">
        <is>
          <t>Less than 0.7</t>
        </is>
      </c>
      <c r="BY392" s="30">
        <f>IF(BX392="More than 1.2",-10,IF(BX392="Between 0.7 to 1.2",0,IF(BX392="Less than 0.7",10,0)))</f>
        <v/>
      </c>
      <c r="BZ392" s="30" t="inlineStr">
        <is>
          <t>No</t>
        </is>
      </c>
      <c r="CA392" s="30">
        <f>IF(BZ392="Yes",-10,0)</f>
        <v/>
      </c>
      <c r="CB392" s="30" t="inlineStr">
        <is>
          <t>More than 15%</t>
        </is>
      </c>
      <c r="CC392" s="30">
        <f>IF(CB392="More than 15%",-10,IF(CB392="Less than 15%",10,0))</f>
        <v/>
      </c>
      <c r="CD392" s="30" t="inlineStr">
        <is>
          <t>Yes Upto 10%</t>
        </is>
      </c>
      <c r="CE392" s="30">
        <f>IF(CD392="Yes, more than 10%",-10,IF(CD392="No",10,0))</f>
        <v/>
      </c>
    </row>
    <row r="393">
      <c r="A393" s="30">
        <f>IF(B393=0,"",RANK(B393,$B$2:$B$396,0))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GNFC</t>
        </is>
      </c>
      <c r="D393" s="30" t="inlineStr">
        <is>
          <t>Gujarat Narmada Valley Fertilizers And Chemicals Limited</t>
        </is>
      </c>
      <c r="E393" s="30" t="inlineStr">
        <is>
          <t>chemicals</t>
        </is>
      </c>
      <c r="F393" s="30" t="inlineStr">
        <is>
          <t>chemicals</t>
        </is>
      </c>
      <c r="G393" s="30" t="inlineStr">
        <is>
          <t>midcap</t>
        </is>
      </c>
      <c r="H393" s="31" t="n">
        <v>7978.14</v>
      </c>
      <c r="I393" s="31" t="n">
        <v>535.5</v>
      </c>
      <c r="J393" s="31" t="n">
        <v>-1.37</v>
      </c>
      <c r="K393" s="31" t="n">
        <v>261633</v>
      </c>
      <c r="L393" s="30" t="n">
        <v>21</v>
      </c>
      <c r="M393" s="30" t="inlineStr">
        <is>
          <t>Outperforming</t>
        </is>
      </c>
      <c r="N393" s="31">
        <f>IF(M393="Underperforming",-5,IF(L393&gt;=95,15,IF(L393&gt;=90,10,IF(L393&gt;=80,5,0))))</f>
        <v/>
      </c>
      <c r="O393" s="31" t="n">
        <v>59.43</v>
      </c>
      <c r="P393" s="31" t="n">
        <v>31.11</v>
      </c>
      <c r="Q393" s="31" t="n">
        <v>459.07</v>
      </c>
      <c r="R393" s="30" t="inlineStr">
        <is>
          <t>Volume Spike / Accumulation</t>
        </is>
      </c>
      <c r="S393" s="30" t="inlineStr">
        <is>
          <t>Nifty 50</t>
        </is>
      </c>
      <c r="T393" s="31" t="n">
        <v>0.85</v>
      </c>
      <c r="U393" s="31" t="n">
        <v>11.2</v>
      </c>
      <c r="V393" s="31" t="n">
        <v>10.26</v>
      </c>
      <c r="W393" s="31" t="n">
        <v>3.85</v>
      </c>
      <c r="X393" s="30" t="inlineStr">
        <is>
          <t>Growing Industry</t>
        </is>
      </c>
      <c r="Y393" s="30">
        <f>IF(X393="Growing Industry",10,IF(X393="Cyclical in an Upturn",5,0))</f>
        <v/>
      </c>
      <c r="Z393" s="30" t="inlineStr">
        <is>
          <t>Oligopoly</t>
        </is>
      </c>
      <c r="AA393" s="30">
        <f>IF(Z393="Monopoly",10,IF(Z393="Oligopoly",5,IF(Z393="Duopoly that cooperate",10,IF(Z393="Duopoly that compete",5,IF(Z393="Too many players with High ROCE",5,0)))))</f>
        <v/>
      </c>
      <c r="AB393" s="30" t="inlineStr">
        <is>
          <t>No</t>
        </is>
      </c>
      <c r="AC393" s="30">
        <f>IF(AB393="No",5,0)</f>
        <v/>
      </c>
      <c r="AD393" s="30" t="inlineStr">
        <is>
          <t>Tailwind</t>
        </is>
      </c>
      <c r="AE393" s="30">
        <f>IF(AD393="Tailwind",10,0)</f>
        <v/>
      </c>
      <c r="AF393" s="30" t="inlineStr">
        <is>
          <t>Shallow Cyclical (2 to 3 Years Growth)</t>
        </is>
      </c>
      <c r="AG393" s="30">
        <f>IF(AF393="Structural (10 Years Consistency)",10,IF(AF393="Shallow Cyclical (2 to 3 years growth)",5,0))</f>
        <v/>
      </c>
      <c r="AH393" s="30" t="inlineStr">
        <is>
          <t>Yes due to Product Mix change or Operating Leverage</t>
        </is>
      </c>
      <c r="AI393" s="30">
        <f>IF(AH393="Yes due to Product Mix change or Operating Leverage",10,IF(AH393="Yes, these are peak margins",-5,IF(AH393="No",5,0)))</f>
        <v/>
      </c>
      <c r="AJ393" s="30" t="inlineStr">
        <is>
          <t>Volatile</t>
        </is>
      </c>
      <c r="AK393" s="30">
        <f>IF(AJ393="Stable",10,0)</f>
        <v/>
      </c>
      <c r="AL393" s="30" t="inlineStr">
        <is>
          <t>Yes</t>
        </is>
      </c>
      <c r="AM393" s="30">
        <f>IF(AL393="Yes",10,0)</f>
        <v/>
      </c>
      <c r="AN393" s="30" t="inlineStr">
        <is>
          <t>B2B</t>
        </is>
      </c>
      <c r="AO393" s="30">
        <f>IF(AN393="B2C",10,IF(AN393="B2B",5,0))</f>
        <v/>
      </c>
      <c r="AP393" s="30" t="inlineStr">
        <is>
          <t>Yes</t>
        </is>
      </c>
      <c r="AQ393" s="30">
        <f>IF(AP393="Yes",10,0)</f>
        <v/>
      </c>
      <c r="AR393" s="30" t="inlineStr">
        <is>
          <t>Higher One Time, Lower Annuity</t>
        </is>
      </c>
      <c r="AS393" s="30">
        <f>IF(AR393="Fully Annuity",10,IF(AR393="Higher Annuity, Lower One Time",5,IF(AR393="Higher One Time, Lower Annuity",3,0)))</f>
        <v/>
      </c>
      <c r="AT393" s="30" t="inlineStr">
        <is>
          <t>Allocated capital in Non-core Areas</t>
        </is>
      </c>
      <c r="AU393" s="30">
        <f>IF(AT393="Good",10,0)</f>
        <v/>
      </c>
      <c r="AV393" s="30" t="inlineStr">
        <is>
          <t>Yes for more than 2 years</t>
        </is>
      </c>
      <c r="AW393" s="30">
        <f>IF(AV393="Yes for more than 2 years",10,IF(AV393="Yes only for next 1 to 2 years",5,0))</f>
        <v/>
      </c>
      <c r="AX393" s="30" t="inlineStr">
        <is>
          <t>Above 40</t>
        </is>
      </c>
      <c r="AY393" s="30">
        <f>IF(AX393="Above 40",20,IF(AX393="20 to 40",10,IF(AX393="0 to 20",-5,0)))</f>
        <v/>
      </c>
      <c r="AZ393" s="30" t="inlineStr">
        <is>
          <t>Between 50 to 75</t>
        </is>
      </c>
      <c r="BA393" s="30">
        <f>IF(AZ393="Between 50 to 75",10,IF(AZ393="Above 75",0,0))</f>
        <v/>
      </c>
      <c r="BB393" s="30" t="inlineStr">
        <is>
          <t>Stage 3</t>
        </is>
      </c>
      <c r="BC393" s="30">
        <f>IF(BB393="Stage 2",20,IF(BB393="Stage 1",0,IF(BB393="Stage 3",5,IF(BB393="Stage 4",-5,0))))</f>
        <v/>
      </c>
      <c r="BD393" s="30" t="inlineStr">
        <is>
          <t>Negative Trend</t>
        </is>
      </c>
      <c r="BE393" s="30">
        <f>IF(BD393="Positive Trend",20,IF(BD393="Negative Trend",-10,0))</f>
        <v/>
      </c>
      <c r="BF393" s="30" t="inlineStr">
        <is>
          <t>Sideways</t>
        </is>
      </c>
      <c r="BG393" s="30">
        <f>IF(BF393="Uptrend",10,IF(BF393="Sideways",5,0))</f>
        <v/>
      </c>
      <c r="BH393" s="30" t="inlineStr">
        <is>
          <t>Uptrend</t>
        </is>
      </c>
      <c r="BI393" s="30">
        <f>IF(BH393="Uptrend",10,IF(BH393="Sideways",5,0))</f>
        <v/>
      </c>
      <c r="BJ393" s="30" t="inlineStr">
        <is>
          <t>Overhead supply in last 2 years in last 2 years</t>
        </is>
      </c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inlineStr">
        <is>
          <t>Yes</t>
        </is>
      </c>
      <c r="BM393" s="30">
        <f>IF(BL393="Yes",10,0)</f>
        <v/>
      </c>
      <c r="BN393" s="30" t="inlineStr">
        <is>
          <t>More than 20%</t>
        </is>
      </c>
      <c r="BO393" s="30">
        <f>IF(BN393="More than 20%",10,IF(BN393="Between 12 to 20%",5,IF(BN393="Less than 12%",0,0)))</f>
        <v/>
      </c>
      <c r="BP393" s="30" t="inlineStr">
        <is>
          <t>No</t>
        </is>
      </c>
      <c r="BQ393" s="30">
        <f>IF(BP393="No",10,0)</f>
        <v/>
      </c>
      <c r="BR393" s="30" t="inlineStr">
        <is>
          <t>No</t>
        </is>
      </c>
      <c r="BS393" s="30">
        <f>IF(BR393="NO",5,0)</f>
        <v/>
      </c>
      <c r="BT393" s="30" t="inlineStr">
        <is>
          <t>Less than 1.5</t>
        </is>
      </c>
      <c r="BU393" s="30">
        <f>IF(BT393="Above 2",0,IF(BT393="Between 1.5 to 2",5,IF(BT393="Less than 1.5",10,0)))</f>
        <v/>
      </c>
      <c r="BV393" s="30" t="inlineStr">
        <is>
          <t>Above 70%</t>
        </is>
      </c>
      <c r="BW393" s="30">
        <f>IF(BV393="Above 70%",10,IF(BV393="Between 50% to 70%",5,IF(BV393="Less than 50%",0,IF(BV393="Negative",-10,IF(BV393="Less than 50% and Borrowings are increasing",-5,0)))))</f>
        <v/>
      </c>
      <c r="BX393" s="30" t="inlineStr">
        <is>
          <t>Less than 0.7</t>
        </is>
      </c>
      <c r="BY393" s="30">
        <f>IF(BX393="More than 1.2",-10,IF(BX393="Between 0.7 to 1.2",0,IF(BX393="Less than 0.7",10,0)))</f>
        <v/>
      </c>
      <c r="BZ393" s="30" t="inlineStr">
        <is>
          <t>No</t>
        </is>
      </c>
      <c r="CA393" s="30">
        <f>IF(BZ393="Yes",-10,0)</f>
        <v/>
      </c>
      <c r="CB393" s="30" t="inlineStr">
        <is>
          <t>More than 15%</t>
        </is>
      </c>
      <c r="CC393" s="30">
        <f>IF(CB393="More than 15%",-10,IF(CB393="Less than 15%",10,0))</f>
        <v/>
      </c>
      <c r="CD393" s="30" t="inlineStr">
        <is>
          <t>Yes Upto 10%</t>
        </is>
      </c>
      <c r="CE393" s="30">
        <f>IF(CD393="Yes, more than 10%",-10,IF(CD393="No",10,0))</f>
        <v/>
      </c>
    </row>
    <row r="394">
      <c r="A394" s="30">
        <f>IF(B394=0,"",RANK(B394,$B$2:$B$396,0))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GUJALKALI</t>
        </is>
      </c>
      <c r="D394" s="30" t="inlineStr">
        <is>
          <t>Gujarat Alkalies And Chemicals Limited</t>
        </is>
      </c>
      <c r="E394" s="30" t="inlineStr">
        <is>
          <t>chemicals</t>
        </is>
      </c>
      <c r="F394" s="30" t="inlineStr">
        <is>
          <t>chemicals</t>
        </is>
      </c>
      <c r="G394" s="30" t="inlineStr">
        <is>
          <t>smallcap</t>
        </is>
      </c>
      <c r="H394" s="31" t="n">
        <v>4999.59</v>
      </c>
      <c r="I394" s="31" t="n">
        <v>671</v>
      </c>
      <c r="J394" s="31" t="n">
        <v>-1.44</v>
      </c>
      <c r="K394" s="31" t="n">
        <v>128249</v>
      </c>
      <c r="L394" s="30" t="n">
        <v>22</v>
      </c>
      <c r="M394" s="30" t="inlineStr">
        <is>
          <t>Outperforming</t>
        </is>
      </c>
      <c r="N394" s="31">
        <f>IF(M394="Underperforming",-5,IF(L394&gt;=95,15,IF(L394&gt;=90,10,IF(L394&gt;=80,5,0))))</f>
        <v/>
      </c>
      <c r="O394" s="31" t="n">
        <v>58.09</v>
      </c>
      <c r="P394" s="31" t="n">
        <v>31.82</v>
      </c>
      <c r="Q394" s="31" t="n">
        <v>567.67</v>
      </c>
      <c r="R394" s="30" t="inlineStr">
        <is>
          <t>Volume Spike / Accumulation</t>
        </is>
      </c>
      <c r="S394" s="30" t="inlineStr">
        <is>
          <t>Nifty 50</t>
        </is>
      </c>
      <c r="T394" s="31" t="n">
        <v>0.85</v>
      </c>
      <c r="U394" s="31" t="n">
        <v>19.55</v>
      </c>
      <c r="V394" s="31" t="n">
        <v>18.54</v>
      </c>
      <c r="W394" s="31" t="n">
        <v>4.44</v>
      </c>
      <c r="X394" s="30" t="inlineStr">
        <is>
          <t>Growing Industry</t>
        </is>
      </c>
      <c r="Y394" s="30">
        <f>IF(X394="Growing Industry",10,IF(X394="Cyclical in an Upturn",5,0))</f>
        <v/>
      </c>
      <c r="Z394" s="30" t="inlineStr">
        <is>
          <t>Oligopoly</t>
        </is>
      </c>
      <c r="AA394" s="30">
        <f>IF(Z394="Monopoly",10,IF(Z394="Oligopoly",5,IF(Z394="Duopoly that cooperate",10,IF(Z394="Duopoly that compete",5,IF(Z394="Too many players with High ROCE",5,0)))))</f>
        <v/>
      </c>
      <c r="AB394" s="30" t="inlineStr">
        <is>
          <t>No</t>
        </is>
      </c>
      <c r="AC394" s="30">
        <f>IF(AB394="No",5,0)</f>
        <v/>
      </c>
      <c r="AD394" s="30" t="inlineStr">
        <is>
          <t>Tailwind</t>
        </is>
      </c>
      <c r="AE394" s="30">
        <f>IF(AD394="Tailwind",10,0)</f>
        <v/>
      </c>
      <c r="AF394" s="30" t="inlineStr">
        <is>
          <t>Shallow Cyclical (2 to 3 Years Growth)</t>
        </is>
      </c>
      <c r="AG394" s="30">
        <f>IF(AF394="Structural (10 Years Consistency)",10,IF(AF394="Shallow Cyclical (2 to 3 years growth)",5,0))</f>
        <v/>
      </c>
      <c r="AH394" s="30" t="inlineStr">
        <is>
          <t>Yes due to Product Mix change or Operating Leverage</t>
        </is>
      </c>
      <c r="AI394" s="30">
        <f>IF(AH394="Yes due to Product Mix change or Operating Leverage",10,IF(AH394="Yes, these are peak margins",-5,IF(AH394="No",5,0)))</f>
        <v/>
      </c>
      <c r="AJ394" s="30" t="inlineStr">
        <is>
          <t>Volatile</t>
        </is>
      </c>
      <c r="AK394" s="30">
        <f>IF(AJ394="Stable",10,0)</f>
        <v/>
      </c>
      <c r="AL394" s="30" t="inlineStr">
        <is>
          <t>Yes</t>
        </is>
      </c>
      <c r="AM394" s="30">
        <f>IF(AL394="Yes",10,0)</f>
        <v/>
      </c>
      <c r="AN394" s="30" t="inlineStr">
        <is>
          <t>B2B</t>
        </is>
      </c>
      <c r="AO394" s="30">
        <f>IF(AN394="B2C",10,IF(AN394="B2B",5,0))</f>
        <v/>
      </c>
      <c r="AP394" s="30" t="inlineStr">
        <is>
          <t>Yes</t>
        </is>
      </c>
      <c r="AQ394" s="30">
        <f>IF(AP394="Yes",10,0)</f>
        <v/>
      </c>
      <c r="AR394" s="30" t="inlineStr">
        <is>
          <t>Higher One Time, Lower Annuity</t>
        </is>
      </c>
      <c r="AS394" s="30">
        <f>IF(AR394="Fully Annuity",10,IF(AR394="Higher Annuity, Lower One Time",5,IF(AR394="Higher One Time, Lower Annuity",3,0)))</f>
        <v/>
      </c>
      <c r="AT394" s="30" t="inlineStr">
        <is>
          <t>Allocated capital in Non-core Areas</t>
        </is>
      </c>
      <c r="AU394" s="30">
        <f>IF(AT394="Good",10,0)</f>
        <v/>
      </c>
      <c r="AV394" s="30" t="inlineStr">
        <is>
          <t>Yes for more than 2 years</t>
        </is>
      </c>
      <c r="AW394" s="30">
        <f>IF(AV394="Yes for more than 2 years",10,IF(AV394="Yes only for next 1 to 2 years",5,0))</f>
        <v/>
      </c>
      <c r="AX394" s="30" t="inlineStr">
        <is>
          <t>Above 40</t>
        </is>
      </c>
      <c r="AY394" s="30">
        <f>IF(AX394="Above 40",20,IF(AX394="20 to 40",10,IF(AX394="0 to 20",-5,0)))</f>
        <v/>
      </c>
      <c r="AZ394" s="30" t="inlineStr">
        <is>
          <t>Between 50 to 75</t>
        </is>
      </c>
      <c r="BA394" s="30">
        <f>IF(AZ394="Between 50 to 75",10,IF(AZ394="Above 75",0,0))</f>
        <v/>
      </c>
      <c r="BB394" s="30" t="inlineStr">
        <is>
          <t>Stage 3</t>
        </is>
      </c>
      <c r="BC394" s="30">
        <f>IF(BB394="Stage 2",20,IF(BB394="Stage 1",0,IF(BB394="Stage 3",5,IF(BB394="Stage 4",-5,0))))</f>
        <v/>
      </c>
      <c r="BD394" s="30" t="inlineStr">
        <is>
          <t>Negative Trend</t>
        </is>
      </c>
      <c r="BE394" s="30">
        <f>IF(BD394="Positive Trend",20,IF(BD394="Negative Trend",-10,0))</f>
        <v/>
      </c>
      <c r="BF394" s="30" t="inlineStr">
        <is>
          <t>Sideways</t>
        </is>
      </c>
      <c r="BG394" s="30">
        <f>IF(BF394="Uptrend",10,IF(BF394="Sideways",5,0))</f>
        <v/>
      </c>
      <c r="BH394" s="30" t="inlineStr">
        <is>
          <t>Uptrend</t>
        </is>
      </c>
      <c r="BI394" s="30">
        <f>IF(BH394="Uptrend",10,IF(BH394="Sideways",5,0))</f>
        <v/>
      </c>
      <c r="BJ394" s="30" t="inlineStr">
        <is>
          <t>Overhead supply in last 2 years in last 2 years</t>
        </is>
      </c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inlineStr">
        <is>
          <t>Yes</t>
        </is>
      </c>
      <c r="BM394" s="30">
        <f>IF(BL394="Yes",10,0)</f>
        <v/>
      </c>
      <c r="BN394" s="30" t="inlineStr">
        <is>
          <t>More than 20%</t>
        </is>
      </c>
      <c r="BO394" s="30">
        <f>IF(BN394="More than 20%",10,IF(BN394="Between 12 to 20%",5,IF(BN394="Less than 12%",0,0)))</f>
        <v/>
      </c>
      <c r="BP394" s="30" t="inlineStr">
        <is>
          <t>No</t>
        </is>
      </c>
      <c r="BQ394" s="30">
        <f>IF(BP394="No",10,0)</f>
        <v/>
      </c>
      <c r="BR394" s="30" t="inlineStr">
        <is>
          <t>No</t>
        </is>
      </c>
      <c r="BS394" s="30">
        <f>IF(BR394="NO",5,0)</f>
        <v/>
      </c>
      <c r="BT394" s="30" t="inlineStr">
        <is>
          <t>Less than 1.5</t>
        </is>
      </c>
      <c r="BU394" s="30">
        <f>IF(BT394="Above 2",0,IF(BT394="Between 1.5 to 2",5,IF(BT394="Less than 1.5",10,0)))</f>
        <v/>
      </c>
      <c r="BV394" s="30" t="inlineStr">
        <is>
          <t>Above 70%</t>
        </is>
      </c>
      <c r="BW394" s="30">
        <f>IF(BV394="Above 70%",10,IF(BV394="Between 50% to 70%",5,IF(BV394="Less than 50%",0,IF(BV394="Negative",-10,IF(BV394="Less than 50% and Borrowings are increasing",-5,0)))))</f>
        <v/>
      </c>
      <c r="BX394" s="30" t="inlineStr">
        <is>
          <t>Less than 0.7</t>
        </is>
      </c>
      <c r="BY394" s="30">
        <f>IF(BX394="More than 1.2",-10,IF(BX394="Between 0.7 to 1.2",0,IF(BX394="Less than 0.7",10,0)))</f>
        <v/>
      </c>
      <c r="BZ394" s="30" t="inlineStr">
        <is>
          <t>No</t>
        </is>
      </c>
      <c r="CA394" s="30">
        <f>IF(BZ394="Yes",-10,0)</f>
        <v/>
      </c>
      <c r="CB394" s="30" t="inlineStr">
        <is>
          <t>More than 15%</t>
        </is>
      </c>
      <c r="CC394" s="30">
        <f>IF(CB394="More than 15%",-10,IF(CB394="Less than 15%",10,0))</f>
        <v/>
      </c>
      <c r="CD394" s="30" t="inlineStr">
        <is>
          <t>Yes Upto 10%</t>
        </is>
      </c>
      <c r="CE394" s="30">
        <f>IF(CD394="Yes, more than 10%",-10,IF(CD394="No",10,0))</f>
        <v/>
      </c>
    </row>
    <row r="395">
      <c r="A395" s="30">
        <f>IF(B395=0,"",RANK(B395,$B$2:$B$396,0))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GAEL</t>
        </is>
      </c>
      <c r="D395" s="30" t="inlineStr">
        <is>
          <t>Gujarat Ambuja Exports Limited</t>
        </is>
      </c>
      <c r="E395" s="30" t="inlineStr">
        <is>
          <t>fmcg</t>
        </is>
      </c>
      <c r="F395" s="30" t="inlineStr">
        <is>
          <t>miscellaneous</t>
        </is>
      </c>
      <c r="G395" s="30" t="inlineStr">
        <is>
          <t>midcap</t>
        </is>
      </c>
      <c r="H395" s="31" t="n">
        <v>8151.5</v>
      </c>
      <c r="I395" s="31" t="n">
        <v>169.22</v>
      </c>
      <c r="J395" s="31" t="n">
        <v>-4.78</v>
      </c>
      <c r="K395" s="31" t="n">
        <v>1955074</v>
      </c>
      <c r="L395" s="30" t="n">
        <v>55</v>
      </c>
      <c r="M395" s="30" t="inlineStr">
        <is>
          <t>Outperforming</t>
        </is>
      </c>
      <c r="N395" s="31">
        <f>IF(M395="Underperforming",-5,IF(L395&gt;=95,15,IF(L395&gt;=90,10,IF(L395&gt;=80,5,0))))</f>
        <v/>
      </c>
      <c r="O395" s="31" t="n">
        <v>61.65</v>
      </c>
      <c r="P395" s="31" t="n">
        <v>37.78</v>
      </c>
      <c r="Q395" s="31" t="n">
        <v>134.9</v>
      </c>
      <c r="R395" s="30" t="inlineStr">
        <is>
          <t>Volume Spike &amp; Near 52W High Breakout</t>
        </is>
      </c>
      <c r="S395" s="30" t="inlineStr">
        <is>
          <t>Nifty FMCG</t>
        </is>
      </c>
      <c r="T395" s="31" t="n">
        <v>-9.43</v>
      </c>
      <c r="U395" s="31" t="n">
        <v>60.8</v>
      </c>
      <c r="V395" s="31" t="n">
        <v>77.53</v>
      </c>
      <c r="W395" s="31" t="n">
        <v>12.86</v>
      </c>
      <c r="X395" s="30" t="inlineStr">
        <is>
          <t>Growing Industry</t>
        </is>
      </c>
      <c r="Y395" s="30">
        <f>IF(X395="Growing Industry",10,IF(X395="Cyclical in an Upturn",5,0))</f>
        <v/>
      </c>
      <c r="Z395" s="30" t="inlineStr">
        <is>
          <t>Oligopoly</t>
        </is>
      </c>
      <c r="AA395" s="30">
        <f>IF(Z395="Monopoly",10,IF(Z395="Oligopoly",5,IF(Z395="Duopoly that cooperate",10,IF(Z395="Duopoly that compete",5,IF(Z395="Too many players with High ROCE",5,0)))))</f>
        <v/>
      </c>
      <c r="AB395" s="30" t="inlineStr">
        <is>
          <t>No</t>
        </is>
      </c>
      <c r="AC395" s="30">
        <f>IF(AB395="No",5,0)</f>
        <v/>
      </c>
      <c r="AD395" s="30" t="inlineStr">
        <is>
          <t>Tailwind</t>
        </is>
      </c>
      <c r="AE395" s="30">
        <f>IF(AD395="Tailwind",10,0)</f>
        <v/>
      </c>
      <c r="AF395" s="30" t="inlineStr">
        <is>
          <t>Shallow Cyclical (2 to 3 Years Growth)</t>
        </is>
      </c>
      <c r="AG395" s="30">
        <f>IF(AF395="Structural (10 Years Consistency)",10,IF(AF395="Shallow Cyclical (2 to 3 years growth)",5,0))</f>
        <v/>
      </c>
      <c r="AH395" s="30" t="inlineStr">
        <is>
          <t>Yes due to Product Mix change or Operating Leverage</t>
        </is>
      </c>
      <c r="AI395" s="30">
        <f>IF(AH395="Yes due to Product Mix change or Operating Leverage",10,IF(AH395="Yes, these are peak margins",-5,IF(AH395="No",5,0)))</f>
        <v/>
      </c>
      <c r="AJ395" s="30" t="inlineStr">
        <is>
          <t>Volatile</t>
        </is>
      </c>
      <c r="AK395" s="30">
        <f>IF(AJ395="Stable",10,0)</f>
        <v/>
      </c>
      <c r="AL395" s="30" t="inlineStr">
        <is>
          <t>Yes</t>
        </is>
      </c>
      <c r="AM395" s="30">
        <f>IF(AL395="Yes",10,0)</f>
        <v/>
      </c>
      <c r="AN395" s="30" t="inlineStr">
        <is>
          <t>B2B</t>
        </is>
      </c>
      <c r="AO395" s="30">
        <f>IF(AN395="B2C",10,IF(AN395="B2B",5,0))</f>
        <v/>
      </c>
      <c r="AP395" s="30" t="inlineStr">
        <is>
          <t>Yes</t>
        </is>
      </c>
      <c r="AQ395" s="30">
        <f>IF(AP395="Yes",10,0)</f>
        <v/>
      </c>
      <c r="AR395" s="30" t="inlineStr">
        <is>
          <t>Higher One Time, Lower Annuity</t>
        </is>
      </c>
      <c r="AS395" s="30">
        <f>IF(AR395="Fully Annuity",10,IF(AR395="Higher Annuity, Lower One Time",5,IF(AR395="Higher One Time, Lower Annuity",3,0)))</f>
        <v/>
      </c>
      <c r="AT395" s="30" t="inlineStr">
        <is>
          <t>Allocated capital in Non-core Areas</t>
        </is>
      </c>
      <c r="AU395" s="30">
        <f>IF(AT395="Good",10,0)</f>
        <v/>
      </c>
      <c r="AV395" s="30" t="inlineStr">
        <is>
          <t>Yes for more than 2 years</t>
        </is>
      </c>
      <c r="AW395" s="30">
        <f>IF(AV395="Yes for more than 2 years",10,IF(AV395="Yes only for next 1 to 2 years",5,0))</f>
        <v/>
      </c>
      <c r="AX395" s="30" t="inlineStr">
        <is>
          <t>Above 40</t>
        </is>
      </c>
      <c r="AY395" s="30">
        <f>IF(AX395="Above 40",20,IF(AX395="20 to 40",10,IF(AX395="0 to 20",-5,0)))</f>
        <v/>
      </c>
      <c r="AZ395" s="30" t="inlineStr">
        <is>
          <t>Between 50 to 75</t>
        </is>
      </c>
      <c r="BA395" s="30">
        <f>IF(AZ395="Between 50 to 75",10,IF(AZ395="Above 75",0,0))</f>
        <v/>
      </c>
      <c r="BB395" s="30" t="inlineStr">
        <is>
          <t>Stage 3</t>
        </is>
      </c>
      <c r="BC395" s="30">
        <f>IF(BB395="Stage 2",20,IF(BB395="Stage 1",0,IF(BB395="Stage 3",5,IF(BB395="Stage 4",-5,0))))</f>
        <v/>
      </c>
      <c r="BD395" s="30" t="inlineStr">
        <is>
          <t>Negative Trend</t>
        </is>
      </c>
      <c r="BE395" s="30">
        <f>IF(BD395="Positive Trend",20,IF(BD395="Negative Trend",-10,0))</f>
        <v/>
      </c>
      <c r="BF395" s="30" t="inlineStr">
        <is>
          <t>Sideways</t>
        </is>
      </c>
      <c r="BG395" s="30">
        <f>IF(BF395="Uptrend",10,IF(BF395="Sideways",5,0))</f>
        <v/>
      </c>
      <c r="BH395" s="30" t="inlineStr">
        <is>
          <t>Uptrend</t>
        </is>
      </c>
      <c r="BI395" s="30">
        <f>IF(BH395="Uptrend",10,IF(BH395="Sideways",5,0))</f>
        <v/>
      </c>
      <c r="BJ395" s="30" t="inlineStr">
        <is>
          <t>Overhead supply in last 2 years in last 2 years</t>
        </is>
      </c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inlineStr">
        <is>
          <t>Yes</t>
        </is>
      </c>
      <c r="BM395" s="30">
        <f>IF(BL395="Yes",10,0)</f>
        <v/>
      </c>
      <c r="BN395" s="30" t="inlineStr">
        <is>
          <t>More than 20%</t>
        </is>
      </c>
      <c r="BO395" s="30">
        <f>IF(BN395="More than 20%",10,IF(BN395="Between 12 to 20%",5,IF(BN395="Less than 12%",0,0)))</f>
        <v/>
      </c>
      <c r="BP395" s="30" t="inlineStr">
        <is>
          <t>No</t>
        </is>
      </c>
      <c r="BQ395" s="30">
        <f>IF(BP395="No",10,0)</f>
        <v/>
      </c>
      <c r="BR395" s="30" t="inlineStr">
        <is>
          <t>No</t>
        </is>
      </c>
      <c r="BS395" s="30">
        <f>IF(BR395="NO",5,0)</f>
        <v/>
      </c>
      <c r="BT395" s="30" t="inlineStr">
        <is>
          <t>Less than 1.5</t>
        </is>
      </c>
      <c r="BU395" s="30">
        <f>IF(BT395="Above 2",0,IF(BT395="Between 1.5 to 2",5,IF(BT395="Less than 1.5",10,0)))</f>
        <v/>
      </c>
      <c r="BV395" s="30" t="inlineStr">
        <is>
          <t>Above 70%</t>
        </is>
      </c>
      <c r="BW395" s="30">
        <f>IF(BV395="Above 70%",10,IF(BV395="Between 50% to 70%",5,IF(BV395="Less than 50%",0,IF(BV395="Negative",-10,IF(BV395="Less than 50% and Borrowings are increasing",-5,0)))))</f>
        <v/>
      </c>
      <c r="BX395" s="30" t="inlineStr">
        <is>
          <t>Less than 0.7</t>
        </is>
      </c>
      <c r="BY395" s="30">
        <f>IF(BX395="More than 1.2",-10,IF(BX395="Between 0.7 to 1.2",0,IF(BX395="Less than 0.7",10,0)))</f>
        <v/>
      </c>
      <c r="BZ395" s="30" t="inlineStr">
        <is>
          <t>No</t>
        </is>
      </c>
      <c r="CA395" s="30">
        <f>IF(BZ395="Yes",-10,0)</f>
        <v/>
      </c>
      <c r="CB395" s="30" t="inlineStr">
        <is>
          <t>More than 15%</t>
        </is>
      </c>
      <c r="CC395" s="30">
        <f>IF(CB395="More than 15%",-10,IF(CB395="Less than 15%",10,0))</f>
        <v/>
      </c>
      <c r="CD395" s="30" t="inlineStr">
        <is>
          <t>Yes Upto 10%</t>
        </is>
      </c>
      <c r="CE395" s="30">
        <f>IF(CD395="Yes, more than 10%",-10,IF(CD395="No",10,0))</f>
        <v/>
      </c>
    </row>
    <row r="396">
      <c r="A396" s="30">
        <f>IF(B396=0,"",RANK(B396,$B$2:$B$396,0))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2" t="inlineStr">
        <is>
          <t>CEATLTD</t>
        </is>
      </c>
      <c r="D396" s="32" t="inlineStr">
        <is>
          <t>Ceat Limited</t>
        </is>
      </c>
      <c r="E396" s="30" t="inlineStr">
        <is>
          <t>auto</t>
        </is>
      </c>
      <c r="F396" s="30" t="inlineStr">
        <is>
          <t>tyres</t>
        </is>
      </c>
      <c r="G396" s="30" t="inlineStr">
        <is>
          <t>midcap</t>
        </is>
      </c>
      <c r="H396" s="31" t="n">
        <v>15190.63</v>
      </c>
      <c r="I396" s="31" t="n">
        <v>3723.1</v>
      </c>
      <c r="J396" s="31" t="n">
        <v>-0.86</v>
      </c>
      <c r="K396" s="31" t="n">
        <v>54517</v>
      </c>
      <c r="L396" s="30" t="n">
        <v>24</v>
      </c>
      <c r="M396" s="30" t="inlineStr">
        <is>
          <t>Underperforming</t>
        </is>
      </c>
      <c r="N396" s="31">
        <f>IF(M396="Underperforming",-5,IF(L396&gt;=95,15,IF(L396&gt;=90,10,IF(L396&gt;=80,5,0))))</f>
        <v/>
      </c>
      <c r="O396" s="31" t="n">
        <v>56.01</v>
      </c>
      <c r="P396" s="31" t="n">
        <v>7</v>
      </c>
      <c r="Q396" s="31" t="n">
        <v>2999.25</v>
      </c>
      <c r="R396" s="30" t="inlineStr">
        <is>
          <t>Earnings / Momentum Support</t>
        </is>
      </c>
      <c r="S396" s="30" t="inlineStr">
        <is>
          <t>Nifty Auto</t>
        </is>
      </c>
      <c r="T396" s="31" t="n">
        <v>24.67</v>
      </c>
      <c r="U396" s="31" t="n">
        <v>12.4</v>
      </c>
      <c r="V396" s="31" t="n">
        <v>-9.84</v>
      </c>
      <c r="W396" s="31" t="n">
        <v>4.69</v>
      </c>
      <c r="X396" s="30" t="inlineStr">
        <is>
          <t>Growing Industry</t>
        </is>
      </c>
      <c r="Y396" s="30">
        <f>IF(X396="Growing Industry",10,IF(X396="Cyclical in an Upturn",5,0))</f>
        <v/>
      </c>
      <c r="Z396" s="30" t="inlineStr">
        <is>
          <t>Too Many Players with High ROCE</t>
        </is>
      </c>
      <c r="AA396" s="30">
        <f>IF(Z396="Monopoly",10,IF(Z396="Oligopoly",5,IF(Z396="Duopoly that cooperate",10,IF(Z396="Duopoly that compete",5,IF(Z396="Too many players with High ROCE",5,0)))))</f>
        <v/>
      </c>
      <c r="AB396" s="30" t="inlineStr">
        <is>
          <t>No</t>
        </is>
      </c>
      <c r="AC396" s="30">
        <f>IF(AB396="No",5,0)</f>
        <v/>
      </c>
      <c r="AD396" s="30" t="inlineStr">
        <is>
          <t>Headwind</t>
        </is>
      </c>
      <c r="AE396" s="30">
        <f>IF(AD396="Tailwind",10,0)</f>
        <v/>
      </c>
      <c r="AF396" s="30" t="inlineStr">
        <is>
          <t>Structural (10 Years Consistency)</t>
        </is>
      </c>
      <c r="AG396" s="30">
        <f>IF(AF396="Structural (10 Years Consistency)",10,IF(AF396="Shallow Cyclical (2 to 3 years growth)",5,0))</f>
        <v/>
      </c>
      <c r="AH396" s="30" t="inlineStr">
        <is>
          <t>No</t>
        </is>
      </c>
      <c r="AI396" s="30">
        <f>IF(AH396="Yes due to Product Mix change or Operating Leverage",10,IF(AH396="Yes, these are peak margins",-5,IF(AH396="No",5,0)))</f>
        <v/>
      </c>
      <c r="AJ396" s="30" t="inlineStr">
        <is>
          <t>Stable</t>
        </is>
      </c>
      <c r="AK396" s="30">
        <f>IF(AJ396="Stable",10,0)</f>
        <v/>
      </c>
      <c r="AL396" s="30" t="inlineStr">
        <is>
          <t>Yes</t>
        </is>
      </c>
      <c r="AM396" s="30">
        <f>IF(AL396="Yes",10,0)</f>
        <v/>
      </c>
      <c r="AN396" s="30" t="inlineStr">
        <is>
          <t>B2B</t>
        </is>
      </c>
      <c r="AO396" s="30">
        <f>IF(AN396="B2C",10,IF(AN396="B2B",5,0))</f>
        <v/>
      </c>
      <c r="AP396" s="30" t="inlineStr">
        <is>
          <t>No</t>
        </is>
      </c>
      <c r="AQ396" s="30">
        <f>IF(AP396="Yes",10,0)</f>
        <v/>
      </c>
      <c r="AR396" s="30" t="inlineStr">
        <is>
          <t>Higher One Time, Lower Annuity</t>
        </is>
      </c>
      <c r="AS396" s="30">
        <f>IF(AR396="Fully Annuity",10,IF(AR396="Higher Annuity, Lower One Time",5,IF(AR396="Higher One Time, Lower Annuity",3,0)))</f>
        <v/>
      </c>
      <c r="AT396" s="30" t="inlineStr">
        <is>
          <t>Good</t>
        </is>
      </c>
      <c r="AU396" s="30">
        <f>IF(AT396="Good",10,0)</f>
        <v/>
      </c>
      <c r="AV396" s="30" t="inlineStr">
        <is>
          <t>Yes for more than 2 years</t>
        </is>
      </c>
      <c r="AW396" s="30">
        <f>IF(AV396="Yes for more than 2 years",10,IF(AV396="Yes only for next 1 to 2 years",5,0))</f>
        <v/>
      </c>
      <c r="AX396" s="30" t="inlineStr">
        <is>
          <t>0 to 20</t>
        </is>
      </c>
      <c r="AY396" s="30">
        <f>IF(AX396="Above 40",20,IF(AX396="20 to 40",10,IF(AX396="0 to 20",-5,0)))</f>
        <v/>
      </c>
      <c r="AZ396" s="30" t="inlineStr">
        <is>
          <t>Between 50 to 75</t>
        </is>
      </c>
      <c r="BA396" s="30">
        <f>IF(AZ396="Between 50 to 75",10,IF(AZ396="Above 75",0,0))</f>
        <v/>
      </c>
      <c r="BB396" s="30" t="inlineStr">
        <is>
          <t>Stage 1</t>
        </is>
      </c>
      <c r="BC396" s="30">
        <f>IF(BB396="Stage 2",20,IF(BB396="Stage 1",0,IF(BB396="Stage 3",5,IF(BB396="Stage 4",-5,0))))</f>
        <v/>
      </c>
      <c r="BD396" s="30" t="inlineStr">
        <is>
          <t>Negative Trend</t>
        </is>
      </c>
      <c r="BE396" s="30">
        <f>IF(BD396="Positive Trend",20,IF(BD396="Negative Trend",-10,0))</f>
        <v/>
      </c>
      <c r="BF396" s="30" t="inlineStr">
        <is>
          <t>Uptrend</t>
        </is>
      </c>
      <c r="BG396" s="30">
        <f>IF(BF396="Uptrend",10,IF(BF396="Sideways",5,0))</f>
        <v/>
      </c>
      <c r="BH396" s="30" t="inlineStr">
        <is>
          <t>Uptrend</t>
        </is>
      </c>
      <c r="BI396" s="30">
        <f>IF(BH396="Uptrend",10,IF(BH396="Sideways",5,0))</f>
        <v/>
      </c>
      <c r="BJ396" s="30" t="inlineStr">
        <is>
          <t>Close to 52 week high or retracement</t>
        </is>
      </c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inlineStr">
        <is>
          <t>Yes</t>
        </is>
      </c>
      <c r="BM396" s="30">
        <f>IF(BL396="Yes",10,0)</f>
        <v/>
      </c>
      <c r="BN396" s="30" t="inlineStr">
        <is>
          <t>Less than 12%</t>
        </is>
      </c>
      <c r="BO396" s="30">
        <f>IF(BN396="More than 20%",10,IF(BN396="Between 12 to 20%",5,IF(BN396="Less than 12%",0,0)))</f>
        <v/>
      </c>
      <c r="BP396" s="30" t="inlineStr">
        <is>
          <t>No</t>
        </is>
      </c>
      <c r="BQ396" s="30">
        <f>IF(BP396="No",10,0)</f>
        <v/>
      </c>
      <c r="BR396" s="30" t="inlineStr">
        <is>
          <t>No</t>
        </is>
      </c>
      <c r="BS396" s="30">
        <f>IF(BR396="NO",5,0)</f>
        <v/>
      </c>
      <c r="BT396" s="30" t="inlineStr">
        <is>
          <t>Above 2</t>
        </is>
      </c>
      <c r="BU396" s="30">
        <f>IF(BT396="Above 2",0,IF(BT396="Between 1.5 to 2",5,IF(BT396="Less than 1.5",10,0)))</f>
        <v/>
      </c>
      <c r="BV396" s="30" t="inlineStr">
        <is>
          <t>Above 70%</t>
        </is>
      </c>
      <c r="BW396" s="30">
        <f>IF(BV396="Above 70%",10,IF(BV396="Between 50% to 70%",5,IF(BV396="Less than 50%",0,IF(BV396="Negative",-10,IF(BV396="Less than 50% and Borrowings are increasing",-5,0)))))</f>
        <v/>
      </c>
      <c r="BX396" s="30" t="inlineStr">
        <is>
          <t>Less than 0.7</t>
        </is>
      </c>
      <c r="BY396" s="30">
        <f>IF(BX396="More than 1.2",-10,IF(BX396="Between 0.7 to 1.2",0,IF(BX396="Less than 0.7",10,0)))</f>
        <v/>
      </c>
      <c r="BZ396" s="30" t="inlineStr">
        <is>
          <t>No</t>
        </is>
      </c>
      <c r="CA396" s="30">
        <f>IF(BZ396="Yes",-10,0)</f>
        <v/>
      </c>
      <c r="CB396" s="30" t="inlineStr">
        <is>
          <t>Less than 15%</t>
        </is>
      </c>
      <c r="CC396" s="30">
        <f>IF(CB396="More than 15%",-10,IF(CB396="Less than 15%",10,0))</f>
        <v/>
      </c>
      <c r="CD396" s="30" t="inlineStr">
        <is>
          <t>No</t>
        </is>
      </c>
      <c r="CE396" s="30">
        <f>IF(CD396="Yes, more than 10%",-10,IF(CD396="No",10,0))</f>
        <v/>
      </c>
    </row>
  </sheetData>
  <autoFilter ref="A1:CE396"/>
  <conditionalFormatting sqref="B2:B3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9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96">
    <cfRule type="cellIs" priority="36" operator="equal" dxfId="3" stopIfTrue="1">
      <formula>"Underperforming"</formula>
    </cfRule>
  </conditionalFormatting>
  <conditionalFormatting sqref="N2:N396">
    <cfRule type="cellIs" priority="37" operator="equal" dxfId="3" stopIfTrue="1">
      <formula>-5</formula>
    </cfRule>
  </conditionalFormatting>
  <conditionalFormatting sqref="Q2:Q39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96" showDropDown="0" showInputMessage="0" showErrorMessage="0" allowBlank="1" type="list">
      <formula1>"Growing Industry,Stagnant Industry,Cyclical in an Upturn"</formula1>
    </dataValidation>
    <dataValidation sqref="Z2:Z3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96" showDropDown="0" showInputMessage="0" showErrorMessage="0" allowBlank="1" type="list">
      <formula1>"Yes,No"</formula1>
    </dataValidation>
    <dataValidation sqref="AD2:AD396" showDropDown="0" showInputMessage="0" showErrorMessage="0" allowBlank="1" type="list">
      <formula1>"Tailwind,Headwind"</formula1>
    </dataValidation>
    <dataValidation sqref="AF2:AF396" showDropDown="0" showInputMessage="0" showErrorMessage="0" allowBlank="1" type="list">
      <formula1>"Structural (10 Years Consistency),Shallow Cyclical (2 to 3 Years Growth),Cyclical"</formula1>
    </dataValidation>
    <dataValidation sqref="AH2:AH396" showDropDown="0" showInputMessage="0" showErrorMessage="0" allowBlank="1" type="list">
      <formula1>"Yes due to Product Mix change or Operating Leverage,Yes, these are peak margins,No"</formula1>
    </dataValidation>
    <dataValidation sqref="AJ2:AJ396" showDropDown="0" showInputMessage="0" showErrorMessage="0" allowBlank="1" type="list">
      <formula1>"Stable,Volatile"</formula1>
    </dataValidation>
    <dataValidation sqref="AL2:AL396" showDropDown="0" showInputMessage="0" showErrorMessage="0" allowBlank="1" type="list">
      <formula1>"Yes,No"</formula1>
    </dataValidation>
    <dataValidation sqref="AN2:AN396" showDropDown="0" showInputMessage="0" showErrorMessage="0" allowBlank="1" type="list">
      <formula1>"B2C,B2B,B2G"</formula1>
    </dataValidation>
    <dataValidation sqref="AP2:AP396" showDropDown="0" showInputMessage="0" showErrorMessage="0" allowBlank="1" type="list">
      <formula1>"Yes,No"</formula1>
    </dataValidation>
    <dataValidation sqref="AR2:AR396" showDropDown="0" showInputMessage="0" showErrorMessage="0" allowBlank="1" type="list">
      <formula1>"Fully Annuity,Higher Annuity, Lower One time,Higher One Time, Lower Annuity,Fully One Time"</formula1>
    </dataValidation>
    <dataValidation sqref="AT2:AT396" showDropDown="0" showInputMessage="0" showErrorMessage="0" allowBlank="1" type="list">
      <formula1>"Good,Allocated capital in Non-core Areas"</formula1>
    </dataValidation>
    <dataValidation sqref="AV2:AV396" showDropDown="0" showInputMessage="0" showErrorMessage="0" allowBlank="1" type="list">
      <formula1>"Yes for more than 2 years,Yes only for next 1 to 2 years,No"</formula1>
    </dataValidation>
    <dataValidation sqref="AX2:AX396" showDropDown="0" showInputMessage="0" showErrorMessage="0" allowBlank="1" type="list">
      <formula1>"Above 40,20 to 40,0 to 20"</formula1>
    </dataValidation>
    <dataValidation sqref="AZ2:AZ396" showDropDown="0" showInputMessage="0" showErrorMessage="0" allowBlank="1" type="list">
      <formula1>"Between 50 to 75,Above 75,Below 45"</formula1>
    </dataValidation>
    <dataValidation sqref="BB2:BB396" showDropDown="0" showInputMessage="0" showErrorMessage="0" allowBlank="1" type="list">
      <formula1>"Stage 1,Stage 2,Stage 3,Stage 4"</formula1>
    </dataValidation>
    <dataValidation sqref="BD2:BD396" showDropDown="0" showInputMessage="0" showErrorMessage="0" allowBlank="1" type="list">
      <formula1>"Positive Trend,Negative Trend"</formula1>
    </dataValidation>
    <dataValidation sqref="BF2:BF396" showDropDown="0" showInputMessage="0" showErrorMessage="0" allowBlank="1" type="list">
      <formula1>"Uptrend,Sideways,Downtrend"</formula1>
    </dataValidation>
    <dataValidation sqref="BH2:BH396" showDropDown="0" showInputMessage="0" showErrorMessage="0" allowBlank="1" type="list">
      <formula1>"Uptrend,Sideways,Downtrend"</formula1>
    </dataValidation>
    <dataValidation sqref="BJ2:BJ3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96" showDropDown="0" showInputMessage="0" showErrorMessage="0" allowBlank="1" type="list">
      <formula1>"Yes,No"</formula1>
    </dataValidation>
    <dataValidation sqref="BN2:BN396" showDropDown="0" showInputMessage="0" showErrorMessage="0" allowBlank="1" type="list">
      <formula1>"More than 20%,Between 12 to 20%,Less than 12%"</formula1>
    </dataValidation>
    <dataValidation sqref="BP2:BP396" showDropDown="0" showInputMessage="0" showErrorMessage="0" allowBlank="1" type="list">
      <formula1>"Yes,No"</formula1>
    </dataValidation>
    <dataValidation sqref="BR2:BR396" showDropDown="0" showInputMessage="0" showErrorMessage="0" allowBlank="1" type="list">
      <formula1>"Yes,No"</formula1>
    </dataValidation>
    <dataValidation sqref="BT2:BT396" showDropDown="0" showInputMessage="0" showErrorMessage="0" allowBlank="1" type="list">
      <formula1>"Above 2,Between 1.5 to 2,Less than 1.5"</formula1>
    </dataValidation>
    <dataValidation sqref="BV2:BV396" showDropDown="0" showInputMessage="0" showErrorMessage="0" allowBlank="1" type="list">
      <formula1>"Above 70%,Between 50% to 70%,Less than 50%,Less than 50% and Borrowings are increasing,Negative"</formula1>
    </dataValidation>
    <dataValidation sqref="BX2:BX396" showDropDown="0" showInputMessage="0" showErrorMessage="0" allowBlank="1" type="list">
      <formula1>"More than 1.2,Between 0.7 to 1.2,Less than 0.7"</formula1>
    </dataValidation>
    <dataValidation sqref="BZ2:BZ396" showDropDown="0" showInputMessage="0" showErrorMessage="0" allowBlank="1" type="list">
      <formula1>"Yes,No"</formula1>
    </dataValidation>
    <dataValidation sqref="CB2:CB396" showDropDown="0" showInputMessage="0" showErrorMessage="0" allowBlank="1" type="list">
      <formula1>"More than 15%,Less than 15%"</formula1>
    </dataValidation>
    <dataValidation sqref="CD2:CD3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IF(B2=0,"",RANK(B2,$B$2:$B$44,0))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11603.28</v>
      </c>
      <c r="I2" s="31" t="n">
        <v>310</v>
      </c>
      <c r="J2" s="31" t="n">
        <v>1.04</v>
      </c>
      <c r="K2" s="31" t="n">
        <v>5176459</v>
      </c>
      <c r="L2" s="30" t="n">
        <v>71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74.56</v>
      </c>
      <c r="P2" s="31" t="n">
        <v>46.35</v>
      </c>
      <c r="Q2" s="31" t="n">
        <v>255.08</v>
      </c>
      <c r="R2" s="30" t="inlineStr">
        <is>
          <t>Volume Spike &amp; Near 52W High Breakout</t>
        </is>
      </c>
      <c r="S2" s="30" t="inlineStr">
        <is>
          <t>Nifty Bank</t>
        </is>
      </c>
      <c r="T2" s="31" t="n">
        <v>4.98</v>
      </c>
      <c r="U2" s="31" t="n">
        <v>85.15000000000001</v>
      </c>
      <c r="V2" s="31" t="n">
        <v>76.36</v>
      </c>
      <c r="W2" s="31" t="n">
        <v>17.46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IF(B3=0,"",RANK(B3,$B$2:$B$44,0))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M&amp;MFIN</t>
        </is>
      </c>
      <c r="D3" s="30" t="inlineStr">
        <is>
          <t>Mahindra &amp; Mahindra Financial Services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largecap</t>
        </is>
      </c>
      <c r="H3" s="31" t="n">
        <v>54042.08</v>
      </c>
      <c r="I3" s="31" t="n">
        <v>408.45</v>
      </c>
      <c r="J3" s="31" t="n">
        <v>5.05</v>
      </c>
      <c r="K3" s="31" t="n">
        <v>4875009</v>
      </c>
      <c r="L3" s="30" t="n">
        <v>67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69.8</v>
      </c>
      <c r="P3" s="31" t="n">
        <v>20.29</v>
      </c>
      <c r="Q3" s="31" t="n">
        <v>320.54</v>
      </c>
      <c r="R3" s="30" t="inlineStr">
        <is>
          <t>Near 52W High Breakout</t>
        </is>
      </c>
      <c r="S3" s="30" t="inlineStr">
        <is>
          <t>Nifty Bank</t>
        </is>
      </c>
      <c r="T3" s="31" t="n">
        <v>4.98</v>
      </c>
      <c r="U3" s="31" t="n">
        <v>65.40000000000001</v>
      </c>
      <c r="V3" s="31" t="n">
        <v>57.55</v>
      </c>
      <c r="W3" s="31" t="n">
        <v>16.19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IF(B4=0,"",RANK(B4,$B$2:$B$44,0))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TMB</t>
        </is>
      </c>
      <c r="D4" s="30" t="inlineStr">
        <is>
          <t>Tamilnad Mercantile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13830.42</v>
      </c>
      <c r="I4" s="31" t="n">
        <v>872.8</v>
      </c>
      <c r="J4" s="31" t="n">
        <v>-0.07000000000000001</v>
      </c>
      <c r="K4" s="31" t="n">
        <v>142977</v>
      </c>
      <c r="L4" s="30" t="n">
        <v>76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73.48</v>
      </c>
      <c r="P4" s="31" t="n">
        <v>37.59</v>
      </c>
      <c r="Q4" s="31" t="n">
        <v>707.6</v>
      </c>
      <c r="R4" s="30" t="inlineStr">
        <is>
          <t>Near 52W High Breakout</t>
        </is>
      </c>
      <c r="S4" s="30" t="inlineStr">
        <is>
          <t>Nifty Bank</t>
        </is>
      </c>
      <c r="T4" s="31" t="n">
        <v>4.98</v>
      </c>
      <c r="U4" s="31" t="n">
        <v>107.32</v>
      </c>
      <c r="V4" s="31" t="n">
        <v>97.48</v>
      </c>
      <c r="W4" s="31" t="n">
        <v>20.42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IF(B5=0,"",RANK(B5,$B$2:$B$44,0))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RBLBANK</t>
        </is>
      </c>
      <c r="D5" s="30" t="inlineStr">
        <is>
          <t>Rbl Bank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largecap</t>
        </is>
      </c>
      <c r="H5" s="31" t="n">
        <v>60703.47</v>
      </c>
      <c r="I5" s="31" t="n">
        <v>389.8</v>
      </c>
      <c r="J5" s="31" t="n">
        <v>-0.5600000000000001</v>
      </c>
      <c r="K5" s="31" t="n">
        <v>3361777</v>
      </c>
      <c r="L5" s="30" t="n">
        <v>53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65.2</v>
      </c>
      <c r="P5" s="31" t="n">
        <v>37.46</v>
      </c>
      <c r="Q5" s="31" t="n">
        <v>326.81</v>
      </c>
      <c r="R5" s="30" t="inlineStr">
        <is>
          <t>Near 52W High Breakout</t>
        </is>
      </c>
      <c r="S5" s="30" t="inlineStr">
        <is>
          <t>Nifty Bank</t>
        </is>
      </c>
      <c r="T5" s="31" t="n">
        <v>4.98</v>
      </c>
      <c r="U5" s="31" t="n">
        <v>49.49</v>
      </c>
      <c r="V5" s="31" t="n">
        <v>42.39</v>
      </c>
      <c r="W5" s="31" t="n">
        <v>11.72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IF(B6=0,"",RANK(B6,$B$2:$B$44,0))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UJJIVANSFB</t>
        </is>
      </c>
      <c r="D6" s="30" t="inlineStr">
        <is>
          <t>Ujjivan Small Finance Bank Ltd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midcap</t>
        </is>
      </c>
      <c r="H6" s="31" t="n">
        <v>14015.57</v>
      </c>
      <c r="I6" s="31" t="n">
        <v>70.11</v>
      </c>
      <c r="J6" s="31" t="n">
        <v>-2.69</v>
      </c>
      <c r="K6" s="31" t="n">
        <v>8655745</v>
      </c>
      <c r="L6" s="30" t="n">
        <v>55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65.91</v>
      </c>
      <c r="P6" s="31" t="n">
        <v>34.47</v>
      </c>
      <c r="Q6" s="31" t="n">
        <v>56.64</v>
      </c>
      <c r="R6" s="30" t="inlineStr">
        <is>
          <t>Near 52W High Breakout</t>
        </is>
      </c>
      <c r="S6" s="30" t="inlineStr">
        <is>
          <t>Nifty Bank</t>
        </is>
      </c>
      <c r="T6" s="31" t="n">
        <v>4.98</v>
      </c>
      <c r="U6" s="31" t="n">
        <v>58.98</v>
      </c>
      <c r="V6" s="31" t="n">
        <v>51.43</v>
      </c>
      <c r="W6" s="31" t="n">
        <v>12.55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IF(B7=0,"",RANK(B7,$B$2:$B$44,0))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TFCILTD</t>
        </is>
      </c>
      <c r="D7" s="30" t="inlineStr">
        <is>
          <t>Tourism Finance Corporation Of India Limited</t>
        </is>
      </c>
      <c r="E7" s="30" t="inlineStr">
        <is>
          <t>financials</t>
        </is>
      </c>
      <c r="F7" s="30" t="inlineStr">
        <is>
          <t>finance - term-lending institutions</t>
        </is>
      </c>
      <c r="G7" s="30" t="inlineStr">
        <is>
          <t>midcap</t>
        </is>
      </c>
      <c r="H7" s="31" t="n">
        <v>5130.25</v>
      </c>
      <c r="I7" s="31" t="n">
        <v>117.48</v>
      </c>
      <c r="J7" s="31" t="n">
        <v>6.02</v>
      </c>
      <c r="K7" s="31" t="n">
        <v>23957180</v>
      </c>
      <c r="L7" s="30" t="n">
        <v>85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79.7</v>
      </c>
      <c r="P7" s="31" t="n">
        <v>48.62</v>
      </c>
      <c r="Q7" s="31" t="n">
        <v>92.09</v>
      </c>
      <c r="R7" s="30" t="inlineStr">
        <is>
          <t>Volume Spike &amp; Near 52W High Breakout</t>
        </is>
      </c>
      <c r="S7" s="30" t="inlineStr">
        <is>
          <t>Nifty Bank</t>
        </is>
      </c>
      <c r="T7" s="31" t="n">
        <v>4.98</v>
      </c>
      <c r="U7" s="31" t="n">
        <v>108.68</v>
      </c>
      <c r="V7" s="31" t="n">
        <v>98.77</v>
      </c>
      <c r="W7" s="31" t="n">
        <v>25.07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IF(B8=0,"",RANK(B8,$B$2:$B$44,0))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INDUSINDBK</t>
        </is>
      </c>
      <c r="D8" s="30" t="inlineStr">
        <is>
          <t>Indusind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largecap</t>
        </is>
      </c>
      <c r="H8" s="31" t="n">
        <v>79175.47</v>
      </c>
      <c r="I8" s="31" t="n">
        <v>1022</v>
      </c>
      <c r="J8" s="31" t="n">
        <v>0.57</v>
      </c>
      <c r="K8" s="31" t="n">
        <v>3352914</v>
      </c>
      <c r="L8" s="30" t="n">
        <v>36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63.46</v>
      </c>
      <c r="P8" s="31" t="n">
        <v>26.54</v>
      </c>
      <c r="Q8" s="31" t="n">
        <v>869.13</v>
      </c>
      <c r="R8" s="30" t="inlineStr">
        <is>
          <t>Near 52W High Breakout</t>
        </is>
      </c>
      <c r="S8" s="30" t="inlineStr">
        <is>
          <t>Nifty Bank</t>
        </is>
      </c>
      <c r="T8" s="31" t="n">
        <v>4.98</v>
      </c>
      <c r="U8" s="31" t="n">
        <v>30.83</v>
      </c>
      <c r="V8" s="31" t="n">
        <v>24.62</v>
      </c>
      <c r="W8" s="31" t="n">
        <v>7.16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IF(B9=0,"",RANK(B9,$B$2:$B$44,0))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JSFB</t>
        </is>
      </c>
      <c r="D9" s="30" t="inlineStr">
        <is>
          <t>Jana Small Finance Bank Ltd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midcap</t>
        </is>
      </c>
      <c r="H9" s="31" t="n">
        <v>5909.11</v>
      </c>
      <c r="I9" s="31" t="n">
        <v>549.4</v>
      </c>
      <c r="J9" s="31" t="n">
        <v>-2.06</v>
      </c>
      <c r="K9" s="31" t="n">
        <v>287311</v>
      </c>
      <c r="L9" s="30" t="n">
        <v>43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66.79000000000001</v>
      </c>
      <c r="P9" s="31" t="n">
        <v>35.86</v>
      </c>
      <c r="Q9" s="31" t="n">
        <v>433.59</v>
      </c>
      <c r="R9" s="30" t="inlineStr">
        <is>
          <t>Near 52W High Breakout</t>
        </is>
      </c>
      <c r="S9" s="30" t="inlineStr">
        <is>
          <t>Nifty Bank</t>
        </is>
      </c>
      <c r="T9" s="31" t="n">
        <v>4.98</v>
      </c>
      <c r="U9" s="31" t="n">
        <v>18.18</v>
      </c>
      <c r="V9" s="31" t="n">
        <v>12.57</v>
      </c>
      <c r="W9" s="31" t="n">
        <v>9.41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IF(B10=0,"",RANK(B10,$B$2:$B$44,0))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ESAFSFB</t>
        </is>
      </c>
      <c r="D10" s="30" t="inlineStr">
        <is>
          <t>ESAF Small Finance Bank Ltd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smallcap</t>
        </is>
      </c>
      <c r="H10" s="31" t="n">
        <v>2194.86</v>
      </c>
      <c r="I10" s="31" t="n">
        <v>40.27</v>
      </c>
      <c r="J10" s="31" t="n">
        <v>-5.34</v>
      </c>
      <c r="K10" s="31" t="n">
        <v>4836597</v>
      </c>
      <c r="L10" s="30" t="n">
        <v>61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68.09</v>
      </c>
      <c r="P10" s="31" t="n">
        <v>30.23</v>
      </c>
      <c r="Q10" s="31" t="n">
        <v>31.47</v>
      </c>
      <c r="R10" s="30" t="inlineStr">
        <is>
          <t>Volume Spike &amp; Near 52W High Breakout</t>
        </is>
      </c>
      <c r="S10" s="30" t="inlineStr">
        <is>
          <t>Nifty Bank</t>
        </is>
      </c>
      <c r="T10" s="31" t="n">
        <v>4.98</v>
      </c>
      <c r="U10" s="31" t="n">
        <v>32.55</v>
      </c>
      <c r="V10" s="31" t="n">
        <v>26.26</v>
      </c>
      <c r="W10" s="31" t="n">
        <v>14.14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IF(B11=0,"",RANK(B11,$B$2:$B$44,0))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MUFIN</t>
        </is>
      </c>
      <c r="D11" s="30" t="inlineStr">
        <is>
          <t>Mufin Green Finance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2656.76</v>
      </c>
      <c r="I11" s="31" t="n">
        <v>137.19</v>
      </c>
      <c r="J11" s="31" t="n">
        <v>2.33</v>
      </c>
      <c r="K11" s="31" t="n">
        <v>2262111</v>
      </c>
      <c r="L11" s="30" t="n">
        <v>57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65.20999999999999</v>
      </c>
      <c r="P11" s="31" t="n">
        <v>32.32</v>
      </c>
      <c r="Q11" s="31" t="n">
        <v>111.53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4.98</v>
      </c>
      <c r="U11" s="31" t="n">
        <v>55.9</v>
      </c>
      <c r="V11" s="31" t="n">
        <v>48.5</v>
      </c>
      <c r="W11" s="31" t="n">
        <v>13.49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IF(B12=0,"",RANK(B12,$B$2:$B$44,0))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FEDERALBNK</t>
        </is>
      </c>
      <c r="D12" s="30" t="inlineStr">
        <is>
          <t>The Federal Bank  Limited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largecap</t>
        </is>
      </c>
      <c r="H12" s="31" t="n">
        <v>87257.52</v>
      </c>
      <c r="I12" s="31" t="n">
        <v>356.25</v>
      </c>
      <c r="J12" s="31" t="n">
        <v>0.76</v>
      </c>
      <c r="K12" s="31" t="n">
        <v>9616174</v>
      </c>
      <c r="L12" s="30" t="n">
        <v>70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78.23999999999999</v>
      </c>
      <c r="P12" s="31" t="n">
        <v>34.39</v>
      </c>
      <c r="Q12" s="31" t="n">
        <v>310.42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4.98</v>
      </c>
      <c r="U12" s="31" t="n">
        <v>82.53</v>
      </c>
      <c r="V12" s="31" t="n">
        <v>73.87</v>
      </c>
      <c r="W12" s="31" t="n">
        <v>17.16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Above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IF(B13=0,"",RANK(B13,$B$2:$B$44,0))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MANAPPURAM</t>
        </is>
      </c>
      <c r="D13" s="30" t="inlineStr">
        <is>
          <t>Manappuram Finance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largecap</t>
        </is>
      </c>
      <c r="H13" s="31" t="n">
        <v>34191.83</v>
      </c>
      <c r="I13" s="31" t="n">
        <v>366.75</v>
      </c>
      <c r="J13" s="31" t="n">
        <v>0.76</v>
      </c>
      <c r="K13" s="31" t="n">
        <v>5154230</v>
      </c>
      <c r="L13" s="30" t="n">
        <v>49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67.93000000000001</v>
      </c>
      <c r="P13" s="31" t="n">
        <v>19.13</v>
      </c>
      <c r="Q13" s="31" t="n">
        <v>298.68</v>
      </c>
      <c r="R13" s="30" t="inlineStr">
        <is>
          <t>Volume Spike &amp; Near 52W High Breakout</t>
        </is>
      </c>
      <c r="S13" s="30" t="inlineStr">
        <is>
          <t>Nifty Bank</t>
        </is>
      </c>
      <c r="T13" s="31" t="n">
        <v>4.98</v>
      </c>
      <c r="U13" s="31" t="n">
        <v>42.88</v>
      </c>
      <c r="V13" s="31" t="n">
        <v>36.1</v>
      </c>
      <c r="W13" s="31" t="n">
        <v>10.79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0 to 20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IF(B14=0,"",RANK(B14,$B$2:$B$44,0))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MONARCH</t>
        </is>
      </c>
      <c r="D14" s="30" t="inlineStr">
        <is>
          <t>Monarch Networth Capital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3081.92</v>
      </c>
      <c r="I14" s="31" t="n">
        <v>390.65</v>
      </c>
      <c r="J14" s="31" t="n">
        <v>0.53</v>
      </c>
      <c r="K14" s="31" t="n">
        <v>80561</v>
      </c>
      <c r="L14" s="30" t="n">
        <v>42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72.26000000000001</v>
      </c>
      <c r="P14" s="31" t="n">
        <v>29.34</v>
      </c>
      <c r="Q14" s="31" t="n">
        <v>317.17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4.98</v>
      </c>
      <c r="U14" s="31" t="n">
        <v>16.86</v>
      </c>
      <c r="V14" s="31" t="n">
        <v>11.31</v>
      </c>
      <c r="W14" s="31" t="n">
        <v>9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IF(B15=0,"",RANK(B15,$B$2:$B$44,0))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KARURVYSYA</t>
        </is>
      </c>
      <c r="D15" s="30" t="inlineStr">
        <is>
          <t>Karur Vysya Bank Limited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largecap</t>
        </is>
      </c>
      <c r="H15" s="31" t="n">
        <v>32625.07</v>
      </c>
      <c r="I15" s="31" t="n">
        <v>335.55</v>
      </c>
      <c r="J15" s="31" t="n">
        <v>-0.58</v>
      </c>
      <c r="K15" s="31" t="n">
        <v>816142</v>
      </c>
      <c r="L15" s="30" t="n">
        <v>53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66.7</v>
      </c>
      <c r="P15" s="31" t="n">
        <v>19.12</v>
      </c>
      <c r="Q15" s="31" t="n">
        <v>281.54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4.98</v>
      </c>
      <c r="U15" s="31" t="n">
        <v>54.35</v>
      </c>
      <c r="V15" s="31" t="n">
        <v>47.02</v>
      </c>
      <c r="W15" s="31" t="n">
        <v>11.83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0 to 20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IF(B16=0,"",RANK(B16,$B$2:$B$44,0))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PNBHOUSING</t>
        </is>
      </c>
      <c r="D16" s="30" t="inlineStr">
        <is>
          <t>Pnb Housing Finance Limited</t>
        </is>
      </c>
      <c r="E16" s="30" t="inlineStr">
        <is>
          <t>financials</t>
        </is>
      </c>
      <c r="F16" s="30" t="inlineStr">
        <is>
          <t>finance - housing</t>
        </is>
      </c>
      <c r="G16" s="30" t="inlineStr">
        <is>
          <t>largecap</t>
        </is>
      </c>
      <c r="H16" s="31" t="n">
        <v>29967.84</v>
      </c>
      <c r="I16" s="31" t="n">
        <v>1143</v>
      </c>
      <c r="J16" s="31" t="n">
        <v>-0.61</v>
      </c>
      <c r="K16" s="31" t="n">
        <v>2952159</v>
      </c>
      <c r="L16" s="30" t="n">
        <v>47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66.16</v>
      </c>
      <c r="P16" s="31" t="n">
        <v>32.67</v>
      </c>
      <c r="Q16" s="31" t="n">
        <v>931.86</v>
      </c>
      <c r="R16" s="30" t="inlineStr">
        <is>
          <t>Volume Spike &amp; Near 52W High Breakout</t>
        </is>
      </c>
      <c r="S16" s="30" t="inlineStr">
        <is>
          <t>Nifty Bank</t>
        </is>
      </c>
      <c r="T16" s="31" t="n">
        <v>4.98</v>
      </c>
      <c r="U16" s="31" t="n">
        <v>49.45</v>
      </c>
      <c r="V16" s="31" t="n">
        <v>42.36</v>
      </c>
      <c r="W16" s="31" t="n">
        <v>10.13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IF(B17=0,"",RANK(B17,$B$2:$B$44,0))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IDFCFIRSTB</t>
        </is>
      </c>
      <c r="D17" s="30" t="inlineStr">
        <is>
          <t>IDFC First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73526.77</v>
      </c>
      <c r="I17" s="31" t="n">
        <v>84.62</v>
      </c>
      <c r="J17" s="31" t="n">
        <v>-0.86</v>
      </c>
      <c r="K17" s="31" t="n">
        <v>18832651</v>
      </c>
      <c r="L17" s="30" t="n">
        <v>41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66.90000000000001</v>
      </c>
      <c r="P17" s="31" t="n">
        <v>21.21</v>
      </c>
      <c r="Q17" s="31" t="n">
        <v>71.95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4.98</v>
      </c>
      <c r="U17" s="31" t="n">
        <v>22.8</v>
      </c>
      <c r="V17" s="31" t="n">
        <v>16.97</v>
      </c>
      <c r="W17" s="31" t="n">
        <v>8.85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less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IF(B18=0,"",RANK(B18,$B$2:$B$44,0))</f>
        <v/>
      </c>
      <c r="B18" s="31">
        <f>SUM(N18,Y18,AA18,AC18,AE18,AG18,AI18,AK18,AM18,AO18,AQ18,AS18,AU18,AW18,AY18,BA18,BC18,BE18,BG18,BI18,BK18,BM18,BO18,BQ18,BS18,BU18,BW18,BY18,CA18)</f>
        <v/>
      </c>
      <c r="C18" s="32" t="inlineStr">
        <is>
          <t>GEECEE</t>
        </is>
      </c>
      <c r="D18" s="32" t="inlineStr">
        <is>
          <t>Geecee Ventures Limited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smallcap</t>
        </is>
      </c>
      <c r="H18" s="31" t="n">
        <v>753.35</v>
      </c>
      <c r="I18" s="31" t="n">
        <v>368.35</v>
      </c>
      <c r="J18" s="31" t="n">
        <v>2.25</v>
      </c>
      <c r="K18" s="31" t="n">
        <v>8476</v>
      </c>
      <c r="L18" s="30" t="n">
        <v>24</v>
      </c>
      <c r="M18" s="30" t="inlineStr">
        <is>
          <t>Underperforming</t>
        </is>
      </c>
      <c r="N18" s="31">
        <f>IF(M18="Underperforming",-5,IF(L18&gt;=95,15,IF(L18&gt;=90,10,IF(L18&gt;=80,5,0))))</f>
        <v/>
      </c>
      <c r="O18" s="31" t="n">
        <v>60.94</v>
      </c>
      <c r="P18" s="31" t="n">
        <v>29.4</v>
      </c>
      <c r="Q18" s="31" t="n">
        <v>279.75</v>
      </c>
      <c r="R18" s="30" t="inlineStr">
        <is>
          <t>Earnings / Momentum Support</t>
        </is>
      </c>
      <c r="S18" s="30" t="inlineStr">
        <is>
          <t>Nifty Bank</t>
        </is>
      </c>
      <c r="T18" s="31" t="n">
        <v>4.98</v>
      </c>
      <c r="U18" s="31" t="n">
        <v>-0.62</v>
      </c>
      <c r="V18" s="31" t="n">
        <v>-5.34</v>
      </c>
      <c r="W18" s="31" t="n">
        <v>4.86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No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IF(B19=0,"",RANK(B19,$B$2:$B$44,0))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OFSS</t>
        </is>
      </c>
      <c r="D19" s="30" t="inlineStr">
        <is>
          <t>Oracle Financial Services Software Limited</t>
        </is>
      </c>
      <c r="E19" s="30" t="inlineStr">
        <is>
          <t>i.t</t>
        </is>
      </c>
      <c r="F19" s="30" t="inlineStr">
        <is>
          <t>computers - software - large</t>
        </is>
      </c>
      <c r="G19" s="30" t="inlineStr">
        <is>
          <t>largecap</t>
        </is>
      </c>
      <c r="H19" s="31" t="n">
        <v>102179.16</v>
      </c>
      <c r="I19" s="31" t="n">
        <v>11805</v>
      </c>
      <c r="J19" s="31" t="n">
        <v>0.6</v>
      </c>
      <c r="K19" s="31" t="n">
        <v>371771</v>
      </c>
      <c r="L19" s="30" t="n">
        <v>62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69.09</v>
      </c>
      <c r="P19" s="31" t="n">
        <v>32.45</v>
      </c>
      <c r="Q19" s="31" t="n">
        <v>9314.08</v>
      </c>
      <c r="R19" s="30" t="inlineStr">
        <is>
          <t>Near 52W High Breakout</t>
        </is>
      </c>
      <c r="S19" s="30" t="inlineStr">
        <is>
          <t>Nifty IT</t>
        </is>
      </c>
      <c r="T19" s="31" t="n">
        <v>-8.289999999999999</v>
      </c>
      <c r="U19" s="31" t="n">
        <v>46.38</v>
      </c>
      <c r="V19" s="31" t="n">
        <v>59.61</v>
      </c>
      <c r="W19" s="31" t="n">
        <v>14.46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above 5x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IF(B20=0,"",RANK(B20,$B$2:$B$44,0))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PRUDENT</t>
        </is>
      </c>
      <c r="D20" s="30" t="inlineStr">
        <is>
          <t>Prudent Corporate Advisory Services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midcap</t>
        </is>
      </c>
      <c r="H20" s="31" t="n">
        <v>13526.32</v>
      </c>
      <c r="I20" s="31" t="n">
        <v>3371.8</v>
      </c>
      <c r="J20" s="31" t="n">
        <v>3.22</v>
      </c>
      <c r="K20" s="31" t="n">
        <v>33970</v>
      </c>
      <c r="L20" s="30" t="n">
        <v>43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70.84999999999999</v>
      </c>
      <c r="P20" s="31" t="n">
        <v>27.93</v>
      </c>
      <c r="Q20" s="31" t="n">
        <v>2715.03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4.98</v>
      </c>
      <c r="U20" s="31" t="n">
        <v>27.94</v>
      </c>
      <c r="V20" s="31" t="n">
        <v>21.87</v>
      </c>
      <c r="W20" s="31" t="n">
        <v>9.220000000000001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above 5x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IF(B21=0,"",RANK(B21,$B$2:$B$44,0))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CHOICEIN</t>
        </is>
      </c>
      <c r="D21" s="30" t="inlineStr">
        <is>
          <t>Choice International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midcap</t>
        </is>
      </c>
      <c r="H21" s="31" t="n">
        <v>18561.74</v>
      </c>
      <c r="I21" s="31" t="n">
        <v>841.15</v>
      </c>
      <c r="J21" s="31" t="n">
        <v>0.95</v>
      </c>
      <c r="K21" s="31" t="n">
        <v>694855</v>
      </c>
      <c r="L21" s="30" t="n">
        <v>37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63.87</v>
      </c>
      <c r="P21" s="31" t="n">
        <v>21.54</v>
      </c>
      <c r="Q21" s="31" t="n">
        <v>696.9299999999999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4.98</v>
      </c>
      <c r="U21" s="31" t="n">
        <v>13.55</v>
      </c>
      <c r="V21" s="31" t="n">
        <v>8.16</v>
      </c>
      <c r="W21" s="31" t="n">
        <v>7.58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above 5x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IF(B22=0,"",RANK(B22,$B$2:$B$44,0))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CONSOFINVT</t>
        </is>
      </c>
      <c r="D22" s="30" t="inlineStr">
        <is>
          <t>Consolidated Finvest &amp; Holdings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smallcap</t>
        </is>
      </c>
      <c r="H22" s="31" t="n">
        <v>970.76</v>
      </c>
      <c r="I22" s="31" t="n">
        <v>295</v>
      </c>
      <c r="J22" s="31" t="n">
        <v>-1.76</v>
      </c>
      <c r="K22" s="31" t="n">
        <v>2729</v>
      </c>
      <c r="L22" s="30" t="n">
        <v>67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76.81999999999999</v>
      </c>
      <c r="P22" s="31" t="n">
        <v>32.51</v>
      </c>
      <c r="Q22" s="31" t="n">
        <v>233.05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4.98</v>
      </c>
      <c r="U22" s="31" t="n">
        <v>54.55</v>
      </c>
      <c r="V22" s="31" t="n">
        <v>47.22</v>
      </c>
      <c r="W22" s="31" t="n">
        <v>16.05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Above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Blue sky scenario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IF(B23=0,"",RANK(B23,$B$2:$B$44,0))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SHRIRAMFIN</t>
        </is>
      </c>
      <c r="D23" s="30" t="inlineStr">
        <is>
          <t>Shriram Finance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largecap</t>
        </is>
      </c>
      <c r="H23" s="31" t="n">
        <v>268467.62</v>
      </c>
      <c r="I23" s="31" t="n">
        <v>1115</v>
      </c>
      <c r="J23" s="31" t="n">
        <v>-2.28</v>
      </c>
      <c r="K23" s="31" t="n">
        <v>6381465</v>
      </c>
      <c r="L23" s="30" t="n">
        <v>67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64.54000000000001</v>
      </c>
      <c r="P23" s="31" t="n">
        <v>13.56</v>
      </c>
      <c r="Q23" s="31" t="n">
        <v>899.97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4.98</v>
      </c>
      <c r="U23" s="31" t="n">
        <v>85.05</v>
      </c>
      <c r="V23" s="31" t="n">
        <v>76.26000000000001</v>
      </c>
      <c r="W23" s="31" t="n">
        <v>16.12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between 2.5x to 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IF(B24=0,"",RANK(B24,$B$2:$B$44,0))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KICL</t>
        </is>
      </c>
      <c r="D24" s="30" t="inlineStr">
        <is>
          <t>Kalyani Investment Company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2413.14</v>
      </c>
      <c r="I24" s="31" t="n">
        <v>5630</v>
      </c>
      <c r="J24" s="31" t="n">
        <v>1.85</v>
      </c>
      <c r="K24" s="31" t="n">
        <v>1264</v>
      </c>
      <c r="L24" s="30" t="n">
        <v>28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64.18000000000001</v>
      </c>
      <c r="P24" s="31" t="n">
        <v>33.03</v>
      </c>
      <c r="Q24" s="31" t="n">
        <v>4639.05</v>
      </c>
      <c r="R24" s="30" t="inlineStr">
        <is>
          <t>Earnings / Momentum Support</t>
        </is>
      </c>
      <c r="S24" s="30" t="inlineStr">
        <is>
          <t>Nifty Bank</t>
        </is>
      </c>
      <c r="T24" s="31" t="n">
        <v>4.98</v>
      </c>
      <c r="U24" s="31" t="n">
        <v>16.32</v>
      </c>
      <c r="V24" s="31" t="n">
        <v>10.8</v>
      </c>
      <c r="W24" s="31" t="n">
        <v>5.53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IF(B25=0,"",RANK(B25,$B$2:$B$44,0))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IIFL</t>
        </is>
      </c>
      <c r="D25" s="30" t="inlineStr">
        <is>
          <t>IIFL Finance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largecap</t>
        </is>
      </c>
      <c r="H25" s="31" t="n">
        <v>25917.18</v>
      </c>
      <c r="I25" s="31" t="n">
        <v>611.75</v>
      </c>
      <c r="J25" s="31" t="n">
        <v>0.39</v>
      </c>
      <c r="K25" s="31" t="n">
        <v>1048214</v>
      </c>
      <c r="L25" s="30" t="n">
        <v>60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68.90000000000001</v>
      </c>
      <c r="P25" s="31" t="n">
        <v>19.22</v>
      </c>
      <c r="Q25" s="31" t="n">
        <v>484.75</v>
      </c>
      <c r="R25" s="30" t="inlineStr">
        <is>
          <t>Earnings / Momentum Support</t>
        </is>
      </c>
      <c r="S25" s="30" t="inlineStr">
        <is>
          <t>Nifty Bank</t>
        </is>
      </c>
      <c r="T25" s="31" t="n">
        <v>4.98</v>
      </c>
      <c r="U25" s="31" t="n">
        <v>37.29</v>
      </c>
      <c r="V25" s="31" t="n">
        <v>30.77</v>
      </c>
      <c r="W25" s="31" t="n">
        <v>14.13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IF(B26=0,"",RANK(B26,$B$2:$B$44,0))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TVSHLTD</t>
        </is>
      </c>
      <c r="D26" s="30" t="inlineStr">
        <is>
          <t>TVS Holdings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30162.02</v>
      </c>
      <c r="I26" s="31" t="n">
        <v>14752</v>
      </c>
      <c r="J26" s="31" t="n">
        <v>-1.05</v>
      </c>
      <c r="K26" s="31" t="n">
        <v>3040</v>
      </c>
      <c r="L26" s="30" t="n">
        <v>36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59.6</v>
      </c>
      <c r="P26" s="31" t="n">
        <v>15.35</v>
      </c>
      <c r="Q26" s="31" t="n">
        <v>12442.26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4.98</v>
      </c>
      <c r="U26" s="31" t="n">
        <v>32.34</v>
      </c>
      <c r="V26" s="31" t="n">
        <v>26.06</v>
      </c>
      <c r="W26" s="31" t="n">
        <v>7.1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IF(B27=0,"",RANK(B27,$B$2:$B$44,0))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AUBANK</t>
        </is>
      </c>
      <c r="D27" s="30" t="inlineStr">
        <is>
          <t>AU Small Finance Bank Ltd</t>
        </is>
      </c>
      <c r="E27" s="30" t="inlineStr">
        <is>
          <t>bank</t>
        </is>
      </c>
      <c r="F27" s="30" t="inlineStr">
        <is>
          <t>banks - private sector</t>
        </is>
      </c>
      <c r="G27" s="30" t="inlineStr">
        <is>
          <t>largecap</t>
        </is>
      </c>
      <c r="H27" s="31" t="n">
        <v>81458.19</v>
      </c>
      <c r="I27" s="31" t="n">
        <v>1067</v>
      </c>
      <c r="J27" s="31" t="n">
        <v>-1.89</v>
      </c>
      <c r="K27" s="31" t="n">
        <v>1483028</v>
      </c>
      <c r="L27" s="30" t="n">
        <v>39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59.57</v>
      </c>
      <c r="P27" s="31" t="n">
        <v>24.8</v>
      </c>
      <c r="Q27" s="31" t="n">
        <v>885.96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4.98</v>
      </c>
      <c r="U27" s="31" t="n">
        <v>44.52</v>
      </c>
      <c r="V27" s="31" t="n">
        <v>37.66</v>
      </c>
      <c r="W27" s="31" t="n">
        <v>8.27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between 2.5x to 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Blue sky scenario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IF(B28=0,"",RANK(B28,$B$2:$B$44,0))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POONAWALLA</t>
        </is>
      </c>
      <c r="D28" s="30" t="inlineStr">
        <is>
          <t>Poonawalla Fincorp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43219.28</v>
      </c>
      <c r="I28" s="31" t="n">
        <v>480.05</v>
      </c>
      <c r="J28" s="31" t="n">
        <v>-2.2</v>
      </c>
      <c r="K28" s="31" t="n">
        <v>1895576</v>
      </c>
      <c r="L28" s="30" t="n">
        <v>16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59.97</v>
      </c>
      <c r="P28" s="31" t="n">
        <v>15.01</v>
      </c>
      <c r="Q28" s="31" t="n">
        <v>381.02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4.98</v>
      </c>
      <c r="U28" s="31" t="n">
        <v>10.53</v>
      </c>
      <c r="V28" s="31" t="n">
        <v>5.29</v>
      </c>
      <c r="W28" s="31" t="n">
        <v>2.93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IF(B29=0,"",RANK(B29,$B$2:$B$44,0))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CHOLAFIN</t>
        </is>
      </c>
      <c r="D29" s="30" t="inlineStr">
        <is>
          <t>Cholamandalam Investment And Finance Company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165401.81</v>
      </c>
      <c r="I29" s="31" t="n">
        <v>1866.2</v>
      </c>
      <c r="J29" s="31" t="n">
        <v>-3.8</v>
      </c>
      <c r="K29" s="31" t="n">
        <v>3165147</v>
      </c>
      <c r="L29" s="30" t="n">
        <v>37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62.71</v>
      </c>
      <c r="P29" s="31" t="n">
        <v>15.43</v>
      </c>
      <c r="Q29" s="31" t="n">
        <v>1515.38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4.98</v>
      </c>
      <c r="U29" s="31" t="n">
        <v>28.75</v>
      </c>
      <c r="V29" s="31" t="n">
        <v>22.64</v>
      </c>
      <c r="W29" s="31" t="n">
        <v>7.77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above 5x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IF(B30=0,"",RANK(B30,$B$2:$B$44,0))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CARERATING</t>
        </is>
      </c>
      <c r="D30" s="30" t="inlineStr">
        <is>
          <t>CARE Ratings Ltd</t>
        </is>
      </c>
      <c r="E30" s="30" t="inlineStr">
        <is>
          <t>financials</t>
        </is>
      </c>
      <c r="F30" s="30" t="inlineStr">
        <is>
          <t>miscellaneous</t>
        </is>
      </c>
      <c r="G30" s="30" t="inlineStr">
        <is>
          <t>midcap</t>
        </is>
      </c>
      <c r="H30" s="31" t="n">
        <v>5200.75</v>
      </c>
      <c r="I30" s="31" t="n">
        <v>1757.5</v>
      </c>
      <c r="J30" s="31" t="n">
        <v>1.58</v>
      </c>
      <c r="K30" s="31" t="n">
        <v>55712</v>
      </c>
      <c r="L30" s="30" t="n">
        <v>15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60.8</v>
      </c>
      <c r="P30" s="31" t="n">
        <v>19.28</v>
      </c>
      <c r="Q30" s="31" t="n">
        <v>1466.59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4.98</v>
      </c>
      <c r="U30" s="31" t="n">
        <v>6.19</v>
      </c>
      <c r="V30" s="31" t="n">
        <v>1.15</v>
      </c>
      <c r="W30" s="31" t="n">
        <v>2.64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above 5x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IF(B31=0,"",RANK(B31,$B$2:$B$44,0))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ANANDRATHI</t>
        </is>
      </c>
      <c r="D31" s="30" t="inlineStr">
        <is>
          <t>Anand Rathi Wealth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34395.45</v>
      </c>
      <c r="I31" s="31" t="n">
        <v>2101.5</v>
      </c>
      <c r="J31" s="31" t="n">
        <v>1.45</v>
      </c>
      <c r="K31" s="31" t="n">
        <v>202606</v>
      </c>
      <c r="L31" s="30" t="n">
        <v>61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72.15000000000001</v>
      </c>
      <c r="P31" s="31" t="n">
        <v>50.5</v>
      </c>
      <c r="Q31" s="31" t="n">
        <v>1843.56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4.98</v>
      </c>
      <c r="U31" s="31" t="n">
        <v>63.05</v>
      </c>
      <c r="V31" s="31" t="n">
        <v>55.31</v>
      </c>
      <c r="W31" s="31" t="n">
        <v>14.21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Above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IF(B32=0,"",RANK(B32,$B$2:$B$44,0))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UNIONBANK</t>
        </is>
      </c>
      <c r="D32" s="30" t="inlineStr">
        <is>
          <t>Union Bank Of India Ltd</t>
        </is>
      </c>
      <c r="E32" s="30" t="inlineStr">
        <is>
          <t>bank</t>
        </is>
      </c>
      <c r="F32" s="30" t="inlineStr">
        <is>
          <t>banks - public sector</t>
        </is>
      </c>
      <c r="G32" s="30" t="inlineStr">
        <is>
          <t>largecap</t>
        </is>
      </c>
      <c r="H32" s="31" t="n">
        <v>139313.3</v>
      </c>
      <c r="I32" s="31" t="n">
        <v>183.6</v>
      </c>
      <c r="J32" s="31" t="n">
        <v>0.6</v>
      </c>
      <c r="K32" s="31" t="n">
        <v>44089427</v>
      </c>
      <c r="L32" s="30" t="n">
        <v>49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63.28</v>
      </c>
      <c r="P32" s="31" t="n">
        <v>15.73</v>
      </c>
      <c r="Q32" s="31" t="n">
        <v>150.2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4.98</v>
      </c>
      <c r="U32" s="31" t="n">
        <v>44.31</v>
      </c>
      <c r="V32" s="31" t="n">
        <v>37.46</v>
      </c>
      <c r="W32" s="31" t="n">
        <v>10.79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IF(B33=0,"",RANK(B33,$B$2:$B$44,0))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360ONE</t>
        </is>
      </c>
      <c r="D33" s="30" t="inlineStr">
        <is>
          <t>360 ONE WAM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largecap</t>
        </is>
      </c>
      <c r="H33" s="31" t="n">
        <v>48232.84</v>
      </c>
      <c r="I33" s="31" t="n">
        <v>1168.1</v>
      </c>
      <c r="J33" s="31" t="n">
        <v>-1.51</v>
      </c>
      <c r="K33" s="31" t="n">
        <v>3410406</v>
      </c>
      <c r="L33" s="30" t="n">
        <v>18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57.8</v>
      </c>
      <c r="P33" s="31" t="n">
        <v>14.15</v>
      </c>
      <c r="Q33" s="31" t="n">
        <v>948.05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4.98</v>
      </c>
      <c r="U33" s="31" t="n">
        <v>13.24</v>
      </c>
      <c r="V33" s="31" t="n">
        <v>7.86</v>
      </c>
      <c r="W33" s="31" t="n">
        <v>3.42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IF(B34=0,"",RANK(B34,$B$2:$B$44,0))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INDIANB</t>
        </is>
      </c>
      <c r="D34" s="30" t="inlineStr">
        <is>
          <t>Indian Bank Ltd</t>
        </is>
      </c>
      <c r="E34" s="30" t="inlineStr">
        <is>
          <t>bank</t>
        </is>
      </c>
      <c r="F34" s="30" t="inlineStr">
        <is>
          <t>banks - public sector</t>
        </is>
      </c>
      <c r="G34" s="30" t="inlineStr">
        <is>
          <t>largecap</t>
        </is>
      </c>
      <c r="H34" s="31" t="n">
        <v>118249.97</v>
      </c>
      <c r="I34" s="31" t="n">
        <v>889.5</v>
      </c>
      <c r="J34" s="31" t="n">
        <v>1.32</v>
      </c>
      <c r="K34" s="31" t="n">
        <v>8013610</v>
      </c>
      <c r="L34" s="30" t="n">
        <v>40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56.49</v>
      </c>
      <c r="P34" s="31" t="n">
        <v>6.83</v>
      </c>
      <c r="Q34" s="31" t="n">
        <v>715.47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4.98</v>
      </c>
      <c r="U34" s="31" t="n">
        <v>39.58</v>
      </c>
      <c r="V34" s="31" t="n">
        <v>32.95</v>
      </c>
      <c r="W34" s="31" t="n">
        <v>8.65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1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IF(B35=0,"",RANK(B35,$B$2:$B$44,0))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ARMANFIN</t>
        </is>
      </c>
      <c r="D35" s="30" t="inlineStr">
        <is>
          <t>Arman Financial Services Limited</t>
        </is>
      </c>
      <c r="E35" s="30" t="inlineStr">
        <is>
          <t>financials</t>
        </is>
      </c>
      <c r="F35" s="30" t="inlineStr">
        <is>
          <t>finance &amp; investments</t>
        </is>
      </c>
      <c r="G35" s="30" t="inlineStr">
        <is>
          <t>smallcap</t>
        </is>
      </c>
      <c r="H35" s="31" t="n">
        <v>2136.07</v>
      </c>
      <c r="I35" s="31" t="n">
        <v>2032</v>
      </c>
      <c r="J35" s="31" t="n">
        <v>0.02</v>
      </c>
      <c r="K35" s="31" t="n">
        <v>65736</v>
      </c>
      <c r="L35" s="30" t="n">
        <v>46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66.52</v>
      </c>
      <c r="P35" s="31" t="n">
        <v>22.26</v>
      </c>
      <c r="Q35" s="31" t="n">
        <v>1555.15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4.98</v>
      </c>
      <c r="U35" s="31" t="n">
        <v>37.1</v>
      </c>
      <c r="V35" s="31" t="n">
        <v>30.59</v>
      </c>
      <c r="W35" s="31" t="n">
        <v>9.98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Cyclical in an Uptick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Not Applicable</t>
        </is>
      </c>
      <c r="AK35" s="30">
        <f>IF(AJ35="Yes",10,0)</f>
        <v/>
      </c>
      <c r="AL35" s="30" t="inlineStr">
        <is>
          <t>Yes</t>
        </is>
      </c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Not Applicable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between 2.5x to 5x and Growth more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20 to 40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Sideways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IF(B36=0,"",RANK(B36,$B$2:$B$44,0))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SBIN</t>
        </is>
      </c>
      <c r="D36" s="30" t="inlineStr">
        <is>
          <t>State Bank Of India Ltd</t>
        </is>
      </c>
      <c r="E36" s="30" t="inlineStr">
        <is>
          <t>bank</t>
        </is>
      </c>
      <c r="F36" s="30" t="inlineStr">
        <is>
          <t>banks - public sector</t>
        </is>
      </c>
      <c r="G36" s="30" t="inlineStr">
        <is>
          <t>largecap</t>
        </is>
      </c>
      <c r="H36" s="31" t="n">
        <v>1001522.01</v>
      </c>
      <c r="I36" s="31" t="n">
        <v>1097.2</v>
      </c>
      <c r="J36" s="31" t="n">
        <v>1.12</v>
      </c>
      <c r="K36" s="31" t="n">
        <v>58484371</v>
      </c>
      <c r="L36" s="30" t="n">
        <v>42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61.77</v>
      </c>
      <c r="P36" s="31" t="n">
        <v>9.01</v>
      </c>
      <c r="Q36" s="31" t="n">
        <v>946.01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4.98</v>
      </c>
      <c r="U36" s="31" t="n">
        <v>38.88</v>
      </c>
      <c r="V36" s="31" t="n">
        <v>32.28</v>
      </c>
      <c r="W36" s="31" t="n">
        <v>9.029999999999999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IF(B37=0,"",RANK(B37,$B$2:$B$44,0))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PNB</t>
        </is>
      </c>
      <c r="D37" s="30" t="inlineStr">
        <is>
          <t>Punjab National Bank Ltd</t>
        </is>
      </c>
      <c r="E37" s="30" t="inlineStr">
        <is>
          <t>bank</t>
        </is>
      </c>
      <c r="F37" s="30" t="inlineStr">
        <is>
          <t>banks - public sector</t>
        </is>
      </c>
      <c r="G37" s="30" t="inlineStr">
        <is>
          <t>largecap</t>
        </is>
      </c>
      <c r="H37" s="31" t="n">
        <v>131364.34</v>
      </c>
      <c r="I37" s="31" t="n">
        <v>114.81</v>
      </c>
      <c r="J37" s="31" t="n">
        <v>0.45</v>
      </c>
      <c r="K37" s="31" t="n">
        <v>22232181</v>
      </c>
      <c r="L37" s="30" t="n">
        <v>26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58.16</v>
      </c>
      <c r="P37" s="31" t="n">
        <v>9.67</v>
      </c>
      <c r="Q37" s="31" t="n">
        <v>98.23</v>
      </c>
      <c r="R37" s="30" t="inlineStr">
        <is>
          <t>Earnings / Momentum Support</t>
        </is>
      </c>
      <c r="S37" s="30" t="inlineStr">
        <is>
          <t>Nifty Bank</t>
        </is>
      </c>
      <c r="T37" s="31" t="n">
        <v>4.98</v>
      </c>
      <c r="U37" s="31" t="n">
        <v>13.66</v>
      </c>
      <c r="V37" s="31" t="n">
        <v>8.26</v>
      </c>
      <c r="W37" s="31" t="n">
        <v>5.15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less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IF(B38=0,"",RANK(B38,$B$2:$B$44,0))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PRIMESECU</t>
        </is>
      </c>
      <c r="D38" s="30" t="inlineStr">
        <is>
          <t>Prime Securities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962.89</v>
      </c>
      <c r="I38" s="31" t="n">
        <v>297</v>
      </c>
      <c r="J38" s="31" t="n">
        <v>4.69</v>
      </c>
      <c r="K38" s="31" t="n">
        <v>81034</v>
      </c>
      <c r="L38" s="30" t="n">
        <v>15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55.83</v>
      </c>
      <c r="P38" s="31" t="n">
        <v>24.89</v>
      </c>
      <c r="Q38" s="31" t="n">
        <v>235.22</v>
      </c>
      <c r="R38" s="30" t="inlineStr">
        <is>
          <t>Earnings / Momentum Support</t>
        </is>
      </c>
      <c r="S38" s="30" t="inlineStr">
        <is>
          <t>Nifty Bank</t>
        </is>
      </c>
      <c r="T38" s="31" t="n">
        <v>4.98</v>
      </c>
      <c r="U38" s="31" t="n">
        <v>9.470000000000001</v>
      </c>
      <c r="V38" s="31" t="n">
        <v>4.27</v>
      </c>
      <c r="W38" s="31" t="n">
        <v>2.71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between 2.5x to 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20 to 40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1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IF(B39=0,"",RANK(B39,$B$2:$B$44,0))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BANKINDIA</t>
        </is>
      </c>
      <c r="D39" s="30" t="inlineStr">
        <is>
          <t>Bank Of India Ltd</t>
        </is>
      </c>
      <c r="E39" s="30" t="inlineStr">
        <is>
          <t>bank</t>
        </is>
      </c>
      <c r="F39" s="30" t="inlineStr">
        <is>
          <t>banks - public sector</t>
        </is>
      </c>
      <c r="G39" s="30" t="inlineStr">
        <is>
          <t>largecap</t>
        </is>
      </c>
      <c r="H39" s="31" t="n">
        <v>64948.36</v>
      </c>
      <c r="I39" s="31" t="n">
        <v>145</v>
      </c>
      <c r="J39" s="31" t="n">
        <v>1.64</v>
      </c>
      <c r="K39" s="31" t="n">
        <v>17003996</v>
      </c>
      <c r="L39" s="30" t="n">
        <v>41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53.37</v>
      </c>
      <c r="P39" s="31" t="n">
        <v>8.07</v>
      </c>
      <c r="Q39" s="31" t="n">
        <v>120.15</v>
      </c>
      <c r="R39" s="30" t="inlineStr">
        <is>
          <t>Earnings / Momentum Support</t>
        </is>
      </c>
      <c r="S39" s="30" t="inlineStr">
        <is>
          <t>Nifty Bank</t>
        </is>
      </c>
      <c r="T39" s="31" t="n">
        <v>4.98</v>
      </c>
      <c r="U39" s="31" t="n">
        <v>35.35</v>
      </c>
      <c r="V39" s="31" t="n">
        <v>28.92</v>
      </c>
      <c r="W39" s="31" t="n">
        <v>8.710000000000001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1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IF(B40=0,"",RANK(B40,$B$2:$B$44,0))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CRISIL</t>
        </is>
      </c>
      <c r="D40" s="32" t="inlineStr">
        <is>
          <t>Crisil Limited</t>
        </is>
      </c>
      <c r="E40" s="30" t="inlineStr">
        <is>
          <t>financials</t>
        </is>
      </c>
      <c r="F40" s="30" t="inlineStr">
        <is>
          <t>miscellaneous</t>
        </is>
      </c>
      <c r="G40" s="30" t="inlineStr">
        <is>
          <t>largecap</t>
        </is>
      </c>
      <c r="H40" s="31" t="n">
        <v>33278.55</v>
      </c>
      <c r="I40" s="31" t="n">
        <v>4607</v>
      </c>
      <c r="J40" s="31" t="n">
        <v>1.24</v>
      </c>
      <c r="K40" s="31" t="n">
        <v>87549</v>
      </c>
      <c r="L40" s="30" t="n">
        <v>7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61.66</v>
      </c>
      <c r="P40" s="31" t="n">
        <v>15.52</v>
      </c>
      <c r="Q40" s="31" t="n">
        <v>3815.32</v>
      </c>
      <c r="R40" s="30" t="inlineStr">
        <is>
          <t>Earnings / Momentum Support</t>
        </is>
      </c>
      <c r="S40" s="30" t="inlineStr">
        <is>
          <t>Nifty Bank</t>
        </is>
      </c>
      <c r="T40" s="31" t="n">
        <v>4.98</v>
      </c>
      <c r="U40" s="31" t="n">
        <v>-10.14</v>
      </c>
      <c r="V40" s="31" t="n">
        <v>-14.4</v>
      </c>
      <c r="W40" s="31" t="n">
        <v>0.39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above 5x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IF(B41=0,"",RANK(B41,$B$2:$B$44,0))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CANBK</t>
        </is>
      </c>
      <c r="D41" s="30" t="inlineStr">
        <is>
          <t>Canara Bank Ltd</t>
        </is>
      </c>
      <c r="E41" s="30" t="inlineStr">
        <is>
          <t>bank</t>
        </is>
      </c>
      <c r="F41" s="30" t="inlineStr">
        <is>
          <t>banks - public sector</t>
        </is>
      </c>
      <c r="G41" s="30" t="inlineStr">
        <is>
          <t>largecap</t>
        </is>
      </c>
      <c r="H41" s="31" t="n">
        <v>119460.48</v>
      </c>
      <c r="I41" s="31" t="n">
        <v>131.95</v>
      </c>
      <c r="J41" s="31" t="n">
        <v>0.19</v>
      </c>
      <c r="K41" s="31" t="n">
        <v>44819436</v>
      </c>
      <c r="L41" s="30" t="n">
        <v>30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51.91</v>
      </c>
      <c r="P41" s="31" t="n">
        <v>10.87</v>
      </c>
      <c r="Q41" s="31" t="n">
        <v>109.33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4.98</v>
      </c>
      <c r="U41" s="31" t="n">
        <v>26.33</v>
      </c>
      <c r="V41" s="31" t="n">
        <v>20.34</v>
      </c>
      <c r="W41" s="31" t="n">
        <v>5.84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1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IF(B42=0,"",RANK(B42,$B$2:$B$44,0))</f>
        <v/>
      </c>
      <c r="B42" s="31">
        <f>SUM(N42,Y42,AA42,AC42,AE42,AG42,AI42,AK42,AM42,AO42,AQ42,AS42,AU42,AW42,AY42,BA42,BC42,BE42,BG42,BI42,BK42,BM42,BO42,BQ42,BS42,BU42,BW42,BY42,CA42)</f>
        <v/>
      </c>
      <c r="C42" s="32" t="inlineStr">
        <is>
          <t>AIIL</t>
        </is>
      </c>
      <c r="D42" s="32" t="inlineStr">
        <is>
          <t>Authum Investment &amp; Infrastructure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largecap</t>
        </is>
      </c>
      <c r="H42" s="31" t="n">
        <v>50630.82</v>
      </c>
      <c r="I42" s="31" t="n">
        <v>596.6</v>
      </c>
      <c r="J42" s="31" t="n">
        <v>0.07000000000000001</v>
      </c>
      <c r="K42" s="31" t="n">
        <v>1070113</v>
      </c>
      <c r="L42" s="30" t="n">
        <v>28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60.48</v>
      </c>
      <c r="P42" s="31" t="n">
        <v>13.55</v>
      </c>
      <c r="Q42" s="31" t="n">
        <v>438.41</v>
      </c>
      <c r="R42" s="30" t="inlineStr">
        <is>
          <t>Earnings / Momentum Support</t>
        </is>
      </c>
      <c r="S42" s="30" t="inlineStr">
        <is>
          <t>Nifty Bank</t>
        </is>
      </c>
      <c r="T42" s="31" t="n">
        <v>4.98</v>
      </c>
      <c r="U42" s="31" t="n">
        <v>4.9</v>
      </c>
      <c r="V42" s="31" t="n">
        <v>-0.08</v>
      </c>
      <c r="W42" s="31" t="n">
        <v>5.55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between 2.5x to 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IF(B43=0,"",RANK(B43,$B$2:$B$44,0))</f>
        <v/>
      </c>
      <c r="B43" s="31">
        <f>SUM(N43,Y43,AA43,AC43,AE43,AG43,AI43,AK43,AM43,AO43,AQ43,AS43,AU43,AW43,AY43,BA43,BC43,BE43,BG43,BI43,BK43,BM43,BO43,BQ43,BS43,BU43,BW43,BY43,CA43)</f>
        <v/>
      </c>
      <c r="C43" s="32" t="inlineStr">
        <is>
          <t>VHL</t>
        </is>
      </c>
      <c r="D43" s="32" t="inlineStr">
        <is>
          <t>Vardhman Holdings Limited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smallcap</t>
        </is>
      </c>
      <c r="H43" s="31" t="n">
        <v>1142.25</v>
      </c>
      <c r="I43" s="31" t="n">
        <v>3577</v>
      </c>
      <c r="J43" s="31" t="n">
        <v>-0.06</v>
      </c>
      <c r="K43" s="31" t="n">
        <v>1143</v>
      </c>
      <c r="L43" s="30" t="n">
        <v>2</v>
      </c>
      <c r="M43" s="30" t="inlineStr">
        <is>
          <t>Underperforming</t>
        </is>
      </c>
      <c r="N43" s="31">
        <f>IF(M43="Underperforming",-5,IF(L43&gt;=95,15,IF(L43&gt;=90,10,IF(L43&gt;=80,5,0))))</f>
        <v/>
      </c>
      <c r="O43" s="31" t="n">
        <v>53.82</v>
      </c>
      <c r="P43" s="31" t="n">
        <v>8.27</v>
      </c>
      <c r="Q43" s="31" t="n">
        <v>3024.97</v>
      </c>
      <c r="R43" s="30" t="inlineStr">
        <is>
          <t>Volume Spike / Accumulation</t>
        </is>
      </c>
      <c r="S43" s="30" t="inlineStr">
        <is>
          <t>Nifty Bank</t>
        </is>
      </c>
      <c r="T43" s="31" t="n">
        <v>4.98</v>
      </c>
      <c r="U43" s="31" t="n">
        <v>-7.07</v>
      </c>
      <c r="V43" s="31" t="n">
        <v>-11.48</v>
      </c>
      <c r="W43" s="31" t="n">
        <v>-1.41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less than 2.5x and Growth less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1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IF(B44=0,"",RANK(B44,$B$2:$B$44,0))</f>
        <v/>
      </c>
      <c r="B44" s="31">
        <f>SUM(N44,Y44,AA44,AC44,AE44,AG44,AI44,AK44,AM44,AO44,AQ44,AS44,AU44,AW44,AY44,BA44,BC44,BE44,BG44,BI44,BK44,BM44,BO44,BQ44,BS44,BU44,BW44,BY44,CA44)</f>
        <v/>
      </c>
      <c r="C44" s="32" t="inlineStr">
        <is>
          <t>BAJAJFINSV</t>
        </is>
      </c>
      <c r="D44" s="32" t="inlineStr">
        <is>
          <t>Bajaj Finserv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largecap</t>
        </is>
      </c>
      <c r="H44" s="31" t="n">
        <v>333874.73</v>
      </c>
      <c r="I44" s="31" t="n">
        <v>2008.9</v>
      </c>
      <c r="J44" s="31" t="n">
        <v>-3.7</v>
      </c>
      <c r="K44" s="31" t="n">
        <v>4757544</v>
      </c>
      <c r="L44" s="30" t="n">
        <v>18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59.75</v>
      </c>
      <c r="P44" s="31" t="n">
        <v>15.53</v>
      </c>
      <c r="Q44" s="31" t="n">
        <v>1725.11</v>
      </c>
      <c r="R44" s="30" t="inlineStr">
        <is>
          <t>Volume Spike / Accumulation</t>
        </is>
      </c>
      <c r="S44" s="30" t="inlineStr">
        <is>
          <t>Nifty Bank</t>
        </is>
      </c>
      <c r="T44" s="31" t="n">
        <v>4.98</v>
      </c>
      <c r="U44" s="31" t="n">
        <v>4.76</v>
      </c>
      <c r="V44" s="31" t="n">
        <v>-0.21</v>
      </c>
      <c r="W44" s="31" t="n">
        <v>3.36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between 2.5x to 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</sheetData>
  <autoFilter ref="A1:CA44"/>
  <conditionalFormatting sqref="B2:B4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4">
    <cfRule type="cellIs" priority="34" operator="equal" dxfId="3" stopIfTrue="1">
      <formula>"Underperforming"</formula>
    </cfRule>
  </conditionalFormatting>
  <conditionalFormatting sqref="N2:N44">
    <cfRule type="cellIs" priority="35" operator="equal" dxfId="3" stopIfTrue="1">
      <formula>-5</formula>
    </cfRule>
  </conditionalFormatting>
  <conditionalFormatting sqref="Q2:Q4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4" showDropDown="0" showInputMessage="0" showErrorMessage="0" allowBlank="1" type="list">
      <formula1>"Growing Industry,Stagnant Industry,Cyclical in an Upturn"</formula1>
    </dataValidation>
    <dataValidation sqref="Z2:Z44" showDropDown="0" showInputMessage="0" showErrorMessage="0" allowBlank="1" type="list">
      <formula1>"Fragmented with Low ROE,Fragmented with High ROE,Highly Cyclical"</formula1>
    </dataValidation>
    <dataValidation sqref="AB2:AB44" showDropDown="0" showInputMessage="0" showErrorMessage="0" allowBlank="1" type="list">
      <formula1>"Yes,No"</formula1>
    </dataValidation>
    <dataValidation sqref="AD2:AD44" showDropDown="0" showInputMessage="0" showErrorMessage="0" allowBlank="1" type="list">
      <formula1>"Tailwind,Headwind"</formula1>
    </dataValidation>
    <dataValidation sqref="AF2:AF4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4" showDropDown="0" showInputMessage="0" showErrorMessage="0" allowBlank="1" type="list">
      <formula1>"Yes,No"</formula1>
    </dataValidation>
    <dataValidation sqref="AJ2:AJ44" showDropDown="0" showInputMessage="0" showErrorMessage="0" allowBlank="1" type="list">
      <formula1>"Yes,No,Not Applicable"</formula1>
    </dataValidation>
    <dataValidation sqref="AL2:AL44" showDropDown="0" showInputMessage="0" showErrorMessage="0" allowBlank="1" type="list">
      <formula1>"Yes,No"</formula1>
    </dataValidation>
    <dataValidation sqref="AN2:AN44" showDropDown="0" showInputMessage="0" showErrorMessage="0" allowBlank="1" type="list">
      <formula1>"Yes,No"</formula1>
    </dataValidation>
    <dataValidation sqref="AP2:AP44" showDropDown="0" showInputMessage="0" showErrorMessage="0" allowBlank="1" type="list">
      <formula1>"Yes,No"</formula1>
    </dataValidation>
    <dataValidation sqref="AR2:AR44" showDropDown="0" showInputMessage="0" showErrorMessage="0" allowBlank="1" type="list">
      <formula1>"Yes,No"</formula1>
    </dataValidation>
    <dataValidation sqref="AT2:AT44" showDropDown="0" showInputMessage="0" showErrorMessage="0" allowBlank="1" type="list">
      <formula1>"No,Yes"</formula1>
    </dataValidation>
    <dataValidation sqref="AV2:AV44" showDropDown="0" showInputMessage="0" showErrorMessage="0" allowBlank="1" type="list">
      <formula1>"No,Yes"</formula1>
    </dataValidation>
    <dataValidation sqref="AX2:AX44" showDropDown="0" showInputMessage="0" showErrorMessage="0" allowBlank="1" type="list">
      <formula1>"No,Yes CEO Resignation,Yes CEO Retirement"</formula1>
    </dataValidation>
    <dataValidation sqref="AZ2:AZ44" showDropDown="0" showInputMessage="0" showErrorMessage="0" allowBlank="1" type="list">
      <formula1>"No,Yes"</formula1>
    </dataValidation>
    <dataValidation sqref="BB2:BB44" showDropDown="0" showInputMessage="0" showErrorMessage="0" allowBlank="1" type="list">
      <formula1>"No,Yes"</formula1>
    </dataValidation>
    <dataValidation sqref="BD2:BD44" showDropDown="0" showInputMessage="0" showErrorMessage="0" allowBlank="1" type="list">
      <formula1>"Yes,No"</formula1>
    </dataValidation>
    <dataValidation sqref="BF2:BF44" showDropDown="0" showInputMessage="0" showErrorMessage="0" allowBlank="1" type="list">
      <formula1>"Yes,No"</formula1>
    </dataValidation>
    <dataValidation sqref="BH2:BH44" showDropDown="0" showInputMessage="0" showErrorMessage="0" allowBlank="1" type="list">
      <formula1>"Yes,No"</formula1>
    </dataValidation>
    <dataValidation sqref="BJ2:BJ4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4" showDropDown="0" showInputMessage="0" showErrorMessage="0" allowBlank="1" type="list">
      <formula1>"Above 40,20 to 40,0 to 20"</formula1>
    </dataValidation>
    <dataValidation sqref="BN2:BN44" showDropDown="0" showInputMessage="0" showErrorMessage="0" allowBlank="1" type="list">
      <formula1>"Between 50 to 75,Above 75,Below 45"</formula1>
    </dataValidation>
    <dataValidation sqref="BP2:BP44" showDropDown="0" showInputMessage="0" showErrorMessage="0" allowBlank="1" type="list">
      <formula1>"Stage 1,Stage 2,Stage 3,Stage 4"</formula1>
    </dataValidation>
    <dataValidation sqref="BR2:BR44" showDropDown="0" showInputMessage="0" showErrorMessage="0" allowBlank="1" type="list">
      <formula1>"Positive Trend,Negative Trend"</formula1>
    </dataValidation>
    <dataValidation sqref="BT2:BT44" showDropDown="0" showInputMessage="0" showErrorMessage="0" allowBlank="1" type="list">
      <formula1>"Uptrend,Sideways,Downtrend"</formula1>
    </dataValidation>
    <dataValidation sqref="BV2:BV44" showDropDown="0" showInputMessage="0" showErrorMessage="0" allowBlank="1" type="list">
      <formula1>"Uptrend,Sideways,Downtrend"</formula1>
    </dataValidation>
    <dataValidation sqref="BX2:BX4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139.7</v>
      </c>
      <c r="E2" s="31" t="inlineStr">
        <is>
          <t>5%</t>
        </is>
      </c>
      <c r="F2" s="31" t="n">
        <v>50000</v>
      </c>
      <c r="G2" s="31" t="n">
        <v>30</v>
      </c>
      <c r="H2" s="30" t="inlineStr">
        <is>
          <t>AUROPHARMA</t>
        </is>
      </c>
      <c r="I2" s="30" t="inlineStr">
        <is>
          <t>Aurobindo Pharma Limited</t>
        </is>
      </c>
      <c r="J2" s="30" t="inlineStr">
        <is>
          <t>healthcare</t>
        </is>
      </c>
      <c r="K2" s="30" t="inlineStr">
        <is>
          <t>pharmaceuticals - indian - bulk drugs &amp; formln</t>
        </is>
      </c>
      <c r="L2" s="30" t="inlineStr">
        <is>
          <t>largecap</t>
        </is>
      </c>
      <c r="M2" s="31" t="n">
        <v>91421.78999999999</v>
      </c>
      <c r="N2" s="31" t="n">
        <v>1658</v>
      </c>
      <c r="O2" s="31" t="n">
        <v>4.35</v>
      </c>
      <c r="P2" s="31" t="n">
        <v>3972345</v>
      </c>
      <c r="Q2" s="30" t="n">
        <v>54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71.95999999999999</v>
      </c>
      <c r="U2" s="31" t="n">
        <v>43.7</v>
      </c>
      <c r="V2" s="31" t="n">
        <v>1410.63</v>
      </c>
      <c r="W2" s="30" t="inlineStr">
        <is>
          <t>Near 52W High Breakout</t>
        </is>
      </c>
      <c r="X2" s="30" t="inlineStr">
        <is>
          <t>Nifty Pharma</t>
        </is>
      </c>
      <c r="Y2" s="31" t="n">
        <v>24.01</v>
      </c>
      <c r="Z2" s="31" t="n">
        <v>59.1</v>
      </c>
      <c r="AA2" s="31" t="n">
        <v>28.29</v>
      </c>
      <c r="AB2" s="31" t="n">
        <v>12.33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139.2</v>
      </c>
      <c r="E3" s="31" t="inlineStr">
        <is>
          <t>5%</t>
        </is>
      </c>
      <c r="F3" s="31" t="n">
        <v>50000</v>
      </c>
      <c r="G3" s="31" t="n">
        <v>32</v>
      </c>
      <c r="H3" s="30" t="inlineStr">
        <is>
          <t>NESTLEIND</t>
        </is>
      </c>
      <c r="I3" s="30" t="inlineStr">
        <is>
          <t>Nestle India Limited</t>
        </is>
      </c>
      <c r="J3" s="30" t="inlineStr">
        <is>
          <t>fmcg</t>
        </is>
      </c>
      <c r="K3" s="30" t="inlineStr">
        <is>
          <t>food - processing - mnc</t>
        </is>
      </c>
      <c r="L3" s="30" t="inlineStr">
        <is>
          <t>largecap</t>
        </is>
      </c>
      <c r="M3" s="31" t="n">
        <v>295996.25</v>
      </c>
      <c r="N3" s="31" t="n">
        <v>1540</v>
      </c>
      <c r="O3" s="31" t="n">
        <v>0.33</v>
      </c>
      <c r="P3" s="31" t="n">
        <v>2943795</v>
      </c>
      <c r="Q3" s="30" t="n">
        <v>39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70.95</v>
      </c>
      <c r="U3" s="31" t="n">
        <v>35.02</v>
      </c>
      <c r="V3" s="31" t="n">
        <v>1341.64</v>
      </c>
      <c r="W3" s="30" t="inlineStr">
        <is>
          <t>Near 52W High Breakout</t>
        </is>
      </c>
      <c r="X3" s="30" t="inlineStr">
        <is>
          <t>Nifty FMCG</t>
        </is>
      </c>
      <c r="Y3" s="31" t="n">
        <v>-9.43</v>
      </c>
      <c r="Z3" s="31" t="n">
        <v>36.79</v>
      </c>
      <c r="AA3" s="31" t="n">
        <v>51.03</v>
      </c>
      <c r="AB3" s="31" t="n">
        <v>8.369999999999999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B2C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20 to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Between 1.5 to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139.3</v>
      </c>
      <c r="E4" s="31" t="inlineStr">
        <is>
          <t>5%</t>
        </is>
      </c>
      <c r="F4" s="31" t="n">
        <v>50000</v>
      </c>
      <c r="G4" s="31" t="n">
        <v>61</v>
      </c>
      <c r="H4" s="30" t="inlineStr">
        <is>
          <t>UNIPARTS</t>
        </is>
      </c>
      <c r="I4" s="30" t="inlineStr">
        <is>
          <t>Uniparts India Ltd</t>
        </is>
      </c>
      <c r="J4" s="30" t="inlineStr">
        <is>
          <t>industrials</t>
        </is>
      </c>
      <c r="K4" s="30" t="inlineStr">
        <is>
          <t>engineering</t>
        </is>
      </c>
      <c r="L4" s="30" t="inlineStr">
        <is>
          <t>smallcap</t>
        </is>
      </c>
      <c r="M4" s="31" t="n">
        <v>3527.93</v>
      </c>
      <c r="N4" s="31" t="n">
        <v>814.6</v>
      </c>
      <c r="O4" s="31" t="n">
        <v>4.24</v>
      </c>
      <c r="P4" s="31" t="n">
        <v>275162</v>
      </c>
      <c r="Q4" s="30" t="n">
        <v>92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78.87</v>
      </c>
      <c r="U4" s="31" t="n">
        <v>59.62</v>
      </c>
      <c r="V4" s="31" t="n">
        <v>649.28</v>
      </c>
      <c r="W4" s="30" t="inlineStr">
        <is>
          <t>Volume Spike &amp; Near 52W High Breakout</t>
        </is>
      </c>
      <c r="X4" s="30" t="inlineStr">
        <is>
          <t>Nifty 50</t>
        </is>
      </c>
      <c r="Y4" s="31" t="n">
        <v>0.85</v>
      </c>
      <c r="Z4" s="31" t="n">
        <v>159.52</v>
      </c>
      <c r="AA4" s="31" t="n">
        <v>157.33</v>
      </c>
      <c r="AB4" s="31" t="n">
        <v>31.72</v>
      </c>
      <c r="AC4" s="30" t="inlineStr">
        <is>
          <t>Cyclical in an Upturn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139.2</v>
      </c>
      <c r="E5" s="31" t="inlineStr">
        <is>
          <t>5%</t>
        </is>
      </c>
      <c r="F5" s="31" t="n">
        <v>50000</v>
      </c>
      <c r="G5" s="31" t="n">
        <v>61</v>
      </c>
      <c r="H5" s="30" t="inlineStr">
        <is>
          <t>SONACOMS</t>
        </is>
      </c>
      <c r="I5" s="30" t="inlineStr">
        <is>
          <t>Sona BLW Precision Forgings Ltd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largecap</t>
        </is>
      </c>
      <c r="M5" s="31" t="n">
        <v>49265.16</v>
      </c>
      <c r="N5" s="31" t="n">
        <v>818.05</v>
      </c>
      <c r="O5" s="31" t="n">
        <v>3.29</v>
      </c>
      <c r="P5" s="31" t="n">
        <v>7484791</v>
      </c>
      <c r="Q5" s="30" t="n">
        <v>80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82.97</v>
      </c>
      <c r="U5" s="31" t="n">
        <v>46.85</v>
      </c>
      <c r="V5" s="31" t="n">
        <v>695.6</v>
      </c>
      <c r="W5" s="30" t="inlineStr">
        <is>
          <t>Near 52W High Breakout</t>
        </is>
      </c>
      <c r="X5" s="30" t="inlineStr">
        <is>
          <t>Nifty Auto</t>
        </is>
      </c>
      <c r="Y5" s="31" t="n">
        <v>24.67</v>
      </c>
      <c r="Z5" s="31" t="n">
        <v>75.33</v>
      </c>
      <c r="AA5" s="31" t="n">
        <v>40.64</v>
      </c>
      <c r="AB5" s="31" t="n">
        <v>22.4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Between 1.5 to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138.6</v>
      </c>
      <c r="E6" s="31" t="inlineStr">
        <is>
          <t>5%</t>
        </is>
      </c>
      <c r="F6" s="31" t="n">
        <v>50000</v>
      </c>
      <c r="G6" s="31" t="n">
        <v>26</v>
      </c>
      <c r="H6" s="30" t="inlineStr">
        <is>
          <t>HAPPYFORGE</t>
        </is>
      </c>
      <c r="I6" s="30" t="inlineStr">
        <is>
          <t>Happy Forgings Ltd</t>
        </is>
      </c>
      <c r="J6" s="30" t="inlineStr">
        <is>
          <t>industrials</t>
        </is>
      </c>
      <c r="K6" s="30" t="inlineStr">
        <is>
          <t>castings &amp; forgings</t>
        </is>
      </c>
      <c r="L6" s="30" t="inlineStr">
        <is>
          <t>midcap</t>
        </is>
      </c>
      <c r="M6" s="31" t="n">
        <v>17648.82</v>
      </c>
      <c r="N6" s="31" t="n">
        <v>1895</v>
      </c>
      <c r="O6" s="31" t="n">
        <v>1.34</v>
      </c>
      <c r="P6" s="31" t="n">
        <v>125748</v>
      </c>
      <c r="Q6" s="30" t="n">
        <v>84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82.34</v>
      </c>
      <c r="U6" s="31" t="n">
        <v>50.68</v>
      </c>
      <c r="V6" s="31" t="n">
        <v>1550.96</v>
      </c>
      <c r="W6" s="30" t="inlineStr">
        <is>
          <t>Volume Spike &amp; Near 52W High Breakout</t>
        </is>
      </c>
      <c r="X6" s="30" t="inlineStr">
        <is>
          <t>Nifty Infra</t>
        </is>
      </c>
      <c r="Y6" s="31" t="n">
        <v>4.83</v>
      </c>
      <c r="Z6" s="31" t="n">
        <v>98.84999999999999</v>
      </c>
      <c r="AA6" s="31" t="n">
        <v>89.7</v>
      </c>
      <c r="AB6" s="31" t="n">
        <v>24.95</v>
      </c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Less than 1.5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139.6</v>
      </c>
      <c r="E7" s="31" t="inlineStr">
        <is>
          <t>5%</t>
        </is>
      </c>
      <c r="F7" s="31" t="n">
        <v>50000</v>
      </c>
      <c r="G7" s="31" t="n">
        <v>12</v>
      </c>
      <c r="H7" s="30" t="inlineStr">
        <is>
          <t>SANSERA</t>
        </is>
      </c>
      <c r="I7" s="30" t="inlineStr">
        <is>
          <t>Sansera Engineering Ltd</t>
        </is>
      </c>
      <c r="J7" s="30" t="inlineStr">
        <is>
          <t>auto</t>
        </is>
      </c>
      <c r="K7" s="30" t="inlineStr">
        <is>
          <t>auto ancillaries</t>
        </is>
      </c>
      <c r="L7" s="30" t="inlineStr">
        <is>
          <t>largecap</t>
        </is>
      </c>
      <c r="M7" s="31" t="n">
        <v>23634.1</v>
      </c>
      <c r="N7" s="31" t="n">
        <v>3863.8</v>
      </c>
      <c r="O7" s="31" t="n">
        <v>2.02</v>
      </c>
      <c r="P7" s="31" t="n">
        <v>196227</v>
      </c>
      <c r="Q7" s="30" t="n">
        <v>94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82.81</v>
      </c>
      <c r="U7" s="31" t="n">
        <v>54.02</v>
      </c>
      <c r="V7" s="31" t="n">
        <v>3110.58</v>
      </c>
      <c r="W7" s="30" t="inlineStr">
        <is>
          <t>Near 52W High Breakout</t>
        </is>
      </c>
      <c r="X7" s="30" t="inlineStr">
        <is>
          <t>Nifty Auto</t>
        </is>
      </c>
      <c r="Y7" s="31" t="n">
        <v>24.67</v>
      </c>
      <c r="Z7" s="31" t="n">
        <v>185.55</v>
      </c>
      <c r="AA7" s="31" t="n">
        <v>129.05</v>
      </c>
      <c r="AB7" s="31" t="n">
        <v>35.88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139.1</v>
      </c>
      <c r="E8" s="31" t="inlineStr">
        <is>
          <t>5%</t>
        </is>
      </c>
      <c r="F8" s="31" t="n">
        <v>50000</v>
      </c>
      <c r="G8" s="31" t="n">
        <v>19</v>
      </c>
      <c r="H8" s="30" t="inlineStr">
        <is>
          <t>FIEMIND</t>
        </is>
      </c>
      <c r="I8" s="30" t="inlineStr">
        <is>
          <t>Fiem Industries Limited</t>
        </is>
      </c>
      <c r="J8" s="30" t="inlineStr">
        <is>
          <t>auto</t>
        </is>
      </c>
      <c r="K8" s="30" t="inlineStr">
        <is>
          <t>auto ancillaries</t>
        </is>
      </c>
      <c r="L8" s="30" t="inlineStr">
        <is>
          <t>midcap</t>
        </is>
      </c>
      <c r="M8" s="31" t="n">
        <v>6525.96</v>
      </c>
      <c r="N8" s="31" t="n">
        <v>2580.3</v>
      </c>
      <c r="O8" s="31" t="n">
        <v>4.07</v>
      </c>
      <c r="P8" s="31" t="n">
        <v>195760</v>
      </c>
      <c r="Q8" s="30" t="n">
        <v>47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72.28</v>
      </c>
      <c r="U8" s="31" t="n">
        <v>25.4</v>
      </c>
      <c r="V8" s="31" t="n">
        <v>2124.88</v>
      </c>
      <c r="W8" s="30" t="inlineStr">
        <is>
          <t>Volume Spike &amp; Near 52W High Breakout</t>
        </is>
      </c>
      <c r="X8" s="30" t="inlineStr">
        <is>
          <t>Nifty Auto</t>
        </is>
      </c>
      <c r="Y8" s="31" t="n">
        <v>24.67</v>
      </c>
      <c r="Z8" s="31" t="n">
        <v>32.12</v>
      </c>
      <c r="AA8" s="31" t="n">
        <v>5.98</v>
      </c>
      <c r="AB8" s="31" t="n">
        <v>10.13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Less than 1.5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138.7</v>
      </c>
      <c r="E9" s="31" t="inlineStr">
        <is>
          <t>5%</t>
        </is>
      </c>
      <c r="F9" s="31" t="n">
        <v>50000</v>
      </c>
      <c r="G9" s="31" t="n">
        <v>15</v>
      </c>
      <c r="H9" s="30" t="inlineStr">
        <is>
          <t>KENNAMET</t>
        </is>
      </c>
      <c r="I9" s="30" t="inlineStr">
        <is>
          <t>Kennametal India Ltd</t>
        </is>
      </c>
      <c r="J9" s="30" t="inlineStr">
        <is>
          <t>industrials</t>
        </is>
      </c>
      <c r="K9" s="30" t="inlineStr">
        <is>
          <t>castings &amp; forgings</t>
        </is>
      </c>
      <c r="L9" s="30" t="inlineStr">
        <is>
          <t>midcap</t>
        </is>
      </c>
      <c r="M9" s="31" t="n">
        <v>6865.34</v>
      </c>
      <c r="N9" s="31" t="n">
        <v>3309.9</v>
      </c>
      <c r="O9" s="31" t="n">
        <v>5.96</v>
      </c>
      <c r="P9" s="31" t="n">
        <v>37533</v>
      </c>
      <c r="Q9" s="30" t="n">
        <v>68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70.47</v>
      </c>
      <c r="U9" s="31" t="n">
        <v>44.68</v>
      </c>
      <c r="V9" s="31" t="n">
        <v>2601.43</v>
      </c>
      <c r="W9" s="30" t="inlineStr">
        <is>
          <t>Near 52W High Breakout</t>
        </is>
      </c>
      <c r="X9" s="30" t="inlineStr">
        <is>
          <t>Nifty Infra</t>
        </is>
      </c>
      <c r="Y9" s="31" t="n">
        <v>4.83</v>
      </c>
      <c r="Z9" s="31" t="n">
        <v>46.44</v>
      </c>
      <c r="AA9" s="31" t="n">
        <v>39.7</v>
      </c>
      <c r="AB9" s="31" t="n">
        <v>16.38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138.8</v>
      </c>
      <c r="E10" s="31" t="inlineStr">
        <is>
          <t>5%</t>
        </is>
      </c>
      <c r="F10" s="31" t="n">
        <v>50000</v>
      </c>
      <c r="G10" s="31" t="n">
        <v>25</v>
      </c>
      <c r="H10" s="32" t="inlineStr">
        <is>
          <t>LALPATHLAB</t>
        </is>
      </c>
      <c r="I10" s="32" t="inlineStr">
        <is>
          <t>Dr. Lal Path Labs Ltd.</t>
        </is>
      </c>
      <c r="J10" s="30" t="inlineStr">
        <is>
          <t>healthcare</t>
        </is>
      </c>
      <c r="K10" s="30" t="inlineStr">
        <is>
          <t>healthcare</t>
        </is>
      </c>
      <c r="L10" s="30" t="inlineStr">
        <is>
          <t>largecap</t>
        </is>
      </c>
      <c r="M10" s="31" t="n">
        <v>32320.56</v>
      </c>
      <c r="N10" s="31" t="n">
        <v>1931.6</v>
      </c>
      <c r="O10" s="31" t="n">
        <v>0.19</v>
      </c>
      <c r="P10" s="31" t="n">
        <v>158460</v>
      </c>
      <c r="Q10" s="30" t="n">
        <v>38</v>
      </c>
      <c r="R10" s="30" t="inlineStr">
        <is>
          <t>Underperforming</t>
        </is>
      </c>
      <c r="S10" s="31">
        <f>IF(R10="Underperforming",-5,IF(Q10&gt;=95,15,IF(Q10&gt;=90,10,IF(Q10&gt;=80,5,0))))</f>
        <v/>
      </c>
      <c r="T10" s="31" t="n">
        <v>74.77</v>
      </c>
      <c r="U10" s="31" t="n">
        <v>40.58</v>
      </c>
      <c r="V10" s="31" t="n">
        <v>1599.23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24.01</v>
      </c>
      <c r="Z10" s="31" t="n">
        <v>22.29</v>
      </c>
      <c r="AA10" s="31" t="n">
        <v>-1.39</v>
      </c>
      <c r="AB10" s="31" t="n">
        <v>8.08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139.2</v>
      </c>
      <c r="E11" s="31" t="inlineStr">
        <is>
          <t>5%</t>
        </is>
      </c>
      <c r="F11" s="31" t="n">
        <v>50000</v>
      </c>
      <c r="G11" s="31" t="n">
        <v>296</v>
      </c>
      <c r="H11" s="30" t="inlineStr">
        <is>
          <t>MOTHERSON</t>
        </is>
      </c>
      <c r="I11" s="30" t="inlineStr">
        <is>
          <t>Samvardhana Motherson International Ltd</t>
        </is>
      </c>
      <c r="J11" s="30" t="inlineStr">
        <is>
          <t>auto</t>
        </is>
      </c>
      <c r="K11" s="30" t="inlineStr">
        <is>
          <t>auto ancillaries</t>
        </is>
      </c>
      <c r="L11" s="30" t="inlineStr">
        <is>
          <t>largecap</t>
        </is>
      </c>
      <c r="M11" s="31" t="n">
        <v>163593.86</v>
      </c>
      <c r="N11" s="31" t="n">
        <v>168.5</v>
      </c>
      <c r="O11" s="31" t="n">
        <v>8.710000000000001</v>
      </c>
      <c r="P11" s="31" t="n">
        <v>230129225</v>
      </c>
      <c r="Q11" s="30" t="n">
        <v>73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74.54000000000001</v>
      </c>
      <c r="U11" s="31" t="n">
        <v>35.09</v>
      </c>
      <c r="V11" s="31" t="n">
        <v>138</v>
      </c>
      <c r="W11" s="30" t="inlineStr">
        <is>
          <t>Volume Spike &amp; Near 52W High Breakout</t>
        </is>
      </c>
      <c r="X11" s="30" t="inlineStr">
        <is>
          <t>Nifty Auto</t>
        </is>
      </c>
      <c r="Y11" s="31" t="n">
        <v>24.67</v>
      </c>
      <c r="Z11" s="31" t="n">
        <v>68.73999999999999</v>
      </c>
      <c r="AA11" s="31" t="n">
        <v>35.35</v>
      </c>
      <c r="AB11" s="31" t="n">
        <v>18.56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138.7</v>
      </c>
      <c r="E12" s="31" t="inlineStr">
        <is>
          <t>5%</t>
        </is>
      </c>
      <c r="F12" s="31" t="n">
        <v>50000</v>
      </c>
      <c r="G12" s="31" t="n">
        <v>90</v>
      </c>
      <c r="H12" s="30" t="inlineStr">
        <is>
          <t>JGCHEM</t>
        </is>
      </c>
      <c r="I12" s="30" t="inlineStr">
        <is>
          <t>J.G.Chemicals Ltd</t>
        </is>
      </c>
      <c r="J12" s="30" t="inlineStr">
        <is>
          <t>chemicals</t>
        </is>
      </c>
      <c r="K12" s="30" t="inlineStr">
        <is>
          <t>chemicals</t>
        </is>
      </c>
      <c r="L12" s="30" t="inlineStr">
        <is>
          <t>smallcap</t>
        </is>
      </c>
      <c r="M12" s="31" t="n">
        <v>2114.09</v>
      </c>
      <c r="N12" s="31" t="n">
        <v>552.8</v>
      </c>
      <c r="O12" s="31" t="n">
        <v>2.47</v>
      </c>
      <c r="P12" s="31" t="n">
        <v>349535</v>
      </c>
      <c r="Q12" s="30" t="n">
        <v>52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73.23</v>
      </c>
      <c r="U12" s="31" t="n">
        <v>28.3</v>
      </c>
      <c r="V12" s="31" t="n">
        <v>430.76</v>
      </c>
      <c r="W12" s="30" t="inlineStr">
        <is>
          <t>Volume Spike &amp; Near 52W High Breakout</t>
        </is>
      </c>
      <c r="X12" s="30" t="inlineStr">
        <is>
          <t>Nifty 50</t>
        </is>
      </c>
      <c r="Y12" s="31" t="n">
        <v>0.85</v>
      </c>
      <c r="Z12" s="31" t="n">
        <v>15.33</v>
      </c>
      <c r="AA12" s="31" t="n">
        <v>14.36</v>
      </c>
      <c r="AB12" s="31" t="n">
        <v>11.43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Between 12 to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Between 1.5 to 2</t>
        </is>
      </c>
      <c r="BZ12" s="30">
        <f>IF(BY12="Above 2",0,IF(BY12="Between 1.5 to 2",5,IF(BY12="Less than 1.5",10,0)))</f>
        <v/>
      </c>
      <c r="CA12" s="30" t="inlineStr">
        <is>
          <t>Between 50% to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139.4</v>
      </c>
      <c r="E13" s="31" t="inlineStr">
        <is>
          <t>5%</t>
        </is>
      </c>
      <c r="F13" s="31" t="n">
        <v>50000</v>
      </c>
      <c r="G13" s="31" t="n">
        <v>57</v>
      </c>
      <c r="H13" s="30" t="inlineStr">
        <is>
          <t>ASTERDM</t>
        </is>
      </c>
      <c r="I13" s="30" t="inlineStr">
        <is>
          <t>Aster DM Healthcare Ltd</t>
        </is>
      </c>
      <c r="J13" s="30" t="inlineStr">
        <is>
          <t>healthcare</t>
        </is>
      </c>
      <c r="K13" s="30" t="inlineStr">
        <is>
          <t>healthcare</t>
        </is>
      </c>
      <c r="L13" s="30" t="inlineStr">
        <is>
          <t>largecap</t>
        </is>
      </c>
      <c r="M13" s="31" t="n">
        <v>73608.38</v>
      </c>
      <c r="N13" s="31" t="n">
        <v>869.7</v>
      </c>
      <c r="O13" s="31" t="n">
        <v>2.99</v>
      </c>
      <c r="P13" s="31" t="n">
        <v>1037107</v>
      </c>
      <c r="Q13" s="30" t="n">
        <v>58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69.48999999999999</v>
      </c>
      <c r="U13" s="31" t="n">
        <v>48.8</v>
      </c>
      <c r="V13" s="31" t="n">
        <v>713.92</v>
      </c>
      <c r="W13" s="30" t="inlineStr">
        <is>
          <t>Volume Spike &amp; Near 52W High Breakout</t>
        </is>
      </c>
      <c r="X13" s="30" t="inlineStr">
        <is>
          <t>Nifty Pharma</t>
        </is>
      </c>
      <c r="Y13" s="31" t="n">
        <v>24.01</v>
      </c>
      <c r="Z13" s="31" t="n">
        <v>50.74</v>
      </c>
      <c r="AA13" s="31" t="n">
        <v>21.55</v>
      </c>
      <c r="AB13" s="31" t="n">
        <v>13.51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140</v>
      </c>
      <c r="E14" s="31" t="inlineStr">
        <is>
          <t>5%</t>
        </is>
      </c>
      <c r="F14" s="31" t="n">
        <v>50000</v>
      </c>
      <c r="G14" s="31" t="n">
        <v>54</v>
      </c>
      <c r="H14" s="30" t="inlineStr">
        <is>
          <t>SBCL</t>
        </is>
      </c>
      <c r="I14" s="30" t="inlineStr">
        <is>
          <t>Shivalik Bimetal Controls Ltd</t>
        </is>
      </c>
      <c r="J14" s="30" t="inlineStr">
        <is>
          <t>metals &amp; mining</t>
        </is>
      </c>
      <c r="K14" s="30" t="inlineStr">
        <is>
          <t>mining / minerals / metals</t>
        </is>
      </c>
      <c r="L14" s="30" t="inlineStr">
        <is>
          <t>smallcap</t>
        </is>
      </c>
      <c r="M14" s="31" t="n">
        <v>4420.83</v>
      </c>
      <c r="N14" s="31" t="n">
        <v>920.9</v>
      </c>
      <c r="O14" s="31" t="n">
        <v>19.99</v>
      </c>
      <c r="P14" s="31" t="n">
        <v>6015282</v>
      </c>
      <c r="Q14" s="30" t="n">
        <v>85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76.20999999999999</v>
      </c>
      <c r="U14" s="31" t="n">
        <v>44.96</v>
      </c>
      <c r="V14" s="31" t="n">
        <v>701.91</v>
      </c>
      <c r="W14" s="30" t="inlineStr">
        <is>
          <t>Volume Spike &amp; Near 52W High Breakout</t>
        </is>
      </c>
      <c r="X14" s="30" t="inlineStr">
        <is>
          <t>Nifty Metal</t>
        </is>
      </c>
      <c r="Y14" s="31" t="n">
        <v>39.94</v>
      </c>
      <c r="Z14" s="31" t="n">
        <v>67.42</v>
      </c>
      <c r="AA14" s="31" t="n">
        <v>19.64</v>
      </c>
      <c r="AB14" s="31" t="n">
        <v>25.53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Monopoly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Shallow Cyclical (2 to 3 Years Growth)</t>
        </is>
      </c>
      <c r="AL14" s="30">
        <f>IF(AK14="Structural (10 Years Consistency)",10,IF(AK14="Shallow Cyclical (2 to 3 years growth)",5,0))</f>
        <v/>
      </c>
      <c r="AM14" s="30" t="inlineStr">
        <is>
          <t>Yes due to Product Mix change or Operating Leverage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Fully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Yes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Less than 50%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139.4</v>
      </c>
      <c r="E15" s="31" t="inlineStr">
        <is>
          <t>5%</t>
        </is>
      </c>
      <c r="F15" s="31" t="n">
        <v>50000</v>
      </c>
      <c r="G15" s="31" t="n">
        <v>137</v>
      </c>
      <c r="H15" s="30" t="inlineStr">
        <is>
          <t>DIACABS</t>
        </is>
      </c>
      <c r="I15" s="30" t="inlineStr">
        <is>
          <t>Diamond Power Infrastructure Ltd</t>
        </is>
      </c>
      <c r="J15" s="30" t="inlineStr">
        <is>
          <t>industrials</t>
        </is>
      </c>
      <c r="K15" s="30" t="inlineStr">
        <is>
          <t>cables - power</t>
        </is>
      </c>
      <c r="L15" s="30" t="inlineStr">
        <is>
          <t>midcap</t>
        </is>
      </c>
      <c r="M15" s="31" t="n">
        <v>18380.75</v>
      </c>
      <c r="N15" s="31" t="n">
        <v>364.05</v>
      </c>
      <c r="O15" s="31" t="n">
        <v>4.37</v>
      </c>
      <c r="P15" s="31" t="n">
        <v>2214308</v>
      </c>
      <c r="Q15" s="30" t="n">
        <v>97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88.58</v>
      </c>
      <c r="U15" s="31" t="n">
        <v>60.16</v>
      </c>
      <c r="V15" s="31" t="n">
        <v>280.22</v>
      </c>
      <c r="W15" s="30" t="inlineStr">
        <is>
          <t>Near 52W High Breakout</t>
        </is>
      </c>
      <c r="X15" s="30" t="inlineStr">
        <is>
          <t>Nifty Energy</t>
        </is>
      </c>
      <c r="Y15" s="31" t="n">
        <v>9.93</v>
      </c>
      <c r="Z15" s="31" t="n">
        <v>123.52</v>
      </c>
      <c r="AA15" s="31" t="n">
        <v>103.34</v>
      </c>
      <c r="AB15" s="31" t="n">
        <v>51.07</v>
      </c>
      <c r="AC15" s="30" t="inlineStr">
        <is>
          <t>Cyclical in an Upturn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138.6</v>
      </c>
      <c r="E16" s="31" t="inlineStr">
        <is>
          <t>5%</t>
        </is>
      </c>
      <c r="F16" s="31" t="n">
        <v>50000</v>
      </c>
      <c r="G16" s="31" t="n">
        <v>222</v>
      </c>
      <c r="H16" s="30" t="inlineStr">
        <is>
          <t>COMSYN</t>
        </is>
      </c>
      <c r="I16" s="30" t="inlineStr">
        <is>
          <t>Commercial Syn Bags Ltd</t>
        </is>
      </c>
      <c r="J16" s="30" t="inlineStr">
        <is>
          <t>industrials</t>
        </is>
      </c>
      <c r="K16" s="30" t="inlineStr">
        <is>
          <t>packaging</t>
        </is>
      </c>
      <c r="L16" s="30" t="inlineStr">
        <is>
          <t>smallcap</t>
        </is>
      </c>
      <c r="M16" s="31" t="n">
        <v>845.4299999999999</v>
      </c>
      <c r="N16" s="31" t="n">
        <v>224.83</v>
      </c>
      <c r="O16" s="31" t="n">
        <v>7.28</v>
      </c>
      <c r="P16" s="31" t="n">
        <v>1308178</v>
      </c>
      <c r="Q16" s="30" t="n">
        <v>79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71.97</v>
      </c>
      <c r="U16" s="31" t="n">
        <v>55.42</v>
      </c>
      <c r="V16" s="31" t="n">
        <v>163.62</v>
      </c>
      <c r="W16" s="30" t="inlineStr">
        <is>
          <t>Near 52W High Breakout</t>
        </is>
      </c>
      <c r="X16" s="30" t="inlineStr">
        <is>
          <t>Nifty 50</t>
        </is>
      </c>
      <c r="Y16" s="31" t="n">
        <v>0.85</v>
      </c>
      <c r="Z16" s="31" t="n">
        <v>68.75</v>
      </c>
      <c r="AA16" s="31" t="n">
        <v>67.31999999999999</v>
      </c>
      <c r="AB16" s="31" t="n">
        <v>21.99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No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Between 0.7 to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140</v>
      </c>
      <c r="E17" s="31" t="inlineStr">
        <is>
          <t>5%</t>
        </is>
      </c>
      <c r="F17" s="31" t="n">
        <v>50000</v>
      </c>
      <c r="G17" s="31" t="n">
        <v>193</v>
      </c>
      <c r="H17" s="30" t="inlineStr">
        <is>
          <t>UEL</t>
        </is>
      </c>
      <c r="I17" s="30" t="inlineStr">
        <is>
          <t>Ujaas Energy Ltd</t>
        </is>
      </c>
      <c r="J17" s="30" t="inlineStr">
        <is>
          <t>power &amp; utilities</t>
        </is>
      </c>
      <c r="K17" s="30" t="inlineStr">
        <is>
          <t>power generation and supply</t>
        </is>
      </c>
      <c r="L17" s="30" t="inlineStr">
        <is>
          <t>smallcap</t>
        </is>
      </c>
      <c r="M17" s="31" t="n">
        <v>3275.18</v>
      </c>
      <c r="N17" s="31" t="n">
        <v>257.79</v>
      </c>
      <c r="O17" s="31" t="n">
        <v>5</v>
      </c>
      <c r="P17" s="31" t="n">
        <v>20964</v>
      </c>
      <c r="Q17" s="30" t="n">
        <v>92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77.87</v>
      </c>
      <c r="U17" s="31" t="n">
        <v>13.24</v>
      </c>
      <c r="V17" s="31" t="n">
        <v>185.52</v>
      </c>
      <c r="W17" s="30" t="inlineStr">
        <is>
          <t>Volume Spike &amp; Near 52W High Breakout</t>
        </is>
      </c>
      <c r="X17" s="30" t="inlineStr">
        <is>
          <t>Nifty IT</t>
        </is>
      </c>
      <c r="Y17" s="31" t="n">
        <v>-8.289999999999999</v>
      </c>
      <c r="Z17" s="31" t="n">
        <v>110.93</v>
      </c>
      <c r="AA17" s="31" t="n">
        <v>129.99</v>
      </c>
      <c r="AB17" s="31" t="n">
        <v>32.09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0 to 20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138.8</v>
      </c>
      <c r="E18" s="31" t="inlineStr">
        <is>
          <t>5%</t>
        </is>
      </c>
      <c r="F18" s="31" t="n">
        <v>50000</v>
      </c>
      <c r="G18" s="31" t="n">
        <v>69</v>
      </c>
      <c r="H18" s="30" t="inlineStr">
        <is>
          <t>SKYGOLD</t>
        </is>
      </c>
      <c r="I18" s="30" t="inlineStr">
        <is>
          <t>Sky Gold Ltd</t>
        </is>
      </c>
      <c r="J18" s="30" t="inlineStr">
        <is>
          <t>consumer discretionary</t>
        </is>
      </c>
      <c r="K18" s="30" t="inlineStr">
        <is>
          <t>diamond cutting / jewellery</t>
        </is>
      </c>
      <c r="L18" s="30" t="inlineStr">
        <is>
          <t>midcap</t>
        </is>
      </c>
      <c r="M18" s="31" t="n">
        <v>10704.11</v>
      </c>
      <c r="N18" s="31" t="n">
        <v>719.4</v>
      </c>
      <c r="O18" s="31" t="n">
        <v>4.09</v>
      </c>
      <c r="P18" s="31" t="n">
        <v>2030710</v>
      </c>
      <c r="Q18" s="30" t="n">
        <v>90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77.44</v>
      </c>
      <c r="U18" s="31" t="n">
        <v>59.8</v>
      </c>
      <c r="V18" s="31" t="n">
        <v>544.8099999999999</v>
      </c>
      <c r="W18" s="30" t="inlineStr">
        <is>
          <t>Near 52W High Breakout</t>
        </is>
      </c>
      <c r="X18" s="30" t="inlineStr">
        <is>
          <t>Nifty 50</t>
        </is>
      </c>
      <c r="Y18" s="31" t="n">
        <v>0.85</v>
      </c>
      <c r="Z18" s="31" t="n">
        <v>160.94</v>
      </c>
      <c r="AA18" s="31" t="n">
        <v>158.73</v>
      </c>
      <c r="AB18" s="31" t="n">
        <v>30.7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Negative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Between 0.7 to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139.8</v>
      </c>
      <c r="E19" s="31" t="inlineStr">
        <is>
          <t>5%</t>
        </is>
      </c>
      <c r="F19" s="31" t="n">
        <v>50000</v>
      </c>
      <c r="G19" s="31" t="n">
        <v>22</v>
      </c>
      <c r="H19" s="30" t="inlineStr">
        <is>
          <t>BHARATFORG</t>
        </is>
      </c>
      <c r="I19" s="30" t="inlineStr">
        <is>
          <t>Bharat Forge Limited</t>
        </is>
      </c>
      <c r="J19" s="30" t="inlineStr">
        <is>
          <t>industrials</t>
        </is>
      </c>
      <c r="K19" s="30" t="inlineStr">
        <is>
          <t>castings &amp; forgings</t>
        </is>
      </c>
      <c r="L19" s="30" t="inlineStr">
        <is>
          <t>largecap</t>
        </is>
      </c>
      <c r="M19" s="31" t="n">
        <v>105657.59</v>
      </c>
      <c r="N19" s="31" t="n">
        <v>2265.2</v>
      </c>
      <c r="O19" s="31" t="n">
        <v>2.5</v>
      </c>
      <c r="P19" s="31" t="n">
        <v>2293804</v>
      </c>
      <c r="Q19" s="30" t="n">
        <v>72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73.66</v>
      </c>
      <c r="U19" s="31" t="n">
        <v>47.04</v>
      </c>
      <c r="V19" s="31" t="n">
        <v>1924.44</v>
      </c>
      <c r="W19" s="30" t="inlineStr">
        <is>
          <t>Near 52W High Breakout</t>
        </is>
      </c>
      <c r="X19" s="30" t="inlineStr">
        <is>
          <t>Nifty 50</t>
        </is>
      </c>
      <c r="Y19" s="31" t="n">
        <v>0.85</v>
      </c>
      <c r="Z19" s="31" t="n">
        <v>100.38</v>
      </c>
      <c r="AA19" s="31" t="n">
        <v>98.69</v>
      </c>
      <c r="AB19" s="31" t="n">
        <v>18.11</v>
      </c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Above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Between 50% to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139.3</v>
      </c>
      <c r="E20" s="31" t="inlineStr">
        <is>
          <t>5%</t>
        </is>
      </c>
      <c r="F20" s="31" t="n">
        <v>50000</v>
      </c>
      <c r="G20" s="31" t="n">
        <v>516</v>
      </c>
      <c r="H20" s="30" t="inlineStr">
        <is>
          <t>LLOYDSENGG</t>
        </is>
      </c>
      <c r="I20" s="30" t="inlineStr">
        <is>
          <t>Lloyds Engineering Works Ltd</t>
        </is>
      </c>
      <c r="J20" s="30" t="inlineStr">
        <is>
          <t>industrials</t>
        </is>
      </c>
      <c r="K20" s="30" t="inlineStr">
        <is>
          <t>engineering</t>
        </is>
      </c>
      <c r="L20" s="30" t="inlineStr">
        <is>
          <t>midcap</t>
        </is>
      </c>
      <c r="M20" s="31" t="n">
        <v>13094.7</v>
      </c>
      <c r="N20" s="31" t="n">
        <v>96.88</v>
      </c>
      <c r="O20" s="31" t="n">
        <v>9.52</v>
      </c>
      <c r="P20" s="31" t="n">
        <v>64356610</v>
      </c>
      <c r="Q20" s="30" t="n">
        <v>78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76.65000000000001</v>
      </c>
      <c r="U20" s="31" t="n">
        <v>46.93</v>
      </c>
      <c r="V20" s="31" t="n">
        <v>73.38</v>
      </c>
      <c r="W20" s="30" t="inlineStr">
        <is>
          <t>Near 52W High Breakout</t>
        </is>
      </c>
      <c r="X20" s="30" t="inlineStr">
        <is>
          <t>Nifty 50</t>
        </is>
      </c>
      <c r="Y20" s="31" t="n">
        <v>0.85</v>
      </c>
      <c r="Z20" s="31" t="n">
        <v>45.28</v>
      </c>
      <c r="AA20" s="31" t="n">
        <v>44.06</v>
      </c>
      <c r="AB20" s="31" t="n">
        <v>21.24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Above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Negative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139.2</v>
      </c>
      <c r="E21" s="31" t="inlineStr">
        <is>
          <t>5%</t>
        </is>
      </c>
      <c r="F21" s="31" t="n">
        <v>50000</v>
      </c>
      <c r="G21" s="31" t="n">
        <v>15</v>
      </c>
      <c r="H21" s="30" t="inlineStr">
        <is>
          <t>GRASIM</t>
        </is>
      </c>
      <c r="I21" s="30" t="inlineStr">
        <is>
          <t>Grasim Industries Limited</t>
        </is>
      </c>
      <c r="J21" s="30" t="inlineStr">
        <is>
          <t>textiles</t>
        </is>
      </c>
      <c r="K21" s="30" t="inlineStr">
        <is>
          <t>textiles - manmade</t>
        </is>
      </c>
      <c r="L21" s="30" t="inlineStr">
        <is>
          <t>largecap</t>
        </is>
      </c>
      <c r="M21" s="31" t="n">
        <v>219146.95</v>
      </c>
      <c r="N21" s="31" t="n">
        <v>3323</v>
      </c>
      <c r="O21" s="31" t="n">
        <v>3.2</v>
      </c>
      <c r="P21" s="31" t="n">
        <v>2110992</v>
      </c>
      <c r="Q21" s="30" t="n">
        <v>35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69</v>
      </c>
      <c r="U21" s="31" t="n">
        <v>34.68</v>
      </c>
      <c r="V21" s="31" t="n">
        <v>2911.9</v>
      </c>
      <c r="W21" s="30" t="inlineStr">
        <is>
          <t>Near 52W High Breakout</t>
        </is>
      </c>
      <c r="X21" s="30" t="inlineStr">
        <is>
          <t>Nifty 50</t>
        </is>
      </c>
      <c r="Y21" s="31" t="n">
        <v>0.85</v>
      </c>
      <c r="Z21" s="31" t="n">
        <v>24.29</v>
      </c>
      <c r="AA21" s="31" t="n">
        <v>23.24</v>
      </c>
      <c r="AB21" s="31" t="n">
        <v>6.99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Negative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More than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139.6</v>
      </c>
      <c r="E22" s="31" t="inlineStr">
        <is>
          <t>5%</t>
        </is>
      </c>
      <c r="F22" s="31" t="n">
        <v>50000</v>
      </c>
      <c r="G22" s="31" t="n">
        <v>23</v>
      </c>
      <c r="H22" s="32" t="inlineStr">
        <is>
          <t>LLOYDSME</t>
        </is>
      </c>
      <c r="I22" s="32" t="inlineStr">
        <is>
          <t>Lloyds Metals &amp; Energy Ltd</t>
        </is>
      </c>
      <c r="J22" s="30" t="inlineStr">
        <is>
          <t>metals &amp; mining</t>
        </is>
      </c>
      <c r="K22" s="30" t="inlineStr">
        <is>
          <t>mining / minerals / metals</t>
        </is>
      </c>
      <c r="L22" s="30" t="inlineStr">
        <is>
          <t>largecap</t>
        </is>
      </c>
      <c r="M22" s="31" t="n">
        <v>115902.54</v>
      </c>
      <c r="N22" s="31" t="n">
        <v>2109.9</v>
      </c>
      <c r="O22" s="31" t="n">
        <v>2.47</v>
      </c>
      <c r="P22" s="31" t="n">
        <v>609118</v>
      </c>
      <c r="Q22" s="30" t="n">
        <v>62</v>
      </c>
      <c r="R22" s="30" t="inlineStr">
        <is>
          <t>Underperforming</t>
        </is>
      </c>
      <c r="S22" s="31">
        <f>IF(R22="Underperforming",-5,IF(Q22&gt;=95,15,IF(Q22&gt;=90,10,IF(Q22&gt;=80,5,0))))</f>
        <v/>
      </c>
      <c r="T22" s="31" t="n">
        <v>79.67</v>
      </c>
      <c r="U22" s="31" t="n">
        <v>44.92</v>
      </c>
      <c r="V22" s="31" t="n">
        <v>1759.09</v>
      </c>
      <c r="W22" s="30" t="inlineStr">
        <is>
          <t>Near 52W High Breakout</t>
        </is>
      </c>
      <c r="X22" s="30" t="inlineStr">
        <is>
          <t>Nifty Metal</t>
        </is>
      </c>
      <c r="Y22" s="31" t="n">
        <v>39.94</v>
      </c>
      <c r="Z22" s="31" t="n">
        <v>39.76</v>
      </c>
      <c r="AA22" s="31" t="n">
        <v>-0.13</v>
      </c>
      <c r="AB22" s="31" t="n">
        <v>14.46</v>
      </c>
      <c r="AC22" s="30" t="inlineStr">
        <is>
          <t>Cyclical in an Upturn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Cyclical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Volatile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Above 40</t>
        </is>
      </c>
      <c r="BD22" s="30">
        <f>IF(BC22="Above 40",20,IF(BC22="20 to 40",10,IF(BC22="0 to 20",-5,0)))</f>
        <v/>
      </c>
      <c r="BE22" s="30" t="inlineStr">
        <is>
          <t>Above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No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Less than 50% and Borrowings are increasing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139.7</v>
      </c>
      <c r="E2" s="31" t="inlineStr">
        <is>
          <t>5%</t>
        </is>
      </c>
      <c r="F2" s="31" t="n">
        <v>50000</v>
      </c>
      <c r="G2" s="31" t="n">
        <v>122</v>
      </c>
      <c r="H2" s="30" t="inlineStr">
        <is>
          <t>M&amp;MFIN</t>
        </is>
      </c>
      <c r="I2" s="30" t="inlineStr">
        <is>
          <t>Mahindra &amp; Mahindra Financial Services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54042.08</v>
      </c>
      <c r="N2" s="31" t="n">
        <v>408.45</v>
      </c>
      <c r="O2" s="31" t="n">
        <v>5.05</v>
      </c>
      <c r="P2" s="31" t="n">
        <v>4875009</v>
      </c>
      <c r="Q2" s="30" t="n">
        <v>67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69.8</v>
      </c>
      <c r="U2" s="31" t="n">
        <v>20.29</v>
      </c>
      <c r="V2" s="31" t="n">
        <v>320.54</v>
      </c>
      <c r="W2" s="30" t="inlineStr">
        <is>
          <t>Near 52W High Breakout</t>
        </is>
      </c>
      <c r="X2" s="30" t="inlineStr">
        <is>
          <t>Nifty Bank</t>
        </is>
      </c>
      <c r="Y2" s="31" t="n">
        <v>4.98</v>
      </c>
      <c r="Z2" s="31" t="n">
        <v>65.40000000000001</v>
      </c>
      <c r="AA2" s="31" t="n">
        <v>57.55</v>
      </c>
      <c r="AB2" s="31" t="n">
        <v>16.19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IF(B2=0,"",RANK(B2,$B$2:$B$90,0))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MENONBE</t>
        </is>
      </c>
      <c r="D2" s="30" t="inlineStr">
        <is>
          <t>Menon Bearings Ltd</t>
        </is>
      </c>
      <c r="E2" s="30" t="inlineStr">
        <is>
          <t>auto</t>
        </is>
      </c>
      <c r="F2" s="30" t="inlineStr">
        <is>
          <t>Auto Ancillaries - Bearings</t>
        </is>
      </c>
      <c r="G2" s="30" t="inlineStr">
        <is>
          <t>smallcap</t>
        </is>
      </c>
      <c r="H2" s="31" t="n">
        <v>1317.5</v>
      </c>
      <c r="I2" s="31" t="n">
        <v>235.1</v>
      </c>
      <c r="J2" s="31" t="n">
        <v>2.3</v>
      </c>
      <c r="K2" s="31" t="n">
        <v>0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80.84</v>
      </c>
      <c r="P2" s="31" t="n">
        <v>51.95</v>
      </c>
      <c r="Q2" s="31" t="n">
        <v>181.38</v>
      </c>
      <c r="R2" s="30" t="inlineStr">
        <is>
          <t>Near 52W High Breakout</t>
        </is>
      </c>
      <c r="S2" s="30" t="inlineStr">
        <is>
          <t>Nifty Auto</t>
        </is>
      </c>
      <c r="T2" s="31" t="n">
        <v>24.67</v>
      </c>
      <c r="U2" s="31" t="n">
        <v>86.76000000000001</v>
      </c>
      <c r="V2" s="31" t="n">
        <v>49.8</v>
      </c>
      <c r="W2" s="31" t="n">
        <v>39.17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IF(B3=0,"",RANK(B3,$B$2:$B$90,0))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E2E</t>
        </is>
      </c>
      <c r="D3" s="30" t="inlineStr">
        <is>
          <t>E2E Networks Ltd</t>
        </is>
      </c>
      <c r="E3" s="30" t="inlineStr">
        <is>
          <t>i.t</t>
        </is>
      </c>
      <c r="F3" s="30" t="inlineStr">
        <is>
          <t>Data Centre</t>
        </is>
      </c>
      <c r="G3" s="30" t="inlineStr">
        <is>
          <t>midcap</t>
        </is>
      </c>
      <c r="H3" s="31" t="n">
        <v>11829.23</v>
      </c>
      <c r="I3" s="31" t="n">
        <v>575.45</v>
      </c>
      <c r="J3" s="31" t="n">
        <v>-4.99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72.8</v>
      </c>
      <c r="P3" s="31" t="n">
        <v>46.94</v>
      </c>
      <c r="Q3" s="31" t="n">
        <v>395.17</v>
      </c>
      <c r="R3" s="30" t="inlineStr">
        <is>
          <t>Near 52W High Breakout</t>
        </is>
      </c>
      <c r="S3" s="30" t="inlineStr">
        <is>
          <t>Nifty IT</t>
        </is>
      </c>
      <c r="T3" s="31" t="n">
        <v>-8.289999999999999</v>
      </c>
      <c r="U3" s="31" t="n">
        <v>183.89</v>
      </c>
      <c r="V3" s="31" t="n">
        <v>209.55</v>
      </c>
      <c r="W3" s="31" t="n">
        <v>41.12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20</t>
        </is>
      </c>
      <c r="CG3" s="30">
        <f>IF(CF3&gt;20,10,IF(CF3&gt;=10,5,2))</f>
        <v/>
      </c>
    </row>
    <row r="4">
      <c r="A4" s="30">
        <f>IF(B4=0,"",RANK(B4,$B$2:$B$90,0))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SAKAR</t>
        </is>
      </c>
      <c r="D4" s="30" t="inlineStr">
        <is>
          <t>Sakar Healthcare Ltd</t>
        </is>
      </c>
      <c r="E4" s="30" t="inlineStr">
        <is>
          <t>healthcare</t>
        </is>
      </c>
      <c r="F4" s="30" t="inlineStr">
        <is>
          <t>Hospitals</t>
        </is>
      </c>
      <c r="G4" s="30" t="inlineStr">
        <is>
          <t>smallcap</t>
        </is>
      </c>
      <c r="H4" s="31" t="n">
        <v>2073.58</v>
      </c>
      <c r="I4" s="31" t="n">
        <v>931.95</v>
      </c>
      <c r="J4" s="31" t="n">
        <v>1.33</v>
      </c>
      <c r="K4" s="31" t="n">
        <v>0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71.51000000000001</v>
      </c>
      <c r="P4" s="31" t="n">
        <v>54.08</v>
      </c>
      <c r="Q4" s="31" t="n">
        <v>656.86</v>
      </c>
      <c r="R4" s="30" t="inlineStr">
        <is>
          <t>Near 52W High Breakout</t>
        </is>
      </c>
      <c r="S4" s="30" t="inlineStr">
        <is>
          <t>Nifty Pharma</t>
        </is>
      </c>
      <c r="T4" s="31" t="n">
        <v>24.01</v>
      </c>
      <c r="U4" s="31" t="n">
        <v>181.31</v>
      </c>
      <c r="V4" s="31" t="n">
        <v>126.83</v>
      </c>
      <c r="W4" s="31" t="n">
        <v>38.89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22</t>
        </is>
      </c>
      <c r="CG4" s="30">
        <f>IF(CF4&gt;20,10,IF(CF4&gt;=10,5,2))</f>
        <v/>
      </c>
    </row>
    <row r="5">
      <c r="A5" s="30">
        <f>IF(B5=0,"",RANK(B5,$B$2:$B$90,0))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RPTECH</t>
        </is>
      </c>
      <c r="D5" s="30" t="inlineStr">
        <is>
          <t>Rashi Peripherals Ltd</t>
        </is>
      </c>
      <c r="E5" s="30" t="inlineStr">
        <is>
          <t>services</t>
        </is>
      </c>
      <c r="F5" s="30" t="inlineStr">
        <is>
          <t>Trading</t>
        </is>
      </c>
      <c r="G5" s="30" t="inlineStr">
        <is>
          <t>midcap</t>
        </is>
      </c>
      <c r="H5" s="31" t="n">
        <v>5896.7</v>
      </c>
      <c r="I5" s="31" t="n">
        <v>894.8</v>
      </c>
      <c r="J5" s="31" t="n">
        <v>3.38</v>
      </c>
      <c r="K5" s="31" t="n">
        <v>0</v>
      </c>
      <c r="L5" s="30" t="n">
        <v>97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82.95999999999999</v>
      </c>
      <c r="P5" s="31" t="n">
        <v>77.53</v>
      </c>
      <c r="Q5" s="31" t="n">
        <v>689.91</v>
      </c>
      <c r="R5" s="30" t="inlineStr">
        <is>
          <t>Near 52W High Breakout</t>
        </is>
      </c>
      <c r="S5" s="30" t="inlineStr">
        <is>
          <t>Nifty 50</t>
        </is>
      </c>
      <c r="T5" s="31" t="n">
        <v>0.85</v>
      </c>
      <c r="U5" s="31" t="n">
        <v>221.47</v>
      </c>
      <c r="V5" s="31" t="n">
        <v>218.76</v>
      </c>
      <c r="W5" s="31" t="n">
        <v>42.09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Less than 50%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26</t>
        </is>
      </c>
      <c r="CG5" s="30">
        <f>IF(CF5&gt;20,10,IF(CF5&gt;=10,5,2))</f>
        <v/>
      </c>
    </row>
    <row r="6">
      <c r="A6" s="30">
        <f>IF(B6=0,"",RANK(B6,$B$2:$B$90,0))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AXISOL</t>
        </is>
      </c>
      <c r="D6" s="30" t="inlineStr">
        <is>
          <t>Axis Solutions Ltd</t>
        </is>
      </c>
      <c r="E6" s="30" t="inlineStr">
        <is>
          <t>Industrials</t>
        </is>
      </c>
      <c r="F6" s="30" t="inlineStr">
        <is>
          <t>Engineering - Light - General</t>
        </is>
      </c>
      <c r="G6" s="30" t="inlineStr">
        <is>
          <t>smallcap</t>
        </is>
      </c>
      <c r="H6" s="31" t="n">
        <v>2095.05</v>
      </c>
      <c r="I6" s="31" t="n">
        <v>443.3</v>
      </c>
      <c r="J6" s="31" t="n">
        <v>5</v>
      </c>
      <c r="K6" s="31" t="n">
        <v>0</v>
      </c>
      <c r="L6" s="30" t="n">
        <v>99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84.02</v>
      </c>
      <c r="P6" s="31" t="n">
        <v>64.8</v>
      </c>
      <c r="Q6" s="31" t="n">
        <v>363.66</v>
      </c>
      <c r="R6" s="30" t="inlineStr">
        <is>
          <t>Volume Spike &amp; Near 52W High Breakout</t>
        </is>
      </c>
      <c r="S6" s="30" t="inlineStr">
        <is>
          <t>Nifty 50</t>
        </is>
      </c>
      <c r="T6" s="31" t="n">
        <v>0.85</v>
      </c>
      <c r="U6" s="31" t="n">
        <v>2041.92</v>
      </c>
      <c r="V6" s="31" t="n">
        <v>2023.84</v>
      </c>
      <c r="W6" s="31" t="n">
        <v>110.03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23</t>
        </is>
      </c>
      <c r="CG6" s="30">
        <f>IF(CF6&gt;20,10,IF(CF6&gt;=10,5,2))</f>
        <v/>
      </c>
    </row>
    <row r="7">
      <c r="A7" s="30">
        <f>IF(B7=0,"",RANK(B7,$B$2:$B$90,0))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REDINGTON</t>
        </is>
      </c>
      <c r="D7" s="30" t="inlineStr">
        <is>
          <t>Redington Ltd</t>
        </is>
      </c>
      <c r="E7" s="30" t="inlineStr">
        <is>
          <t>services</t>
        </is>
      </c>
      <c r="F7" s="30" t="inlineStr">
        <is>
          <t>Computer - Hardware</t>
        </is>
      </c>
      <c r="G7" s="30" t="inlineStr">
        <is>
          <t>largecap</t>
        </is>
      </c>
      <c r="H7" s="31" t="n">
        <v>27205.75</v>
      </c>
      <c r="I7" s="31" t="n">
        <v>348</v>
      </c>
      <c r="J7" s="31" t="n">
        <v>-0.78</v>
      </c>
      <c r="K7" s="31" t="n">
        <v>0</v>
      </c>
      <c r="L7" s="30" t="n">
        <v>83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72.8</v>
      </c>
      <c r="P7" s="31" t="n">
        <v>27.91</v>
      </c>
      <c r="Q7" s="31" t="n">
        <v>274.06</v>
      </c>
      <c r="R7" s="30" t="inlineStr">
        <is>
          <t>Volume Spike &amp; Near 52W High Breakout</t>
        </is>
      </c>
      <c r="S7" s="30" t="inlineStr">
        <is>
          <t>Nifty 50</t>
        </is>
      </c>
      <c r="T7" s="31" t="n">
        <v>0.85</v>
      </c>
      <c r="U7" s="31" t="n">
        <v>50.41</v>
      </c>
      <c r="V7" s="31" t="n">
        <v>49.14</v>
      </c>
      <c r="W7" s="31" t="n">
        <v>24.27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23</t>
        </is>
      </c>
      <c r="CG7" s="30">
        <f>IF(CF7&gt;20,10,IF(CF7&gt;=10,5,2))</f>
        <v/>
      </c>
    </row>
    <row r="8">
      <c r="A8" s="30">
        <f>IF(B8=0,"",RANK(B8,$B$2:$B$90,0))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ATHERENERG</t>
        </is>
      </c>
      <c r="D8" s="30" t="inlineStr">
        <is>
          <t>Ather Energy Ltd</t>
        </is>
      </c>
      <c r="E8" s="30" t="inlineStr">
        <is>
          <t>auto</t>
        </is>
      </c>
      <c r="F8" s="30" t="inlineStr">
        <is>
          <t>Auto - 2 &amp; 3 Wheelers</t>
        </is>
      </c>
      <c r="G8" s="30" t="inlineStr">
        <is>
          <t>largecap</t>
        </is>
      </c>
      <c r="H8" s="31" t="n">
        <v>58542.79</v>
      </c>
      <c r="I8" s="31" t="n">
        <v>1484</v>
      </c>
      <c r="J8" s="31" t="n">
        <v>2.12</v>
      </c>
      <c r="K8" s="31" t="n">
        <v>0</v>
      </c>
      <c r="L8" s="30" t="n">
        <v>98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80.06999999999999</v>
      </c>
      <c r="P8" s="31" t="n">
        <v>58.56</v>
      </c>
      <c r="Q8" s="31" t="n">
        <v>1142.55</v>
      </c>
      <c r="R8" s="30" t="inlineStr">
        <is>
          <t>Volume Spike &amp; Near 52W High Breakout</t>
        </is>
      </c>
      <c r="S8" s="30" t="inlineStr">
        <is>
          <t>Nifty Auto</t>
        </is>
      </c>
      <c r="T8" s="31" t="n">
        <v>24.67</v>
      </c>
      <c r="U8" s="31" t="n">
        <v>343.16</v>
      </c>
      <c r="V8" s="31" t="n">
        <v>255.48</v>
      </c>
      <c r="W8" s="31" t="n">
        <v>55.39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22</t>
        </is>
      </c>
      <c r="CG8" s="30">
        <f>IF(CF8&gt;20,10,IF(CF8&gt;=10,5,2))</f>
        <v/>
      </c>
    </row>
    <row r="9">
      <c r="A9" s="30">
        <f>IF(B9=0,"",RANK(B9,$B$2:$B$90,0))</f>
        <v/>
      </c>
      <c r="B9" s="31">
        <f>SUM(N9,Y9,AA9,AC9,AE9,AG9,AI9,AK9,AM9,AO9,AQ9,AS9,AU9,AW9,AY9,BA9,BC9,BE9,BG9,BI9,BK9,BM9,BO9,BQ9,BS9,BU9,BW9,BY9,CA9,CC9,CE9,CG9)</f>
        <v/>
      </c>
      <c r="C9" s="33" t="inlineStr">
        <is>
          <t>AIMTRON</t>
        </is>
      </c>
      <c r="D9" s="33" t="inlineStr">
        <is>
          <t>Aimtron Electronics Ltd</t>
        </is>
      </c>
      <c r="E9" s="30" t="inlineStr">
        <is>
          <t>unknown</t>
        </is>
      </c>
      <c r="F9" s="30" t="inlineStr">
        <is>
          <t>EMS</t>
        </is>
      </c>
      <c r="G9" s="30" t="inlineStr">
        <is>
          <t>smallcap</t>
        </is>
      </c>
      <c r="H9" s="31" t="n">
        <v>3445.08</v>
      </c>
      <c r="I9" s="31" t="n">
        <v>1653</v>
      </c>
      <c r="J9" s="31" t="n">
        <v>1.29</v>
      </c>
      <c r="K9" s="31" t="n">
        <v>0</v>
      </c>
      <c r="L9" s="30" t="n">
        <v>89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78.77</v>
      </c>
      <c r="P9" s="31" t="n">
        <v>61.24</v>
      </c>
      <c r="Q9" s="31" t="n">
        <v>1230.34</v>
      </c>
      <c r="R9" s="30" t="inlineStr">
        <is>
          <t>Volume Spike &amp; Near 52W High Breakout</t>
        </is>
      </c>
      <c r="S9" s="30" t="inlineStr">
        <is>
          <t>Nifty 50</t>
        </is>
      </c>
      <c r="T9" s="31" t="n">
        <v>0.85</v>
      </c>
      <c r="U9" s="31" t="n">
        <v>134.88</v>
      </c>
      <c r="V9" s="31" t="n">
        <v>132.9</v>
      </c>
      <c r="W9" s="31" t="n">
        <v>30.51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19</t>
        </is>
      </c>
      <c r="CG9" s="30">
        <f>IF(CF9&gt;20,10,IF(CF9&gt;=10,5,2))</f>
        <v/>
      </c>
    </row>
    <row r="10">
      <c r="A10" s="30">
        <f>IF(B10=0,"",RANK(B10,$B$2:$B$90,0))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3" t="inlineStr">
        <is>
          <t>PGIL</t>
        </is>
      </c>
      <c r="D10" s="33" t="inlineStr">
        <is>
          <t>Pearl Global Industries Ltd</t>
        </is>
      </c>
      <c r="E10" s="30" t="inlineStr">
        <is>
          <t>consumer discretionary</t>
        </is>
      </c>
      <c r="F10" s="30" t="inlineStr">
        <is>
          <t>Textiles - Readymade Apparel</t>
        </is>
      </c>
      <c r="G10" s="30" t="inlineStr">
        <is>
          <t>midcap</t>
        </is>
      </c>
      <c r="H10" s="31" t="n">
        <v>11339.78</v>
      </c>
      <c r="I10" s="31" t="n">
        <v>2455</v>
      </c>
      <c r="J10" s="31" t="n">
        <v>10.51</v>
      </c>
      <c r="K10" s="31" t="n">
        <v>0</v>
      </c>
      <c r="L10" s="30" t="n">
        <v>87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75.8</v>
      </c>
      <c r="P10" s="31" t="n">
        <v>50.76</v>
      </c>
      <c r="Q10" s="31" t="n">
        <v>1898.3</v>
      </c>
      <c r="R10" s="30" t="inlineStr">
        <is>
          <t>Volume Spike &amp; Near 52W High Breakout</t>
        </is>
      </c>
      <c r="S10" s="30" t="inlineStr">
        <is>
          <t>Nifty 50</t>
        </is>
      </c>
      <c r="T10" s="31" t="n">
        <v>0.85</v>
      </c>
      <c r="U10" s="31" t="n">
        <v>86.56999999999999</v>
      </c>
      <c r="V10" s="31" t="n">
        <v>84.98999999999999</v>
      </c>
      <c r="W10" s="31" t="n">
        <v>26.71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Between 1.5 to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30</t>
        </is>
      </c>
      <c r="CG10" s="30">
        <f>IF(CF10&gt;20,10,IF(CF10&gt;=10,5,2))</f>
        <v/>
      </c>
    </row>
    <row r="11">
      <c r="A11" s="30">
        <f>IF(B11=0,"",RANK(B11,$B$2:$B$90,0))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SJS</t>
        </is>
      </c>
      <c r="D11" s="30" t="inlineStr">
        <is>
          <t>S J S Enterprises Ltd</t>
        </is>
      </c>
      <c r="E11" s="30" t="inlineStr">
        <is>
          <t>auto</t>
        </is>
      </c>
      <c r="F11" s="30" t="inlineStr">
        <is>
          <t>Auto Ancillaries - Diversified</t>
        </is>
      </c>
      <c r="G11" s="30" t="inlineStr">
        <is>
          <t>midcap</t>
        </is>
      </c>
      <c r="H11" s="31" t="n">
        <v>7782.48</v>
      </c>
      <c r="I11" s="31" t="n">
        <v>2430</v>
      </c>
      <c r="J11" s="31" t="n">
        <v>-0.32</v>
      </c>
      <c r="K11" s="31" t="n">
        <v>0</v>
      </c>
      <c r="L11" s="30" t="n">
        <v>86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71.73</v>
      </c>
      <c r="P11" s="31" t="n">
        <v>42.12</v>
      </c>
      <c r="Q11" s="31" t="n">
        <v>1965.48</v>
      </c>
      <c r="R11" s="30" t="inlineStr">
        <is>
          <t>Volume Spike &amp; Near 52W High Breakout</t>
        </is>
      </c>
      <c r="S11" s="30" t="inlineStr">
        <is>
          <t>Nifty Auto</t>
        </is>
      </c>
      <c r="T11" s="31" t="n">
        <v>24.67</v>
      </c>
      <c r="U11" s="31" t="n">
        <v>96.09999999999999</v>
      </c>
      <c r="V11" s="31" t="n">
        <v>57.3</v>
      </c>
      <c r="W11" s="31" t="n">
        <v>26.18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24</t>
        </is>
      </c>
      <c r="CG11" s="30">
        <f>IF(CF11&gt;20,10,IF(CF11&gt;=10,5,2))</f>
        <v/>
      </c>
    </row>
    <row r="12">
      <c r="A12" s="30">
        <f>IF(B12=0,"",RANK(B12,$B$2:$B$90,0))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3" t="inlineStr">
        <is>
          <t>RATEGAIN</t>
        </is>
      </c>
      <c r="D12" s="33" t="inlineStr">
        <is>
          <t>Rategain Travel Technologies Ltd</t>
        </is>
      </c>
      <c r="E12" s="30" t="inlineStr">
        <is>
          <t>i.t</t>
        </is>
      </c>
      <c r="F12" s="30" t="inlineStr">
        <is>
          <t>IT Product Companies</t>
        </is>
      </c>
      <c r="G12" s="30" t="inlineStr">
        <is>
          <t>midcap</t>
        </is>
      </c>
      <c r="H12" s="31" t="n">
        <v>11332.76</v>
      </c>
      <c r="I12" s="31" t="n">
        <v>956.65</v>
      </c>
      <c r="J12" s="31" t="n">
        <v>1.24</v>
      </c>
      <c r="K12" s="31" t="n">
        <v>0</v>
      </c>
      <c r="L12" s="30" t="n">
        <v>87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73.01000000000001</v>
      </c>
      <c r="P12" s="31" t="n">
        <v>41.84</v>
      </c>
      <c r="Q12" s="31" t="n">
        <v>721.67</v>
      </c>
      <c r="R12" s="30" t="inlineStr">
        <is>
          <t>Volume Spike &amp; Near 52W High Breakout</t>
        </is>
      </c>
      <c r="S12" s="30" t="inlineStr">
        <is>
          <t>Nifty IT</t>
        </is>
      </c>
      <c r="T12" s="31" t="n">
        <v>-8.289999999999999</v>
      </c>
      <c r="U12" s="31" t="n">
        <v>100.24</v>
      </c>
      <c r="V12" s="31" t="n">
        <v>118.34</v>
      </c>
      <c r="W12" s="31" t="n">
        <v>27.29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22</t>
        </is>
      </c>
      <c r="CG12" s="30">
        <f>IF(CF12&gt;20,10,IF(CF12&gt;=10,5,2))</f>
        <v/>
      </c>
    </row>
    <row r="13">
      <c r="A13" s="30">
        <f>IF(B13=0,"",RANK(B13,$B$2:$B$90,0))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3" t="inlineStr">
        <is>
          <t>SANGHVIMOV</t>
        </is>
      </c>
      <c r="D13" s="33" t="inlineStr">
        <is>
          <t>Sanghvi Movers Ltd</t>
        </is>
      </c>
      <c r="E13" s="30" t="inlineStr">
        <is>
          <t>miscellaneous</t>
        </is>
      </c>
      <c r="F13" s="30" t="inlineStr">
        <is>
          <t>Capital Goods - EPC/Cranes</t>
        </is>
      </c>
      <c r="G13" s="30" t="inlineStr">
        <is>
          <t>smallcap</t>
        </is>
      </c>
      <c r="H13" s="31" t="n">
        <v>4242.22</v>
      </c>
      <c r="I13" s="31" t="n">
        <v>490</v>
      </c>
      <c r="J13" s="31" t="n">
        <v>1.75</v>
      </c>
      <c r="K13" s="31" t="n">
        <v>0</v>
      </c>
      <c r="L13" s="30" t="n">
        <v>77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68.11</v>
      </c>
      <c r="P13" s="31" t="n">
        <v>38.5</v>
      </c>
      <c r="Q13" s="31" t="n">
        <v>360.25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0.85</v>
      </c>
      <c r="U13" s="31" t="n">
        <v>59.61</v>
      </c>
      <c r="V13" s="31" t="n">
        <v>58.27</v>
      </c>
      <c r="W13" s="31" t="n">
        <v>20.53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21</t>
        </is>
      </c>
      <c r="CG13" s="30">
        <f>IF(CF13&gt;20,10,IF(CF13&gt;=10,5,2))</f>
        <v/>
      </c>
    </row>
    <row r="14">
      <c r="A14" s="30">
        <f>IF(B14=0,"",RANK(B14,$B$2:$B$90,0))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BHEL</t>
        </is>
      </c>
      <c r="D14" s="30" t="inlineStr">
        <is>
          <t>Bharat Heavy Electricals Ltd</t>
        </is>
      </c>
      <c r="E14" s="30" t="inlineStr">
        <is>
          <t>Industrials</t>
        </is>
      </c>
      <c r="F14" s="30" t="inlineStr">
        <is>
          <t>Capital Goods - Engineering Heavy</t>
        </is>
      </c>
      <c r="G14" s="30" t="inlineStr">
        <is>
          <t>largecap</t>
        </is>
      </c>
      <c r="H14" s="31" t="n">
        <v>141093.21</v>
      </c>
      <c r="I14" s="31" t="n">
        <v>405.2</v>
      </c>
      <c r="J14" s="31" t="n">
        <v>-0.72</v>
      </c>
      <c r="K14" s="31" t="n">
        <v>0</v>
      </c>
      <c r="L14" s="30" t="n">
        <v>62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62.65</v>
      </c>
      <c r="P14" s="31" t="n">
        <v>44.3</v>
      </c>
      <c r="Q14" s="31" t="n">
        <v>337.49</v>
      </c>
      <c r="R14" s="30" t="inlineStr">
        <is>
          <t>Near 52W High Breakout</t>
        </is>
      </c>
      <c r="S14" s="30" t="inlineStr">
        <is>
          <t>Nifty 50</t>
        </is>
      </c>
      <c r="T14" s="31" t="n">
        <v>0.85</v>
      </c>
      <c r="U14" s="31" t="n">
        <v>82.53</v>
      </c>
      <c r="V14" s="31" t="n">
        <v>80.98999999999999</v>
      </c>
      <c r="W14" s="31" t="n">
        <v>14.44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19</t>
        </is>
      </c>
      <c r="CG14" s="30">
        <f>IF(CF14&gt;20,10,IF(CF14&gt;=10,5,2))</f>
        <v/>
      </c>
    </row>
    <row r="15">
      <c r="A15" s="30">
        <f>IF(B15=0,"",RANK(B15,$B$2:$B$90,0))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AETHER</t>
        </is>
      </c>
      <c r="D15" s="33" t="inlineStr">
        <is>
          <t>Aether Industries Ltd</t>
        </is>
      </c>
      <c r="E15" s="30" t="inlineStr">
        <is>
          <t>chemicals</t>
        </is>
      </c>
      <c r="F15" s="30" t="inlineStr">
        <is>
          <t>Speciality Chemicals</t>
        </is>
      </c>
      <c r="G15" s="30" t="inlineStr">
        <is>
          <t>largecap</t>
        </is>
      </c>
      <c r="H15" s="31" t="n">
        <v>21046.96</v>
      </c>
      <c r="I15" s="31" t="n">
        <v>1585.9</v>
      </c>
      <c r="J15" s="31" t="n">
        <v>0.09</v>
      </c>
      <c r="K15" s="31" t="n">
        <v>0</v>
      </c>
      <c r="L15" s="30" t="n">
        <v>82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74.94</v>
      </c>
      <c r="P15" s="31" t="n">
        <v>45.72</v>
      </c>
      <c r="Q15" s="31" t="n">
        <v>1270.37</v>
      </c>
      <c r="R15" s="30" t="inlineStr">
        <is>
          <t>Near 52W High Breakout</t>
        </is>
      </c>
      <c r="S15" s="30" t="inlineStr">
        <is>
          <t>Nifty 50</t>
        </is>
      </c>
      <c r="T15" s="31" t="n">
        <v>0.85</v>
      </c>
      <c r="U15" s="31" t="n">
        <v>116.82</v>
      </c>
      <c r="V15" s="31" t="n">
        <v>114.99</v>
      </c>
      <c r="W15" s="31" t="n">
        <v>24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19</t>
        </is>
      </c>
      <c r="CG15" s="30">
        <f>IF(CF15&gt;20,10,IF(CF15&gt;=10,5,2))</f>
        <v/>
      </c>
    </row>
    <row r="16">
      <c r="A16" s="30">
        <f>IF(B16=0,"",RANK(B16,$B$2:$B$90,0))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CNL</t>
        </is>
      </c>
      <c r="D16" s="30" t="inlineStr">
        <is>
          <t>Creative Newtech Ltd</t>
        </is>
      </c>
      <c r="E16" s="30" t="inlineStr">
        <is>
          <t>Technology</t>
        </is>
      </c>
      <c r="F16" s="30" t="inlineStr">
        <is>
          <t>E-Commerce - Platform - Utility</t>
        </is>
      </c>
      <c r="G16" s="30" t="inlineStr">
        <is>
          <t>smallcap</t>
        </is>
      </c>
      <c r="H16" s="31" t="n">
        <v>1683.07</v>
      </c>
      <c r="I16" s="31" t="n">
        <v>1120.8</v>
      </c>
      <c r="J16" s="31" t="n">
        <v>2.88</v>
      </c>
      <c r="K16" s="31" t="n">
        <v>0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85.69</v>
      </c>
      <c r="P16" s="31" t="n">
        <v>43.55</v>
      </c>
      <c r="Q16" s="31" t="n">
        <v>853.3099999999999</v>
      </c>
      <c r="R16" s="30" t="inlineStr">
        <is>
          <t>Near 52W High Breakout</t>
        </is>
      </c>
      <c r="S16" s="30" t="inlineStr">
        <is>
          <t>Nifty 50</t>
        </is>
      </c>
      <c r="T16" s="31" t="n">
        <v>0.85</v>
      </c>
      <c r="U16" s="31" t="n">
        <v>81.56</v>
      </c>
      <c r="V16" s="31" t="n">
        <v>80.03</v>
      </c>
      <c r="W16" s="31" t="n">
        <v>31.47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Oligopoly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Between 0.7 to 1.2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21</t>
        </is>
      </c>
      <c r="CG16" s="30">
        <f>IF(CF16&gt;20,10,IF(CF16&gt;=10,5,2))</f>
        <v/>
      </c>
    </row>
    <row r="17">
      <c r="A17" s="30">
        <f>IF(B17=0,"",RANK(B17,$B$2:$B$90,0))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CUPID</t>
        </is>
      </c>
      <c r="D17" s="30" t="inlineStr">
        <is>
          <t>Cupid Ltd</t>
        </is>
      </c>
      <c r="E17" s="30" t="inlineStr">
        <is>
          <t>fmcg</t>
        </is>
      </c>
      <c r="F17" s="30" t="inlineStr">
        <is>
          <t>Contraceptives/Protectives</t>
        </is>
      </c>
      <c r="G17" s="30" t="inlineStr">
        <is>
          <t>largecap</t>
        </is>
      </c>
      <c r="H17" s="31" t="n">
        <v>35356.51</v>
      </c>
      <c r="I17" s="31" t="n">
        <v>262.94</v>
      </c>
      <c r="J17" s="31" t="n">
        <v>0.13</v>
      </c>
      <c r="K17" s="31" t="n">
        <v>0</v>
      </c>
      <c r="L17" s="30" t="n">
        <v>99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91.88</v>
      </c>
      <c r="P17" s="31" t="n">
        <v>69.43000000000001</v>
      </c>
      <c r="Q17" s="31" t="n">
        <v>209.03</v>
      </c>
      <c r="R17" s="30" t="inlineStr">
        <is>
          <t>Near 52W High Breakout</t>
        </is>
      </c>
      <c r="S17" s="30" t="inlineStr">
        <is>
          <t>Nifty FMCG</t>
        </is>
      </c>
      <c r="T17" s="31" t="n">
        <v>-9.43</v>
      </c>
      <c r="U17" s="31" t="n">
        <v>786.11</v>
      </c>
      <c r="V17" s="31" t="n">
        <v>878.33</v>
      </c>
      <c r="W17" s="31" t="n">
        <v>86.77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19</t>
        </is>
      </c>
      <c r="CG17" s="30">
        <f>IF(CF17&gt;20,10,IF(CF17&gt;=10,5,2))</f>
        <v/>
      </c>
    </row>
    <row r="18">
      <c r="A18" s="30">
        <f>IF(B18=0,"",RANK(B18,$B$2:$B$90,0))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UNIPARTS</t>
        </is>
      </c>
      <c r="D18" s="30" t="inlineStr">
        <is>
          <t>Uniparts India Ltd</t>
        </is>
      </c>
      <c r="E18" s="30" t="inlineStr">
        <is>
          <t>industrials</t>
        </is>
      </c>
      <c r="F18" s="30" t="inlineStr">
        <is>
          <t>Castings, Forgings &amp; Fastners</t>
        </is>
      </c>
      <c r="G18" s="30" t="inlineStr">
        <is>
          <t>smallcap</t>
        </is>
      </c>
      <c r="H18" s="31" t="n">
        <v>3654.79</v>
      </c>
      <c r="I18" s="31" t="n">
        <v>809.6</v>
      </c>
      <c r="J18" s="31" t="n">
        <v>3.6</v>
      </c>
      <c r="K18" s="31" t="n">
        <v>0</v>
      </c>
      <c r="L18" s="30" t="n">
        <v>92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78.87</v>
      </c>
      <c r="P18" s="31" t="n">
        <v>59.62</v>
      </c>
      <c r="Q18" s="31" t="n">
        <v>649.28</v>
      </c>
      <c r="R18" s="30" t="inlineStr">
        <is>
          <t>Volume Spike &amp; Near 52W High Breakout</t>
        </is>
      </c>
      <c r="S18" s="30" t="inlineStr">
        <is>
          <t>Nifty 50</t>
        </is>
      </c>
      <c r="T18" s="31" t="n">
        <v>0.85</v>
      </c>
      <c r="U18" s="31" t="n">
        <v>159.52</v>
      </c>
      <c r="V18" s="31" t="n">
        <v>157.33</v>
      </c>
      <c r="W18" s="31" t="n">
        <v>31.72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29</t>
        </is>
      </c>
      <c r="CG18" s="30">
        <f>IF(CF18&gt;20,10,IF(CF18&gt;=10,5,2))</f>
        <v/>
      </c>
    </row>
    <row r="19">
      <c r="A19" s="30">
        <f>IF(B19=0,"",RANK(B19,$B$2:$B$90,0))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CENTENKA</t>
        </is>
      </c>
      <c r="D19" s="30" t="inlineStr">
        <is>
          <t>Century Enka Ltd</t>
        </is>
      </c>
      <c r="E19" s="30" t="inlineStr">
        <is>
          <t>textiles</t>
        </is>
      </c>
      <c r="F19" s="30" t="inlineStr">
        <is>
          <t>Textiles - Manmade Fibre - PFY/PSF</t>
        </is>
      </c>
      <c r="G19" s="30" t="inlineStr">
        <is>
          <t>smallcap</t>
        </is>
      </c>
      <c r="H19" s="31" t="n">
        <v>1328.63</v>
      </c>
      <c r="I19" s="31" t="n">
        <v>608.05</v>
      </c>
      <c r="J19" s="31" t="n">
        <v>0.89</v>
      </c>
      <c r="K19" s="31" t="n">
        <v>0</v>
      </c>
      <c r="L19" s="30" t="n">
        <v>56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70.97</v>
      </c>
      <c r="P19" s="31" t="n">
        <v>60.76</v>
      </c>
      <c r="Q19" s="31" t="n">
        <v>467.22</v>
      </c>
      <c r="R19" s="30" t="inlineStr">
        <is>
          <t>Near 52W High Breakout</t>
        </is>
      </c>
      <c r="S19" s="30" t="inlineStr">
        <is>
          <t>Nifty 50</t>
        </is>
      </c>
      <c r="T19" s="31" t="n">
        <v>0.85</v>
      </c>
      <c r="U19" s="31" t="n">
        <v>23.22</v>
      </c>
      <c r="V19" s="31" t="n">
        <v>22.18</v>
      </c>
      <c r="W19" s="31" t="n">
        <v>13.14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24</t>
        </is>
      </c>
      <c r="CG19" s="30">
        <f>IF(CF19&gt;20,10,IF(CF19&gt;=10,5,2))</f>
        <v/>
      </c>
    </row>
    <row r="20">
      <c r="A20" s="30">
        <f>IF(B20=0,"",RANK(B20,$B$2:$B$90,0))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SPORTKING</t>
        </is>
      </c>
      <c r="D20" s="30" t="inlineStr">
        <is>
          <t>Sportking India Ltd</t>
        </is>
      </c>
      <c r="E20" s="30" t="inlineStr">
        <is>
          <t>textiles</t>
        </is>
      </c>
      <c r="F20" s="30" t="inlineStr">
        <is>
          <t>Textiles - Spinning</t>
        </is>
      </c>
      <c r="G20" s="30" t="inlineStr">
        <is>
          <t>smallcap</t>
        </is>
      </c>
      <c r="H20" s="31" t="n">
        <v>2728.87</v>
      </c>
      <c r="I20" s="31" t="n">
        <v>214.75</v>
      </c>
      <c r="J20" s="31" t="n">
        <v>3.91</v>
      </c>
      <c r="K20" s="31" t="n">
        <v>0</v>
      </c>
      <c r="L20" s="30" t="n">
        <v>86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75.15000000000001</v>
      </c>
      <c r="P20" s="31" t="n">
        <v>71.13</v>
      </c>
      <c r="Q20" s="31" t="n">
        <v>155.04</v>
      </c>
      <c r="R20" s="30" t="inlineStr">
        <is>
          <t>Volume Spike &amp; Near 52W High Breakout</t>
        </is>
      </c>
      <c r="S20" s="30" t="inlineStr">
        <is>
          <t>Nifty 50</t>
        </is>
      </c>
      <c r="T20" s="31" t="n">
        <v>0.85</v>
      </c>
      <c r="U20" s="31" t="n">
        <v>103.72</v>
      </c>
      <c r="V20" s="31" t="n">
        <v>102</v>
      </c>
      <c r="W20" s="31" t="n">
        <v>25.86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24</t>
        </is>
      </c>
      <c r="CG20" s="30">
        <f>IF(CF20&gt;20,10,IF(CF20&gt;=10,5,2))</f>
        <v/>
      </c>
    </row>
    <row r="21">
      <c r="A21" s="30">
        <f>IF(B21=0,"",RANK(B21,$B$2:$B$90,0))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AEGISLOG</t>
        </is>
      </c>
      <c r="D21" s="30" t="inlineStr">
        <is>
          <t>Aegis Logistics Ltd</t>
        </is>
      </c>
      <c r="E21" s="30" t="inlineStr">
        <is>
          <t>services</t>
        </is>
      </c>
      <c r="F21" s="30" t="inlineStr">
        <is>
          <t>Logistics</t>
        </is>
      </c>
      <c r="G21" s="30" t="inlineStr">
        <is>
          <t>largecap</t>
        </is>
      </c>
      <c r="H21" s="31" t="n">
        <v>47872.89</v>
      </c>
      <c r="I21" s="31" t="n">
        <v>1363.9</v>
      </c>
      <c r="J21" s="31" t="n">
        <v>-2.58</v>
      </c>
      <c r="K21" s="31" t="n">
        <v>0</v>
      </c>
      <c r="L21" s="30" t="n">
        <v>94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76.15000000000001</v>
      </c>
      <c r="P21" s="31" t="n">
        <v>49.23</v>
      </c>
      <c r="Q21" s="31" t="n">
        <v>1010.12</v>
      </c>
      <c r="R21" s="30" t="inlineStr">
        <is>
          <t>Near 52W High Breakout</t>
        </is>
      </c>
      <c r="S21" s="30" t="inlineStr">
        <is>
          <t>Nifty 50</t>
        </is>
      </c>
      <c r="T21" s="31" t="n">
        <v>0.85</v>
      </c>
      <c r="U21" s="31" t="n">
        <v>93.36</v>
      </c>
      <c r="V21" s="31" t="n">
        <v>91.73</v>
      </c>
      <c r="W21" s="31" t="n">
        <v>36.86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IF(B22=0,"",RANK(B22,$B$2:$B$90,0))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SHILPAMED</t>
        </is>
      </c>
      <c r="D22" s="33" t="inlineStr">
        <is>
          <t>Shilpa Medicare Ltd</t>
        </is>
      </c>
      <c r="E22" s="30" t="inlineStr">
        <is>
          <t>healthcare</t>
        </is>
      </c>
      <c r="F22" s="30" t="inlineStr">
        <is>
          <t>Pharma - API &amp; CRAMS</t>
        </is>
      </c>
      <c r="G22" s="30" t="inlineStr">
        <is>
          <t>midcap</t>
        </is>
      </c>
      <c r="H22" s="31" t="n">
        <v>14791.85</v>
      </c>
      <c r="I22" s="31" t="n">
        <v>756.3</v>
      </c>
      <c r="J22" s="31" t="n">
        <v>2.37</v>
      </c>
      <c r="K22" s="31" t="n">
        <v>0</v>
      </c>
      <c r="L22" s="30" t="n">
        <v>92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86.81</v>
      </c>
      <c r="P22" s="31" t="n">
        <v>70.91</v>
      </c>
      <c r="Q22" s="31" t="n">
        <v>601.59</v>
      </c>
      <c r="R22" s="30" t="inlineStr">
        <is>
          <t>Volume Spike &amp; Near 52W High Breakout</t>
        </is>
      </c>
      <c r="S22" s="30" t="inlineStr">
        <is>
          <t>Nifty Pharma</t>
        </is>
      </c>
      <c r="T22" s="31" t="n">
        <v>24.01</v>
      </c>
      <c r="U22" s="31" t="n">
        <v>82.84999999999999</v>
      </c>
      <c r="V22" s="31" t="n">
        <v>47.45</v>
      </c>
      <c r="W22" s="31" t="n">
        <v>32.09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28</t>
        </is>
      </c>
      <c r="CG22" s="30">
        <f>IF(CF22&gt;20,10,IF(CF22&gt;=10,5,2))</f>
        <v/>
      </c>
    </row>
    <row r="23">
      <c r="A23" s="30">
        <f>IF(B23=0,"",RANK(B23,$B$2:$B$90,0))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AVALON</t>
        </is>
      </c>
      <c r="D23" s="33" t="inlineStr">
        <is>
          <t>Avalon Technologies Ltd</t>
        </is>
      </c>
      <c r="E23" s="30" t="inlineStr">
        <is>
          <t>consumer discretionary</t>
        </is>
      </c>
      <c r="F23" s="30" t="inlineStr">
        <is>
          <t>Consumer Electronics - EMS</t>
        </is>
      </c>
      <c r="G23" s="30" t="inlineStr">
        <is>
          <t>midcap</t>
        </is>
      </c>
      <c r="H23" s="31" t="n">
        <v>13148.55</v>
      </c>
      <c r="I23" s="31" t="n">
        <v>1968</v>
      </c>
      <c r="J23" s="31" t="n">
        <v>10.9</v>
      </c>
      <c r="K23" s="31" t="n">
        <v>0</v>
      </c>
      <c r="L23" s="30" t="n">
        <v>87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79.86</v>
      </c>
      <c r="P23" s="31" t="n">
        <v>58.42</v>
      </c>
      <c r="Q23" s="31" t="n">
        <v>1498.36</v>
      </c>
      <c r="R23" s="30" t="inlineStr">
        <is>
          <t>Volume Spike &amp; Near 52W High Breakout</t>
        </is>
      </c>
      <c r="S23" s="30" t="inlineStr">
        <is>
          <t>Nifty 50</t>
        </is>
      </c>
      <c r="T23" s="31" t="n">
        <v>0.85</v>
      </c>
      <c r="U23" s="31" t="n">
        <v>119.41</v>
      </c>
      <c r="V23" s="31" t="n">
        <v>117.56</v>
      </c>
      <c r="W23" s="31" t="n">
        <v>26.65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26</t>
        </is>
      </c>
      <c r="CG23" s="30">
        <f>IF(CF23&gt;20,10,IF(CF23&gt;=10,5,2))</f>
        <v/>
      </c>
    </row>
    <row r="24">
      <c r="A24" s="30">
        <f>IF(B24=0,"",RANK(B24,$B$2:$B$90,0))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3" t="inlineStr">
        <is>
          <t>FIEMIND</t>
        </is>
      </c>
      <c r="D24" s="33" t="inlineStr">
        <is>
          <t>Fiem Industries Ltd</t>
        </is>
      </c>
      <c r="E24" s="30" t="inlineStr">
        <is>
          <t>auto</t>
        </is>
      </c>
      <c r="F24" s="30" t="inlineStr">
        <is>
          <t>Auto Ancillaries - 2&amp;3 Wheelers</t>
        </is>
      </c>
      <c r="G24" s="30" t="inlineStr">
        <is>
          <t>midcap</t>
        </is>
      </c>
      <c r="H24" s="31" t="n">
        <v>6716.78</v>
      </c>
      <c r="I24" s="31" t="n">
        <v>2552</v>
      </c>
      <c r="J24" s="31" t="n">
        <v>2.92</v>
      </c>
      <c r="K24" s="31" t="n">
        <v>0</v>
      </c>
      <c r="L24" s="30" t="n">
        <v>47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72.28</v>
      </c>
      <c r="P24" s="31" t="n">
        <v>25.4</v>
      </c>
      <c r="Q24" s="31" t="n">
        <v>2124.88</v>
      </c>
      <c r="R24" s="30" t="inlineStr">
        <is>
          <t>Volume Spike &amp; Near 52W High Breakout</t>
        </is>
      </c>
      <c r="S24" s="30" t="inlineStr">
        <is>
          <t>Nifty Auto</t>
        </is>
      </c>
      <c r="T24" s="31" t="n">
        <v>24.67</v>
      </c>
      <c r="U24" s="31" t="n">
        <v>32.12</v>
      </c>
      <c r="V24" s="31" t="n">
        <v>5.98</v>
      </c>
      <c r="W24" s="31" t="n">
        <v>10.13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25</t>
        </is>
      </c>
      <c r="CG24" s="30">
        <f>IF(CF24&gt;20,10,IF(CF24&gt;=10,5,2))</f>
        <v/>
      </c>
    </row>
    <row r="25">
      <c r="A25" s="30">
        <f>IF(B25=0,"",RANK(B25,$B$2:$B$90,0))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GHCLTEXTIL</t>
        </is>
      </c>
      <c r="D25" s="30" t="inlineStr">
        <is>
          <t>GHCL Textiles Ltd</t>
        </is>
      </c>
      <c r="E25" s="30" t="inlineStr">
        <is>
          <t>textiles</t>
        </is>
      </c>
      <c r="F25" s="30" t="inlineStr">
        <is>
          <t>Textiles - General</t>
        </is>
      </c>
      <c r="G25" s="30" t="inlineStr">
        <is>
          <t>smallcap</t>
        </is>
      </c>
      <c r="H25" s="31" t="n">
        <v>1163.37</v>
      </c>
      <c r="I25" s="31" t="n">
        <v>121.71</v>
      </c>
      <c r="J25" s="31" t="n">
        <v>1.42</v>
      </c>
      <c r="K25" s="31" t="n">
        <v>0</v>
      </c>
      <c r="L25" s="30" t="n">
        <v>69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73.45999999999999</v>
      </c>
      <c r="P25" s="31" t="n">
        <v>30.32</v>
      </c>
      <c r="Q25" s="31" t="n">
        <v>93.78</v>
      </c>
      <c r="R25" s="30" t="inlineStr">
        <is>
          <t>Near 52W High Breakout</t>
        </is>
      </c>
      <c r="S25" s="30" t="inlineStr">
        <is>
          <t>Nifty 50</t>
        </is>
      </c>
      <c r="T25" s="31" t="n">
        <v>0.85</v>
      </c>
      <c r="U25" s="31" t="n">
        <v>53.55</v>
      </c>
      <c r="V25" s="31" t="n">
        <v>52.25</v>
      </c>
      <c r="W25" s="31" t="n">
        <v>16.52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23</t>
        </is>
      </c>
      <c r="CG25" s="30">
        <f>IF(CF25&gt;20,10,IF(CF25&gt;=10,5,2))</f>
        <v/>
      </c>
    </row>
    <row r="26">
      <c r="A26" s="30">
        <f>IF(B26=0,"",RANK(B26,$B$2:$B$90,0))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RRKABEL</t>
        </is>
      </c>
      <c r="D26" s="30" t="inlineStr">
        <is>
          <t>R R Kabel Ltd</t>
        </is>
      </c>
      <c r="E26" s="30" t="inlineStr">
        <is>
          <t>industrials</t>
        </is>
      </c>
      <c r="F26" s="30" t="inlineStr">
        <is>
          <t>Cables - Power</t>
        </is>
      </c>
      <c r="G26" s="30" t="inlineStr">
        <is>
          <t>largecap</t>
        </is>
      </c>
      <c r="H26" s="31" t="n">
        <v>31159.44</v>
      </c>
      <c r="I26" s="31" t="n">
        <v>2754.9</v>
      </c>
      <c r="J26" s="31" t="n">
        <v>-0.34</v>
      </c>
      <c r="K26" s="31" t="n">
        <v>0</v>
      </c>
      <c r="L26" s="30" t="n">
        <v>94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77.01000000000001</v>
      </c>
      <c r="P26" s="31" t="n">
        <v>66.44</v>
      </c>
      <c r="Q26" s="31" t="n">
        <v>2177.15</v>
      </c>
      <c r="R26" s="30" t="inlineStr">
        <is>
          <t>Near 52W High Breakout</t>
        </is>
      </c>
      <c r="S26" s="30" t="inlineStr">
        <is>
          <t>Nifty Energy</t>
        </is>
      </c>
      <c r="T26" s="31" t="n">
        <v>9.93</v>
      </c>
      <c r="U26" s="31" t="n">
        <v>98.70999999999999</v>
      </c>
      <c r="V26" s="31" t="n">
        <v>80.77</v>
      </c>
      <c r="W26" s="31" t="n">
        <v>37.67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23</t>
        </is>
      </c>
      <c r="CG26" s="30">
        <f>IF(CF26&gt;20,10,IF(CF26&gt;=10,5,2))</f>
        <v/>
      </c>
    </row>
    <row r="27">
      <c r="A27" s="30">
        <f>IF(B27=0,"",RANK(B27,$B$2:$B$90,0))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MPSLTD</t>
        </is>
      </c>
      <c r="D27" s="30" t="inlineStr">
        <is>
          <t>MPS Ltd</t>
        </is>
      </c>
      <c r="E27" s="30" t="inlineStr">
        <is>
          <t>i.t</t>
        </is>
      </c>
      <c r="F27" s="30" t="inlineStr">
        <is>
          <t>E-Commerce - Platform - Utility</t>
        </is>
      </c>
      <c r="G27" s="30" t="inlineStr">
        <is>
          <t>midcap</t>
        </is>
      </c>
      <c r="H27" s="31" t="n">
        <v>5019.02</v>
      </c>
      <c r="I27" s="31" t="n">
        <v>2934.1</v>
      </c>
      <c r="J27" s="31" t="n">
        <v>6.16</v>
      </c>
      <c r="K27" s="31" t="n">
        <v>0</v>
      </c>
      <c r="L27" s="30" t="n">
        <v>83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77.14</v>
      </c>
      <c r="P27" s="31" t="n">
        <v>30.74</v>
      </c>
      <c r="Q27" s="31" t="n">
        <v>2308.56</v>
      </c>
      <c r="R27" s="30" t="inlineStr">
        <is>
          <t>Near 52W High Breakout</t>
        </is>
      </c>
      <c r="S27" s="30" t="inlineStr">
        <is>
          <t>Nifty IT</t>
        </is>
      </c>
      <c r="T27" s="31" t="n">
        <v>-8.289999999999999</v>
      </c>
      <c r="U27" s="31" t="n">
        <v>32.1</v>
      </c>
      <c r="V27" s="31" t="n">
        <v>44.03</v>
      </c>
      <c r="W27" s="31" t="n">
        <v>24.58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Oligopoly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23</t>
        </is>
      </c>
      <c r="CG27" s="30">
        <f>IF(CF27&gt;20,10,IF(CF27&gt;=10,5,2))</f>
        <v/>
      </c>
    </row>
    <row r="28">
      <c r="A28" s="30">
        <f>IF(B28=0,"",RANK(B28,$B$2:$B$90,0))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THELEELA</t>
        </is>
      </c>
      <c r="D28" s="30" t="inlineStr">
        <is>
          <t>Leela Palaces Hotels &amp; Resorts Ltd</t>
        </is>
      </c>
      <c r="E28" s="30" t="inlineStr">
        <is>
          <t>services</t>
        </is>
      </c>
      <c r="F28" s="30" t="inlineStr">
        <is>
          <t>Hotels</t>
        </is>
      </c>
      <c r="G28" s="30" t="inlineStr">
        <is>
          <t>midcap</t>
        </is>
      </c>
      <c r="H28" s="31" t="n">
        <v>17332.41</v>
      </c>
      <c r="I28" s="31" t="n">
        <v>519</v>
      </c>
      <c r="J28" s="31" t="n">
        <v>1.57</v>
      </c>
      <c r="K28" s="31" t="n">
        <v>0</v>
      </c>
      <c r="L28" s="30" t="n">
        <v>39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65.38</v>
      </c>
      <c r="P28" s="31" t="n">
        <v>23.57</v>
      </c>
      <c r="Q28" s="31" t="n">
        <v>420.12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0.85</v>
      </c>
      <c r="U28" s="31" t="n">
        <v>19.18</v>
      </c>
      <c r="V28" s="31" t="n">
        <v>18.17</v>
      </c>
      <c r="W28" s="31" t="n">
        <v>8.42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22</t>
        </is>
      </c>
      <c r="CG28" s="30">
        <f>IF(CF28&gt;20,10,IF(CF28&gt;=10,5,2))</f>
        <v/>
      </c>
    </row>
    <row r="29">
      <c r="A29" s="30">
        <f>IF(B29=0,"",RANK(B29,$B$2:$B$90,0))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UFBL</t>
        </is>
      </c>
      <c r="D29" s="33" t="inlineStr">
        <is>
          <t>United Foodbrands Ltd</t>
        </is>
      </c>
      <c r="E29" s="30" t="inlineStr">
        <is>
          <t>consumer discretionary</t>
        </is>
      </c>
      <c r="F29" s="30" t="inlineStr">
        <is>
          <t>Quick Service Restaurant - QSR</t>
        </is>
      </c>
      <c r="G29" s="30" t="inlineStr">
        <is>
          <t>smallcap</t>
        </is>
      </c>
      <c r="H29" s="31" t="n">
        <v>3119.63</v>
      </c>
      <c r="I29" s="31" t="n">
        <v>797.5</v>
      </c>
      <c r="J29" s="31" t="n">
        <v>-0.85</v>
      </c>
      <c r="K29" s="31" t="n">
        <v>0</v>
      </c>
      <c r="L29" s="30" t="n">
        <v>98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79.81999999999999</v>
      </c>
      <c r="P29" s="31" t="n">
        <v>56.09</v>
      </c>
      <c r="Q29" s="31" t="n">
        <v>600.0599999999999</v>
      </c>
      <c r="R29" s="30" t="inlineStr">
        <is>
          <t>Volume Spike &amp; Near 52W High Breakout</t>
        </is>
      </c>
      <c r="S29" s="30" t="inlineStr">
        <is>
          <t>Nifty 50</t>
        </is>
      </c>
      <c r="T29" s="31" t="n">
        <v>0.85</v>
      </c>
      <c r="U29" s="31" t="n">
        <v>218.89</v>
      </c>
      <c r="V29" s="31" t="n">
        <v>216.2</v>
      </c>
      <c r="W29" s="31" t="n">
        <v>55.72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More than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21</t>
        </is>
      </c>
      <c r="CG29" s="30">
        <f>IF(CF29&gt;20,10,IF(CF29&gt;=10,5,2))</f>
        <v/>
      </c>
    </row>
    <row r="30">
      <c r="A30" s="30">
        <f>IF(B30=0,"",RANK(B30,$B$2:$B$90,0))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NYKAA</t>
        </is>
      </c>
      <c r="D30" s="30" t="inlineStr">
        <is>
          <t>FSN E-Commerce Ventures Ltd</t>
        </is>
      </c>
      <c r="E30" s="30" t="inlineStr">
        <is>
          <t>i.t</t>
        </is>
      </c>
      <c r="F30" s="30" t="inlineStr">
        <is>
          <t>New age - Platform - E-Retail</t>
        </is>
      </c>
      <c r="G30" s="30" t="inlineStr">
        <is>
          <t>largecap</t>
        </is>
      </c>
      <c r="H30" s="31" t="n">
        <v>95081.07000000001</v>
      </c>
      <c r="I30" s="31" t="n">
        <v>332</v>
      </c>
      <c r="J30" s="31" t="n">
        <v>0.02</v>
      </c>
      <c r="K30" s="31" t="n">
        <v>0</v>
      </c>
      <c r="L30" s="30" t="n">
        <v>64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71.41</v>
      </c>
      <c r="P30" s="31" t="n">
        <v>40.97</v>
      </c>
      <c r="Q30" s="31" t="n">
        <v>283.21</v>
      </c>
      <c r="R30" s="30" t="inlineStr">
        <is>
          <t>Near 52W High Breakout</t>
        </is>
      </c>
      <c r="S30" s="30" t="inlineStr">
        <is>
          <t>Nifty IT</t>
        </is>
      </c>
      <c r="T30" s="31" t="n">
        <v>-8.289999999999999</v>
      </c>
      <c r="U30" s="31" t="n">
        <v>64.25</v>
      </c>
      <c r="V30" s="31" t="n">
        <v>79.09</v>
      </c>
      <c r="W30" s="31" t="n">
        <v>15.24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B2C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Between 0.7 to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20</t>
        </is>
      </c>
      <c r="CG30" s="30">
        <f>IF(CF30&gt;20,10,IF(CF30&gt;=10,5,2))</f>
        <v/>
      </c>
    </row>
    <row r="31">
      <c r="A31" s="30">
        <f>IF(B31=0,"",RANK(B31,$B$2:$B$90,0))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IBULLSLTD</t>
        </is>
      </c>
      <c r="D31" s="33" t="inlineStr">
        <is>
          <t>Indiabulls Limited</t>
        </is>
      </c>
      <c r="E31" s="30" t="inlineStr">
        <is>
          <t>Real Estate</t>
        </is>
      </c>
      <c r="F31" s="30" t="inlineStr">
        <is>
          <t>Diversified</t>
        </is>
      </c>
      <c r="G31" s="30" t="inlineStr">
        <is>
          <t>midcap</t>
        </is>
      </c>
      <c r="H31" s="31" t="n">
        <v>6876.81</v>
      </c>
      <c r="I31" s="31" t="n">
        <v>29.52</v>
      </c>
      <c r="J31" s="31" t="n">
        <v>-3.21</v>
      </c>
      <c r="K31" s="31" t="n">
        <v>0</v>
      </c>
      <c r="L31" s="30" t="n">
        <v>94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69.06</v>
      </c>
      <c r="P31" s="31" t="n">
        <v>46.38</v>
      </c>
      <c r="Q31" s="31" t="n">
        <v>20.96</v>
      </c>
      <c r="R31" s="30" t="inlineStr">
        <is>
          <t>Near 52W High Breakout</t>
        </is>
      </c>
      <c r="S31" s="30" t="inlineStr">
        <is>
          <t>Nifty Realty</t>
        </is>
      </c>
      <c r="T31" s="31" t="n">
        <v>-6.8</v>
      </c>
      <c r="U31" s="31" t="n">
        <v>90.12</v>
      </c>
      <c r="V31" s="31" t="n">
        <v>103.99</v>
      </c>
      <c r="W31" s="31" t="n">
        <v>36.52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19</t>
        </is>
      </c>
      <c r="CG31" s="30">
        <f>IF(CF31&gt;20,10,IF(CF31&gt;=10,5,2))</f>
        <v/>
      </c>
    </row>
    <row r="32">
      <c r="A32" s="30">
        <f>IF(B32=0,"",RANK(B32,$B$2:$B$90,0))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LAURUSLABS</t>
        </is>
      </c>
      <c r="D32" s="30" t="inlineStr">
        <is>
          <t>Laurus Labs Ltd</t>
        </is>
      </c>
      <c r="E32" s="30" t="inlineStr">
        <is>
          <t>healthcare</t>
        </is>
      </c>
      <c r="F32" s="30" t="inlineStr">
        <is>
          <t>Pharma - API &amp; CRAMS</t>
        </is>
      </c>
      <c r="G32" s="30" t="inlineStr">
        <is>
          <t>largecap</t>
        </is>
      </c>
      <c r="H32" s="31" t="n">
        <v>99649.78</v>
      </c>
      <c r="I32" s="31" t="n">
        <v>1844.3</v>
      </c>
      <c r="J32" s="31" t="n">
        <v>0.78</v>
      </c>
      <c r="K32" s="31" t="n">
        <v>0</v>
      </c>
      <c r="L32" s="30" t="n">
        <v>88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86.31999999999999</v>
      </c>
      <c r="P32" s="31" t="n">
        <v>62.24</v>
      </c>
      <c r="Q32" s="31" t="n">
        <v>1581.98</v>
      </c>
      <c r="R32" s="30" t="inlineStr">
        <is>
          <t>Near 52W High Breakout</t>
        </is>
      </c>
      <c r="S32" s="30" t="inlineStr">
        <is>
          <t>Nifty Pharma</t>
        </is>
      </c>
      <c r="T32" s="31" t="n">
        <v>24.01</v>
      </c>
      <c r="U32" s="31" t="n">
        <v>124.82</v>
      </c>
      <c r="V32" s="31" t="n">
        <v>81.28</v>
      </c>
      <c r="W32" s="31" t="n">
        <v>29.21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22</t>
        </is>
      </c>
      <c r="CG32" s="30">
        <f>IF(CF32&gt;20,10,IF(CF32&gt;=10,5,2))</f>
        <v/>
      </c>
    </row>
    <row r="33">
      <c r="A33" s="30">
        <f>IF(B33=0,"",RANK(B33,$B$2:$B$90,0))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SOTL</t>
        </is>
      </c>
      <c r="D33" s="30" t="inlineStr">
        <is>
          <t>Savita Oil Technologies Ltd</t>
        </is>
      </c>
      <c r="E33" s="30" t="inlineStr">
        <is>
          <t>energy</t>
        </is>
      </c>
      <c r="F33" s="30" t="inlineStr">
        <is>
          <t>Petrochem - Others</t>
        </is>
      </c>
      <c r="G33" s="30" t="inlineStr">
        <is>
          <t>midcap</t>
        </is>
      </c>
      <c r="H33" s="31" t="n">
        <v>5113.92</v>
      </c>
      <c r="I33" s="31" t="n">
        <v>745.9</v>
      </c>
      <c r="J33" s="31" t="n">
        <v>-4.61</v>
      </c>
      <c r="K33" s="31" t="n">
        <v>0</v>
      </c>
      <c r="L33" s="30" t="n">
        <v>96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72.3</v>
      </c>
      <c r="P33" s="31" t="n">
        <v>47.96</v>
      </c>
      <c r="Q33" s="31" t="n">
        <v>544.62</v>
      </c>
      <c r="R33" s="30" t="inlineStr">
        <is>
          <t>Volume Spike &amp; Near 52W High Breakout</t>
        </is>
      </c>
      <c r="S33" s="30" t="inlineStr">
        <is>
          <t>Nifty Energy</t>
        </is>
      </c>
      <c r="T33" s="31" t="n">
        <v>9.93</v>
      </c>
      <c r="U33" s="31" t="n">
        <v>89.09999999999999</v>
      </c>
      <c r="V33" s="31" t="n">
        <v>72.02</v>
      </c>
      <c r="W33" s="31" t="n">
        <v>41.21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Oligopoly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Cyclical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Volatile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30</t>
        </is>
      </c>
      <c r="CG33" s="30">
        <f>IF(CF33&gt;20,10,IF(CF33&gt;=10,5,2))</f>
        <v/>
      </c>
    </row>
    <row r="34">
      <c r="A34" s="30">
        <f>IF(B34=0,"",RANK(B34,$B$2:$B$90,0))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MACPOWER</t>
        </is>
      </c>
      <c r="D34" s="30" t="inlineStr">
        <is>
          <t>Macpower CNC Machines Ltd</t>
        </is>
      </c>
      <c r="E34" s="30" t="inlineStr">
        <is>
          <t>industrials</t>
        </is>
      </c>
      <c r="F34" s="30" t="inlineStr">
        <is>
          <t>CNC - Machines</t>
        </is>
      </c>
      <c r="G34" s="30" t="inlineStr">
        <is>
          <t>smallcap</t>
        </is>
      </c>
      <c r="H34" s="31" t="n">
        <v>1682.7</v>
      </c>
      <c r="I34" s="31" t="n">
        <v>1682</v>
      </c>
      <c r="J34" s="31" t="n">
        <v>6.39</v>
      </c>
      <c r="K34" s="31" t="n">
        <v>0</v>
      </c>
      <c r="L34" s="30" t="n">
        <v>84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73.45</v>
      </c>
      <c r="P34" s="31" t="n">
        <v>30.26</v>
      </c>
      <c r="Q34" s="31" t="n">
        <v>1199.7</v>
      </c>
      <c r="R34" s="30" t="inlineStr">
        <is>
          <t>Near 52W High Breakout</t>
        </is>
      </c>
      <c r="S34" s="30" t="inlineStr">
        <is>
          <t>Nifty 50</t>
        </is>
      </c>
      <c r="T34" s="31" t="n">
        <v>0.85</v>
      </c>
      <c r="U34" s="31" t="n">
        <v>105.66</v>
      </c>
      <c r="V34" s="31" t="n">
        <v>103.92</v>
      </c>
      <c r="W34" s="31" t="n">
        <v>24.91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28</t>
        </is>
      </c>
      <c r="CG34" s="30">
        <f>IF(CF34&gt;20,10,IF(CF34&gt;=10,5,2))</f>
        <v/>
      </c>
    </row>
    <row r="35">
      <c r="A35" s="30">
        <f>IF(B35=0,"",RANK(B35,$B$2:$B$90,0))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CRAFTSMAN</t>
        </is>
      </c>
      <c r="D35" s="30" t="inlineStr">
        <is>
          <t>Craftsman Automation Ltd</t>
        </is>
      </c>
      <c r="E35" s="30" t="inlineStr">
        <is>
          <t>auto</t>
        </is>
      </c>
      <c r="F35" s="30" t="inlineStr">
        <is>
          <t>Auto &amp; Auto Ancl - CV</t>
        </is>
      </c>
      <c r="G35" s="30" t="inlineStr">
        <is>
          <t>largecap</t>
        </is>
      </c>
      <c r="H35" s="31" t="n">
        <v>27095.99</v>
      </c>
      <c r="I35" s="31" t="n">
        <v>10360</v>
      </c>
      <c r="J35" s="31" t="n">
        <v>-1.85</v>
      </c>
      <c r="K35" s="31" t="n">
        <v>0</v>
      </c>
      <c r="L35" s="30" t="n">
        <v>75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70.76000000000001</v>
      </c>
      <c r="P35" s="31" t="n">
        <v>61.53</v>
      </c>
      <c r="Q35" s="31" t="n">
        <v>8491.860000000001</v>
      </c>
      <c r="R35" s="30" t="inlineStr">
        <is>
          <t>Near 52W High Breakout</t>
        </is>
      </c>
      <c r="S35" s="30" t="inlineStr">
        <is>
          <t>Nifty Auto</t>
        </is>
      </c>
      <c r="T35" s="31" t="n">
        <v>24.67</v>
      </c>
      <c r="U35" s="31" t="n">
        <v>67.22</v>
      </c>
      <c r="V35" s="31" t="n">
        <v>34.14</v>
      </c>
      <c r="W35" s="31" t="n">
        <v>19.35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22</t>
        </is>
      </c>
      <c r="CG35" s="30">
        <f>IF(CF35&gt;20,10,IF(CF35&gt;=10,5,2))</f>
        <v/>
      </c>
    </row>
    <row r="36">
      <c r="A36" s="30">
        <f>IF(B36=0,"",RANK(B36,$B$2:$B$90,0))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KDDL</t>
        </is>
      </c>
      <c r="D36" s="33" t="inlineStr">
        <is>
          <t>KDDL Ltd</t>
        </is>
      </c>
      <c r="E36" s="30" t="inlineStr">
        <is>
          <t>consumer discretionary</t>
        </is>
      </c>
      <c r="F36" s="30" t="inlineStr">
        <is>
          <t>Watches</t>
        </is>
      </c>
      <c r="G36" s="30" t="inlineStr">
        <is>
          <t>smallcap</t>
        </is>
      </c>
      <c r="H36" s="31" t="n">
        <v>4686.03</v>
      </c>
      <c r="I36" s="31" t="n">
        <v>3810</v>
      </c>
      <c r="J36" s="31" t="n">
        <v>2.8</v>
      </c>
      <c r="K36" s="31" t="n">
        <v>0</v>
      </c>
      <c r="L36" s="30" t="n">
        <v>78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76.45999999999999</v>
      </c>
      <c r="P36" s="31" t="n">
        <v>36.34</v>
      </c>
      <c r="Q36" s="31" t="n">
        <v>2921.82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0.85</v>
      </c>
      <c r="U36" s="31" t="n">
        <v>48.46</v>
      </c>
      <c r="V36" s="31" t="n">
        <v>47.21</v>
      </c>
      <c r="W36" s="31" t="n">
        <v>21.55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IF(B37=0,"",RANK(B37,$B$2:$B$90,0))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KERNEX</t>
        </is>
      </c>
      <c r="D37" s="30" t="inlineStr">
        <is>
          <t>Kernex Microsystems (India) Ltd</t>
        </is>
      </c>
      <c r="E37" s="30" t="inlineStr">
        <is>
          <t>consumer discretionary</t>
        </is>
      </c>
      <c r="F37" s="30" t="inlineStr">
        <is>
          <t>Railways - Kavach/Springs</t>
        </is>
      </c>
      <c r="G37" s="30" t="inlineStr">
        <is>
          <t>smallcap</t>
        </is>
      </c>
      <c r="H37" s="31" t="n">
        <v>4153.86</v>
      </c>
      <c r="I37" s="31" t="n">
        <v>2472</v>
      </c>
      <c r="J37" s="31" t="n">
        <v>1.62</v>
      </c>
      <c r="K37" s="31" t="n">
        <v>0</v>
      </c>
      <c r="L37" s="30" t="n">
        <v>90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72.41</v>
      </c>
      <c r="P37" s="31" t="n">
        <v>60.44</v>
      </c>
      <c r="Q37" s="31" t="n">
        <v>1771.12</v>
      </c>
      <c r="R37" s="30" t="inlineStr">
        <is>
          <t>Near 52W High Breakout</t>
        </is>
      </c>
      <c r="S37" s="30" t="inlineStr">
        <is>
          <t>Nifty 50</t>
        </is>
      </c>
      <c r="T37" s="31" t="n">
        <v>0.85</v>
      </c>
      <c r="U37" s="31" t="n">
        <v>125.83</v>
      </c>
      <c r="V37" s="31" t="n">
        <v>123.92</v>
      </c>
      <c r="W37" s="31" t="n">
        <v>30.67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Negative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IF(B38=0,"",RANK(B38,$B$2:$B$90,0))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UNIMECH</t>
        </is>
      </c>
      <c r="D38" s="33" t="inlineStr">
        <is>
          <t>Unimech Aerospace and Manufacturing Ltd</t>
        </is>
      </c>
      <c r="E38" s="30" t="inlineStr">
        <is>
          <t>aerospace &amp; defence</t>
        </is>
      </c>
      <c r="F38" s="30" t="inlineStr">
        <is>
          <t>Engineering - Heavy - General</t>
        </is>
      </c>
      <c r="G38" s="30" t="inlineStr">
        <is>
          <t>midcap</t>
        </is>
      </c>
      <c r="H38" s="31" t="n">
        <v>7358.39</v>
      </c>
      <c r="I38" s="31" t="n">
        <v>1445.6</v>
      </c>
      <c r="J38" s="31" t="n">
        <v>8.16</v>
      </c>
      <c r="K38" s="31" t="n">
        <v>0</v>
      </c>
      <c r="L38" s="30" t="n">
        <v>63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70.56</v>
      </c>
      <c r="P38" s="31" t="n">
        <v>31.03</v>
      </c>
      <c r="Q38" s="31" t="n">
        <v>1077.23</v>
      </c>
      <c r="R38" s="30" t="inlineStr">
        <is>
          <t>Volume Spike &amp; Near 52W High Breakout</t>
        </is>
      </c>
      <c r="S38" s="30" t="inlineStr">
        <is>
          <t>Nifty 50</t>
        </is>
      </c>
      <c r="T38" s="31" t="n">
        <v>0.85</v>
      </c>
      <c r="U38" s="31" t="n">
        <v>34.65</v>
      </c>
      <c r="V38" s="31" t="n">
        <v>33.52</v>
      </c>
      <c r="W38" s="31" t="n">
        <v>15.02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IF(B39=0,"",RANK(B39,$B$2:$B$90,0))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NEULANDLAB</t>
        </is>
      </c>
      <c r="D39" s="33" t="inlineStr">
        <is>
          <t>Neuland Laboratories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largecap</t>
        </is>
      </c>
      <c r="H39" s="31" t="n">
        <v>29399.69</v>
      </c>
      <c r="I39" s="31" t="n">
        <v>22915</v>
      </c>
      <c r="J39" s="31" t="n">
        <v>6.37</v>
      </c>
      <c r="K39" s="31" t="n">
        <v>0</v>
      </c>
      <c r="L39" s="30" t="n">
        <v>77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76.59</v>
      </c>
      <c r="P39" s="31" t="n">
        <v>50.27</v>
      </c>
      <c r="Q39" s="31" t="n">
        <v>18261.81</v>
      </c>
      <c r="R39" s="30" t="inlineStr">
        <is>
          <t>Volume Spike &amp; Near 52W High Breakout</t>
        </is>
      </c>
      <c r="S39" s="30" t="inlineStr">
        <is>
          <t>Nifty Pharma</t>
        </is>
      </c>
      <c r="T39" s="31" t="n">
        <v>24.01</v>
      </c>
      <c r="U39" s="31" t="n">
        <v>74.8</v>
      </c>
      <c r="V39" s="31" t="n">
        <v>40.95</v>
      </c>
      <c r="W39" s="31" t="n">
        <v>20.8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27</t>
        </is>
      </c>
      <c r="CG39" s="30">
        <f>IF(CF39&gt;20,10,IF(CF39&gt;=10,5,2))</f>
        <v/>
      </c>
    </row>
    <row r="40">
      <c r="A40" s="30">
        <f>IF(B40=0,"",RANK(B40,$B$2:$B$90,0))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ASMTEC</t>
        </is>
      </c>
      <c r="D40" s="33" t="inlineStr">
        <is>
          <t>ASM Technologies Ltd</t>
        </is>
      </c>
      <c r="E40" s="30" t="inlineStr">
        <is>
          <t>Technology</t>
        </is>
      </c>
      <c r="F40" s="30" t="inlineStr">
        <is>
          <t>IT - Software</t>
        </is>
      </c>
      <c r="G40" s="30" t="inlineStr">
        <is>
          <t>midcap</t>
        </is>
      </c>
      <c r="H40" s="31" t="n">
        <v>7051.19</v>
      </c>
      <c r="I40" s="31" t="n">
        <v>4834</v>
      </c>
      <c r="J40" s="31" t="n">
        <v>-2.57</v>
      </c>
      <c r="K40" s="31" t="n">
        <v>0</v>
      </c>
      <c r="L40" s="30" t="n">
        <v>82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73.52</v>
      </c>
      <c r="P40" s="31" t="n">
        <v>38</v>
      </c>
      <c r="Q40" s="31" t="n">
        <v>3511.31</v>
      </c>
      <c r="R40" s="30" t="inlineStr">
        <is>
          <t>Near 52W High Breakout</t>
        </is>
      </c>
      <c r="S40" s="30" t="inlineStr">
        <is>
          <t>Nifty 50</t>
        </is>
      </c>
      <c r="T40" s="31" t="n">
        <v>0.85</v>
      </c>
      <c r="U40" s="31" t="n">
        <v>71.48</v>
      </c>
      <c r="V40" s="31" t="n">
        <v>70.03</v>
      </c>
      <c r="W40" s="31" t="n">
        <v>24.18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Less than 12%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20</t>
        </is>
      </c>
      <c r="CG40" s="30">
        <f>IF(CF40&gt;20,10,IF(CF40&gt;=10,5,2))</f>
        <v/>
      </c>
    </row>
    <row r="41">
      <c r="A41" s="30">
        <f>IF(B41=0,"",RANK(B41,$B$2:$B$90,0))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YASHO</t>
        </is>
      </c>
      <c r="D41" s="30" t="inlineStr">
        <is>
          <t>Yasho Industries Ltd</t>
        </is>
      </c>
      <c r="E41" s="30" t="inlineStr">
        <is>
          <t>chemicals</t>
        </is>
      </c>
      <c r="F41" s="30" t="inlineStr">
        <is>
          <t>Speciality Chemicals</t>
        </is>
      </c>
      <c r="G41" s="30" t="inlineStr">
        <is>
          <t>midcap</t>
        </is>
      </c>
      <c r="H41" s="31" t="n">
        <v>5051.8</v>
      </c>
      <c r="I41" s="31" t="n">
        <v>4189.9</v>
      </c>
      <c r="J41" s="31" t="n">
        <v>0.57</v>
      </c>
      <c r="K41" s="31" t="n">
        <v>0</v>
      </c>
      <c r="L41" s="30" t="n">
        <v>98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91.54000000000001</v>
      </c>
      <c r="P41" s="31" t="n">
        <v>60.14</v>
      </c>
      <c r="Q41" s="31" t="n">
        <v>3142.86</v>
      </c>
      <c r="R41" s="30" t="inlineStr">
        <is>
          <t>Volume Spike &amp; Near 52W High Breakout</t>
        </is>
      </c>
      <c r="S41" s="30" t="inlineStr">
        <is>
          <t>Nifty 50</t>
        </is>
      </c>
      <c r="T41" s="31" t="n">
        <v>0.85</v>
      </c>
      <c r="U41" s="31" t="n">
        <v>135.53</v>
      </c>
      <c r="V41" s="31" t="n">
        <v>133.54</v>
      </c>
      <c r="W41" s="31" t="n">
        <v>64.93000000000001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More than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25</t>
        </is>
      </c>
      <c r="CG41" s="30">
        <f>IF(CF41&gt;20,10,IF(CF41&gt;=10,5,2))</f>
        <v/>
      </c>
    </row>
    <row r="42">
      <c r="A42" s="30">
        <f>IF(B42=0,"",RANK(B42,$B$2:$B$90,0))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KRISHANA</t>
        </is>
      </c>
      <c r="D42" s="30" t="inlineStr">
        <is>
          <t>Krishana Phoschem Ltd</t>
        </is>
      </c>
      <c r="E42" s="30" t="inlineStr">
        <is>
          <t>chemicals</t>
        </is>
      </c>
      <c r="F42" s="30" t="inlineStr">
        <is>
          <t>Fertilisers</t>
        </is>
      </c>
      <c r="G42" s="30" t="inlineStr">
        <is>
          <t>midcap</t>
        </is>
      </c>
      <c r="H42" s="31" t="n">
        <v>5529.24</v>
      </c>
      <c r="I42" s="31" t="n">
        <v>178.86</v>
      </c>
      <c r="J42" s="31" t="n">
        <v>-0.31</v>
      </c>
      <c r="K42" s="31" t="n">
        <v>0</v>
      </c>
      <c r="L42" s="30" t="n">
        <v>73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76.51000000000001</v>
      </c>
      <c r="P42" s="31" t="n">
        <v>45.36</v>
      </c>
      <c r="Q42" s="31" t="n">
        <v>139.55</v>
      </c>
      <c r="R42" s="30" t="inlineStr">
        <is>
          <t>Near 52W High Breakout</t>
        </is>
      </c>
      <c r="S42" s="30" t="inlineStr">
        <is>
          <t>Nifty 50</t>
        </is>
      </c>
      <c r="T42" s="31" t="n">
        <v>0.85</v>
      </c>
      <c r="U42" s="31" t="n">
        <v>74.06</v>
      </c>
      <c r="V42" s="31" t="n">
        <v>72.59</v>
      </c>
      <c r="W42" s="31" t="n">
        <v>18.62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More than 1.2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22</t>
        </is>
      </c>
      <c r="CG42" s="30">
        <f>IF(CF42&gt;20,10,IF(CF42&gt;=10,5,2))</f>
        <v/>
      </c>
    </row>
    <row r="43">
      <c r="A43" s="30">
        <f>IF(B43=0,"",RANK(B43,$B$2:$B$90,0))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CHENNPETRO</t>
        </is>
      </c>
      <c r="D43" s="30" t="inlineStr">
        <is>
          <t>Chennai Petroleum Corporation Ltd</t>
        </is>
      </c>
      <c r="E43" s="30" t="inlineStr">
        <is>
          <t>energy</t>
        </is>
      </c>
      <c r="F43" s="30" t="inlineStr">
        <is>
          <t>Refineries</t>
        </is>
      </c>
      <c r="G43" s="30" t="inlineStr">
        <is>
          <t>midcap</t>
        </is>
      </c>
      <c r="H43" s="31" t="n">
        <v>19001.09</v>
      </c>
      <c r="I43" s="31" t="n">
        <v>1276</v>
      </c>
      <c r="J43" s="31" t="n">
        <v>-1.26</v>
      </c>
      <c r="K43" s="31" t="n">
        <v>0</v>
      </c>
      <c r="L43" s="30" t="n">
        <v>77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70.3</v>
      </c>
      <c r="P43" s="31" t="n">
        <v>48.79</v>
      </c>
      <c r="Q43" s="31" t="n">
        <v>944.41</v>
      </c>
      <c r="R43" s="30" t="inlineStr">
        <is>
          <t>Near 52W High Breakout</t>
        </is>
      </c>
      <c r="S43" s="30" t="inlineStr">
        <is>
          <t>Nifty Energy</t>
        </is>
      </c>
      <c r="T43" s="31" t="n">
        <v>9.93</v>
      </c>
      <c r="U43" s="31" t="n">
        <v>96.55</v>
      </c>
      <c r="V43" s="31" t="n">
        <v>78.8</v>
      </c>
      <c r="W43" s="31" t="n">
        <v>20.65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Oligopoly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Cyclical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Volatile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22</t>
        </is>
      </c>
      <c r="CG43" s="30">
        <f>IF(CF43&gt;20,10,IF(CF43&gt;=10,5,2))</f>
        <v/>
      </c>
    </row>
    <row r="44">
      <c r="A44" s="30">
        <f>IF(B44=0,"",RANK(B44,$B$2:$B$90,0))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IRISDOREME</t>
        </is>
      </c>
      <c r="D44" s="30" t="inlineStr">
        <is>
          <t>Iris Clothings Ltd</t>
        </is>
      </c>
      <c r="E44" s="30" t="inlineStr">
        <is>
          <t>consumer discretionary</t>
        </is>
      </c>
      <c r="F44" s="30" t="inlineStr">
        <is>
          <t>Textiles - Readymade Apparel</t>
        </is>
      </c>
      <c r="G44" s="30" t="inlineStr">
        <is>
          <t>smallcap</t>
        </is>
      </c>
      <c r="H44" s="31" t="n">
        <v>1042.06</v>
      </c>
      <c r="I44" s="31" t="n">
        <v>54.75</v>
      </c>
      <c r="J44" s="31" t="n">
        <v>1.35</v>
      </c>
      <c r="K44" s="31" t="n">
        <v>0</v>
      </c>
      <c r="L44" s="30" t="n">
        <v>77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82.45999999999999</v>
      </c>
      <c r="P44" s="31" t="n">
        <v>35.7</v>
      </c>
      <c r="Q44" s="31" t="n">
        <v>41.32</v>
      </c>
      <c r="R44" s="30" t="inlineStr">
        <is>
          <t>Near 52W High Breakout</t>
        </is>
      </c>
      <c r="S44" s="30" t="inlineStr">
        <is>
          <t>Nifty 50</t>
        </is>
      </c>
      <c r="T44" s="31" t="n">
        <v>0.85</v>
      </c>
      <c r="U44" s="31" t="n">
        <v>65.31</v>
      </c>
      <c r="V44" s="31" t="n">
        <v>63.92</v>
      </c>
      <c r="W44" s="31" t="n">
        <v>21.02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21</t>
        </is>
      </c>
      <c r="CG44" s="30">
        <f>IF(CF44&gt;20,10,IF(CF44&gt;=10,5,2))</f>
        <v/>
      </c>
    </row>
    <row r="45">
      <c r="A45" s="30">
        <f>IF(B45=0,"",RANK(B45,$B$2:$B$90,0))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KALYANKJIL</t>
        </is>
      </c>
      <c r="D45" s="30" t="inlineStr">
        <is>
          <t>Kalyan Jewellers India Ltd</t>
        </is>
      </c>
      <c r="E45" s="30" t="inlineStr">
        <is>
          <t>consumer discretionary</t>
        </is>
      </c>
      <c r="F45" s="30" t="inlineStr">
        <is>
          <t>Diamond, Gems &amp; Jewellery</t>
        </is>
      </c>
      <c r="G45" s="30" t="inlineStr">
        <is>
          <t>largecap</t>
        </is>
      </c>
      <c r="H45" s="31" t="n">
        <v>62615.69</v>
      </c>
      <c r="I45" s="31" t="n">
        <v>606.3</v>
      </c>
      <c r="J45" s="31" t="n">
        <v>1.39</v>
      </c>
      <c r="K45" s="31" t="n">
        <v>0</v>
      </c>
      <c r="L45" s="30" t="n">
        <v>59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71.69</v>
      </c>
      <c r="P45" s="31" t="n">
        <v>29.53</v>
      </c>
      <c r="Q45" s="31" t="n">
        <v>461.1</v>
      </c>
      <c r="R45" s="30" t="inlineStr">
        <is>
          <t>Near 52W High Breakout</t>
        </is>
      </c>
      <c r="S45" s="30" t="inlineStr">
        <is>
          <t>Nifty 50</t>
        </is>
      </c>
      <c r="T45" s="31" t="n">
        <v>0.85</v>
      </c>
      <c r="U45" s="31" t="n">
        <v>15.14</v>
      </c>
      <c r="V45" s="31" t="n">
        <v>14.17</v>
      </c>
      <c r="W45" s="31" t="n">
        <v>13.76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21</t>
        </is>
      </c>
      <c r="CG45" s="30">
        <f>IF(CF45&gt;20,10,IF(CF45&gt;=10,5,2))</f>
        <v/>
      </c>
    </row>
    <row r="46">
      <c r="A46" s="30">
        <f>IF(B46=0,"",RANK(B46,$B$2:$B$90,0))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SIGMAADV</t>
        </is>
      </c>
      <c r="D46" s="30" t="inlineStr">
        <is>
          <t>Sigma Advanced System Ltd</t>
        </is>
      </c>
      <c r="E46" s="30" t="inlineStr">
        <is>
          <t>aerospace &amp; defence</t>
        </is>
      </c>
      <c r="F46" s="30" t="inlineStr">
        <is>
          <t>Aerospace &amp; Defence - Equipments</t>
        </is>
      </c>
      <c r="G46" s="30" t="inlineStr">
        <is>
          <t>midcap</t>
        </is>
      </c>
      <c r="H46" s="31" t="n">
        <v>13333.01</v>
      </c>
      <c r="I46" s="31" t="n">
        <v>702</v>
      </c>
      <c r="J46" s="31" t="n">
        <v>0.72</v>
      </c>
      <c r="K46" s="31" t="n">
        <v>0</v>
      </c>
      <c r="L46" s="30" t="n">
        <v>98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78.31999999999999</v>
      </c>
      <c r="P46" s="31" t="n">
        <v>67.31999999999999</v>
      </c>
      <c r="Q46" s="31" t="n">
        <v>518.37</v>
      </c>
      <c r="R46" s="30" t="inlineStr">
        <is>
          <t>Near 52W High Breakout</t>
        </is>
      </c>
      <c r="S46" s="30" t="inlineStr">
        <is>
          <t>Nifty 50</t>
        </is>
      </c>
      <c r="T46" s="31" t="n">
        <v>0.85</v>
      </c>
      <c r="U46" s="31" t="n">
        <v>493.47</v>
      </c>
      <c r="V46" s="31" t="n">
        <v>488.46</v>
      </c>
      <c r="W46" s="31" t="n">
        <v>74.59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Negative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Between 0.7 to 1.2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IF(B47=0,"",RANK(B47,$B$2:$B$90,0))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MOREPENLAB</t>
        </is>
      </c>
      <c r="D47" s="33" t="inlineStr">
        <is>
          <t>Morepen Laboratories Ltd</t>
        </is>
      </c>
      <c r="E47" s="30" t="inlineStr">
        <is>
          <t>healthcare</t>
        </is>
      </c>
      <c r="F47" s="30" t="inlineStr">
        <is>
          <t>Pharma - API &amp; CRAMS</t>
        </is>
      </c>
      <c r="G47" s="30" t="inlineStr">
        <is>
          <t>smallcap</t>
        </is>
      </c>
      <c r="H47" s="31" t="n">
        <v>4383.63</v>
      </c>
      <c r="I47" s="31" t="n">
        <v>80</v>
      </c>
      <c r="J47" s="31" t="n">
        <v>0.73</v>
      </c>
      <c r="K47" s="31" t="n">
        <v>0</v>
      </c>
      <c r="L47" s="30" t="n">
        <v>91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78.20999999999999</v>
      </c>
      <c r="P47" s="31" t="n">
        <v>30.99</v>
      </c>
      <c r="Q47" s="31" t="n">
        <v>59.27</v>
      </c>
      <c r="R47" s="30" t="inlineStr">
        <is>
          <t>Volume Spike &amp; Near 52W High Breakout</t>
        </is>
      </c>
      <c r="S47" s="30" t="inlineStr">
        <is>
          <t>Nifty Pharma</t>
        </is>
      </c>
      <c r="T47" s="31" t="n">
        <v>24.01</v>
      </c>
      <c r="U47" s="31" t="n">
        <v>70.97</v>
      </c>
      <c r="V47" s="31" t="n">
        <v>37.86</v>
      </c>
      <c r="W47" s="31" t="n">
        <v>30.85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24</t>
        </is>
      </c>
      <c r="CG47" s="30">
        <f>IF(CF47&gt;20,10,IF(CF47&gt;=10,5,2))</f>
        <v/>
      </c>
    </row>
    <row r="48">
      <c r="A48" s="30">
        <f>IF(B48=0,"",RANK(B48,$B$2:$B$90,0))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SBCL</t>
        </is>
      </c>
      <c r="D48" s="33" t="inlineStr">
        <is>
          <t>Shivalik Bimetal Controls Ltd</t>
        </is>
      </c>
      <c r="E48" s="30" t="inlineStr">
        <is>
          <t>metals &amp; mining</t>
        </is>
      </c>
      <c r="F48" s="30" t="inlineStr">
        <is>
          <t>Shunt Resistors</t>
        </is>
      </c>
      <c r="G48" s="30" t="inlineStr">
        <is>
          <t>midcap</t>
        </is>
      </c>
      <c r="H48" s="31" t="n">
        <v>5304.77</v>
      </c>
      <c r="I48" s="31" t="n">
        <v>920.9</v>
      </c>
      <c r="J48" s="31" t="n">
        <v>19.99</v>
      </c>
      <c r="K48" s="31" t="n">
        <v>0</v>
      </c>
      <c r="L48" s="30" t="n">
        <v>85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76.20999999999999</v>
      </c>
      <c r="P48" s="31" t="n">
        <v>44.96</v>
      </c>
      <c r="Q48" s="31" t="n">
        <v>701.91</v>
      </c>
      <c r="R48" s="30" t="inlineStr">
        <is>
          <t>Volume Spike &amp; Near 52W High Breakout</t>
        </is>
      </c>
      <c r="S48" s="30" t="inlineStr">
        <is>
          <t>Nifty Metal</t>
        </is>
      </c>
      <c r="T48" s="31" t="n">
        <v>39.94</v>
      </c>
      <c r="U48" s="31" t="n">
        <v>67.42</v>
      </c>
      <c r="V48" s="31" t="n">
        <v>19.64</v>
      </c>
      <c r="W48" s="31" t="n">
        <v>25.53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Monopoly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Shallow Cyclical (2 to 3 Years Growth)</t>
        </is>
      </c>
      <c r="AG48" s="30">
        <f>IF(AF48="Structural (10 Years Consistency)",10,IF(AF48="Shallow Cyclical (2 to 3 years growth)",5,0))</f>
        <v/>
      </c>
      <c r="AH48" s="30" t="inlineStr">
        <is>
          <t>Yes due to Product Mix change or Operating Leverage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Fully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Yes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Between 1.5 to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21</t>
        </is>
      </c>
      <c r="CG48" s="30">
        <f>IF(CF48&gt;20,10,IF(CF48&gt;=10,5,2))</f>
        <v/>
      </c>
    </row>
    <row r="49">
      <c r="A49" s="30">
        <f>IF(B49=0,"",RANK(B49,$B$2:$B$90,0))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HFCL</t>
        </is>
      </c>
      <c r="D49" s="30" t="inlineStr">
        <is>
          <t>HFCL Ltd</t>
        </is>
      </c>
      <c r="E49" s="30" t="inlineStr">
        <is>
          <t>Technology</t>
        </is>
      </c>
      <c r="F49" s="30" t="inlineStr">
        <is>
          <t>Telecom Services</t>
        </is>
      </c>
      <c r="G49" s="30" t="inlineStr">
        <is>
          <t>largecap</t>
        </is>
      </c>
      <c r="H49" s="31" t="n">
        <v>31717.14</v>
      </c>
      <c r="I49" s="31" t="n">
        <v>207.22</v>
      </c>
      <c r="J49" s="31" t="n">
        <v>1.74</v>
      </c>
      <c r="K49" s="31" t="n">
        <v>0</v>
      </c>
      <c r="L49" s="30" t="n">
        <v>95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70.70999999999999</v>
      </c>
      <c r="P49" s="31" t="n">
        <v>68.13</v>
      </c>
      <c r="Q49" s="31" t="n">
        <v>157.43</v>
      </c>
      <c r="R49" s="30" t="inlineStr">
        <is>
          <t>Near 52W High Breakout</t>
        </is>
      </c>
      <c r="S49" s="30" t="inlineStr">
        <is>
          <t>Nifty 50</t>
        </is>
      </c>
      <c r="T49" s="31" t="n">
        <v>0.85</v>
      </c>
      <c r="U49" s="31" t="n">
        <v>185.51</v>
      </c>
      <c r="V49" s="31" t="n">
        <v>183.1</v>
      </c>
      <c r="W49" s="31" t="n">
        <v>38.25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Oligopoly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20</t>
        </is>
      </c>
      <c r="CG49" s="30">
        <f>IF(CF49&gt;20,10,IF(CF49&gt;=10,5,2))</f>
        <v/>
      </c>
    </row>
    <row r="50">
      <c r="A50" s="30">
        <f>IF(B50=0,"",RANK(B50,$B$2:$B$90,0))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3" t="inlineStr">
        <is>
          <t>RBA</t>
        </is>
      </c>
      <c r="D50" s="33" t="inlineStr">
        <is>
          <t>Restaurant Brands Asia Ltd</t>
        </is>
      </c>
      <c r="E50" s="30" t="inlineStr">
        <is>
          <t>consumer discretionary</t>
        </is>
      </c>
      <c r="F50" s="30" t="inlineStr">
        <is>
          <t>Quick Service Restaurant - QSR</t>
        </is>
      </c>
      <c r="G50" s="30" t="inlineStr">
        <is>
          <t>midcap</t>
        </is>
      </c>
      <c r="H50" s="31" t="n">
        <v>6814</v>
      </c>
      <c r="I50" s="31" t="n">
        <v>95.73999999999999</v>
      </c>
      <c r="J50" s="31" t="n">
        <v>6.08</v>
      </c>
      <c r="K50" s="31" t="n">
        <v>0</v>
      </c>
      <c r="L50" s="30" t="n">
        <v>56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73.39</v>
      </c>
      <c r="P50" s="31" t="n">
        <v>25.03</v>
      </c>
      <c r="Q50" s="31" t="n">
        <v>76.15000000000001</v>
      </c>
      <c r="R50" s="30" t="inlineStr">
        <is>
          <t>Volume Spike &amp; Near 52W High Breakout</t>
        </is>
      </c>
      <c r="S50" s="30" t="inlineStr">
        <is>
          <t>Nifty 50</t>
        </is>
      </c>
      <c r="T50" s="31" t="n">
        <v>0.85</v>
      </c>
      <c r="U50" s="31" t="n">
        <v>18.93</v>
      </c>
      <c r="V50" s="31" t="n">
        <v>17.93</v>
      </c>
      <c r="W50" s="31" t="n">
        <v>12.97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More than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22</t>
        </is>
      </c>
      <c r="CG50" s="30">
        <f>IF(CF50&gt;20,10,IF(CF50&gt;=10,5,2))</f>
        <v/>
      </c>
    </row>
    <row r="51">
      <c r="A51" s="30">
        <f>IF(B51=0,"",RANK(B51,$B$2:$B$90,0))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KABRAEXTRU</t>
        </is>
      </c>
      <c r="D51" s="30" t="inlineStr">
        <is>
          <t>Kabra Extrusion Technik Ltd</t>
        </is>
      </c>
      <c r="E51" s="30" t="inlineStr">
        <is>
          <t>industrials</t>
        </is>
      </c>
      <c r="F51" s="30" t="inlineStr">
        <is>
          <t>Capital Goods - Engineering Heavy</t>
        </is>
      </c>
      <c r="G51" s="30" t="inlineStr">
        <is>
          <t>smallcap</t>
        </is>
      </c>
      <c r="H51" s="31" t="n">
        <v>1580.77</v>
      </c>
      <c r="I51" s="31" t="n">
        <v>452</v>
      </c>
      <c r="J51" s="31" t="n">
        <v>-5.36</v>
      </c>
      <c r="K51" s="31" t="n">
        <v>0</v>
      </c>
      <c r="L51" s="30" t="n">
        <v>91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80.91</v>
      </c>
      <c r="P51" s="31" t="n">
        <v>29</v>
      </c>
      <c r="Q51" s="31" t="n">
        <v>332.45</v>
      </c>
      <c r="R51" s="30" t="inlineStr">
        <is>
          <t>Volume Spike &amp; Near 52W High Breakout</t>
        </is>
      </c>
      <c r="S51" s="30" t="inlineStr">
        <is>
          <t>Nifty Infra</t>
        </is>
      </c>
      <c r="T51" s="31" t="n">
        <v>4.83</v>
      </c>
      <c r="U51" s="31" t="n">
        <v>54.26</v>
      </c>
      <c r="V51" s="31" t="n">
        <v>47.16</v>
      </c>
      <c r="W51" s="31" t="n">
        <v>31.47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IF(B52=0,"",RANK(B52,$B$2:$B$90,0))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GOLDIAM</t>
        </is>
      </c>
      <c r="D52" s="33" t="inlineStr">
        <is>
          <t>Goldiam International Ltd</t>
        </is>
      </c>
      <c r="E52" s="30" t="inlineStr">
        <is>
          <t>Consumer Cyclical</t>
        </is>
      </c>
      <c r="F52" s="30" t="inlineStr">
        <is>
          <t>Lab Grown Diamonds</t>
        </is>
      </c>
      <c r="G52" s="30" t="inlineStr">
        <is>
          <t>midcap</t>
        </is>
      </c>
      <c r="H52" s="31" t="n">
        <v>5624.81</v>
      </c>
      <c r="I52" s="31" t="n">
        <v>373.6</v>
      </c>
      <c r="J52" s="31" t="n">
        <v>-0.68</v>
      </c>
      <c r="K52" s="31" t="n">
        <v>0</v>
      </c>
      <c r="L52" s="30" t="n">
        <v>46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62.51</v>
      </c>
      <c r="P52" s="31" t="n">
        <v>40.89</v>
      </c>
      <c r="Q52" s="31" t="n">
        <v>267.16</v>
      </c>
      <c r="R52" s="30" t="inlineStr">
        <is>
          <t>Near 52W High Breakout</t>
        </is>
      </c>
      <c r="S52" s="30" t="inlineStr">
        <is>
          <t>Nifty 50</t>
        </is>
      </c>
      <c r="T52" s="31" t="n">
        <v>0.85</v>
      </c>
      <c r="U52" s="31" t="n">
        <v>39.18</v>
      </c>
      <c r="V52" s="31" t="n">
        <v>38.01</v>
      </c>
      <c r="W52" s="31" t="n">
        <v>9.970000000000001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B2C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IF(B53=0,"",RANK(B53,$B$2:$B$90,0))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BLUESTONE</t>
        </is>
      </c>
      <c r="D53" s="30" t="inlineStr">
        <is>
          <t>Bluestone Jewellery &amp; Lifestyle Ltd</t>
        </is>
      </c>
      <c r="E53" s="30" t="inlineStr">
        <is>
          <t>Consumer Cyclical</t>
        </is>
      </c>
      <c r="F53" s="30" t="inlineStr">
        <is>
          <t>Diamond, Gems &amp; Jewellery</t>
        </is>
      </c>
      <c r="G53" s="30" t="inlineStr">
        <is>
          <t>midcap</t>
        </is>
      </c>
      <c r="H53" s="31" t="n">
        <v>12433.8</v>
      </c>
      <c r="I53" s="31" t="n">
        <v>814</v>
      </c>
      <c r="J53" s="31" t="n">
        <v>-1.26</v>
      </c>
      <c r="K53" s="31" t="n">
        <v>0</v>
      </c>
      <c r="L53" s="30" t="n">
        <v>82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76.09999999999999</v>
      </c>
      <c r="P53" s="31" t="n">
        <v>28.77</v>
      </c>
      <c r="Q53" s="31" t="n">
        <v>589.79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-1.2</v>
      </c>
      <c r="U53" s="31" t="n">
        <v>49.08</v>
      </c>
      <c r="V53" s="31" t="n">
        <v>50.9</v>
      </c>
      <c r="W53" s="31" t="n">
        <v>24.12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B2C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21</t>
        </is>
      </c>
      <c r="CG53" s="30">
        <f>IF(CF53&gt;20,10,IF(CF53&gt;=10,5,2))</f>
        <v/>
      </c>
    </row>
    <row r="54">
      <c r="A54" s="30">
        <f>IF(B54=0,"",RANK(B54,$B$2:$B$90,0))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SYRMA</t>
        </is>
      </c>
      <c r="D54" s="33" t="inlineStr">
        <is>
          <t>Syrma SGS Technology Ltd</t>
        </is>
      </c>
      <c r="E54" s="30" t="inlineStr">
        <is>
          <t>consumer discretionary</t>
        </is>
      </c>
      <c r="F54" s="30" t="inlineStr">
        <is>
          <t>Consumer Electronics - EMS</t>
        </is>
      </c>
      <c r="G54" s="30" t="inlineStr">
        <is>
          <t>largecap</t>
        </is>
      </c>
      <c r="H54" s="31" t="n">
        <v>27381.93</v>
      </c>
      <c r="I54" s="31" t="n">
        <v>1420</v>
      </c>
      <c r="J54" s="31" t="n">
        <v>0.14</v>
      </c>
      <c r="K54" s="31" t="n">
        <v>0</v>
      </c>
      <c r="L54" s="30" t="n">
        <v>78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67.87</v>
      </c>
      <c r="P54" s="31" t="n">
        <v>59.3</v>
      </c>
      <c r="Q54" s="31" t="n">
        <v>1115.92</v>
      </c>
      <c r="R54" s="30" t="inlineStr">
        <is>
          <t>Near 52W High Breakout</t>
        </is>
      </c>
      <c r="S54" s="30" t="inlineStr">
        <is>
          <t>Nifty 50</t>
        </is>
      </c>
      <c r="T54" s="31" t="n">
        <v>0.85</v>
      </c>
      <c r="U54" s="31" t="n">
        <v>103.05</v>
      </c>
      <c r="V54" s="31" t="n">
        <v>101.34</v>
      </c>
      <c r="W54" s="31" t="n">
        <v>21.65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19</t>
        </is>
      </c>
      <c r="CG54" s="30">
        <f>IF(CF54&gt;20,10,IF(CF54&gt;=10,5,2))</f>
        <v/>
      </c>
    </row>
    <row r="55">
      <c r="A55" s="30">
        <f>IF(B55=0,"",RANK(B55,$B$2:$B$90,0))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DIACABS</t>
        </is>
      </c>
      <c r="D55" s="30" t="inlineStr">
        <is>
          <t>Diamond Power Infrastructure Ltd</t>
        </is>
      </c>
      <c r="E55" s="30" t="inlineStr">
        <is>
          <t>industrials</t>
        </is>
      </c>
      <c r="F55" s="30" t="inlineStr">
        <is>
          <t>Cables - Power</t>
        </is>
      </c>
      <c r="G55" s="30" t="inlineStr">
        <is>
          <t>largecap</t>
        </is>
      </c>
      <c r="H55" s="31" t="n">
        <v>21410.94</v>
      </c>
      <c r="I55" s="31" t="n">
        <v>358</v>
      </c>
      <c r="J55" s="31" t="n">
        <v>2.64</v>
      </c>
      <c r="K55" s="31" t="n">
        <v>0</v>
      </c>
      <c r="L55" s="30" t="n">
        <v>97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88.58</v>
      </c>
      <c r="P55" s="31" t="n">
        <v>60.16</v>
      </c>
      <c r="Q55" s="31" t="n">
        <v>280.22</v>
      </c>
      <c r="R55" s="30" t="inlineStr">
        <is>
          <t>Near 52W High Breakout</t>
        </is>
      </c>
      <c r="S55" s="30" t="inlineStr">
        <is>
          <t>Nifty Energy</t>
        </is>
      </c>
      <c r="T55" s="31" t="n">
        <v>9.93</v>
      </c>
      <c r="U55" s="31" t="n">
        <v>123.52</v>
      </c>
      <c r="V55" s="31" t="n">
        <v>103.34</v>
      </c>
      <c r="W55" s="31" t="n">
        <v>51.07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18</t>
        </is>
      </c>
      <c r="CG55" s="30">
        <f>IF(CF55&gt;20,10,IF(CF55&gt;=10,5,2))</f>
        <v/>
      </c>
    </row>
    <row r="56">
      <c r="A56" s="30">
        <f>IF(B56=0,"",RANK(B56,$B$2:$B$90,0))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COFORGE</t>
        </is>
      </c>
      <c r="D56" s="30" t="inlineStr">
        <is>
          <t>Coforge Ltd</t>
        </is>
      </c>
      <c r="E56" s="30" t="inlineStr">
        <is>
          <t>i.t</t>
        </is>
      </c>
      <c r="F56" s="30" t="inlineStr">
        <is>
          <t>IT - Software</t>
        </is>
      </c>
      <c r="G56" s="30" t="inlineStr">
        <is>
          <t>largecap</t>
        </is>
      </c>
      <c r="H56" s="31" t="n">
        <v>78662.67999999999</v>
      </c>
      <c r="I56" s="31" t="n">
        <v>1776</v>
      </c>
      <c r="J56" s="31" t="n">
        <v>0.18</v>
      </c>
      <c r="K56" s="31" t="n">
        <v>0</v>
      </c>
      <c r="L56" s="30" t="n">
        <v>43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66.73</v>
      </c>
      <c r="P56" s="31" t="n">
        <v>9.710000000000001</v>
      </c>
      <c r="Q56" s="31" t="n">
        <v>1384.85</v>
      </c>
      <c r="R56" s="30" t="inlineStr">
        <is>
          <t>Earnings / Momentum Support</t>
        </is>
      </c>
      <c r="S56" s="30" t="inlineStr">
        <is>
          <t>Nifty IT</t>
        </is>
      </c>
      <c r="T56" s="31" t="n">
        <v>-8.289999999999999</v>
      </c>
      <c r="U56" s="31" t="n">
        <v>11.55</v>
      </c>
      <c r="V56" s="31" t="n">
        <v>21.63</v>
      </c>
      <c r="W56" s="31" t="n">
        <v>9.380000000000001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0 to 20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19</t>
        </is>
      </c>
      <c r="CG56" s="30">
        <f>IF(CF56&gt;20,10,IF(CF56&gt;=10,5,2))</f>
        <v/>
      </c>
    </row>
    <row r="57">
      <c r="A57" s="30">
        <f>IF(B57=0,"",RANK(B57,$B$2:$B$90,0))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SKYGOLD</t>
        </is>
      </c>
      <c r="D57" s="30" t="inlineStr">
        <is>
          <t>Sky Gold &amp; Diamonds Ltd</t>
        </is>
      </c>
      <c r="E57" s="30" t="inlineStr">
        <is>
          <t>consumer discretionary</t>
        </is>
      </c>
      <c r="F57" s="30" t="inlineStr">
        <is>
          <t>Diamond, Gems &amp; Jewellery</t>
        </is>
      </c>
      <c r="G57" s="30" t="inlineStr">
        <is>
          <t>midcap</t>
        </is>
      </c>
      <c r="H57" s="31" t="n">
        <v>11197.38</v>
      </c>
      <c r="I57" s="31" t="n">
        <v>723</v>
      </c>
      <c r="J57" s="31" t="n">
        <v>4.61</v>
      </c>
      <c r="K57" s="31" t="n">
        <v>0</v>
      </c>
      <c r="L57" s="30" t="n">
        <v>90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77.44</v>
      </c>
      <c r="P57" s="31" t="n">
        <v>59.8</v>
      </c>
      <c r="Q57" s="31" t="n">
        <v>544.8099999999999</v>
      </c>
      <c r="R57" s="30" t="inlineStr">
        <is>
          <t>Near 52W High Breakout</t>
        </is>
      </c>
      <c r="S57" s="30" t="inlineStr">
        <is>
          <t>Nifty 50</t>
        </is>
      </c>
      <c r="T57" s="31" t="n">
        <v>0.85</v>
      </c>
      <c r="U57" s="31" t="n">
        <v>160.94</v>
      </c>
      <c r="V57" s="31" t="n">
        <v>158.73</v>
      </c>
      <c r="W57" s="31" t="n">
        <v>30.7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Negative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Between 0.7 to 1.2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27</t>
        </is>
      </c>
      <c r="CG57" s="30">
        <f>IF(CF57&gt;20,10,IF(CF57&gt;=10,5,2))</f>
        <v/>
      </c>
    </row>
    <row r="58">
      <c r="A58" s="30">
        <f>IF(B58=0,"",RANK(B58,$B$2:$B$90,0))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ASKAUTOLTD</t>
        </is>
      </c>
      <c r="D58" s="30" t="inlineStr">
        <is>
          <t>ASK Automotive Ltd</t>
        </is>
      </c>
      <c r="E58" s="30" t="inlineStr">
        <is>
          <t>auto</t>
        </is>
      </c>
      <c r="F58" s="30" t="inlineStr">
        <is>
          <t>Auto Ancillaries - 2 Wheelers</t>
        </is>
      </c>
      <c r="G58" s="30" t="inlineStr">
        <is>
          <t>midcap</t>
        </is>
      </c>
      <c r="H58" s="31" t="n">
        <v>12577.7</v>
      </c>
      <c r="I58" s="31" t="n">
        <v>638</v>
      </c>
      <c r="J58" s="31" t="n">
        <v>-6.01</v>
      </c>
      <c r="K58" s="31" t="n">
        <v>0</v>
      </c>
      <c r="L58" s="30" t="n">
        <v>68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79.59999999999999</v>
      </c>
      <c r="P58" s="31" t="n">
        <v>15.65</v>
      </c>
      <c r="Q58" s="31" t="n">
        <v>508.38</v>
      </c>
      <c r="R58" s="30" t="inlineStr">
        <is>
          <t>Volume Spike &amp; Near 52W High Breakout</t>
        </is>
      </c>
      <c r="S58" s="30" t="inlineStr">
        <is>
          <t>Nifty Auto</t>
        </is>
      </c>
      <c r="T58" s="31" t="n">
        <v>24.67</v>
      </c>
      <c r="U58" s="31" t="n">
        <v>25.37</v>
      </c>
      <c r="V58" s="31" t="n">
        <v>0.57</v>
      </c>
      <c r="W58" s="31" t="n">
        <v>16.29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23</t>
        </is>
      </c>
      <c r="CG58" s="30">
        <f>IF(CF58&gt;20,10,IF(CF58&gt;=10,5,2))</f>
        <v/>
      </c>
    </row>
    <row r="59">
      <c r="A59" s="30">
        <f>IF(B59=0,"",RANK(B59,$B$2:$B$90,0))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MAHLIFE</t>
        </is>
      </c>
      <c r="D59" s="30" t="inlineStr">
        <is>
          <t>Mahindra Lifespace Developers Ltd</t>
        </is>
      </c>
      <c r="E59" s="30" t="inlineStr">
        <is>
          <t>realty</t>
        </is>
      </c>
      <c r="F59" s="30" t="inlineStr">
        <is>
          <t>Construction &amp; Contracting</t>
        </is>
      </c>
      <c r="G59" s="30" t="inlineStr">
        <is>
          <t>midcap</t>
        </is>
      </c>
      <c r="H59" s="31" t="n">
        <v>8193.549999999999</v>
      </c>
      <c r="I59" s="31" t="n">
        <v>384</v>
      </c>
      <c r="J59" s="31" t="n">
        <v>-0.62</v>
      </c>
      <c r="K59" s="31" t="n">
        <v>0</v>
      </c>
      <c r="L59" s="30" t="n">
        <v>33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60.53</v>
      </c>
      <c r="P59" s="31" t="n">
        <v>14</v>
      </c>
      <c r="Q59" s="31" t="n">
        <v>319.95</v>
      </c>
      <c r="R59" s="30" t="inlineStr">
        <is>
          <t>Earnings / Momentum Support</t>
        </is>
      </c>
      <c r="S59" s="30" t="inlineStr">
        <is>
          <t>Nifty Realty</t>
        </is>
      </c>
      <c r="T59" s="31" t="n">
        <v>-6.8</v>
      </c>
      <c r="U59" s="31" t="n">
        <v>5.46</v>
      </c>
      <c r="V59" s="31" t="n">
        <v>13.16</v>
      </c>
      <c r="W59" s="31" t="n">
        <v>6.25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22</t>
        </is>
      </c>
      <c r="CG59" s="30">
        <f>IF(CF59&gt;20,10,IF(CF59&gt;=10,5,2))</f>
        <v/>
      </c>
    </row>
    <row r="60">
      <c r="A60" s="30">
        <f>IF(B60=0,"",RANK(B60,$B$2:$B$90,0))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PAYTM</t>
        </is>
      </c>
      <c r="D60" s="30" t="inlineStr">
        <is>
          <t>One 97 Communications Ltd</t>
        </is>
      </c>
      <c r="E60" s="30" t="inlineStr">
        <is>
          <t>i.t</t>
        </is>
      </c>
      <c r="F60" s="30" t="inlineStr">
        <is>
          <t>E-Commerce - Platform - Utility</t>
        </is>
      </c>
      <c r="G60" s="30" t="inlineStr">
        <is>
          <t>largecap</t>
        </is>
      </c>
      <c r="H60" s="31" t="n">
        <v>92425.75</v>
      </c>
      <c r="I60" s="31" t="n">
        <v>1441.6</v>
      </c>
      <c r="J60" s="31" t="n">
        <v>-0.03</v>
      </c>
      <c r="K60" s="31" t="n">
        <v>0</v>
      </c>
      <c r="L60" s="30" t="n">
        <v>53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67.36</v>
      </c>
      <c r="P60" s="31" t="n">
        <v>16.26</v>
      </c>
      <c r="Q60" s="31" t="n">
        <v>1140.27</v>
      </c>
      <c r="R60" s="30" t="inlineStr">
        <is>
          <t>Volume Spike &amp; Near 52W High Breakout</t>
        </is>
      </c>
      <c r="S60" s="30" t="inlineStr">
        <is>
          <t>Nifty IT</t>
        </is>
      </c>
      <c r="T60" s="31" t="n">
        <v>-8.289999999999999</v>
      </c>
      <c r="U60" s="31" t="n">
        <v>35.69</v>
      </c>
      <c r="V60" s="31" t="n">
        <v>47.95</v>
      </c>
      <c r="W60" s="31" t="n">
        <v>11.56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Oligopoly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0 to 20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20</t>
        </is>
      </c>
      <c r="CG60" s="30">
        <f>IF(CF60&gt;20,10,IF(CF60&gt;=10,5,2))</f>
        <v/>
      </c>
    </row>
    <row r="61">
      <c r="A61" s="30">
        <f>IF(B61=0,"",RANK(B61,$B$2:$B$90,0))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UEL</t>
        </is>
      </c>
      <c r="D61" s="33" t="inlineStr">
        <is>
          <t>Ujaas Energy Ltd</t>
        </is>
      </c>
      <c r="E61" s="30" t="inlineStr">
        <is>
          <t>power &amp; utilities</t>
        </is>
      </c>
      <c r="F61" s="30" t="inlineStr">
        <is>
          <t>Capital Goods - Transformers</t>
        </is>
      </c>
      <c r="G61" s="30" t="inlineStr">
        <is>
          <t>smallcap</t>
        </is>
      </c>
      <c r="H61" s="31" t="n">
        <v>3438.86</v>
      </c>
      <c r="I61" s="31" t="n">
        <v>257.79</v>
      </c>
      <c r="J61" s="31" t="n">
        <v>5</v>
      </c>
      <c r="K61" s="31" t="n">
        <v>0</v>
      </c>
      <c r="L61" s="30" t="n">
        <v>92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77.87</v>
      </c>
      <c r="P61" s="31" t="n">
        <v>13.24</v>
      </c>
      <c r="Q61" s="31" t="n">
        <v>185.52</v>
      </c>
      <c r="R61" s="30" t="inlineStr">
        <is>
          <t>Volume Spike &amp; Near 52W High Breakout</t>
        </is>
      </c>
      <c r="S61" s="30" t="inlineStr">
        <is>
          <t>Nifty IT</t>
        </is>
      </c>
      <c r="T61" s="31" t="n">
        <v>-8.289999999999999</v>
      </c>
      <c r="U61" s="31" t="n">
        <v>110.93</v>
      </c>
      <c r="V61" s="31" t="n">
        <v>129.99</v>
      </c>
      <c r="W61" s="31" t="n">
        <v>32.09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0 to 20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IF(B62=0,"",RANK(B62,$B$2:$B$90,0))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LLOYDSENT</t>
        </is>
      </c>
      <c r="D62" s="30" t="inlineStr">
        <is>
          <t>Lloyds Enterprises Ltd</t>
        </is>
      </c>
      <c r="E62" s="30" t="inlineStr">
        <is>
          <t>services</t>
        </is>
      </c>
      <c r="F62" s="30" t="inlineStr">
        <is>
          <t>Trading</t>
        </is>
      </c>
      <c r="G62" s="30" t="inlineStr">
        <is>
          <t>midcap</t>
        </is>
      </c>
      <c r="H62" s="31" t="n">
        <v>12589.13</v>
      </c>
      <c r="I62" s="31" t="n">
        <v>82.59999999999999</v>
      </c>
      <c r="J62" s="31" t="n">
        <v>3.93</v>
      </c>
      <c r="K62" s="31" t="n">
        <v>0</v>
      </c>
      <c r="L62" s="30" t="n">
        <v>31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67</v>
      </c>
      <c r="P62" s="31" t="n">
        <v>36.34</v>
      </c>
      <c r="Q62" s="31" t="n">
        <v>63.55</v>
      </c>
      <c r="R62" s="30" t="inlineStr">
        <is>
          <t>Near 52W High Breakout</t>
        </is>
      </c>
      <c r="S62" s="30" t="inlineStr">
        <is>
          <t>Nifty 50</t>
        </is>
      </c>
      <c r="T62" s="31" t="n">
        <v>0.85</v>
      </c>
      <c r="U62" s="31" t="n">
        <v>9.49</v>
      </c>
      <c r="V62" s="31" t="n">
        <v>8.57</v>
      </c>
      <c r="W62" s="31" t="n">
        <v>6.02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IF(B63=0,"",RANK(B63,$B$2:$B$90,0))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LODHA</t>
        </is>
      </c>
      <c r="D63" s="30" t="inlineStr">
        <is>
          <t>Lodha Developers Ltd</t>
        </is>
      </c>
      <c r="E63" s="30" t="inlineStr">
        <is>
          <t>realty</t>
        </is>
      </c>
      <c r="F63" s="30" t="inlineStr">
        <is>
          <t>Realty - National</t>
        </is>
      </c>
      <c r="G63" s="30" t="inlineStr">
        <is>
          <t>largecap</t>
        </is>
      </c>
      <c r="H63" s="31" t="n">
        <v>121763.87</v>
      </c>
      <c r="I63" s="31" t="n">
        <v>1218.7</v>
      </c>
      <c r="J63" s="31" t="n">
        <v>0.39</v>
      </c>
      <c r="K63" s="31" t="n">
        <v>0</v>
      </c>
      <c r="L63" s="30" t="n">
        <v>48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62.95</v>
      </c>
      <c r="P63" s="31" t="n">
        <v>18.12</v>
      </c>
      <c r="Q63" s="31" t="n">
        <v>959.6900000000001</v>
      </c>
      <c r="R63" s="30" t="inlineStr">
        <is>
          <t>Near 52W High Breakout</t>
        </is>
      </c>
      <c r="S63" s="30" t="inlineStr">
        <is>
          <t>Nifty Realty</t>
        </is>
      </c>
      <c r="T63" s="31" t="n">
        <v>-6.8</v>
      </c>
      <c r="U63" s="31" t="n">
        <v>-4.09</v>
      </c>
      <c r="V63" s="31" t="n">
        <v>2.9</v>
      </c>
      <c r="W63" s="31" t="n">
        <v>10.61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IF(B64=0,"",RANK(B64,$B$2:$B$90,0))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EMIL</t>
        </is>
      </c>
      <c r="D64" s="33" t="inlineStr">
        <is>
          <t>Electronics Mart India Ltd</t>
        </is>
      </c>
      <c r="E64" s="30" t="inlineStr">
        <is>
          <t>consumer discretionary</t>
        </is>
      </c>
      <c r="F64" s="30" t="inlineStr">
        <is>
          <t>Retail - Electronics</t>
        </is>
      </c>
      <c r="G64" s="30" t="inlineStr">
        <is>
          <t>midcap</t>
        </is>
      </c>
      <c r="H64" s="31" t="n">
        <v>6502.25</v>
      </c>
      <c r="I64" s="31" t="n">
        <v>169</v>
      </c>
      <c r="J64" s="31" t="n">
        <v>12.83</v>
      </c>
      <c r="K64" s="31" t="n">
        <v>0</v>
      </c>
      <c r="L64" s="30" t="n">
        <v>72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72.2</v>
      </c>
      <c r="P64" s="31" t="n">
        <v>24.24</v>
      </c>
      <c r="Q64" s="31" t="n">
        <v>124.21</v>
      </c>
      <c r="R64" s="30" t="inlineStr">
        <is>
          <t>Volume Spike &amp; Near 52W High Breakout</t>
        </is>
      </c>
      <c r="S64" s="30" t="inlineStr">
        <is>
          <t>Nifty 50</t>
        </is>
      </c>
      <c r="T64" s="31" t="n">
        <v>0.85</v>
      </c>
      <c r="U64" s="31" t="n">
        <v>36.51</v>
      </c>
      <c r="V64" s="31" t="n">
        <v>35.36</v>
      </c>
      <c r="W64" s="31" t="n">
        <v>17.72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More than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27</t>
        </is>
      </c>
      <c r="CG64" s="30">
        <f>IF(CF64&gt;20,10,IF(CF64&gt;=10,5,2))</f>
        <v/>
      </c>
    </row>
    <row r="65">
      <c r="A65" s="30">
        <f>IF(B65=0,"",RANK(B65,$B$2:$B$90,0))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ARVSMART</t>
        </is>
      </c>
      <c r="D65" s="33" t="inlineStr">
        <is>
          <t>Arvind SmartSpaces Ltd</t>
        </is>
      </c>
      <c r="E65" s="30" t="inlineStr">
        <is>
          <t>realty</t>
        </is>
      </c>
      <c r="F65" s="30" t="inlineStr">
        <is>
          <t>Realty - Construction &amp; Contracting</t>
        </is>
      </c>
      <c r="G65" s="30" t="inlineStr">
        <is>
          <t>smallcap</t>
        </is>
      </c>
      <c r="H65" s="31" t="n">
        <v>2996.49</v>
      </c>
      <c r="I65" s="31" t="n">
        <v>653.3</v>
      </c>
      <c r="J65" s="31" t="n">
        <v>8.289999999999999</v>
      </c>
      <c r="K65" s="31" t="n">
        <v>0</v>
      </c>
      <c r="L65" s="30" t="n">
        <v>17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59.92</v>
      </c>
      <c r="P65" s="31" t="n">
        <v>24.41</v>
      </c>
      <c r="Q65" s="31" t="n">
        <v>512.1799999999999</v>
      </c>
      <c r="R65" s="30" t="inlineStr">
        <is>
          <t>Volume Spike &amp; Near 52W High Breakout</t>
        </is>
      </c>
      <c r="S65" s="30" t="inlineStr">
        <is>
          <t>Nifty Realty</t>
        </is>
      </c>
      <c r="T65" s="31" t="n">
        <v>-6.8</v>
      </c>
      <c r="U65" s="31" t="n">
        <v>4.13</v>
      </c>
      <c r="V65" s="31" t="n">
        <v>11.73</v>
      </c>
      <c r="W65" s="31" t="n">
        <v>3.03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22</t>
        </is>
      </c>
      <c r="CG65" s="30">
        <f>IF(CF65&gt;20,10,IF(CF65&gt;=10,5,2))</f>
        <v/>
      </c>
    </row>
    <row r="66">
      <c r="A66" s="30">
        <f>IF(B66=0,"",RANK(B66,$B$2:$B$90,0))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ROSSTECH</t>
        </is>
      </c>
      <c r="D66" s="30" t="inlineStr">
        <is>
          <t>Rossell Techsys Ltd</t>
        </is>
      </c>
      <c r="E66" s="30" t="inlineStr">
        <is>
          <t>aerospace &amp; defence</t>
        </is>
      </c>
      <c r="F66" s="30" t="inlineStr">
        <is>
          <t>Aerospace &amp; Defence - Equipments</t>
        </is>
      </c>
      <c r="G66" s="30" t="inlineStr">
        <is>
          <t>smallcap</t>
        </is>
      </c>
      <c r="H66" s="31" t="n">
        <v>4124.37</v>
      </c>
      <c r="I66" s="31" t="n">
        <v>1094.1</v>
      </c>
      <c r="J66" s="31" t="n">
        <v>0.36</v>
      </c>
      <c r="K66" s="31" t="n">
        <v>0</v>
      </c>
      <c r="L66" s="30" t="n">
        <v>74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63.15</v>
      </c>
      <c r="P66" s="31" t="n">
        <v>30.73</v>
      </c>
      <c r="Q66" s="31" t="n">
        <v>749.04</v>
      </c>
      <c r="R66" s="30" t="inlineStr">
        <is>
          <t>Volume Spike &amp; Near 52W High Breakout</t>
        </is>
      </c>
      <c r="S66" s="30" t="inlineStr">
        <is>
          <t>Nifty Infra</t>
        </is>
      </c>
      <c r="T66" s="31" t="n">
        <v>4.83</v>
      </c>
      <c r="U66" s="31" t="n">
        <v>88.20999999999999</v>
      </c>
      <c r="V66" s="31" t="n">
        <v>79.55</v>
      </c>
      <c r="W66" s="31" t="n">
        <v>18.81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More than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21</t>
        </is>
      </c>
      <c r="CG66" s="30">
        <f>IF(CF66&gt;20,10,IF(CF66&gt;=10,5,2))</f>
        <v/>
      </c>
    </row>
    <row r="67">
      <c r="A67" s="30">
        <f>IF(B67=0,"",RANK(B67,$B$2:$B$90,0))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ETHOSLTD</t>
        </is>
      </c>
      <c r="D67" s="30" t="inlineStr">
        <is>
          <t>Ethos Ltd</t>
        </is>
      </c>
      <c r="E67" s="30" t="inlineStr">
        <is>
          <t>consumer discretionary</t>
        </is>
      </c>
      <c r="F67" s="30" t="inlineStr">
        <is>
          <t>Watches</t>
        </is>
      </c>
      <c r="G67" s="30" t="inlineStr">
        <is>
          <t>midcap</t>
        </is>
      </c>
      <c r="H67" s="31" t="n">
        <v>7497.51</v>
      </c>
      <c r="I67" s="31" t="n">
        <v>2802</v>
      </c>
      <c r="J67" s="31" t="n">
        <v>-0.8</v>
      </c>
      <c r="K67" s="31" t="n">
        <v>0</v>
      </c>
      <c r="L67" s="30" t="n">
        <v>21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61.22</v>
      </c>
      <c r="P67" s="31" t="n">
        <v>12.11</v>
      </c>
      <c r="Q67" s="31" t="n">
        <v>2110.46</v>
      </c>
      <c r="R67" s="30" t="inlineStr">
        <is>
          <t>Volume Spike / Accumulation</t>
        </is>
      </c>
      <c r="S67" s="30" t="inlineStr">
        <is>
          <t>Nifty 50</t>
        </is>
      </c>
      <c r="T67" s="31" t="n">
        <v>0.85</v>
      </c>
      <c r="U67" s="31" t="n">
        <v>1.56</v>
      </c>
      <c r="V67" s="31" t="n">
        <v>0.71</v>
      </c>
      <c r="W67" s="31" t="n">
        <v>3.83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IF(B68=0,"",RANK(B68,$B$2:$B$90,0))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TBZ</t>
        </is>
      </c>
      <c r="D68" s="30" t="inlineStr">
        <is>
          <t>Tribhovandas Bhimji Zaveri Ltd</t>
        </is>
      </c>
      <c r="E68" s="30" t="inlineStr">
        <is>
          <t>consumer discretionary</t>
        </is>
      </c>
      <c r="F68" s="30" t="inlineStr">
        <is>
          <t>Diamond, Gems &amp; Jewellery</t>
        </is>
      </c>
      <c r="G68" s="30" t="inlineStr">
        <is>
          <t>smallcap</t>
        </is>
      </c>
      <c r="H68" s="31" t="n">
        <v>1821.75</v>
      </c>
      <c r="I68" s="31" t="n">
        <v>273</v>
      </c>
      <c r="J68" s="31" t="n">
        <v>0.74</v>
      </c>
      <c r="K68" s="31" t="n">
        <v>0</v>
      </c>
      <c r="L68" s="30" t="n">
        <v>88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78.84999999999999</v>
      </c>
      <c r="P68" s="31" t="n">
        <v>38.29</v>
      </c>
      <c r="Q68" s="31" t="n">
        <v>205.73</v>
      </c>
      <c r="R68" s="30" t="inlineStr">
        <is>
          <t>Near 52W High Breakout</t>
        </is>
      </c>
      <c r="S68" s="30" t="inlineStr">
        <is>
          <t>Nifty 50</t>
        </is>
      </c>
      <c r="T68" s="31" t="n">
        <v>0.85</v>
      </c>
      <c r="U68" s="31" t="n">
        <v>47.1</v>
      </c>
      <c r="V68" s="31" t="n">
        <v>45.86</v>
      </c>
      <c r="W68" s="31" t="n">
        <v>27.39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Less than 50% and Borrowings are increasing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18</t>
        </is>
      </c>
      <c r="CG68" s="30">
        <f>IF(CF68&gt;20,10,IF(CF68&gt;=10,5,2))</f>
        <v/>
      </c>
    </row>
    <row r="69">
      <c r="A69" s="30">
        <f>IF(B69=0,"",RANK(B69,$B$2:$B$90,0))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SENORES</t>
        </is>
      </c>
      <c r="D69" s="30" t="inlineStr">
        <is>
          <t>Senores Pharmaceuticals Ltd</t>
        </is>
      </c>
      <c r="E69" s="30" t="inlineStr">
        <is>
          <t>Healthcare</t>
        </is>
      </c>
      <c r="F69" s="30" t="inlineStr">
        <is>
          <t>Pharma - API</t>
        </is>
      </c>
      <c r="G69" s="30" t="inlineStr">
        <is>
          <t>midcap</t>
        </is>
      </c>
      <c r="H69" s="31" t="n">
        <v>6171.64</v>
      </c>
      <c r="I69" s="31" t="n">
        <v>1340.1</v>
      </c>
      <c r="J69" s="31" t="n">
        <v>0.87</v>
      </c>
      <c r="K69" s="31" t="n">
        <v>0</v>
      </c>
      <c r="L69" s="30" t="n">
        <v>83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67.48</v>
      </c>
      <c r="P69" s="31" t="n">
        <v>61.87</v>
      </c>
      <c r="Q69" s="31" t="n">
        <v>1085.85</v>
      </c>
      <c r="R69" s="30" t="inlineStr">
        <is>
          <t>Earnings / Momentum Support</t>
        </is>
      </c>
      <c r="S69" s="30" t="inlineStr">
        <is>
          <t>Nifty Pharma</t>
        </is>
      </c>
      <c r="T69" s="31" t="n">
        <v>24.01</v>
      </c>
      <c r="U69" s="31" t="n">
        <v>105.79</v>
      </c>
      <c r="V69" s="31" t="n">
        <v>65.94</v>
      </c>
      <c r="W69" s="31" t="n">
        <v>24.3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IF(B70=0,"",RANK(B70,$B$2:$B$90,0))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PNGJL</t>
        </is>
      </c>
      <c r="D70" s="30" t="inlineStr">
        <is>
          <t>P N Gadgil Jewellers Ltd</t>
        </is>
      </c>
      <c r="E70" s="30" t="inlineStr">
        <is>
          <t>consumer discretionary</t>
        </is>
      </c>
      <c r="F70" s="30" t="inlineStr">
        <is>
          <t>Diamond, Gems &amp; Jewellery</t>
        </is>
      </c>
      <c r="G70" s="30" t="inlineStr">
        <is>
          <t>midcap</t>
        </is>
      </c>
      <c r="H70" s="31" t="n">
        <v>9465.129999999999</v>
      </c>
      <c r="I70" s="31" t="n">
        <v>643</v>
      </c>
      <c r="J70" s="31" t="n">
        <v>1.23</v>
      </c>
      <c r="K70" s="31" t="n">
        <v>0</v>
      </c>
      <c r="L70" s="30" t="n">
        <v>13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56.16</v>
      </c>
      <c r="P70" s="31" t="n">
        <v>12.5</v>
      </c>
      <c r="Q70" s="31" t="n">
        <v>572.3200000000001</v>
      </c>
      <c r="R70" s="30" t="inlineStr">
        <is>
          <t>Earnings / Momentum Support</t>
        </is>
      </c>
      <c r="S70" s="30" t="inlineStr">
        <is>
          <t>Nifty 50</t>
        </is>
      </c>
      <c r="T70" s="31" t="n">
        <v>0.85</v>
      </c>
      <c r="U70" s="31" t="n">
        <v>15.98</v>
      </c>
      <c r="V70" s="31" t="n">
        <v>15</v>
      </c>
      <c r="W70" s="31" t="n">
        <v>2.19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21</t>
        </is>
      </c>
      <c r="CG70" s="30">
        <f>IF(CF70&gt;20,10,IF(CF70&gt;=10,5,2))</f>
        <v/>
      </c>
    </row>
    <row r="71">
      <c r="A71" s="30">
        <f>IF(B71=0,"",RANK(B71,$B$2:$B$90,0))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TRAVELFOOD</t>
        </is>
      </c>
      <c r="D71" s="33" t="inlineStr">
        <is>
          <t>Travel Food Services Ltd</t>
        </is>
      </c>
      <c r="E71" s="30" t="inlineStr">
        <is>
          <t>consumer discretionary</t>
        </is>
      </c>
      <c r="F71" s="30" t="inlineStr">
        <is>
          <t>Hotels</t>
        </is>
      </c>
      <c r="G71" s="30" t="inlineStr">
        <is>
          <t>midcap</t>
        </is>
      </c>
      <c r="H71" s="31" t="n">
        <v>18817</v>
      </c>
      <c r="I71" s="31" t="n">
        <v>1429</v>
      </c>
      <c r="J71" s="31" t="n">
        <v>6.87</v>
      </c>
      <c r="K71" s="31" t="n">
        <v>0</v>
      </c>
      <c r="L71" s="30" t="n">
        <v>40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64.14</v>
      </c>
      <c r="P71" s="31" t="n">
        <v>12.06</v>
      </c>
      <c r="Q71" s="31" t="n">
        <v>1143.9</v>
      </c>
      <c r="R71" s="30" t="inlineStr">
        <is>
          <t>Volume Spike &amp; Near 52W High Breakout</t>
        </is>
      </c>
      <c r="S71" s="30" t="inlineStr">
        <is>
          <t>Nifty 50</t>
        </is>
      </c>
      <c r="T71" s="31" t="n">
        <v>0.85</v>
      </c>
      <c r="U71" s="31" t="n">
        <v>27.58</v>
      </c>
      <c r="V71" s="31" t="n">
        <v>26.5</v>
      </c>
      <c r="W71" s="31" t="n">
        <v>8.52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Between 12 to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Between 50% to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20</t>
        </is>
      </c>
      <c r="CG71" s="30">
        <f>IF(CF71&gt;20,10,IF(CF71&gt;=10,5,2))</f>
        <v/>
      </c>
    </row>
    <row r="72">
      <c r="A72" s="30">
        <f>IF(B72=0,"",RANK(B72,$B$2:$B$90,0))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DEEPINDS</t>
        </is>
      </c>
      <c r="D72" s="30" t="inlineStr">
        <is>
          <t>Deep Industries Ltd</t>
        </is>
      </c>
      <c r="E72" s="30" t="inlineStr">
        <is>
          <t>energy</t>
        </is>
      </c>
      <c r="F72" s="30" t="inlineStr">
        <is>
          <t>Oil Drilling &amp; Exploration</t>
        </is>
      </c>
      <c r="G72" s="30" t="inlineStr">
        <is>
          <t>smallcap</t>
        </is>
      </c>
      <c r="H72" s="31" t="n">
        <v>4076.8</v>
      </c>
      <c r="I72" s="31" t="n">
        <v>637</v>
      </c>
      <c r="J72" s="31" t="n">
        <v>1.59</v>
      </c>
      <c r="K72" s="31" t="n">
        <v>0</v>
      </c>
      <c r="L72" s="30" t="n">
        <v>67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73.37</v>
      </c>
      <c r="P72" s="31" t="n">
        <v>16.02</v>
      </c>
      <c r="Q72" s="31" t="n">
        <v>487.68</v>
      </c>
      <c r="R72" s="30" t="inlineStr">
        <is>
          <t>Volume Spike &amp; Near 52W High Breakout</t>
        </is>
      </c>
      <c r="S72" s="30" t="inlineStr">
        <is>
          <t>Nifty Energy</t>
        </is>
      </c>
      <c r="T72" s="31" t="n">
        <v>9.93</v>
      </c>
      <c r="U72" s="31" t="n">
        <v>42.49</v>
      </c>
      <c r="V72" s="31" t="n">
        <v>29.62</v>
      </c>
      <c r="W72" s="31" t="n">
        <v>16.01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23</t>
        </is>
      </c>
      <c r="CG72" s="30">
        <f>IF(CF72&gt;20,10,IF(CF72&gt;=10,5,2))</f>
        <v/>
      </c>
    </row>
    <row r="73">
      <c r="A73" s="30">
        <f>IF(B73=0,"",RANK(B73,$B$2:$B$90,0))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NAVINFLUOR</t>
        </is>
      </c>
      <c r="D73" s="33" t="inlineStr">
        <is>
          <t>Navin Fluorine International Ltd</t>
        </is>
      </c>
      <c r="E73" s="30" t="inlineStr">
        <is>
          <t>chemicals</t>
        </is>
      </c>
      <c r="F73" s="30" t="inlineStr">
        <is>
          <t>Chemicals - Flourine</t>
        </is>
      </c>
      <c r="G73" s="30" t="inlineStr">
        <is>
          <t>largecap</t>
        </is>
      </c>
      <c r="H73" s="31" t="n">
        <v>42225.26</v>
      </c>
      <c r="I73" s="31" t="n">
        <v>8230</v>
      </c>
      <c r="J73" s="31" t="n">
        <v>-4.86</v>
      </c>
      <c r="K73" s="31" t="n">
        <v>0</v>
      </c>
      <c r="L73" s="30" t="n">
        <v>64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74.31</v>
      </c>
      <c r="P73" s="31" t="n">
        <v>54.04</v>
      </c>
      <c r="Q73" s="31" t="n">
        <v>6770.09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0.85</v>
      </c>
      <c r="U73" s="31" t="n">
        <v>72.22</v>
      </c>
      <c r="V73" s="31" t="n">
        <v>70.77</v>
      </c>
      <c r="W73" s="31" t="n">
        <v>15.32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Shallow Cyclical (2 to 3 Years Growth)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21</t>
        </is>
      </c>
      <c r="CG73" s="30">
        <f>IF(CF73&gt;20,10,IF(CF73&gt;=10,5,2))</f>
        <v/>
      </c>
    </row>
    <row r="74">
      <c r="A74" s="30">
        <f>IF(B74=0,"",RANK(B74,$B$2:$B$90,0))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SVRL</t>
        </is>
      </c>
      <c r="D74" s="33" t="inlineStr">
        <is>
          <t>Shri Venkatesh Refineries Ltd</t>
        </is>
      </c>
      <c r="E74" s="30" t="inlineStr">
        <is>
          <t>Consumer Defensive</t>
        </is>
      </c>
      <c r="F74" s="30" t="inlineStr">
        <is>
          <t>Solvent Extraction</t>
        </is>
      </c>
      <c r="G74" s="30" t="inlineStr">
        <is>
          <t>smallcap</t>
        </is>
      </c>
      <c r="H74" s="31" t="n">
        <v>1128.09</v>
      </c>
      <c r="I74" s="31" t="n">
        <v>510</v>
      </c>
      <c r="J74" s="31" t="n">
        <v>2.41</v>
      </c>
      <c r="K74" s="31" t="n">
        <v>0</v>
      </c>
      <c r="L74" s="30" t="n">
        <v>97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83.18000000000001</v>
      </c>
      <c r="P74" s="31" t="n">
        <v>25.09</v>
      </c>
      <c r="Q74" s="31" t="n">
        <v>387.32</v>
      </c>
      <c r="R74" s="30" t="inlineStr">
        <is>
          <t>Near 52W High Breakout</t>
        </is>
      </c>
      <c r="S74" s="30" t="inlineStr">
        <is>
          <t>Nifty 50</t>
        </is>
      </c>
      <c r="T74" s="31" t="n">
        <v>0.85</v>
      </c>
      <c r="U74" s="31" t="n">
        <v>111.5</v>
      </c>
      <c r="V74" s="31" t="n">
        <v>109.72</v>
      </c>
      <c r="W74" s="31" t="n">
        <v>49.83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Negative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IF(B75=0,"",RANK(B75,$B$2:$B$90,0))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APCOTEXIND</t>
        </is>
      </c>
      <c r="D75" s="30" t="inlineStr">
        <is>
          <t>Apcotex Industries Ltd</t>
        </is>
      </c>
      <c r="E75" s="30" t="inlineStr">
        <is>
          <t>chemicals</t>
        </is>
      </c>
      <c r="F75" s="30" t="inlineStr">
        <is>
          <t>Rubber Processing/Rubber Products</t>
        </is>
      </c>
      <c r="G75" s="30" t="inlineStr">
        <is>
          <t>smallcap</t>
        </is>
      </c>
      <c r="H75" s="31" t="n">
        <v>3178.1</v>
      </c>
      <c r="I75" s="31" t="n">
        <v>613</v>
      </c>
      <c r="J75" s="31" t="n">
        <v>-1.22</v>
      </c>
      <c r="K75" s="31" t="n">
        <v>0</v>
      </c>
      <c r="L75" s="30" t="n">
        <v>61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73.84</v>
      </c>
      <c r="P75" s="31" t="n">
        <v>63.36</v>
      </c>
      <c r="Q75" s="31" t="n">
        <v>459.61</v>
      </c>
      <c r="R75" s="30" t="inlineStr">
        <is>
          <t>Near 52W High Breakout</t>
        </is>
      </c>
      <c r="S75" s="30" t="inlineStr">
        <is>
          <t>Nifty 50</t>
        </is>
      </c>
      <c r="T75" s="31" t="n">
        <v>0.85</v>
      </c>
      <c r="U75" s="31" t="n">
        <v>53.86</v>
      </c>
      <c r="V75" s="31" t="n">
        <v>52.57</v>
      </c>
      <c r="W75" s="31" t="n">
        <v>14.24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Oligopoly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Cyclical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Fully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1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Sideways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Overhead supply in last 2 years in last 2 years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21</t>
        </is>
      </c>
      <c r="CG75" s="30">
        <f>IF(CF75&gt;20,10,IF(CF75&gt;=10,5,2))</f>
        <v/>
      </c>
    </row>
    <row r="76">
      <c r="A76" s="30">
        <f>IF(B76=0,"",RANK(B76,$B$2:$B$90,0))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RKFORGE</t>
        </is>
      </c>
      <c r="D76" s="30" t="inlineStr">
        <is>
          <t>Ramkrishna Forgings Ltd</t>
        </is>
      </c>
      <c r="E76" s="30" t="inlineStr">
        <is>
          <t>industrials</t>
        </is>
      </c>
      <c r="F76" s="30" t="inlineStr">
        <is>
          <t>Castings, Forgings &amp; Fastners</t>
        </is>
      </c>
      <c r="G76" s="30" t="inlineStr">
        <is>
          <t>midcap</t>
        </is>
      </c>
      <c r="H76" s="31" t="n">
        <v>13280.19</v>
      </c>
      <c r="I76" s="31" t="n">
        <v>729</v>
      </c>
      <c r="J76" s="31" t="n">
        <v>4.07</v>
      </c>
      <c r="K76" s="31" t="n">
        <v>0</v>
      </c>
      <c r="L76" s="30" t="n">
        <v>41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71.95</v>
      </c>
      <c r="P76" s="31" t="n">
        <v>10.51</v>
      </c>
      <c r="Q76" s="31" t="n">
        <v>585.53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0.85</v>
      </c>
      <c r="U76" s="31" t="n">
        <v>24.4</v>
      </c>
      <c r="V76" s="31" t="n">
        <v>23.35</v>
      </c>
      <c r="W76" s="31" t="n">
        <v>8.699999999999999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IF(B77=0,"",RANK(B77,$B$2:$B$90,0))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ASIANENE</t>
        </is>
      </c>
      <c r="D77" s="33" t="inlineStr">
        <is>
          <t>Asian Energy Services Ltd</t>
        </is>
      </c>
      <c r="E77" s="30" t="inlineStr">
        <is>
          <t>energy</t>
        </is>
      </c>
      <c r="F77" s="30" t="inlineStr">
        <is>
          <t>Oil Drilling &amp; Exploration</t>
        </is>
      </c>
      <c r="G77" s="30" t="inlineStr">
        <is>
          <t>smallcap</t>
        </is>
      </c>
      <c r="H77" s="31" t="n">
        <v>1978.48</v>
      </c>
      <c r="I77" s="31" t="n">
        <v>406.7</v>
      </c>
      <c r="J77" s="31" t="n">
        <v>3.84</v>
      </c>
      <c r="K77" s="31" t="n">
        <v>0</v>
      </c>
      <c r="L77" s="30" t="n">
        <v>69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66.56999999999999</v>
      </c>
      <c r="P77" s="31" t="n">
        <v>15.34</v>
      </c>
      <c r="Q77" s="31" t="n">
        <v>299.53</v>
      </c>
      <c r="R77" s="30" t="inlineStr">
        <is>
          <t>Near 52W High Breakout</t>
        </is>
      </c>
      <c r="S77" s="30" t="inlineStr">
        <is>
          <t>Nifty Energy</t>
        </is>
      </c>
      <c r="T77" s="31" t="n">
        <v>9.93</v>
      </c>
      <c r="U77" s="31" t="n">
        <v>43.68</v>
      </c>
      <c r="V77" s="31" t="n">
        <v>30.71</v>
      </c>
      <c r="W77" s="31" t="n">
        <v>16.91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0 to 20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IF(B78=0,"",RANK(B78,$B$2:$B$90,0))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SOBME</t>
        </is>
      </c>
      <c r="D78" s="33" t="inlineStr">
        <is>
          <t>Sobhagya Mercantile Ltd</t>
        </is>
      </c>
      <c r="E78" s="30" t="inlineStr">
        <is>
          <t>Basic Materials</t>
        </is>
      </c>
      <c r="F78" s="30" t="inlineStr">
        <is>
          <t>Diversified</t>
        </is>
      </c>
      <c r="G78" s="30" t="inlineStr">
        <is>
          <t>smallcap</t>
        </is>
      </c>
      <c r="H78" s="31" t="n">
        <v>1400.75</v>
      </c>
      <c r="I78" s="31" t="n">
        <v>1347</v>
      </c>
      <c r="J78" s="31" t="n">
        <v>5</v>
      </c>
      <c r="K78" s="31" t="n">
        <v>0</v>
      </c>
      <c r="L78" s="30" t="n">
        <v>93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81.98</v>
      </c>
      <c r="P78" s="31" t="n">
        <v>20.78</v>
      </c>
      <c r="Q78" s="31" t="n">
        <v>1080.58</v>
      </c>
      <c r="R78" s="30" t="inlineStr">
        <is>
          <t>Volume Spike &amp; Near 52W High Breakout</t>
        </is>
      </c>
      <c r="S78" s="30" t="inlineStr">
        <is>
          <t>Nifty Metal</t>
        </is>
      </c>
      <c r="T78" s="31" t="n">
        <v>39.94</v>
      </c>
      <c r="U78" s="31" t="n">
        <v>138.35</v>
      </c>
      <c r="V78" s="31" t="n">
        <v>70.31999999999999</v>
      </c>
      <c r="W78" s="31" t="n">
        <v>33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Less than 12%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18</t>
        </is>
      </c>
      <c r="CG78" s="30">
        <f>IF(CF78&gt;20,10,IF(CF78&gt;=10,5,2))</f>
        <v/>
      </c>
    </row>
    <row r="79">
      <c r="A79" s="30">
        <f>IF(B79=0,"",RANK(B79,$B$2:$B$90,0))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PRICOLLTD</t>
        </is>
      </c>
      <c r="D79" s="30" t="inlineStr">
        <is>
          <t>Pricol Ltd</t>
        </is>
      </c>
      <c r="E79" s="30" t="inlineStr">
        <is>
          <t>auto</t>
        </is>
      </c>
      <c r="F79" s="30" t="inlineStr">
        <is>
          <t>Auto Ancillaries - 2 Wheelers</t>
        </is>
      </c>
      <c r="G79" s="30" t="inlineStr">
        <is>
          <t>midcap</t>
        </is>
      </c>
      <c r="H79" s="31" t="n">
        <v>9013.139999999999</v>
      </c>
      <c r="I79" s="31" t="n">
        <v>739.5</v>
      </c>
      <c r="J79" s="31" t="n">
        <v>-2.88</v>
      </c>
      <c r="K79" s="31" t="n">
        <v>0</v>
      </c>
      <c r="L79" s="30" t="n">
        <v>68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71.20999999999999</v>
      </c>
      <c r="P79" s="31" t="n">
        <v>23.71</v>
      </c>
      <c r="Q79" s="31" t="n">
        <v>588.73</v>
      </c>
      <c r="R79" s="30" t="inlineStr">
        <is>
          <t>Near 52W High Breakout</t>
        </is>
      </c>
      <c r="S79" s="30" t="inlineStr">
        <is>
          <t>Nifty Auto</t>
        </is>
      </c>
      <c r="T79" s="31" t="n">
        <v>24.67</v>
      </c>
      <c r="U79" s="31" t="n">
        <v>69.18000000000001</v>
      </c>
      <c r="V79" s="31" t="n">
        <v>35.7</v>
      </c>
      <c r="W79" s="31" t="n">
        <v>16.3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Shallow Cyclical (2 to 3 Years Growth)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Fully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Allocated capital in Non-core Areas</t>
        </is>
      </c>
      <c r="AU79" s="30">
        <f>IF(AT79="Good",10,0)</f>
        <v/>
      </c>
      <c r="AV79" s="30" t="inlineStr">
        <is>
          <t>Yes only for next 1 to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Between 12 to 20%</t>
        </is>
      </c>
      <c r="BO79" s="30">
        <f>IF(BN79="More than 20%",10,IF(BN79="Between 12 to 20%",5,IF(BN79="Less than 12%",0,0)))</f>
        <v/>
      </c>
      <c r="BP79" s="30" t="inlineStr">
        <is>
          <t>Yes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Between 1.5 to 2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IF(B80=0,"",RANK(B80,$B$2:$B$90,0))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3" t="inlineStr">
        <is>
          <t>ELANTAS</t>
        </is>
      </c>
      <c r="D80" s="33" t="inlineStr">
        <is>
          <t>Elantas Beck India Ltd</t>
        </is>
      </c>
      <c r="E80" s="30" t="inlineStr">
        <is>
          <t>Basic Materials</t>
        </is>
      </c>
      <c r="F80" s="30" t="inlineStr">
        <is>
          <t>Chemicals - Organic</t>
        </is>
      </c>
      <c r="G80" s="30" t="inlineStr">
        <is>
          <t>midcap</t>
        </is>
      </c>
      <c r="H80" s="31" t="n">
        <v>9907.219999999999</v>
      </c>
      <c r="I80" s="31" t="n">
        <v>12497</v>
      </c>
      <c r="J80" s="31" t="n">
        <v>0.9</v>
      </c>
      <c r="K80" s="31" t="n">
        <v>0</v>
      </c>
      <c r="L80" s="30" t="n">
        <v>43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68.40000000000001</v>
      </c>
      <c r="P80" s="31" t="n">
        <v>23.47</v>
      </c>
      <c r="Q80" s="31" t="n">
        <v>9306.5</v>
      </c>
      <c r="R80" s="30" t="inlineStr">
        <is>
          <t>Volume Spike &amp; Near 52W High Breakout</t>
        </is>
      </c>
      <c r="S80" s="30" t="inlineStr">
        <is>
          <t>Nifty 50</t>
        </is>
      </c>
      <c r="T80" s="31" t="n">
        <v>0.85</v>
      </c>
      <c r="U80" s="31" t="n">
        <v>19.33</v>
      </c>
      <c r="V80" s="31" t="n">
        <v>18.32</v>
      </c>
      <c r="W80" s="31" t="n">
        <v>9.06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Less than 12%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IF(B81=0,"",RANK(B81,$B$2:$B$90,0))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DEEPAKNTR</t>
        </is>
      </c>
      <c r="D81" s="33" t="inlineStr">
        <is>
          <t>Deepak Nitrite Ltd</t>
        </is>
      </c>
      <c r="E81" s="30" t="inlineStr">
        <is>
          <t>chemicals</t>
        </is>
      </c>
      <c r="F81" s="30" t="inlineStr">
        <is>
          <t>Chemicals - Inorganic</t>
        </is>
      </c>
      <c r="G81" s="30" t="inlineStr">
        <is>
          <t>largecap</t>
        </is>
      </c>
      <c r="H81" s="31" t="n">
        <v>24444.36</v>
      </c>
      <c r="I81" s="31" t="n">
        <v>1792.2</v>
      </c>
      <c r="J81" s="31" t="n">
        <v>2.39</v>
      </c>
      <c r="K81" s="31" t="n">
        <v>0</v>
      </c>
      <c r="L81" s="30" t="n">
        <v>4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59.25</v>
      </c>
      <c r="P81" s="31" t="n">
        <v>13.8</v>
      </c>
      <c r="Q81" s="31" t="n">
        <v>1525.26</v>
      </c>
      <c r="R81" s="30" t="inlineStr">
        <is>
          <t>Volume Spike &amp; Near 52W High Breakout</t>
        </is>
      </c>
      <c r="S81" s="30" t="inlineStr">
        <is>
          <t>Nifty 50</t>
        </is>
      </c>
      <c r="T81" s="31" t="n">
        <v>0.85</v>
      </c>
      <c r="U81" s="31" t="n">
        <v>-0.06</v>
      </c>
      <c r="V81" s="31" t="n">
        <v>-0.9</v>
      </c>
      <c r="W81" s="31" t="n">
        <v>-0.46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Between 50% to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IF(B82=0,"",RANK(B82,$B$2:$B$90,0))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IMFA</t>
        </is>
      </c>
      <c r="D82" s="33" t="inlineStr">
        <is>
          <t>Indian Metals &amp; Ferro Alloys Ltd</t>
        </is>
      </c>
      <c r="E82" s="30" t="inlineStr">
        <is>
          <t>metals &amp; mining</t>
        </is>
      </c>
      <c r="F82" s="30" t="inlineStr">
        <is>
          <t>Mining/Minerals</t>
        </is>
      </c>
      <c r="G82" s="30" t="inlineStr">
        <is>
          <t>midcap</t>
        </is>
      </c>
      <c r="H82" s="31" t="n">
        <v>7952.84</v>
      </c>
      <c r="I82" s="31" t="n">
        <v>1474</v>
      </c>
      <c r="J82" s="31" t="n">
        <v>-2.39</v>
      </c>
      <c r="K82" s="31" t="n">
        <v>0</v>
      </c>
      <c r="L82" s="30" t="n">
        <v>68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57.32</v>
      </c>
      <c r="P82" s="31" t="n">
        <v>15.02</v>
      </c>
      <c r="Q82" s="31" t="n">
        <v>1138.01</v>
      </c>
      <c r="R82" s="30" t="inlineStr">
        <is>
          <t>Volume Spike / Accumulation</t>
        </is>
      </c>
      <c r="S82" s="30" t="inlineStr">
        <is>
          <t>Nifty Metal</t>
        </is>
      </c>
      <c r="T82" s="31" t="n">
        <v>39.94</v>
      </c>
      <c r="U82" s="31" t="n">
        <v>100.7</v>
      </c>
      <c r="V82" s="31" t="n">
        <v>43.41</v>
      </c>
      <c r="W82" s="31" t="n">
        <v>16.3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IF(B83=0,"",RANK(B83,$B$2:$B$90,0))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VMARCIND</t>
        </is>
      </c>
      <c r="D83" s="33" t="inlineStr">
        <is>
          <t>V-Marc India Ltd</t>
        </is>
      </c>
      <c r="E83" s="30" t="inlineStr">
        <is>
          <t>unknown</t>
        </is>
      </c>
      <c r="F83" s="30" t="inlineStr">
        <is>
          <t>Cables - Power</t>
        </is>
      </c>
      <c r="G83" s="30" t="inlineStr">
        <is>
          <t>smallcap</t>
        </is>
      </c>
      <c r="H83" s="31" t="n">
        <v>4644.08</v>
      </c>
      <c r="I83" s="31" t="n">
        <v>316.95</v>
      </c>
      <c r="J83" s="31" t="n">
        <v>-3.65</v>
      </c>
      <c r="K83" s="31" t="n">
        <v>0</v>
      </c>
      <c r="L83" s="30" t="n">
        <v>1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36.78</v>
      </c>
      <c r="P83" s="31" t="n">
        <v>46.76</v>
      </c>
      <c r="Q83" s="31" t="n">
        <v>1093.83</v>
      </c>
      <c r="R83" s="30" t="inlineStr">
        <is>
          <t>Volume Spike / Accumulation</t>
        </is>
      </c>
      <c r="S83" s="30" t="inlineStr">
        <is>
          <t>Nifty 50</t>
        </is>
      </c>
      <c r="T83" s="31" t="n">
        <v>0.85</v>
      </c>
      <c r="U83" s="31" t="n">
        <v>-24.39</v>
      </c>
      <c r="V83" s="31" t="n">
        <v>-25.03</v>
      </c>
      <c r="W83" s="31" t="n">
        <v>-5.06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Below 45</t>
        </is>
      </c>
      <c r="BA83" s="30">
        <f>IF(AZ83="Between 50 to 75",10,IF(AZ83="Above 75",0,0))</f>
        <v/>
      </c>
      <c r="BB83" s="30" t="inlineStr">
        <is>
          <t>Stage 4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No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19</t>
        </is>
      </c>
      <c r="CG83" s="30">
        <f>IF(CF83&gt;20,10,IF(CF83&gt;=10,5,2))</f>
        <v/>
      </c>
    </row>
    <row r="84">
      <c r="A84" s="30">
        <f>IF(B84=0,"",RANK(B84,$B$2:$B$90,0))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GOODLUCK</t>
        </is>
      </c>
      <c r="D84" s="33" t="inlineStr">
        <is>
          <t>Goodluck India Ltd</t>
        </is>
      </c>
      <c r="E84" s="30" t="inlineStr">
        <is>
          <t>Basic Materials</t>
        </is>
      </c>
      <c r="F84" s="30" t="inlineStr">
        <is>
          <t>Steel - Tubes/Pipes</t>
        </is>
      </c>
      <c r="G84" s="30" t="inlineStr">
        <is>
          <t>midcap</t>
        </is>
      </c>
      <c r="H84" s="31" t="n">
        <v>5012.37</v>
      </c>
      <c r="I84" s="31" t="n">
        <v>1508</v>
      </c>
      <c r="J84" s="31" t="n">
        <v>-1.7</v>
      </c>
      <c r="K84" s="31" t="n">
        <v>0</v>
      </c>
      <c r="L84" s="30" t="n">
        <v>63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61.89</v>
      </c>
      <c r="P84" s="31" t="n">
        <v>42.36</v>
      </c>
      <c r="Q84" s="31" t="n">
        <v>1187.66</v>
      </c>
      <c r="R84" s="30" t="inlineStr">
        <is>
          <t>Volume Spike &amp; Near 52W High Breakout</t>
        </is>
      </c>
      <c r="S84" s="30" t="inlineStr">
        <is>
          <t>Nifty Metal</t>
        </is>
      </c>
      <c r="T84" s="31" t="n">
        <v>39.94</v>
      </c>
      <c r="U84" s="31" t="n">
        <v>45.39</v>
      </c>
      <c r="V84" s="31" t="n">
        <v>3.89</v>
      </c>
      <c r="W84" s="31" t="n">
        <v>14.47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18</t>
        </is>
      </c>
      <c r="CG84" s="30">
        <f>IF(CF84&gt;20,10,IF(CF84&gt;=10,5,2))</f>
        <v/>
      </c>
    </row>
    <row r="85">
      <c r="A85" s="30">
        <f>IF(B85=0,"",RANK(B85,$B$2:$B$90,0))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KAPSTON</t>
        </is>
      </c>
      <c r="D85" s="30" t="inlineStr">
        <is>
          <t>Kapston Services Ltd</t>
        </is>
      </c>
      <c r="E85" s="30" t="inlineStr">
        <is>
          <t>miscellaneous</t>
        </is>
      </c>
      <c r="F85" s="30" t="inlineStr">
        <is>
          <t>Services - Others</t>
        </is>
      </c>
      <c r="G85" s="30" t="inlineStr">
        <is>
          <t>smallcap</t>
        </is>
      </c>
      <c r="H85" s="31" t="n">
        <v>1609.86</v>
      </c>
      <c r="I85" s="31" t="n">
        <v>529</v>
      </c>
      <c r="J85" s="31" t="n">
        <v>2.62</v>
      </c>
      <c r="K85" s="31" t="n">
        <v>0</v>
      </c>
      <c r="L85" s="30" t="n">
        <v>89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80.42</v>
      </c>
      <c r="P85" s="31" t="n">
        <v>26.78</v>
      </c>
      <c r="Q85" s="31" t="n">
        <v>408.97</v>
      </c>
      <c r="R85" s="30" t="inlineStr">
        <is>
          <t>Volume Spike &amp; Near 52W High Breakout</t>
        </is>
      </c>
      <c r="S85" s="30" t="inlineStr">
        <is>
          <t>Nifty 50</t>
        </is>
      </c>
      <c r="T85" s="31" t="n">
        <v>0.85</v>
      </c>
      <c r="U85" s="31" t="n">
        <v>109.04</v>
      </c>
      <c r="V85" s="31" t="n">
        <v>107.27</v>
      </c>
      <c r="W85" s="31" t="n">
        <v>29.39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Less than 50% and Borrowings are increasing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18</t>
        </is>
      </c>
      <c r="CG85" s="30">
        <f>IF(CF85&gt;20,10,IF(CF85&gt;=10,5,2))</f>
        <v/>
      </c>
    </row>
    <row r="86">
      <c r="A86" s="30">
        <f>IF(B86=0,"",RANK(B86,$B$2:$B$90,0))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2" t="inlineStr">
        <is>
          <t>SILVERTUC</t>
        </is>
      </c>
      <c r="D86" s="32" t="inlineStr">
        <is>
          <t>Silver Touch Technologies Ltd</t>
        </is>
      </c>
      <c r="E86" s="30" t="inlineStr">
        <is>
          <t>Technology</t>
        </is>
      </c>
      <c r="F86" s="30" t="inlineStr">
        <is>
          <t>IT - Software</t>
        </is>
      </c>
      <c r="G86" s="30" t="inlineStr">
        <is>
          <t>smallcap</t>
        </is>
      </c>
      <c r="H86" s="31" t="n">
        <v>2489.28</v>
      </c>
      <c r="I86" s="31" t="n">
        <v>196.3</v>
      </c>
      <c r="J86" s="31" t="n">
        <v>1.39</v>
      </c>
      <c r="K86" s="31" t="n">
        <v>0</v>
      </c>
      <c r="L86" s="30" t="n">
        <v>1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42.96</v>
      </c>
      <c r="P86" s="31" t="n">
        <v>20.15</v>
      </c>
      <c r="Q86" s="31" t="n">
        <v>107.44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0.85</v>
      </c>
      <c r="U86" s="31" t="n">
        <v>-73.48</v>
      </c>
      <c r="V86" s="31" t="n">
        <v>-73.7</v>
      </c>
      <c r="W86" s="31" t="n">
        <v>-2.53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Below 45</t>
        </is>
      </c>
      <c r="BA86" s="30">
        <f>IF(AZ86="Between 50 to 75",10,IF(AZ86="Above 75",0,0))</f>
        <v/>
      </c>
      <c r="BB86" s="30" t="inlineStr">
        <is>
          <t>Stage 4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22</t>
        </is>
      </c>
      <c r="CG86" s="30">
        <f>IF(CF86&gt;20,10,IF(CF86&gt;=10,5,2))</f>
        <v/>
      </c>
    </row>
    <row r="87">
      <c r="A87" s="30">
        <f>IF(B87=0,"",RANK(B87,$B$2:$B$90,0))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2" t="inlineStr">
        <is>
          <t>LLOYDSME</t>
        </is>
      </c>
      <c r="D87" s="32" t="inlineStr">
        <is>
          <t>Lloyds Metals &amp; Energy Ltd</t>
        </is>
      </c>
      <c r="E87" s="30" t="inlineStr">
        <is>
          <t>metals &amp; mining</t>
        </is>
      </c>
      <c r="F87" s="30" t="inlineStr">
        <is>
          <t>Mining/Minerals - Iron Ore</t>
        </is>
      </c>
      <c r="G87" s="30" t="inlineStr">
        <is>
          <t>largecap</t>
        </is>
      </c>
      <c r="H87" s="31" t="n">
        <v>118767.74</v>
      </c>
      <c r="I87" s="31" t="n">
        <v>2109.9</v>
      </c>
      <c r="J87" s="31" t="n">
        <v>2.47</v>
      </c>
      <c r="K87" s="31" t="n">
        <v>0</v>
      </c>
      <c r="L87" s="30" t="n">
        <v>62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79.67</v>
      </c>
      <c r="P87" s="31" t="n">
        <v>44.92</v>
      </c>
      <c r="Q87" s="31" t="n">
        <v>1759.09</v>
      </c>
      <c r="R87" s="30" t="inlineStr">
        <is>
          <t>Near 52W High Breakout</t>
        </is>
      </c>
      <c r="S87" s="30" t="inlineStr">
        <is>
          <t>Nifty Metal</t>
        </is>
      </c>
      <c r="T87" s="31" t="n">
        <v>39.94</v>
      </c>
      <c r="U87" s="31" t="n">
        <v>39.76</v>
      </c>
      <c r="V87" s="31" t="n">
        <v>-0.13</v>
      </c>
      <c r="W87" s="31" t="n">
        <v>14.46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Less than 50% and Borrowings are increasing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IF(B88=0,"",RANK(B88,$B$2:$B$90,0))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GAEL</t>
        </is>
      </c>
      <c r="D88" s="30" t="inlineStr">
        <is>
          <t>Gujarat Ambuja Exports Ltd</t>
        </is>
      </c>
      <c r="E88" s="30" t="inlineStr">
        <is>
          <t>fmcg</t>
        </is>
      </c>
      <c r="F88" s="30" t="inlineStr">
        <is>
          <t>Agricultural Processing - Maize</t>
        </is>
      </c>
      <c r="G88" s="30" t="inlineStr">
        <is>
          <t>midcap</t>
        </is>
      </c>
      <c r="H88" s="31" t="n">
        <v>7705.67</v>
      </c>
      <c r="I88" s="31" t="n">
        <v>168</v>
      </c>
      <c r="J88" s="31" t="n">
        <v>-5.47</v>
      </c>
      <c r="K88" s="31" t="n">
        <v>0</v>
      </c>
      <c r="L88" s="30" t="n">
        <v>55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61.65</v>
      </c>
      <c r="P88" s="31" t="n">
        <v>37.78</v>
      </c>
      <c r="Q88" s="31" t="n">
        <v>134.9</v>
      </c>
      <c r="R88" s="30" t="inlineStr">
        <is>
          <t>Volume Spike &amp; Near 52W High Breakout</t>
        </is>
      </c>
      <c r="S88" s="30" t="inlineStr">
        <is>
          <t>Nifty FMCG</t>
        </is>
      </c>
      <c r="T88" s="31" t="n">
        <v>-9.43</v>
      </c>
      <c r="U88" s="31" t="n">
        <v>60.8</v>
      </c>
      <c r="V88" s="31" t="n">
        <v>77.53</v>
      </c>
      <c r="W88" s="31" t="n">
        <v>12.86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Shallow Cyclical (2 to 3 Years Growth)</t>
        </is>
      </c>
      <c r="AG88" s="30">
        <f>IF(AF88="Structural (10 Years Consistency)",10,IF(AF88="Shallow Cyclical (2 to 3 years growth)",5,0))</f>
        <v/>
      </c>
      <c r="AH88" s="30" t="inlineStr">
        <is>
          <t>Yes due to Product Mix change or Operating Leverage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Allocated capital in Non-core Areas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Sideways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Overhead supply in last 2 years in last 2 years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More than 15%</t>
        </is>
      </c>
      <c r="CC88" s="30">
        <f>IF(CB88="More than 15%",-10,IF(CB88="Less than 15%",10,0))</f>
        <v/>
      </c>
      <c r="CD88" s="30" t="inlineStr">
        <is>
          <t>Yes Upto 10%</t>
        </is>
      </c>
      <c r="CE88" s="30">
        <f>IF(CD88="Yes, more than 10%",-10,IF(CD88="No",10,0))</f>
        <v/>
      </c>
      <c r="CF88" s="30" t="inlineStr">
        <is>
          <t>24</t>
        </is>
      </c>
      <c r="CG88" s="30">
        <f>IF(CF88&gt;20,10,IF(CF88&gt;=10,5,2))</f>
        <v/>
      </c>
    </row>
    <row r="89">
      <c r="A89" s="30">
        <f>IF(B89=0,"",RANK(B89,$B$2:$B$90,0))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MONOLITH</t>
        </is>
      </c>
      <c r="D89" s="30" t="inlineStr">
        <is>
          <t>Monolithisch India Ltd</t>
        </is>
      </c>
      <c r="E89" s="30" t="inlineStr">
        <is>
          <t>unknown</t>
        </is>
      </c>
      <c r="F89" s="30" t="inlineStr">
        <is>
          <t>Refractories</t>
        </is>
      </c>
      <c r="G89" s="30" t="inlineStr">
        <is>
          <t>smallcap</t>
        </is>
      </c>
      <c r="H89" s="31" t="n">
        <v>2008.41</v>
      </c>
      <c r="I89" s="31" t="n">
        <v>924</v>
      </c>
      <c r="J89" s="31" t="n">
        <v>0.28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0">
      <c r="A90" s="30">
        <f>IF(B90=0,"",RANK(B90,$B$2:$B$90,0))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TAALTECH</t>
        </is>
      </c>
      <c r="D90" s="30" t="inlineStr">
        <is>
          <t>TAAL Tech Ltd</t>
        </is>
      </c>
      <c r="E90" s="30" t="inlineStr">
        <is>
          <t>unknown</t>
        </is>
      </c>
      <c r="F90" s="30" t="inlineStr">
        <is>
          <t>Air Transport Service</t>
        </is>
      </c>
      <c r="G90" s="30" t="inlineStr">
        <is>
          <t>smallcap</t>
        </is>
      </c>
      <c r="H90" s="31" t="n">
        <v>1393</v>
      </c>
      <c r="I90" s="31" t="n">
        <v>4470</v>
      </c>
      <c r="J90" s="31" t="n">
        <v>9.279999999999999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4">
      <c r="A94" s="24" t="inlineStr">
        <is>
          <t>❌ REMOVED SCAN MATCH STOCKS (THIS WEEK)</t>
        </is>
      </c>
    </row>
    <row r="95">
      <c r="A95" s="34" t="inlineStr">
        <is>
          <t>Symbol</t>
        </is>
      </c>
      <c r="B95" s="34" t="inlineStr">
        <is>
          <t>Company Name</t>
        </is>
      </c>
      <c r="C95" s="34" t="inlineStr">
        <is>
          <t>Sector</t>
        </is>
      </c>
      <c r="D95" s="34" t="inlineStr">
        <is>
          <t>Date of Removal</t>
        </is>
      </c>
    </row>
    <row r="96">
      <c r="A96" s="35" t="inlineStr">
        <is>
          <t>ACE</t>
        </is>
      </c>
      <c r="B96" s="36" t="inlineStr">
        <is>
          <t>Action Construction Equipment Limited</t>
        </is>
      </c>
      <c r="C96" s="36" t="inlineStr">
        <is>
          <t>Industrials</t>
        </is>
      </c>
      <c r="D96" s="37" t="inlineStr">
        <is>
          <t>2026-08-06</t>
        </is>
      </c>
    </row>
    <row r="97">
      <c r="A97" s="35" t="inlineStr">
        <is>
          <t>ACMESOLAR</t>
        </is>
      </c>
      <c r="B97" s="36" t="inlineStr">
        <is>
          <t>ACMESOLAR</t>
        </is>
      </c>
      <c r="C97" s="36" t="inlineStr">
        <is>
          <t>unknown</t>
        </is>
      </c>
      <c r="D97" s="37" t="inlineStr">
        <is>
          <t>2026-08-06</t>
        </is>
      </c>
    </row>
    <row r="98">
      <c r="A98" s="35" t="inlineStr">
        <is>
          <t>ACUTAAS</t>
        </is>
      </c>
      <c r="B98" s="36" t="inlineStr">
        <is>
          <t>ACUTAAS</t>
        </is>
      </c>
      <c r="C98" s="36" t="inlineStr">
        <is>
          <t>unknown</t>
        </is>
      </c>
      <c r="D98" s="37" t="inlineStr">
        <is>
          <t>2026-08-05</t>
        </is>
      </c>
    </row>
    <row r="99">
      <c r="A99" s="35" t="inlineStr">
        <is>
          <t>ADOR</t>
        </is>
      </c>
      <c r="B99" s="36" t="inlineStr">
        <is>
          <t>Ador Welding Limited</t>
        </is>
      </c>
      <c r="C99" s="36" t="inlineStr">
        <is>
          <t>Industrials</t>
        </is>
      </c>
      <c r="D99" s="37" t="inlineStr">
        <is>
          <t>2026-08-05</t>
        </is>
      </c>
    </row>
    <row r="100">
      <c r="A100" s="35" t="inlineStr">
        <is>
          <t>ANTELOPUS</t>
        </is>
      </c>
      <c r="B100" s="36" t="inlineStr">
        <is>
          <t>ANTELOPUS</t>
        </is>
      </c>
      <c r="C100" s="36" t="inlineStr">
        <is>
          <t>unknown</t>
        </is>
      </c>
      <c r="D100" s="37" t="inlineStr">
        <is>
          <t>2026-08-07</t>
        </is>
      </c>
    </row>
    <row r="101">
      <c r="A101" s="35" t="inlineStr">
        <is>
          <t>ARTEMISMED</t>
        </is>
      </c>
      <c r="B101" s="36" t="inlineStr">
        <is>
          <t>Artemis Medicare Services Limited</t>
        </is>
      </c>
      <c r="C101" s="36" t="inlineStr"/>
      <c r="D101" s="37" t="inlineStr">
        <is>
          <t>2026-08-06</t>
        </is>
      </c>
    </row>
    <row r="102">
      <c r="A102" s="35" t="inlineStr">
        <is>
          <t>BHAGYANGR</t>
        </is>
      </c>
      <c r="B102" s="36" t="inlineStr">
        <is>
          <t>BHAGYANGR</t>
        </is>
      </c>
      <c r="C102" s="36" t="inlineStr">
        <is>
          <t>unknown</t>
        </is>
      </c>
      <c r="D102" s="37" t="inlineStr">
        <is>
          <t>2026-08-04</t>
        </is>
      </c>
    </row>
    <row r="103">
      <c r="A103" s="35" t="inlineStr">
        <is>
          <t>BLSE</t>
        </is>
      </c>
      <c r="B103" s="36" t="inlineStr">
        <is>
          <t>BLSE</t>
        </is>
      </c>
      <c r="C103" s="36" t="inlineStr">
        <is>
          <t>Industrials</t>
        </is>
      </c>
      <c r="D103" s="37" t="inlineStr">
        <is>
          <t>2026-08-06</t>
        </is>
      </c>
    </row>
    <row r="104">
      <c r="A104" s="35" t="inlineStr">
        <is>
          <t>CREDITACC</t>
        </is>
      </c>
      <c r="B104" s="36" t="inlineStr">
        <is>
          <t>CREDITACC</t>
        </is>
      </c>
      <c r="C104" s="36" t="inlineStr">
        <is>
          <t>unknown</t>
        </is>
      </c>
      <c r="D104" s="37" t="inlineStr">
        <is>
          <t>2026-08-05</t>
        </is>
      </c>
    </row>
    <row r="105">
      <c r="A105" s="35" t="inlineStr">
        <is>
          <t>CYIENTDLM</t>
        </is>
      </c>
      <c r="B105" s="36" t="inlineStr">
        <is>
          <t>Cyient DLM Limited</t>
        </is>
      </c>
      <c r="C105" s="36" t="inlineStr">
        <is>
          <t>Industrials</t>
        </is>
      </c>
      <c r="D105" s="37" t="inlineStr">
        <is>
          <t>2026-08-04</t>
        </is>
      </c>
    </row>
    <row r="106">
      <c r="A106" s="35" t="inlineStr">
        <is>
          <t>DALMIASUG</t>
        </is>
      </c>
      <c r="B106" s="36" t="inlineStr">
        <is>
          <t>Dalmia Bharat Sugar and Industries Limited</t>
        </is>
      </c>
      <c r="C106" s="36" t="inlineStr">
        <is>
          <t>Consumer Defensive</t>
        </is>
      </c>
      <c r="D106" s="37" t="inlineStr">
        <is>
          <t>2026-08-05</t>
        </is>
      </c>
    </row>
    <row r="107">
      <c r="A107" s="35" t="inlineStr">
        <is>
          <t>DIACABS</t>
        </is>
      </c>
      <c r="B107" s="36" t="inlineStr">
        <is>
          <t>Diamond Power Infrastructure Limited</t>
        </is>
      </c>
      <c r="C107" s="36" t="inlineStr">
        <is>
          <t>Industrials</t>
        </is>
      </c>
      <c r="D107" s="37" t="inlineStr">
        <is>
          <t>2026-08-07</t>
        </is>
      </c>
    </row>
    <row r="108">
      <c r="A108" s="35" t="inlineStr">
        <is>
          <t>DPABHUSHAN</t>
        </is>
      </c>
      <c r="B108" s="36" t="inlineStr">
        <is>
          <t>D. P. Abhushan Limited</t>
        </is>
      </c>
      <c r="C108" s="36" t="inlineStr">
        <is>
          <t>Consumer Cyclical</t>
        </is>
      </c>
      <c r="D108" s="37" t="inlineStr">
        <is>
          <t>2026-08-07</t>
        </is>
      </c>
    </row>
    <row r="109">
      <c r="A109" s="35" t="inlineStr">
        <is>
          <t>FAIRCHEMOR</t>
        </is>
      </c>
      <c r="B109" s="36" t="inlineStr">
        <is>
          <t>Fairchem Organics Limited</t>
        </is>
      </c>
      <c r="C109" s="36" t="inlineStr">
        <is>
          <t>Basic Materials</t>
        </is>
      </c>
      <c r="D109" s="37" t="inlineStr">
        <is>
          <t>2026-08-05</t>
        </is>
      </c>
    </row>
    <row r="110">
      <c r="A110" s="35" t="inlineStr">
        <is>
          <t>FSL</t>
        </is>
      </c>
      <c r="B110" s="36" t="inlineStr">
        <is>
          <t>Firstsource Solutions Limited</t>
        </is>
      </c>
      <c r="C110" s="36" t="inlineStr">
        <is>
          <t>Technology</t>
        </is>
      </c>
      <c r="D110" s="37" t="inlineStr">
        <is>
          <t>2026-08-04</t>
        </is>
      </c>
    </row>
    <row r="111">
      <c r="A111" s="35" t="inlineStr">
        <is>
          <t>GANDHAR</t>
        </is>
      </c>
      <c r="B111" s="36" t="inlineStr">
        <is>
          <t>Gandhar Oil Refinery (India) Limited</t>
        </is>
      </c>
      <c r="C111" s="36" t="inlineStr">
        <is>
          <t>Energy</t>
        </is>
      </c>
      <c r="D111" s="37" t="inlineStr">
        <is>
          <t>2026-08-07</t>
        </is>
      </c>
    </row>
    <row r="112">
      <c r="A112" s="35" t="inlineStr">
        <is>
          <t>HEG</t>
        </is>
      </c>
      <c r="B112" s="36" t="inlineStr">
        <is>
          <t>HEG Limited</t>
        </is>
      </c>
      <c r="C112" s="36" t="inlineStr">
        <is>
          <t>Industrials</t>
        </is>
      </c>
      <c r="D112" s="37" t="inlineStr">
        <is>
          <t>2026-08-05</t>
        </is>
      </c>
    </row>
    <row r="113">
      <c r="A113" s="35" t="inlineStr">
        <is>
          <t>HUHTAMAKI</t>
        </is>
      </c>
      <c r="B113" s="36" t="inlineStr">
        <is>
          <t>Huhtamaki India Limited</t>
        </is>
      </c>
      <c r="C113" s="36" t="inlineStr">
        <is>
          <t>Consumer Cyclical</t>
        </is>
      </c>
      <c r="D113" s="37" t="inlineStr">
        <is>
          <t>2026-08-07</t>
        </is>
      </c>
    </row>
    <row r="114">
      <c r="A114" s="35" t="inlineStr">
        <is>
          <t>IGPL</t>
        </is>
      </c>
      <c r="B114" s="36" t="inlineStr">
        <is>
          <t>I G Petrochemicals Limited</t>
        </is>
      </c>
      <c r="C114" s="36" t="inlineStr">
        <is>
          <t>Basic Materials</t>
        </is>
      </c>
      <c r="D114" s="37" t="inlineStr">
        <is>
          <t>2026-08-07</t>
        </is>
      </c>
    </row>
    <row r="115">
      <c r="A115" s="35" t="inlineStr">
        <is>
          <t>JOJO</t>
        </is>
      </c>
      <c r="B115" s="36" t="inlineStr">
        <is>
          <t>JOJO</t>
        </is>
      </c>
      <c r="C115" s="36" t="inlineStr">
        <is>
          <t>unknown</t>
        </is>
      </c>
      <c r="D115" s="37" t="inlineStr">
        <is>
          <t>2026-08-07</t>
        </is>
      </c>
    </row>
    <row r="116">
      <c r="A116" s="35" t="inlineStr">
        <is>
          <t>KPL</t>
        </is>
      </c>
      <c r="B116" s="36" t="inlineStr">
        <is>
          <t>KPL</t>
        </is>
      </c>
      <c r="C116" s="36" t="inlineStr">
        <is>
          <t>unknown</t>
        </is>
      </c>
      <c r="D116" s="37" t="inlineStr">
        <is>
          <t>2026-08-07</t>
        </is>
      </c>
    </row>
    <row r="117">
      <c r="A117" s="35" t="inlineStr">
        <is>
          <t>LALPATHLAB</t>
        </is>
      </c>
      <c r="B117" s="36" t="inlineStr">
        <is>
          <t>Dr. Lal PathLabs Limited</t>
        </is>
      </c>
      <c r="C117" s="36" t="inlineStr">
        <is>
          <t>Healthcare</t>
        </is>
      </c>
      <c r="D117" s="37" t="inlineStr">
        <is>
          <t>2026-08-04</t>
        </is>
      </c>
    </row>
    <row r="118">
      <c r="A118" s="35" t="inlineStr">
        <is>
          <t>LOTUSDEV</t>
        </is>
      </c>
      <c r="B118" s="36" t="inlineStr">
        <is>
          <t>LOTUSDEV</t>
        </is>
      </c>
      <c r="C118" s="36" t="inlineStr">
        <is>
          <t>unknown</t>
        </is>
      </c>
      <c r="D118" s="37" t="inlineStr">
        <is>
          <t>2026-08-05</t>
        </is>
      </c>
    </row>
    <row r="119">
      <c r="A119" s="35" t="inlineStr">
        <is>
          <t>QUESS</t>
        </is>
      </c>
      <c r="B119" s="36" t="inlineStr">
        <is>
          <t>Quess Corp Limited</t>
        </is>
      </c>
      <c r="C119" s="36" t="inlineStr">
        <is>
          <t>Industrials</t>
        </is>
      </c>
      <c r="D119" s="37" t="inlineStr">
        <is>
          <t>2026-08-05</t>
        </is>
      </c>
    </row>
    <row r="120">
      <c r="A120" s="35" t="inlineStr">
        <is>
          <t>RAIN</t>
        </is>
      </c>
      <c r="B120" s="36" t="inlineStr">
        <is>
          <t>RAIN</t>
        </is>
      </c>
      <c r="C120" s="36" t="inlineStr">
        <is>
          <t>unknown</t>
        </is>
      </c>
      <c r="D120" s="37" t="inlineStr">
        <is>
          <t>2026-08-07</t>
        </is>
      </c>
    </row>
    <row r="121">
      <c r="A121" s="35" t="inlineStr">
        <is>
          <t>RAJRATAN</t>
        </is>
      </c>
      <c r="B121" s="36" t="inlineStr">
        <is>
          <t>Rajratan Global Wire Limited</t>
        </is>
      </c>
      <c r="C121" s="36" t="inlineStr">
        <is>
          <t>Basic Materials</t>
        </is>
      </c>
      <c r="D121" s="37" t="inlineStr">
        <is>
          <t>2026-08-06</t>
        </is>
      </c>
    </row>
    <row r="122">
      <c r="A122" s="35" t="inlineStr">
        <is>
          <t>RAMRAT</t>
        </is>
      </c>
      <c r="B122" s="36" t="inlineStr">
        <is>
          <t>Ram Ratna Wires Limited</t>
        </is>
      </c>
      <c r="C122" s="36" t="inlineStr">
        <is>
          <t>Industrials</t>
        </is>
      </c>
      <c r="D122" s="37" t="inlineStr">
        <is>
          <t>2026-08-07</t>
        </is>
      </c>
    </row>
    <row r="123">
      <c r="A123" s="35" t="inlineStr">
        <is>
          <t>RATNAVEER</t>
        </is>
      </c>
      <c r="B123" s="36" t="inlineStr">
        <is>
          <t>Ratnaveer Precision Engineering Limited</t>
        </is>
      </c>
      <c r="C123" s="36" t="inlineStr">
        <is>
          <t>Basic Materials</t>
        </is>
      </c>
      <c r="D123" s="37" t="inlineStr">
        <is>
          <t>2026-08-04</t>
        </is>
      </c>
    </row>
    <row r="124">
      <c r="A124" s="35" t="inlineStr">
        <is>
          <t>SAPL</t>
        </is>
      </c>
      <c r="B124" s="36" t="inlineStr">
        <is>
          <t>SAPL</t>
        </is>
      </c>
      <c r="C124" s="36" t="inlineStr">
        <is>
          <t>unknown</t>
        </is>
      </c>
      <c r="D124" s="37" t="inlineStr">
        <is>
          <t>2026-08-05</t>
        </is>
      </c>
    </row>
    <row r="125">
      <c r="A125" s="35" t="inlineStr">
        <is>
          <t>SAREGAMA</t>
        </is>
      </c>
      <c r="B125" s="36" t="inlineStr">
        <is>
          <t>SAREGAMA</t>
        </is>
      </c>
      <c r="C125" s="36" t="inlineStr">
        <is>
          <t>unknown</t>
        </is>
      </c>
      <c r="D125" s="37" t="inlineStr">
        <is>
          <t>2026-08-05</t>
        </is>
      </c>
    </row>
    <row r="126">
      <c r="A126" s="35" t="inlineStr">
        <is>
          <t>SHADOWFAX</t>
        </is>
      </c>
      <c r="B126" s="36" t="inlineStr">
        <is>
          <t>SHADOWFAX</t>
        </is>
      </c>
      <c r="C126" s="36" t="inlineStr">
        <is>
          <t>unknown</t>
        </is>
      </c>
      <c r="D126" s="37" t="inlineStr">
        <is>
          <t>2026-08-07</t>
        </is>
      </c>
    </row>
    <row r="127">
      <c r="A127" s="35" t="inlineStr">
        <is>
          <t>SMLMAH</t>
        </is>
      </c>
      <c r="B127" s="36" t="inlineStr">
        <is>
          <t>SMLMAH</t>
        </is>
      </c>
      <c r="C127" s="36" t="inlineStr">
        <is>
          <t>Consumer Cyclical</t>
        </is>
      </c>
      <c r="D127" s="37" t="inlineStr">
        <is>
          <t>2026-08-06</t>
        </is>
      </c>
    </row>
    <row r="128">
      <c r="A128" s="35" t="inlineStr">
        <is>
          <t>SONACOMS</t>
        </is>
      </c>
      <c r="B128" s="36" t="inlineStr">
        <is>
          <t>Sona BLW Precision Forgings Limited</t>
        </is>
      </c>
      <c r="C128" s="36" t="inlineStr">
        <is>
          <t>Consumer Cyclical</t>
        </is>
      </c>
      <c r="D128" s="37" t="inlineStr">
        <is>
          <t>2026-08-06</t>
        </is>
      </c>
    </row>
    <row r="129">
      <c r="A129" s="35" t="inlineStr">
        <is>
          <t>SPECTRUM</t>
        </is>
      </c>
      <c r="B129" s="36" t="inlineStr">
        <is>
          <t>SPECTRUM</t>
        </is>
      </c>
      <c r="C129" s="36" t="inlineStr">
        <is>
          <t>Industrials</t>
        </is>
      </c>
      <c r="D129" s="37" t="inlineStr">
        <is>
          <t>2026-08-06</t>
        </is>
      </c>
    </row>
    <row r="130">
      <c r="A130" s="35" t="inlineStr">
        <is>
          <t>SSWL</t>
        </is>
      </c>
      <c r="B130" s="36" t="inlineStr">
        <is>
          <t>Steel Strips Wheels Limited</t>
        </is>
      </c>
      <c r="C130" s="36" t="inlineStr">
        <is>
          <t>Consumer Cyclical</t>
        </is>
      </c>
      <c r="D130" s="37" t="inlineStr">
        <is>
          <t>2026-08-05</t>
        </is>
      </c>
    </row>
    <row r="131">
      <c r="A131" s="35" t="inlineStr">
        <is>
          <t>STLTECH</t>
        </is>
      </c>
      <c r="B131" s="36" t="inlineStr">
        <is>
          <t>Sterlite Technologies Limited</t>
        </is>
      </c>
      <c r="C131" s="36" t="inlineStr">
        <is>
          <t>Technology</t>
        </is>
      </c>
      <c r="D131" s="37" t="inlineStr">
        <is>
          <t>2026-08-06</t>
        </is>
      </c>
    </row>
    <row r="132">
      <c r="A132" s="35" t="inlineStr">
        <is>
          <t>STOVEKRAFT</t>
        </is>
      </c>
      <c r="B132" s="36" t="inlineStr">
        <is>
          <t>Stove Kraft Limited</t>
        </is>
      </c>
      <c r="C132" s="36" t="inlineStr">
        <is>
          <t>Consumer Cyclical</t>
        </is>
      </c>
      <c r="D132" s="37" t="inlineStr">
        <is>
          <t>2026-08-07</t>
        </is>
      </c>
    </row>
    <row r="133">
      <c r="A133" s="35" t="inlineStr">
        <is>
          <t>TATVA</t>
        </is>
      </c>
      <c r="B133" s="36" t="inlineStr">
        <is>
          <t>Tatva Chintan Pharma Chem Limited</t>
        </is>
      </c>
      <c r="C133" s="36" t="inlineStr">
        <is>
          <t>Basic Materials</t>
        </is>
      </c>
      <c r="D133" s="37" t="inlineStr">
        <is>
          <t>2026-08-05</t>
        </is>
      </c>
    </row>
    <row r="134">
      <c r="A134" s="35" t="inlineStr">
        <is>
          <t>TBZ</t>
        </is>
      </c>
      <c r="B134" s="36" t="inlineStr">
        <is>
          <t>Tribhovandas Bhimji Zaveri Limited</t>
        </is>
      </c>
      <c r="C134" s="36" t="inlineStr">
        <is>
          <t>Consumer Cyclical</t>
        </is>
      </c>
      <c r="D134" s="37" t="inlineStr">
        <is>
          <t>2026-08-06</t>
        </is>
      </c>
    </row>
    <row r="135">
      <c r="A135" s="35" t="inlineStr">
        <is>
          <t>THYROCARE</t>
        </is>
      </c>
      <c r="B135" s="36" t="inlineStr">
        <is>
          <t>Thyrocare Technologies Limited</t>
        </is>
      </c>
      <c r="C135" s="36" t="inlineStr">
        <is>
          <t>Healthcare</t>
        </is>
      </c>
      <c r="D135" s="37" t="inlineStr">
        <is>
          <t>2026-08-07</t>
        </is>
      </c>
    </row>
    <row r="136">
      <c r="A136" s="35" t="inlineStr">
        <is>
          <t>TIMEX</t>
        </is>
      </c>
      <c r="B136" s="36" t="inlineStr">
        <is>
          <t>TIMEX</t>
        </is>
      </c>
      <c r="C136" s="36" t="inlineStr">
        <is>
          <t>unknown</t>
        </is>
      </c>
      <c r="D136" s="37" t="inlineStr">
        <is>
          <t>2026-08-04</t>
        </is>
      </c>
    </row>
    <row r="137">
      <c r="A137" s="35" t="inlineStr">
        <is>
          <t>TVSHLTD</t>
        </is>
      </c>
      <c r="B137" s="36" t="inlineStr">
        <is>
          <t>TVS Holdings Limited</t>
        </is>
      </c>
      <c r="C137" s="36" t="inlineStr">
        <is>
          <t>Consumer Cyclical</t>
        </is>
      </c>
      <c r="D137" s="37" t="inlineStr">
        <is>
          <t>2026-08-05</t>
        </is>
      </c>
    </row>
    <row r="138">
      <c r="A138" s="35" t="inlineStr">
        <is>
          <t>TVSMOTOR</t>
        </is>
      </c>
      <c r="B138" s="36" t="inlineStr">
        <is>
          <t>TVS Motor Company Limited</t>
        </is>
      </c>
      <c r="C138" s="36" t="inlineStr">
        <is>
          <t>Consumer Cyclical</t>
        </is>
      </c>
      <c r="D138" s="37" t="inlineStr">
        <is>
          <t>2026-08-06</t>
        </is>
      </c>
    </row>
  </sheetData>
  <autoFilter ref="A1:CG90"/>
  <conditionalFormatting sqref="B2:B9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0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0">
    <cfRule type="cellIs" priority="37" operator="equal" dxfId="3" stopIfTrue="1">
      <formula>"Underperforming"</formula>
    </cfRule>
  </conditionalFormatting>
  <conditionalFormatting sqref="N2:N90">
    <cfRule type="cellIs" priority="38" operator="equal" dxfId="3" stopIfTrue="1">
      <formula>-5</formula>
    </cfRule>
  </conditionalFormatting>
  <conditionalFormatting sqref="Q2:Q90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0" showDropDown="0" showInputMessage="0" showErrorMessage="0" allowBlank="1" type="list">
      <formula1>"Growing Industry,Stagnant Industry,Cyclical in an Upturn"</formula1>
    </dataValidation>
    <dataValidation sqref="Z2:Z9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0" showDropDown="0" showInputMessage="0" showErrorMessage="0" allowBlank="1" type="list">
      <formula1>"Yes,No"</formula1>
    </dataValidation>
    <dataValidation sqref="AD2:AD90" showDropDown="0" showInputMessage="0" showErrorMessage="0" allowBlank="1" type="list">
      <formula1>"Tailwind,Headwind"</formula1>
    </dataValidation>
    <dataValidation sqref="AF2:AF90" showDropDown="0" showInputMessage="0" showErrorMessage="0" allowBlank="1" type="list">
      <formula1>"Structural (10 Years Consistency),Shallow Cyclical (2 to 3 Years Growth),Cyclical"</formula1>
    </dataValidation>
    <dataValidation sqref="AH2:AH90" showDropDown="0" showInputMessage="0" showErrorMessage="0" allowBlank="1" type="list">
      <formula1>"Yes due to Product Mix change or Operating Leverage,Yes, these are peak margins,No"</formula1>
    </dataValidation>
    <dataValidation sqref="AJ2:AJ90" showDropDown="0" showInputMessage="0" showErrorMessage="0" allowBlank="1" type="list">
      <formula1>"Stable,Volatile"</formula1>
    </dataValidation>
    <dataValidation sqref="AL2:AL90" showDropDown="0" showInputMessage="0" showErrorMessage="0" allowBlank="1" type="list">
      <formula1>"Yes,No"</formula1>
    </dataValidation>
    <dataValidation sqref="AN2:AN90" showDropDown="0" showInputMessage="0" showErrorMessage="0" allowBlank="1" type="list">
      <formula1>"B2C,B2B,B2G"</formula1>
    </dataValidation>
    <dataValidation sqref="AP2:AP90" showDropDown="0" showInputMessage="0" showErrorMessage="0" allowBlank="1" type="list">
      <formula1>"Yes,No"</formula1>
    </dataValidation>
    <dataValidation sqref="AR2:AR90" showDropDown="0" showInputMessage="0" showErrorMessage="0" allowBlank="1" type="list">
      <formula1>"Fully Annuity,Higher Annuity, Lower One time,Higher One Time, Lower Annuity,Fully One Time"</formula1>
    </dataValidation>
    <dataValidation sqref="AT2:AT90" showDropDown="0" showInputMessage="0" showErrorMessage="0" allowBlank="1" type="list">
      <formula1>"Good,Allocated capital in Non-core Areas"</formula1>
    </dataValidation>
    <dataValidation sqref="AV2:AV90" showDropDown="0" showInputMessage="0" showErrorMessage="0" allowBlank="1" type="list">
      <formula1>"Yes for more than 2 years,Yes only for next 1 to 2 years,No"</formula1>
    </dataValidation>
    <dataValidation sqref="AX2:AX90" showDropDown="0" showInputMessage="0" showErrorMessage="0" allowBlank="1" type="list">
      <formula1>"Above 40,20 to 40,0 to 20"</formula1>
    </dataValidation>
    <dataValidation sqref="AZ2:AZ90" showDropDown="0" showInputMessage="0" showErrorMessage="0" allowBlank="1" type="list">
      <formula1>"Between 50 to 75,Above 75,Below 45"</formula1>
    </dataValidation>
    <dataValidation sqref="BB2:BB90" showDropDown="0" showInputMessage="0" showErrorMessage="0" allowBlank="1" type="list">
      <formula1>"Stage 1,Stage 2,Stage 3,Stage 4"</formula1>
    </dataValidation>
    <dataValidation sqref="BD2:BD90" showDropDown="0" showInputMessage="0" showErrorMessage="0" allowBlank="1" type="list">
      <formula1>"Positive Trend,Negative Trend"</formula1>
    </dataValidation>
    <dataValidation sqref="BF2:BF90" showDropDown="0" showInputMessage="0" showErrorMessage="0" allowBlank="1" type="list">
      <formula1>"Uptrend,Sideways,Downtrend"</formula1>
    </dataValidation>
    <dataValidation sqref="BH2:BH90" showDropDown="0" showInputMessage="0" showErrorMessage="0" allowBlank="1" type="list">
      <formula1>"Uptrend,Sideways,Downtrend"</formula1>
    </dataValidation>
    <dataValidation sqref="BJ2:BJ9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0" showDropDown="0" showInputMessage="0" showErrorMessage="0" allowBlank="1" type="list">
      <formula1>"Yes,No"</formula1>
    </dataValidation>
    <dataValidation sqref="BN2:BN90" showDropDown="0" showInputMessage="0" showErrorMessage="0" allowBlank="1" type="list">
      <formula1>"More than 20%,Between 12 to 20%,Less than 12%"</formula1>
    </dataValidation>
    <dataValidation sqref="BP2:BP90" showDropDown="0" showInputMessage="0" showErrorMessage="0" allowBlank="1" type="list">
      <formula1>"Yes,No"</formula1>
    </dataValidation>
    <dataValidation sqref="BR2:BR90" showDropDown="0" showInputMessage="0" showErrorMessage="0" allowBlank="1" type="list">
      <formula1>"Yes,No"</formula1>
    </dataValidation>
    <dataValidation sqref="BT2:BT90" showDropDown="0" showInputMessage="0" showErrorMessage="0" allowBlank="1" type="list">
      <formula1>"Above 2,Between 1.5 to 2,Less than 1.5"</formula1>
    </dataValidation>
    <dataValidation sqref="BV2:BV90" showDropDown="0" showInputMessage="0" showErrorMessage="0" allowBlank="1" type="list">
      <formula1>"Above 70%,Between 50% to 70%,Less than 50%,Less than 50% and Borrowings are increasing,Negative"</formula1>
    </dataValidation>
    <dataValidation sqref="BX2:BX90" showDropDown="0" showInputMessage="0" showErrorMessage="0" allowBlank="1" type="list">
      <formula1>"More than 1.2,Between 0.7 to 1.2,Less than 0.7"</formula1>
    </dataValidation>
    <dataValidation sqref="BZ2:BZ90" showDropDown="0" showInputMessage="0" showErrorMessage="0" allowBlank="1" type="list">
      <formula1>"Yes,No"</formula1>
    </dataValidation>
    <dataValidation sqref="CB2:CB90" showDropDown="0" showInputMessage="0" showErrorMessage="0" allowBlank="1" type="list">
      <formula1>"More than 15%,Less than 15%"</formula1>
    </dataValidation>
    <dataValidation sqref="CD2:CD9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IF(B2=0,"",RANK(B2,$B$2:$B$12,0))</f>
        <v/>
      </c>
      <c r="B2" s="31">
        <f>SUM(N2,Y2,AA2,AC2,AE2,AG2,AI2,AK2,AM2,AO2,AQ2,AS2,AU2,AW2,AY2,BA2,BC2,BE2,BG2,BI2,BK2,BM2,BO2,BQ2,BS2,BU2,BW2,BY2,CA2,CC2)</f>
        <v/>
      </c>
      <c r="C2" s="33" t="inlineStr">
        <is>
          <t>TMB</t>
        </is>
      </c>
      <c r="D2" s="33" t="inlineStr">
        <is>
          <t>Tamilnad Mercantile Bank Ltd</t>
        </is>
      </c>
      <c r="E2" s="30" t="inlineStr">
        <is>
          <t>bank</t>
        </is>
      </c>
      <c r="F2" s="30" t="inlineStr">
        <is>
          <t>Banks - Private</t>
        </is>
      </c>
      <c r="G2" s="30" t="inlineStr">
        <is>
          <t>midcap</t>
        </is>
      </c>
      <c r="H2" s="31" t="n">
        <v>13820.91</v>
      </c>
      <c r="I2" s="31" t="n">
        <v>872.8</v>
      </c>
      <c r="J2" s="31" t="n">
        <v>-0.07000000000000001</v>
      </c>
      <c r="K2" s="31" t="n">
        <v>0</v>
      </c>
      <c r="L2" s="30" t="n">
        <v>76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73.48</v>
      </c>
      <c r="P2" s="31" t="n">
        <v>37.59</v>
      </c>
      <c r="Q2" s="31" t="n">
        <v>707.6</v>
      </c>
      <c r="R2" s="30" t="inlineStr">
        <is>
          <t>Near 52W High Breakout</t>
        </is>
      </c>
      <c r="S2" s="30" t="inlineStr">
        <is>
          <t>Nifty Bank</t>
        </is>
      </c>
      <c r="T2" s="31" t="n">
        <v>4.98</v>
      </c>
      <c r="U2" s="31" t="n">
        <v>107.32</v>
      </c>
      <c r="V2" s="31" t="n">
        <v>97.48</v>
      </c>
      <c r="W2" s="31" t="n">
        <v>20.42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20</t>
        </is>
      </c>
      <c r="CC2" s="30">
        <f>IF(CB2&gt;20,10,IF(CB2&gt;=10,5,2))</f>
        <v/>
      </c>
    </row>
    <row r="3">
      <c r="A3" s="30">
        <f>IF(B3=0,"",RANK(B3,$B$2:$B$12,0))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UJJIVANSFB</t>
        </is>
      </c>
      <c r="D3" s="30" t="inlineStr">
        <is>
          <t>Ujjivan Small Finance Bank Ltd</t>
        </is>
      </c>
      <c r="E3" s="30" t="inlineStr">
        <is>
          <t>bank</t>
        </is>
      </c>
      <c r="F3" s="30" t="inlineStr">
        <is>
          <t>Banks - Small Finance</t>
        </is>
      </c>
      <c r="G3" s="30" t="inlineStr">
        <is>
          <t>midcap</t>
        </is>
      </c>
      <c r="H3" s="31" t="n">
        <v>13620.8</v>
      </c>
      <c r="I3" s="31" t="n">
        <v>70</v>
      </c>
      <c r="J3" s="31" t="n">
        <v>-2.85</v>
      </c>
      <c r="K3" s="31" t="n">
        <v>0</v>
      </c>
      <c r="L3" s="30" t="n">
        <v>55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65.91</v>
      </c>
      <c r="P3" s="31" t="n">
        <v>34.47</v>
      </c>
      <c r="Q3" s="31" t="n">
        <v>56.64</v>
      </c>
      <c r="R3" s="30" t="inlineStr">
        <is>
          <t>Near 52W High Breakout</t>
        </is>
      </c>
      <c r="S3" s="30" t="inlineStr">
        <is>
          <t>Nifty Bank</t>
        </is>
      </c>
      <c r="T3" s="31" t="n">
        <v>4.98</v>
      </c>
      <c r="U3" s="31" t="n">
        <v>58.98</v>
      </c>
      <c r="V3" s="31" t="n">
        <v>51.43</v>
      </c>
      <c r="W3" s="31" t="n">
        <v>12.55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20</t>
        </is>
      </c>
      <c r="CC3" s="30">
        <f>IF(CB3&gt;20,10,IF(CB3&gt;=10,5,2))</f>
        <v/>
      </c>
    </row>
    <row r="4">
      <c r="A4" s="30">
        <f>IF(B4=0,"",RANK(B4,$B$2:$B$12,0))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5461.74</v>
      </c>
      <c r="I4" s="31" t="n">
        <v>117.97</v>
      </c>
      <c r="J4" s="31" t="n">
        <v>6.46</v>
      </c>
      <c r="K4" s="31" t="n">
        <v>0</v>
      </c>
      <c r="L4" s="30" t="n">
        <v>85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79.7</v>
      </c>
      <c r="P4" s="31" t="n">
        <v>48.62</v>
      </c>
      <c r="Q4" s="31" t="n">
        <v>92.09</v>
      </c>
      <c r="R4" s="30" t="inlineStr">
        <is>
          <t>Volume Spike &amp; Near 52W High Breakout</t>
        </is>
      </c>
      <c r="S4" s="30" t="inlineStr">
        <is>
          <t>Nifty Bank</t>
        </is>
      </c>
      <c r="T4" s="31" t="n">
        <v>4.98</v>
      </c>
      <c r="U4" s="31" t="n">
        <v>108.68</v>
      </c>
      <c r="V4" s="31" t="n">
        <v>98.77</v>
      </c>
      <c r="W4" s="31" t="n">
        <v>25.07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26</t>
        </is>
      </c>
      <c r="CC4" s="30">
        <f>IF(CB4&gt;20,10,IF(CB4&gt;=10,5,2))</f>
        <v/>
      </c>
    </row>
    <row r="5">
      <c r="A5" s="30">
        <f>IF(B5=0,"",RANK(B5,$B$2:$B$12,0))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ESAFSFB</t>
        </is>
      </c>
      <c r="D5" s="30" t="inlineStr">
        <is>
          <t>ESAF Small Finance Bank Ltd</t>
        </is>
      </c>
      <c r="E5" s="30" t="inlineStr">
        <is>
          <t>bank</t>
        </is>
      </c>
      <c r="F5" s="30" t="inlineStr">
        <is>
          <t>Banks - Small Finance</t>
        </is>
      </c>
      <c r="G5" s="30" t="inlineStr">
        <is>
          <t>smallcap</t>
        </is>
      </c>
      <c r="H5" s="31" t="n">
        <v>2075.42</v>
      </c>
      <c r="I5" s="31" t="n">
        <v>40.22</v>
      </c>
      <c r="J5" s="31" t="n">
        <v>-5.45</v>
      </c>
      <c r="K5" s="31" t="n">
        <v>0</v>
      </c>
      <c r="L5" s="30" t="n">
        <v>61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68.09</v>
      </c>
      <c r="P5" s="31" t="n">
        <v>30.23</v>
      </c>
      <c r="Q5" s="31" t="n">
        <v>31.47</v>
      </c>
      <c r="R5" s="30" t="inlineStr">
        <is>
          <t>Volume Spike &amp; Near 52W High Breakout</t>
        </is>
      </c>
      <c r="S5" s="30" t="inlineStr">
        <is>
          <t>Nifty Bank</t>
        </is>
      </c>
      <c r="T5" s="31" t="n">
        <v>4.98</v>
      </c>
      <c r="U5" s="31" t="n">
        <v>32.55</v>
      </c>
      <c r="V5" s="31" t="n">
        <v>26.26</v>
      </c>
      <c r="W5" s="31" t="n">
        <v>14.14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21</t>
        </is>
      </c>
      <c r="CC5" s="30">
        <f>IF(CB5&gt;20,10,IF(CB5&gt;=10,5,2))</f>
        <v/>
      </c>
    </row>
    <row r="6">
      <c r="A6" s="30">
        <f>IF(B6=0,"",RANK(B6,$B$2:$B$12,0))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MONARCH</t>
        </is>
      </c>
      <c r="D6" s="30" t="inlineStr">
        <is>
          <t>Monarch Networth Capital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smallcap</t>
        </is>
      </c>
      <c r="H6" s="31" t="n">
        <v>3077.16</v>
      </c>
      <c r="I6" s="31" t="n">
        <v>388</v>
      </c>
      <c r="J6" s="31" t="n">
        <v>-0.15</v>
      </c>
      <c r="K6" s="31" t="n">
        <v>0</v>
      </c>
      <c r="L6" s="30" t="n">
        <v>42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72.26000000000001</v>
      </c>
      <c r="P6" s="31" t="n">
        <v>29.34</v>
      </c>
      <c r="Q6" s="31" t="n">
        <v>317.17</v>
      </c>
      <c r="R6" s="30" t="inlineStr">
        <is>
          <t>Near 52W High Breakout</t>
        </is>
      </c>
      <c r="S6" s="30" t="inlineStr">
        <is>
          <t>Nifty Bank</t>
        </is>
      </c>
      <c r="T6" s="31" t="n">
        <v>4.98</v>
      </c>
      <c r="U6" s="31" t="n">
        <v>16.86</v>
      </c>
      <c r="V6" s="31" t="n">
        <v>11.31</v>
      </c>
      <c r="W6" s="31" t="n">
        <v>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IF(B7=0,"",RANK(B7,$B$2:$B$12,0))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KARURVYSYA</t>
        </is>
      </c>
      <c r="D7" s="30" t="inlineStr">
        <is>
          <t>Karur Vysya Bank Ltd</t>
        </is>
      </c>
      <c r="E7" s="30" t="inlineStr">
        <is>
          <t>bank</t>
        </is>
      </c>
      <c r="F7" s="30" t="inlineStr">
        <is>
          <t>Banks - Private</t>
        </is>
      </c>
      <c r="G7" s="30" t="inlineStr">
        <is>
          <t>largecap</t>
        </is>
      </c>
      <c r="H7" s="31" t="n">
        <v>32476.16</v>
      </c>
      <c r="I7" s="31" t="n">
        <v>336</v>
      </c>
      <c r="J7" s="31" t="n">
        <v>-0.44</v>
      </c>
      <c r="K7" s="31" t="n">
        <v>0</v>
      </c>
      <c r="L7" s="30" t="n">
        <v>53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66.7</v>
      </c>
      <c r="P7" s="31" t="n">
        <v>19.12</v>
      </c>
      <c r="Q7" s="31" t="n">
        <v>281.54</v>
      </c>
      <c r="R7" s="30" t="inlineStr">
        <is>
          <t>Near 52W High Breakout</t>
        </is>
      </c>
      <c r="S7" s="30" t="inlineStr">
        <is>
          <t>Nifty Bank</t>
        </is>
      </c>
      <c r="T7" s="31" t="n">
        <v>4.98</v>
      </c>
      <c r="U7" s="31" t="n">
        <v>54.35</v>
      </c>
      <c r="V7" s="31" t="n">
        <v>47.02</v>
      </c>
      <c r="W7" s="31" t="n">
        <v>11.83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0 to 20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18</t>
        </is>
      </c>
      <c r="CC7" s="30">
        <f>IF(CB7&gt;20,10,IF(CB7&gt;=10,5,2))</f>
        <v/>
      </c>
    </row>
    <row r="8">
      <c r="A8" s="30">
        <f>IF(B8=0,"",RANK(B8,$B$2:$B$12,0))</f>
        <v/>
      </c>
      <c r="B8" s="31">
        <f>SUM(N8,Y8,AA8,AC8,AE8,AG8,AI8,AK8,AM8,AO8,AQ8,AS8,AU8,AW8,AY8,BA8,BC8,BE8,BG8,BI8,BK8,BM8,BO8,BQ8,BS8,BU8,BW8,BY8,CA8,CC8)</f>
        <v/>
      </c>
      <c r="C8" s="30" t="inlineStr">
        <is>
          <t>OFSS</t>
        </is>
      </c>
      <c r="D8" s="30" t="inlineStr">
        <is>
          <t>Oracle Financial Services Software Ltd</t>
        </is>
      </c>
      <c r="E8" s="30" t="inlineStr">
        <is>
          <t>i.t</t>
        </is>
      </c>
      <c r="F8" s="30" t="inlineStr">
        <is>
          <t>IT Product Companies</t>
        </is>
      </c>
      <c r="G8" s="30" t="inlineStr">
        <is>
          <t>largecap</t>
        </is>
      </c>
      <c r="H8" s="31" t="n">
        <v>102792.64</v>
      </c>
      <c r="I8" s="31" t="n">
        <v>11805</v>
      </c>
      <c r="J8" s="31" t="n">
        <v>0.6</v>
      </c>
      <c r="K8" s="31" t="n">
        <v>0</v>
      </c>
      <c r="L8" s="30" t="n">
        <v>62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69.09</v>
      </c>
      <c r="P8" s="31" t="n">
        <v>32.45</v>
      </c>
      <c r="Q8" s="31" t="n">
        <v>9314.08</v>
      </c>
      <c r="R8" s="30" t="inlineStr">
        <is>
          <t>Near 52W High Breakout</t>
        </is>
      </c>
      <c r="S8" s="30" t="inlineStr">
        <is>
          <t>Nifty IT</t>
        </is>
      </c>
      <c r="T8" s="31" t="n">
        <v>-8.289999999999999</v>
      </c>
      <c r="U8" s="31" t="n">
        <v>46.38</v>
      </c>
      <c r="V8" s="31" t="n">
        <v>59.61</v>
      </c>
      <c r="W8" s="31" t="n">
        <v>14.46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above 5x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  <c r="CB8" s="30" t="inlineStr">
        <is>
          <t>23</t>
        </is>
      </c>
      <c r="CC8" s="30">
        <f>IF(CB8&gt;20,10,IF(CB8&gt;=10,5,2))</f>
        <v/>
      </c>
    </row>
    <row r="9">
      <c r="A9" s="30">
        <f>IF(B9=0,"",RANK(B9,$B$2:$B$12,0))</f>
        <v/>
      </c>
      <c r="B9" s="31">
        <f>SUM(N9,Y9,AA9,AC9,AE9,AG9,AI9,AK9,AM9,AO9,AQ9,AS9,AU9,AW9,AY9,BA9,BC9,BE9,BG9,BI9,BK9,BM9,BO9,BQ9,BS9,BU9,BW9,BY9,CA9,CC9)</f>
        <v/>
      </c>
      <c r="C9" s="33" t="inlineStr">
        <is>
          <t>SHRIRAMFIN</t>
        </is>
      </c>
      <c r="D9" s="33" t="inlineStr">
        <is>
          <t>Shriram Finance Ltd</t>
        </is>
      </c>
      <c r="E9" s="30" t="inlineStr">
        <is>
          <t>financials</t>
        </is>
      </c>
      <c r="F9" s="30" t="inlineStr">
        <is>
          <t>Finance &amp; Investments - CV Finance</t>
        </is>
      </c>
      <c r="G9" s="30" t="inlineStr">
        <is>
          <t>largecap</t>
        </is>
      </c>
      <c r="H9" s="31" t="n">
        <v>262353.75</v>
      </c>
      <c r="I9" s="31" t="n">
        <v>1115</v>
      </c>
      <c r="J9" s="31" t="n">
        <v>-2.28</v>
      </c>
      <c r="K9" s="31" t="n">
        <v>0</v>
      </c>
      <c r="L9" s="30" t="n">
        <v>67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64.54000000000001</v>
      </c>
      <c r="P9" s="31" t="n">
        <v>13.56</v>
      </c>
      <c r="Q9" s="31" t="n">
        <v>899.97</v>
      </c>
      <c r="R9" s="30" t="inlineStr">
        <is>
          <t>Near 52W High Breakout</t>
        </is>
      </c>
      <c r="S9" s="30" t="inlineStr">
        <is>
          <t>Nifty Bank</t>
        </is>
      </c>
      <c r="T9" s="31" t="n">
        <v>4.98</v>
      </c>
      <c r="U9" s="31" t="n">
        <v>85.05</v>
      </c>
      <c r="V9" s="31" t="n">
        <v>76.26000000000001</v>
      </c>
      <c r="W9" s="31" t="n">
        <v>16.12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0 to 20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  <c r="CB9" s="30" t="inlineStr">
        <is>
          <t>20</t>
        </is>
      </c>
      <c r="CC9" s="30">
        <f>IF(CB9&gt;20,10,IF(CB9&gt;=10,5,2))</f>
        <v/>
      </c>
    </row>
    <row r="10">
      <c r="A10" s="30">
        <f>IF(B10=0,"",RANK(B10,$B$2:$B$12,0))</f>
        <v/>
      </c>
      <c r="B10" s="31">
        <f>SUM(N10,Y10,AA10,AC10,AE10,AG10,AI10,AK10,AM10,AO10,AQ10,AS10,AU10,AW10,AY10,BA10,BC10,BE10,BG10,BI10,BK10,BM10,BO10,BQ10,BS10,BU10,BW10,BY10,CA10,CC10)</f>
        <v/>
      </c>
      <c r="C10" s="30" t="inlineStr">
        <is>
          <t>GCSL</t>
        </is>
      </c>
      <c r="D10" s="30" t="inlineStr">
        <is>
          <t>Gretex Corporate Services Ltd</t>
        </is>
      </c>
      <c r="E10" s="30" t="inlineStr">
        <is>
          <t>Financial Services</t>
        </is>
      </c>
      <c r="F10" s="30" t="inlineStr">
        <is>
          <t>Finance &amp; Investments - Others</t>
        </is>
      </c>
      <c r="G10" s="30" t="inlineStr">
        <is>
          <t>smallcap</t>
        </is>
      </c>
      <c r="H10" s="31" t="n">
        <v>1264.5</v>
      </c>
      <c r="I10" s="31" t="n">
        <v>523.4</v>
      </c>
      <c r="J10" s="31" t="n">
        <v>-1.25</v>
      </c>
      <c r="K10" s="31" t="n">
        <v>0</v>
      </c>
      <c r="L10" s="30" t="n">
        <v>75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71.56999999999999</v>
      </c>
      <c r="P10" s="31" t="n">
        <v>32.12</v>
      </c>
      <c r="Q10" s="31" t="n">
        <v>412.93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6.71</v>
      </c>
      <c r="U10" s="31" t="n">
        <v>74.54000000000001</v>
      </c>
      <c r="V10" s="31" t="n">
        <v>63.56</v>
      </c>
      <c r="W10" s="31" t="n">
        <v>19.52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above 5x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  <c r="CB10" s="30" t="inlineStr">
        <is>
          <t>20</t>
        </is>
      </c>
      <c r="CC10" s="30">
        <f>IF(CB10&gt;20,10,IF(CB10&gt;=10,5,2))</f>
        <v/>
      </c>
    </row>
    <row r="11">
      <c r="A11" s="30">
        <f>IF(B11=0,"",RANK(B11,$B$2:$B$12,0))</f>
        <v/>
      </c>
      <c r="B11" s="31">
        <f>SUM(N11,Y11,AA11,AC11,AE11,AG11,AI11,AK11,AM11,AO11,AQ11,AS11,AU11,AW11,AY11,BA11,BC11,BE11,BG11,BI11,BK11,BM11,BO11,BQ11,BS11,BU11,BW11,BY11,CA11,CC11)</f>
        <v/>
      </c>
      <c r="C11" s="30" t="inlineStr">
        <is>
          <t>IIFL</t>
        </is>
      </c>
      <c r="D11" s="30" t="inlineStr">
        <is>
          <t>IIFL Finance Ltd</t>
        </is>
      </c>
      <c r="E11" s="30" t="inlineStr">
        <is>
          <t>financials</t>
        </is>
      </c>
      <c r="F11" s="30" t="inlineStr">
        <is>
          <t>Finance &amp; Investments - Gold Loan</t>
        </is>
      </c>
      <c r="G11" s="30" t="inlineStr">
        <is>
          <t>largecap</t>
        </is>
      </c>
      <c r="H11" s="31" t="n">
        <v>26322.58</v>
      </c>
      <c r="I11" s="31" t="n">
        <v>618.8</v>
      </c>
      <c r="J11" s="31" t="n">
        <v>1.55</v>
      </c>
      <c r="K11" s="31" t="n">
        <v>0</v>
      </c>
      <c r="L11" s="30" t="n">
        <v>60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68.90000000000001</v>
      </c>
      <c r="P11" s="31" t="n">
        <v>19.22</v>
      </c>
      <c r="Q11" s="31" t="n">
        <v>484.75</v>
      </c>
      <c r="R11" s="30" t="inlineStr">
        <is>
          <t>Earnings / Momentum Support</t>
        </is>
      </c>
      <c r="S11" s="30" t="inlineStr">
        <is>
          <t>Nifty Bank</t>
        </is>
      </c>
      <c r="T11" s="31" t="n">
        <v>4.98</v>
      </c>
      <c r="U11" s="31" t="n">
        <v>37.29</v>
      </c>
      <c r="V11" s="31" t="n">
        <v>30.77</v>
      </c>
      <c r="W11" s="31" t="n">
        <v>14.13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0 to 20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  <c r="CB11" s="30" t="inlineStr">
        <is>
          <t>18</t>
        </is>
      </c>
      <c r="CC11" s="30">
        <f>IF(CB11&gt;20,10,IF(CB11&gt;=10,5,2))</f>
        <v/>
      </c>
    </row>
    <row r="12">
      <c r="A12" s="30">
        <f>IF(B12=0,"",RANK(B12,$B$2:$B$12,0))</f>
        <v/>
      </c>
      <c r="B12" s="31">
        <f>SUM(N12,Y12,AA12,AC12,AE12,AG12,AI12,AK12,AM12,AO12,AQ12,AS12,AU12,AW12,AY12,BA12,BC12,BE12,BG12,BI12,BK12,BM12,BO12,BQ12,BS12,BU12,BW12,BY12,CA12,CC12)</f>
        <v/>
      </c>
      <c r="C12" s="33" t="inlineStr">
        <is>
          <t>CGCL</t>
        </is>
      </c>
      <c r="D12" s="33" t="inlineStr">
        <is>
          <t>Capri Global Capital Ltd</t>
        </is>
      </c>
      <c r="E12" s="30" t="inlineStr">
        <is>
          <t>Financial Services</t>
        </is>
      </c>
      <c r="F12" s="30" t="inlineStr">
        <is>
          <t>Finance &amp; Investments - Gold Loan</t>
        </is>
      </c>
      <c r="G12" s="30" t="inlineStr">
        <is>
          <t>largecap</t>
        </is>
      </c>
      <c r="H12" s="31" t="n">
        <v>22225.76</v>
      </c>
      <c r="I12" s="31" t="n">
        <v>231</v>
      </c>
      <c r="J12" s="31" t="n">
        <v>-4.18</v>
      </c>
      <c r="K12" s="31" t="n">
        <v>0</v>
      </c>
      <c r="L12" s="30" t="n">
        <v>40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61.43</v>
      </c>
      <c r="P12" s="31" t="n">
        <v>37.61</v>
      </c>
      <c r="Q12" s="31" t="n">
        <v>205.01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4.98</v>
      </c>
      <c r="U12" s="31" t="n">
        <v>26.53</v>
      </c>
      <c r="V12" s="31" t="n">
        <v>20.52</v>
      </c>
      <c r="W12" s="31" t="n">
        <v>8.609999999999999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  <c r="CB12" s="30" t="inlineStr">
        <is>
          <t>20</t>
        </is>
      </c>
      <c r="CC12" s="30">
        <f>IF(CB12&gt;20,10,IF(CB12&gt;=10,5,2))</f>
        <v/>
      </c>
    </row>
    <row r="16">
      <c r="A16" s="24" t="inlineStr">
        <is>
          <t>❌ REMOVED SCAN MATCH STOCKS (THIS WEEK)</t>
        </is>
      </c>
    </row>
    <row r="17">
      <c r="A17" s="34" t="inlineStr">
        <is>
          <t>Symbol</t>
        </is>
      </c>
      <c r="B17" s="34" t="inlineStr">
        <is>
          <t>Company Name</t>
        </is>
      </c>
      <c r="C17" s="34" t="inlineStr">
        <is>
          <t>Sector</t>
        </is>
      </c>
      <c r="D17" s="34" t="inlineStr">
        <is>
          <t>Date of Removal</t>
        </is>
      </c>
    </row>
    <row r="18">
      <c r="A18" s="35" t="inlineStr">
        <is>
          <t>IIFL</t>
        </is>
      </c>
      <c r="B18" s="36" t="inlineStr">
        <is>
          <t>IIFL Finance Limited</t>
        </is>
      </c>
      <c r="C18" s="36" t="inlineStr">
        <is>
          <t>Financial Services</t>
        </is>
      </c>
      <c r="D18" s="37" t="inlineStr">
        <is>
          <t>2026-08-06</t>
        </is>
      </c>
    </row>
    <row r="19">
      <c r="A19" s="35" t="inlineStr">
        <is>
          <t>JSFB</t>
        </is>
      </c>
      <c r="B19" s="36" t="inlineStr">
        <is>
          <t>Jana Small Finance Bank Limited</t>
        </is>
      </c>
      <c r="C19" s="36" t="inlineStr">
        <is>
          <t>Financial Services</t>
        </is>
      </c>
      <c r="D19" s="37" t="inlineStr">
        <is>
          <t>2026-08-04</t>
        </is>
      </c>
    </row>
    <row r="20">
      <c r="A20" s="35" t="inlineStr">
        <is>
          <t>KARURVYSYA</t>
        </is>
      </c>
      <c r="B20" s="36" t="inlineStr">
        <is>
          <t>The Karur Vysya Bank Limited</t>
        </is>
      </c>
      <c r="C20" s="36" t="inlineStr">
        <is>
          <t>Financial Services</t>
        </is>
      </c>
      <c r="D20" s="37" t="inlineStr">
        <is>
          <t>2026-08-05</t>
        </is>
      </c>
    </row>
    <row r="21">
      <c r="A21" s="35" t="inlineStr">
        <is>
          <t>M&amp;MFIN</t>
        </is>
      </c>
      <c r="B21" s="36" t="inlineStr">
        <is>
          <t>Mahindra &amp; Mahindra Financial Services Limited</t>
        </is>
      </c>
      <c r="C21" s="36" t="inlineStr">
        <is>
          <t>Financial Services</t>
        </is>
      </c>
      <c r="D21" s="37" t="inlineStr">
        <is>
          <t>2026-08-05</t>
        </is>
      </c>
    </row>
    <row r="22">
      <c r="A22" s="35" t="inlineStr">
        <is>
          <t>POONAWALLA</t>
        </is>
      </c>
      <c r="B22" s="36" t="inlineStr">
        <is>
          <t>Poonawalla Fincorp Limited</t>
        </is>
      </c>
      <c r="C22" s="36" t="inlineStr">
        <is>
          <t>Financial Services</t>
        </is>
      </c>
      <c r="D22" s="37" t="inlineStr">
        <is>
          <t>2026-08-07</t>
        </is>
      </c>
    </row>
  </sheetData>
  <autoFilter ref="A1:CC12"/>
  <conditionalFormatting sqref="B2:B1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2">
    <cfRule type="cellIs" priority="35" operator="equal" dxfId="3" stopIfTrue="1">
      <formula>"Underperforming"</formula>
    </cfRule>
  </conditionalFormatting>
  <conditionalFormatting sqref="N2:N12">
    <cfRule type="cellIs" priority="36" operator="equal" dxfId="3" stopIfTrue="1">
      <formula>-5</formula>
    </cfRule>
  </conditionalFormatting>
  <conditionalFormatting sqref="Q2:Q12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2" showDropDown="0" showInputMessage="0" showErrorMessage="0" allowBlank="1" type="list">
      <formula1>"Growing Industry,Stagnant Industry,Cyclical in an Upturn"</formula1>
    </dataValidation>
    <dataValidation sqref="Z2:Z12" showDropDown="0" showInputMessage="0" showErrorMessage="0" allowBlank="1" type="list">
      <formula1>"Fragmented with Low ROE,Fragmented with High ROE,Highly Cyclical"</formula1>
    </dataValidation>
    <dataValidation sqref="AB2:AB12" showDropDown="0" showInputMessage="0" showErrorMessage="0" allowBlank="1" type="list">
      <formula1>"Yes,No"</formula1>
    </dataValidation>
    <dataValidation sqref="AD2:AD12" showDropDown="0" showInputMessage="0" showErrorMessage="0" allowBlank="1" type="list">
      <formula1>"Tailwind,Headwind"</formula1>
    </dataValidation>
    <dataValidation sqref="AF2:AF1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2" showDropDown="0" showInputMessage="0" showErrorMessage="0" allowBlank="1" type="list">
      <formula1>"Yes,No"</formula1>
    </dataValidation>
    <dataValidation sqref="AJ2:AJ12" showDropDown="0" showInputMessage="0" showErrorMessage="0" allowBlank="1" type="list">
      <formula1>"Yes,No,Not Applicable"</formula1>
    </dataValidation>
    <dataValidation sqref="AL2:AL12" showDropDown="0" showInputMessage="0" showErrorMessage="0" allowBlank="1" type="list">
      <formula1>"Yes,No"</formula1>
    </dataValidation>
    <dataValidation sqref="AN2:AN12" showDropDown="0" showInputMessage="0" showErrorMessage="0" allowBlank="1" type="list">
      <formula1>"Yes,No"</formula1>
    </dataValidation>
    <dataValidation sqref="AP2:AP12" showDropDown="0" showInputMessage="0" showErrorMessage="0" allowBlank="1" type="list">
      <formula1>"Yes,No"</formula1>
    </dataValidation>
    <dataValidation sqref="AR2:AR12" showDropDown="0" showInputMessage="0" showErrorMessage="0" allowBlank="1" type="list">
      <formula1>"Yes,No"</formula1>
    </dataValidation>
    <dataValidation sqref="AT2:AT12" showDropDown="0" showInputMessage="0" showErrorMessage="0" allowBlank="1" type="list">
      <formula1>"No,Yes"</formula1>
    </dataValidation>
    <dataValidation sqref="AV2:AV12" showDropDown="0" showInputMessage="0" showErrorMessage="0" allowBlank="1" type="list">
      <formula1>"No,Yes"</formula1>
    </dataValidation>
    <dataValidation sqref="AX2:AX12" showDropDown="0" showInputMessage="0" showErrorMessage="0" allowBlank="1" type="list">
      <formula1>"No,Yes CEO Resignation,Yes CEO Retirement"</formula1>
    </dataValidation>
    <dataValidation sqref="AZ2:AZ12" showDropDown="0" showInputMessage="0" showErrorMessage="0" allowBlank="1" type="list">
      <formula1>"No,Yes"</formula1>
    </dataValidation>
    <dataValidation sqref="BB2:BB12" showDropDown="0" showInputMessage="0" showErrorMessage="0" allowBlank="1" type="list">
      <formula1>"No,Yes"</formula1>
    </dataValidation>
    <dataValidation sqref="BD2:BD12" showDropDown="0" showInputMessage="0" showErrorMessage="0" allowBlank="1" type="list">
      <formula1>"Yes,No"</formula1>
    </dataValidation>
    <dataValidation sqref="BF2:BF12" showDropDown="0" showInputMessage="0" showErrorMessage="0" allowBlank="1" type="list">
      <formula1>"Yes,No"</formula1>
    </dataValidation>
    <dataValidation sqref="BH2:BH12" showDropDown="0" showInputMessage="0" showErrorMessage="0" allowBlank="1" type="list">
      <formula1>"Yes,No"</formula1>
    </dataValidation>
    <dataValidation sqref="BJ2:BJ1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2" showDropDown="0" showInputMessage="0" showErrorMessage="0" allowBlank="1" type="list">
      <formula1>"Above 40,20 to 40,0 to 20"</formula1>
    </dataValidation>
    <dataValidation sqref="BN2:BN12" showDropDown="0" showInputMessage="0" showErrorMessage="0" allowBlank="1" type="list">
      <formula1>"Between 50 to 75,Above 75,Below 45"</formula1>
    </dataValidation>
    <dataValidation sqref="BP2:BP12" showDropDown="0" showInputMessage="0" showErrorMessage="0" allowBlank="1" type="list">
      <formula1>"Stage 1,Stage 2,Stage 3,Stage 4"</formula1>
    </dataValidation>
    <dataValidation sqref="BR2:BR12" showDropDown="0" showInputMessage="0" showErrorMessage="0" allowBlank="1" type="list">
      <formula1>"Positive Trend,Negative Trend"</formula1>
    </dataValidation>
    <dataValidation sqref="BT2:BT12" showDropDown="0" showInputMessage="0" showErrorMessage="0" allowBlank="1" type="list">
      <formula1>"Uptrend,Sideways,Downtrend"</formula1>
    </dataValidation>
    <dataValidation sqref="BV2:BV12" showDropDown="0" showInputMessage="0" showErrorMessage="0" allowBlank="1" type="list">
      <formula1>"Uptrend,Sideways,Downtrend"</formula1>
    </dataValidation>
    <dataValidation sqref="BX2:BX1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2026-08-07T11:12:41Z</dcterms:created>
  <dcterms:modified xmlns:dcterms="http://purl.org/dc/terms/" xmlns:xsi="http://www.w3.org/2001/XMLSchema-instance" xsi:type="dcterms:W3CDTF">2026-08-07T11:14:13Z</dcterms:modified>
</cp:coreProperties>
</file>