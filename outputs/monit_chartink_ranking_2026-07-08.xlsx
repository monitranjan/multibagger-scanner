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Universe'!$A$1:$J$289</definedName>
    <definedName name="_xlnm._FilterDatabase" localSheetId="3" hidden="1">'Confluence Overlap'!$A$1:$K$83</definedName>
    <definedName name="_xlnm._FilterDatabase" localSheetId="4" hidden="1">'Monit Non Financial'!$A$1:$CE$251</definedName>
    <definedName name="_xlnm._FilterDatabase" localSheetId="5" hidden="1">'Monit Banks NBFC'!$A$1:$CA$39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Financial'!$A$1:$CG$86</definedName>
    <definedName name="_xlnm._FilterDatabase" localSheetId="9" hidden="1">'Scan Match Banks NBFC'!$A$1:$CC$16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08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25" customWidth="1" min="3" max="3"/>
    <col width="40" customWidth="1" min="4" max="4"/>
    <col width="25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534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74</v>
      </c>
      <c r="G6" s="19" t="n">
        <v>15124.81</v>
      </c>
      <c r="H6" s="18" t="inlineStr">
        <is>
          <t>Potential Leader</t>
        </is>
      </c>
      <c r="J6" s="18" t="inlineStr">
        <is>
          <t>plastic products</t>
        </is>
      </c>
      <c r="K6" s="16" t="n">
        <v>11</v>
      </c>
      <c r="L6" s="16" t="n">
        <v>6</v>
      </c>
      <c r="M6" s="20" t="inlineStr">
        <is>
          <t>83.3%</t>
        </is>
      </c>
    </row>
    <row r="7">
      <c r="A7" s="16" t="n">
        <v>2</v>
      </c>
      <c r="B7" s="17" t="n">
        <v>522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72</v>
      </c>
      <c r="G7" s="19" t="n">
        <v>5414.28</v>
      </c>
      <c r="H7" s="18" t="inlineStr">
        <is>
          <t>Potential Leader</t>
        </is>
      </c>
      <c r="J7" s="18" t="inlineStr">
        <is>
          <t>media</t>
        </is>
      </c>
      <c r="K7" s="16" t="n">
        <v>16</v>
      </c>
      <c r="L7" s="16" t="n">
        <v>10</v>
      </c>
      <c r="M7" s="20" t="inlineStr">
        <is>
          <t>60.0%</t>
        </is>
      </c>
    </row>
    <row r="8">
      <c r="A8" s="16" t="n">
        <v>3</v>
      </c>
      <c r="B8" s="17" t="n">
        <v>516</v>
      </c>
      <c r="C8" s="17" t="inlineStr">
        <is>
          <t>WELCORP</t>
        </is>
      </c>
      <c r="D8" s="18" t="inlineStr">
        <is>
          <t>Welspun Corp Limited</t>
        </is>
      </c>
      <c r="E8" s="18" t="inlineStr">
        <is>
          <t>industrials</t>
        </is>
      </c>
      <c r="F8" s="16" t="n">
        <v>71</v>
      </c>
      <c r="G8" s="19" t="n">
        <v>40650.14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48</v>
      </c>
      <c r="L8" s="16" t="n">
        <v>38</v>
      </c>
      <c r="M8" s="20" t="inlineStr">
        <is>
          <t>26.3%</t>
        </is>
      </c>
    </row>
    <row r="9">
      <c r="A9" s="16" t="n">
        <v>4</v>
      </c>
      <c r="B9" s="17" t="n">
        <v>498</v>
      </c>
      <c r="C9" s="17" t="inlineStr">
        <is>
          <t>SHILPAMED</t>
        </is>
      </c>
      <c r="D9" s="18" t="inlineStr">
        <is>
          <t>Shilpa Medicare Limited</t>
        </is>
      </c>
      <c r="E9" s="18" t="inlineStr">
        <is>
          <t>healthcare</t>
        </is>
      </c>
      <c r="F9" s="16" t="n">
        <v>68</v>
      </c>
      <c r="G9" s="19" t="n">
        <v>11731</v>
      </c>
      <c r="H9" s="18" t="inlineStr">
        <is>
          <t>Potential Leader</t>
        </is>
      </c>
      <c r="J9" s="18" t="inlineStr">
        <is>
          <t>textiles</t>
        </is>
      </c>
      <c r="K9" s="16" t="n">
        <v>97</v>
      </c>
      <c r="L9" s="16" t="n">
        <v>78</v>
      </c>
      <c r="M9" s="20" t="inlineStr">
        <is>
          <t>24.4%</t>
        </is>
      </c>
    </row>
    <row r="10">
      <c r="A10" s="16" t="n">
        <v>5</v>
      </c>
      <c r="B10" s="17" t="n">
        <v>474</v>
      </c>
      <c r="C10" s="17" t="inlineStr">
        <is>
          <t>NINSYS</t>
        </is>
      </c>
      <c r="D10" s="18" t="inlineStr">
        <is>
          <t>NINtec Systems Ltd</t>
        </is>
      </c>
      <c r="E10" s="18" t="inlineStr">
        <is>
          <t>i.t</t>
        </is>
      </c>
      <c r="F10" s="16" t="n">
        <v>64</v>
      </c>
      <c r="G10" s="19" t="n">
        <v>1673.33</v>
      </c>
      <c r="H10" s="18" t="inlineStr">
        <is>
          <t>Potential Leader</t>
        </is>
      </c>
      <c r="J10" s="18" t="inlineStr">
        <is>
          <t>transportation</t>
        </is>
      </c>
      <c r="K10" s="16" t="n">
        <v>46</v>
      </c>
      <c r="L10" s="16" t="n">
        <v>38</v>
      </c>
      <c r="M10" s="20" t="inlineStr">
        <is>
          <t>21.1%</t>
        </is>
      </c>
    </row>
    <row r="11">
      <c r="A11" s="16" t="n">
        <v>6</v>
      </c>
      <c r="B11" s="17" t="n">
        <v>468</v>
      </c>
      <c r="C11" s="17" t="inlineStr">
        <is>
          <t>SIGMAADV</t>
        </is>
      </c>
      <c r="D11" s="18" t="inlineStr">
        <is>
          <t>Sigma Advanced System Ltd</t>
        </is>
      </c>
      <c r="E11" s="18" t="inlineStr">
        <is>
          <t>aerospace &amp; defence</t>
        </is>
      </c>
      <c r="F11" s="16" t="n">
        <v>63</v>
      </c>
      <c r="G11" s="19" t="n">
        <v>9540.74</v>
      </c>
      <c r="H11" s="18" t="inlineStr">
        <is>
          <t>Potential Leader</t>
        </is>
      </c>
      <c r="J11" s="18" t="inlineStr">
        <is>
          <t>financials</t>
        </is>
      </c>
      <c r="K11" s="16" t="n">
        <v>241</v>
      </c>
      <c r="L11" s="16" t="n">
        <v>206</v>
      </c>
      <c r="M11" s="20" t="inlineStr">
        <is>
          <t>17.0%</t>
        </is>
      </c>
    </row>
    <row r="12">
      <c r="A12" s="16" t="n">
        <v>7</v>
      </c>
      <c r="B12" s="17" t="n">
        <v>468</v>
      </c>
      <c r="C12" s="17" t="inlineStr">
        <is>
          <t>TALBROAUTO</t>
        </is>
      </c>
      <c r="D12" s="18" t="inlineStr">
        <is>
          <t>Talbros Automotive Components Limited</t>
        </is>
      </c>
      <c r="E12" s="18" t="inlineStr">
        <is>
          <t>auto</t>
        </is>
      </c>
      <c r="F12" s="16" t="n">
        <v>63</v>
      </c>
      <c r="G12" s="19" t="n">
        <v>2481.16</v>
      </c>
      <c r="H12" s="18" t="inlineStr">
        <is>
          <t>Potential Leader</t>
        </is>
      </c>
      <c r="J12" s="18" t="inlineStr">
        <is>
          <t>fmcg</t>
        </is>
      </c>
      <c r="K12" s="16" t="n">
        <v>121</v>
      </c>
      <c r="L12" s="16" t="n">
        <v>107</v>
      </c>
      <c r="M12" s="20" t="inlineStr">
        <is>
          <t>13.1%</t>
        </is>
      </c>
    </row>
    <row r="13">
      <c r="A13" s="16" t="n">
        <v>8</v>
      </c>
      <c r="B13" s="17" t="n">
        <v>414</v>
      </c>
      <c r="C13" s="17" t="inlineStr">
        <is>
          <t>INDOBORAX</t>
        </is>
      </c>
      <c r="D13" s="18" t="inlineStr">
        <is>
          <t>Indo Borax &amp; Chemicals Ltd</t>
        </is>
      </c>
      <c r="E13" s="18" t="inlineStr">
        <is>
          <t>chemicals</t>
        </is>
      </c>
      <c r="F13" s="16" t="n">
        <v>54</v>
      </c>
      <c r="G13" s="19" t="n">
        <v>1314.89</v>
      </c>
      <c r="H13" s="18" t="inlineStr">
        <is>
          <t>Potential Leader</t>
        </is>
      </c>
      <c r="J13" s="18" t="inlineStr">
        <is>
          <t>miscellaneous</t>
        </is>
      </c>
      <c r="K13" s="16" t="n">
        <v>62</v>
      </c>
      <c r="L13" s="16" t="n">
        <v>55</v>
      </c>
      <c r="M13" s="20" t="inlineStr">
        <is>
          <t>12.7%</t>
        </is>
      </c>
    </row>
    <row r="14">
      <c r="A14" s="16" t="n">
        <v>9</v>
      </c>
      <c r="B14" s="17" t="n">
        <v>408</v>
      </c>
      <c r="C14" s="17" t="inlineStr">
        <is>
          <t>BLSE</t>
        </is>
      </c>
      <c r="D14" s="18" t="inlineStr">
        <is>
          <t>BLS E-Services Ltd</t>
        </is>
      </c>
      <c r="E14" s="18" t="inlineStr">
        <is>
          <t>i.t</t>
        </is>
      </c>
      <c r="F14" s="16" t="n">
        <v>53</v>
      </c>
      <c r="G14" s="19" t="n">
        <v>2427.05</v>
      </c>
      <c r="H14" s="18" t="inlineStr">
        <is>
          <t>Potential Leader</t>
        </is>
      </c>
      <c r="J14" s="18" t="inlineStr">
        <is>
          <t>services</t>
        </is>
      </c>
      <c r="K14" s="16" t="n">
        <v>69</v>
      </c>
      <c r="L14" s="16" t="n">
        <v>62</v>
      </c>
      <c r="M14" s="20" t="inlineStr">
        <is>
          <t>11.3%</t>
        </is>
      </c>
    </row>
    <row r="15">
      <c r="A15" s="16" t="n">
        <v>10</v>
      </c>
      <c r="B15" s="17" t="n">
        <v>408</v>
      </c>
      <c r="C15" s="17" t="inlineStr">
        <is>
          <t>CEMPRO</t>
        </is>
      </c>
      <c r="D15" s="18" t="inlineStr">
        <is>
          <t>Cemindia Projects Ltd</t>
        </is>
      </c>
      <c r="E15" s="18" t="inlineStr">
        <is>
          <t>realty</t>
        </is>
      </c>
      <c r="F15" s="16" t="n">
        <v>53</v>
      </c>
      <c r="G15" s="19" t="n">
        <v>25665.07</v>
      </c>
      <c r="H15" s="18" t="inlineStr">
        <is>
          <t>Potential Leader</t>
        </is>
      </c>
      <c r="J15" s="18" t="inlineStr">
        <is>
          <t>auto</t>
        </is>
      </c>
      <c r="K15" s="16" t="n">
        <v>179</v>
      </c>
      <c r="L15" s="16" t="n">
        <v>164</v>
      </c>
      <c r="M15" s="20" t="inlineStr">
        <is>
          <t>9.1%</t>
        </is>
      </c>
    </row>
    <row r="16">
      <c r="A16" s="16" t="n">
        <v>11</v>
      </c>
      <c r="B16" s="17" t="n">
        <v>408</v>
      </c>
      <c r="C16" s="17" t="inlineStr">
        <is>
          <t>RATEGAIN</t>
        </is>
      </c>
      <c r="D16" s="18" t="inlineStr">
        <is>
          <t>Rategain Travel Technologies Ltd</t>
        </is>
      </c>
      <c r="E16" s="18" t="inlineStr">
        <is>
          <t>i.t</t>
        </is>
      </c>
      <c r="F16" s="16" t="n">
        <v>53</v>
      </c>
      <c r="G16" s="19" t="n">
        <v>11207.99</v>
      </c>
      <c r="H16" s="18" t="inlineStr">
        <is>
          <t>Potential Leader</t>
        </is>
      </c>
      <c r="J16" s="18" t="inlineStr">
        <is>
          <t>healthcare</t>
        </is>
      </c>
      <c r="K16" s="16" t="n">
        <v>316</v>
      </c>
      <c r="L16" s="16" t="n">
        <v>295</v>
      </c>
      <c r="M16" s="20" t="inlineStr">
        <is>
          <t>7.1%</t>
        </is>
      </c>
    </row>
    <row r="17">
      <c r="A17" s="16" t="n">
        <v>12</v>
      </c>
      <c r="B17" s="17" t="n">
        <v>402</v>
      </c>
      <c r="C17" s="17" t="inlineStr">
        <is>
          <t>GRWRHITECH</t>
        </is>
      </c>
      <c r="D17" s="18" t="inlineStr">
        <is>
          <t>Garware Hi Tech Films Ltd</t>
        </is>
      </c>
      <c r="E17" s="18" t="inlineStr">
        <is>
          <t>industrials</t>
        </is>
      </c>
      <c r="F17" s="16" t="n">
        <v>52</v>
      </c>
      <c r="G17" s="19" t="n">
        <v>16180.2</v>
      </c>
      <c r="H17" s="18" t="inlineStr">
        <is>
          <t>Potential Leader</t>
        </is>
      </c>
      <c r="J17" s="18" t="inlineStr">
        <is>
          <t>building materials</t>
        </is>
      </c>
      <c r="K17" s="16" t="n">
        <v>74</v>
      </c>
      <c r="L17" s="16" t="n">
        <v>71</v>
      </c>
      <c r="M17" s="20" t="inlineStr">
        <is>
          <t>4.2%</t>
        </is>
      </c>
    </row>
    <row r="18">
      <c r="A18" s="16" t="n">
        <v>13</v>
      </c>
      <c r="B18" s="17" t="n">
        <v>402</v>
      </c>
      <c r="C18" s="17" t="inlineStr">
        <is>
          <t>INNOVACAP</t>
        </is>
      </c>
      <c r="D18" s="18" t="inlineStr">
        <is>
          <t>Innova Captab Ltd</t>
        </is>
      </c>
      <c r="E18" s="18" t="inlineStr">
        <is>
          <t>healthcare</t>
        </is>
      </c>
      <c r="F18" s="16" t="n">
        <v>52</v>
      </c>
      <c r="G18" s="19" t="n">
        <v>5539.95</v>
      </c>
      <c r="H18" s="18" t="inlineStr">
        <is>
          <t>Potential Leader</t>
        </is>
      </c>
      <c r="J18" s="18" t="inlineStr">
        <is>
          <t>telecom</t>
        </is>
      </c>
      <c r="K18" s="16" t="n">
        <v>17</v>
      </c>
      <c r="L18" s="16" t="n">
        <v>17</v>
      </c>
      <c r="M18" s="20" t="inlineStr">
        <is>
          <t>0.0%</t>
        </is>
      </c>
    </row>
    <row r="19">
      <c r="A19" s="16" t="n">
        <v>14</v>
      </c>
      <c r="B19" s="17" t="n">
        <v>402</v>
      </c>
      <c r="C19" s="17" t="inlineStr">
        <is>
          <t>LAURUSLABS</t>
        </is>
      </c>
      <c r="D19" s="18" t="inlineStr">
        <is>
          <t>Laurus Labs Limited</t>
        </is>
      </c>
      <c r="E19" s="18" t="inlineStr">
        <is>
          <t>healthcare</t>
        </is>
      </c>
      <c r="F19" s="16" t="n">
        <v>52</v>
      </c>
      <c r="G19" s="19" t="n">
        <v>79758.41</v>
      </c>
      <c r="H19" s="18" t="inlineStr">
        <is>
          <t>Potential Leader</t>
        </is>
      </c>
      <c r="J19" s="18" t="inlineStr">
        <is>
          <t>consumer discretionary</t>
        </is>
      </c>
      <c r="K19" s="16" t="n">
        <v>158</v>
      </c>
      <c r="L19" s="16" t="n">
        <v>159</v>
      </c>
      <c r="M19" s="21" t="inlineStr">
        <is>
          <t>-0.6%</t>
        </is>
      </c>
    </row>
    <row r="20">
      <c r="A20" s="16" t="n">
        <v>15</v>
      </c>
      <c r="B20" s="17" t="n">
        <v>390</v>
      </c>
      <c r="C20" s="17" t="inlineStr">
        <is>
          <t>MAYURUNIQ</t>
        </is>
      </c>
      <c r="D20" s="18" t="inlineStr">
        <is>
          <t>Mayur Uniquoters Ltd</t>
        </is>
      </c>
      <c r="E20" s="18" t="inlineStr">
        <is>
          <t>consumer discretionary</t>
        </is>
      </c>
      <c r="F20" s="16" t="n">
        <v>50</v>
      </c>
      <c r="G20" s="19" t="n">
        <v>3716.28</v>
      </c>
      <c r="H20" s="18" t="inlineStr">
        <is>
          <t>Potential Leader</t>
        </is>
      </c>
      <c r="J20" s="18" t="inlineStr">
        <is>
          <t>i.t</t>
        </is>
      </c>
      <c r="K20" s="16" t="n">
        <v>73</v>
      </c>
      <c r="L20" s="16" t="n">
        <v>74</v>
      </c>
      <c r="M20" s="21" t="inlineStr">
        <is>
          <t>-1.4%</t>
        </is>
      </c>
    </row>
    <row r="21">
      <c r="A21" s="16" t="n">
        <v>16</v>
      </c>
      <c r="B21" s="17" t="n">
        <v>354</v>
      </c>
      <c r="C21" s="17" t="inlineStr">
        <is>
          <t>CAPLIPOINT</t>
        </is>
      </c>
      <c r="D21" s="18" t="inlineStr">
        <is>
          <t>Caplin Point Laboratories Limited</t>
        </is>
      </c>
      <c r="E21" s="18" t="inlineStr">
        <is>
          <t>healthcare</t>
        </is>
      </c>
      <c r="F21" s="16" t="n">
        <v>44</v>
      </c>
      <c r="G21" s="19" t="n">
        <v>19510.68</v>
      </c>
      <c r="H21" s="18" t="inlineStr">
        <is>
          <t>Potential Leader</t>
        </is>
      </c>
    </row>
    <row r="22">
      <c r="A22" s="16" t="n">
        <v>17</v>
      </c>
      <c r="B22" s="17" t="n">
        <v>354</v>
      </c>
      <c r="C22" s="17" t="inlineStr">
        <is>
          <t>PAISALO</t>
        </is>
      </c>
      <c r="D22" s="18" t="inlineStr">
        <is>
          <t>Paisalo Digital Ltd</t>
        </is>
      </c>
      <c r="E22" s="18" t="inlineStr">
        <is>
          <t>financials</t>
        </is>
      </c>
      <c r="F22" s="16" t="n">
        <v>44</v>
      </c>
      <c r="G22" s="19" t="n">
        <v>6324.82</v>
      </c>
      <c r="H22" s="18" t="inlineStr">
        <is>
          <t>Potential Leader</t>
        </is>
      </c>
    </row>
    <row r="23">
      <c r="A23" s="16" t="n">
        <v>18</v>
      </c>
      <c r="B23" s="17" t="n">
        <v>348</v>
      </c>
      <c r="C23" s="17" t="inlineStr">
        <is>
          <t>ICIL</t>
        </is>
      </c>
      <c r="D23" s="18" t="inlineStr">
        <is>
          <t>Indo Count Industries Limited</t>
        </is>
      </c>
      <c r="E23" s="18" t="inlineStr">
        <is>
          <t>textiles</t>
        </is>
      </c>
      <c r="F23" s="16" t="n">
        <v>43</v>
      </c>
      <c r="G23" s="19" t="n">
        <v>8465.83</v>
      </c>
      <c r="H23" s="18" t="inlineStr">
        <is>
          <t>Potential Leader</t>
        </is>
      </c>
    </row>
    <row r="24">
      <c r="A24" s="16" t="n">
        <v>19</v>
      </c>
      <c r="B24" s="17" t="n">
        <v>342</v>
      </c>
      <c r="C24" s="17" t="inlineStr">
        <is>
          <t>RPEL</t>
        </is>
      </c>
      <c r="D24" s="18" t="inlineStr">
        <is>
          <t>Raghav Productivity Enhancers Ltd</t>
        </is>
      </c>
      <c r="E24" s="18" t="inlineStr">
        <is>
          <t>building materials</t>
        </is>
      </c>
      <c r="F24" s="16" t="n">
        <v>42</v>
      </c>
      <c r="G24" s="19" t="n">
        <v>5998.33</v>
      </c>
      <c r="H24" s="18" t="inlineStr">
        <is>
          <t>Potential Leader</t>
        </is>
      </c>
    </row>
    <row r="25">
      <c r="A25" s="16" t="n">
        <v>20</v>
      </c>
      <c r="B25" s="17" t="n">
        <v>336</v>
      </c>
      <c r="C25" s="17" t="inlineStr">
        <is>
          <t>YASHO</t>
        </is>
      </c>
      <c r="D25" s="18" t="inlineStr">
        <is>
          <t>Yasho Industries Ltd</t>
        </is>
      </c>
      <c r="E25" s="18" t="inlineStr">
        <is>
          <t>chemicals</t>
        </is>
      </c>
      <c r="F25" s="16" t="n">
        <v>41</v>
      </c>
      <c r="G25" s="19" t="n">
        <v>3449.53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5PAISA</t>
        </is>
      </c>
      <c r="B30" s="18" t="inlineStr">
        <is>
          <t>5Paisa Capital Ltd</t>
        </is>
      </c>
      <c r="C30" s="18" t="inlineStr">
        <is>
          <t>financials</t>
        </is>
      </c>
      <c r="D30" s="16" t="n">
        <v>10</v>
      </c>
      <c r="E30" s="16" t="n">
        <v>1</v>
      </c>
      <c r="F30" s="19" t="n">
        <v>1717.06</v>
      </c>
      <c r="J30" s="17" t="inlineStr">
        <is>
          <t>IBULLSLTD</t>
        </is>
      </c>
      <c r="K30" s="18" t="inlineStr">
        <is>
          <t>miscellaneous</t>
        </is>
      </c>
      <c r="L30" s="19" t="n">
        <v>300</v>
      </c>
      <c r="M30" s="19" t="n">
        <v>6752.33</v>
      </c>
      <c r="N30" s="16" t="n">
        <v>30</v>
      </c>
    </row>
    <row r="31">
      <c r="A31" s="17" t="inlineStr">
        <is>
          <t>CARTRADE</t>
        </is>
      </c>
      <c r="B31" s="18" t="inlineStr">
        <is>
          <t>Cartrade Tech Ltd</t>
        </is>
      </c>
      <c r="C31" s="18" t="inlineStr">
        <is>
          <t>consumer discretionary</t>
        </is>
      </c>
      <c r="D31" s="16" t="n">
        <v>10</v>
      </c>
      <c r="E31" s="16" t="n">
        <v>1</v>
      </c>
      <c r="F31" s="19" t="n">
        <v>13326.37</v>
      </c>
      <c r="J31" s="17" t="inlineStr">
        <is>
          <t>SATIN</t>
        </is>
      </c>
      <c r="K31" s="18" t="inlineStr">
        <is>
          <t>financials</t>
        </is>
      </c>
      <c r="L31" s="19" t="n">
        <v>297</v>
      </c>
      <c r="M31" s="19" t="n">
        <v>2908.59</v>
      </c>
      <c r="N31" s="16" t="n">
        <v>27</v>
      </c>
    </row>
    <row r="32">
      <c r="A32" s="17" t="inlineStr">
        <is>
          <t>SUNDRMFAST</t>
        </is>
      </c>
      <c r="B32" s="18" t="inlineStr">
        <is>
          <t>Sundram Fasteners Limited</t>
        </is>
      </c>
      <c r="C32" s="18" t="inlineStr">
        <is>
          <t>auto</t>
        </is>
      </c>
      <c r="D32" s="16" t="n">
        <v>10</v>
      </c>
      <c r="E32" s="16" t="n">
        <v>1</v>
      </c>
      <c r="F32" s="19" t="n">
        <v>19544.04</v>
      </c>
      <c r="J32" s="17" t="inlineStr">
        <is>
          <t>IOLCP</t>
        </is>
      </c>
      <c r="K32" s="18" t="inlineStr">
        <is>
          <t>healthcare</t>
        </is>
      </c>
      <c r="L32" s="19" t="n">
        <v>287</v>
      </c>
      <c r="M32" s="19" t="n">
        <v>4844.38</v>
      </c>
      <c r="N32" s="16" t="n">
        <v>28</v>
      </c>
    </row>
    <row r="33">
      <c r="A33" s="17" t="inlineStr">
        <is>
          <t>RAMCOIND</t>
        </is>
      </c>
      <c r="B33" s="18" t="inlineStr">
        <is>
          <t>Ramco Industries Limited</t>
        </is>
      </c>
      <c r="C33" s="18" t="inlineStr">
        <is>
          <t>building materials</t>
        </is>
      </c>
      <c r="D33" s="16" t="n">
        <v>10</v>
      </c>
      <c r="E33" s="16" t="n">
        <v>0</v>
      </c>
      <c r="F33" s="19" t="n">
        <v>3090.26</v>
      </c>
      <c r="J33" s="17" t="inlineStr">
        <is>
          <t>BAJAJCON</t>
        </is>
      </c>
      <c r="K33" s="18" t="inlineStr">
        <is>
          <t>fmcg</t>
        </is>
      </c>
      <c r="L33" s="19" t="n">
        <v>287</v>
      </c>
      <c r="M33" s="19" t="n">
        <v>8101.6</v>
      </c>
      <c r="N33" s="16" t="n">
        <v>27</v>
      </c>
    </row>
    <row r="34">
      <c r="A34" s="17" t="inlineStr">
        <is>
          <t>MOREPENLAB</t>
        </is>
      </c>
      <c r="B34" s="18" t="inlineStr">
        <is>
          <t>Morepen Laboratories Limited</t>
        </is>
      </c>
      <c r="C34" s="18" t="inlineStr">
        <is>
          <t>healthcare</t>
        </is>
      </c>
      <c r="D34" s="16" t="n">
        <v>10</v>
      </c>
      <c r="E34" s="16" t="n">
        <v>0</v>
      </c>
      <c r="F34" s="19" t="n">
        <v>3352.93</v>
      </c>
      <c r="J34" s="17" t="inlineStr">
        <is>
          <t>MAYURUNIQ</t>
        </is>
      </c>
      <c r="K34" s="18" t="inlineStr">
        <is>
          <t>consumer discretionary</t>
        </is>
      </c>
      <c r="L34" s="19" t="n">
        <v>285</v>
      </c>
      <c r="M34" s="19" t="n">
        <v>3716.28</v>
      </c>
      <c r="N34" s="16" t="n">
        <v>30</v>
      </c>
    </row>
    <row r="35">
      <c r="A35" s="17" t="inlineStr">
        <is>
          <t>FAZE3Q</t>
        </is>
      </c>
      <c r="B35" s="18" t="inlineStr">
        <is>
          <t>Faze Three Limited</t>
        </is>
      </c>
      <c r="C35" s="18" t="inlineStr">
        <is>
          <t>Consumer Cyclical</t>
        </is>
      </c>
      <c r="D35" s="16" t="n">
        <v>9</v>
      </c>
      <c r="E35" s="16" t="n">
        <v>1</v>
      </c>
      <c r="F35" s="19" t="n">
        <v>1387.45</v>
      </c>
      <c r="J35" s="17" t="inlineStr">
        <is>
          <t>INDOBORAX</t>
        </is>
      </c>
      <c r="K35" s="18" t="inlineStr">
        <is>
          <t>chemicals</t>
        </is>
      </c>
      <c r="L35" s="19" t="n">
        <v>283</v>
      </c>
      <c r="M35" s="19" t="n">
        <v>1314.89</v>
      </c>
      <c r="N35" s="16" t="n">
        <v>30</v>
      </c>
    </row>
    <row r="36">
      <c r="A36" s="17" t="inlineStr">
        <is>
          <t>QUADFUTURE</t>
        </is>
      </c>
      <c r="B36" s="18" t="inlineStr">
        <is>
          <t>QUADFUTURE</t>
        </is>
      </c>
      <c r="C36" s="18" t="inlineStr">
        <is>
          <t>Industrials</t>
        </is>
      </c>
      <c r="D36" s="16" t="n">
        <v>9</v>
      </c>
      <c r="E36" s="16" t="n">
        <v>2</v>
      </c>
      <c r="F36" s="19" t="n">
        <v>1681.8</v>
      </c>
      <c r="J36" s="17" t="inlineStr">
        <is>
          <t>PAISALO</t>
        </is>
      </c>
      <c r="K36" s="18" t="inlineStr">
        <is>
          <t>financials</t>
        </is>
      </c>
      <c r="L36" s="19" t="n">
        <v>282</v>
      </c>
      <c r="M36" s="19" t="n">
        <v>6324.82</v>
      </c>
      <c r="N36" s="16" t="n">
        <v>30</v>
      </c>
    </row>
    <row r="37">
      <c r="A37" s="17" t="inlineStr">
        <is>
          <t>PAGEIND</t>
        </is>
      </c>
      <c r="B37" s="18" t="inlineStr">
        <is>
          <t>Page Industries Limited</t>
        </is>
      </c>
      <c r="C37" s="18" t="inlineStr">
        <is>
          <t>consumer discretionary</t>
        </is>
      </c>
      <c r="D37" s="16" t="n">
        <v>9</v>
      </c>
      <c r="E37" s="16" t="n">
        <v>1</v>
      </c>
      <c r="F37" s="19" t="n">
        <v>46600.89</v>
      </c>
      <c r="J37" s="17" t="inlineStr">
        <is>
          <t>RANEHOLDIN</t>
        </is>
      </c>
      <c r="K37" s="18" t="inlineStr">
        <is>
          <t>financials</t>
        </is>
      </c>
      <c r="L37" s="19" t="n">
        <v>282</v>
      </c>
      <c r="M37" s="19" t="n">
        <v>2471.49</v>
      </c>
      <c r="N37" s="16" t="n">
        <v>26</v>
      </c>
    </row>
    <row r="38">
      <c r="A38" s="17" t="inlineStr">
        <is>
          <t>ORIENTHOT</t>
        </is>
      </c>
      <c r="B38" s="18" t="inlineStr">
        <is>
          <t>Oriental Hotels Limited</t>
        </is>
      </c>
      <c r="C38" s="18" t="inlineStr">
        <is>
          <t>Consumer Cyclical</t>
        </is>
      </c>
      <c r="D38" s="16" t="n">
        <v>9</v>
      </c>
      <c r="E38" s="16" t="n">
        <v>2</v>
      </c>
      <c r="F38" s="19" t="n">
        <v>2311.25</v>
      </c>
      <c r="J38" s="17" t="inlineStr">
        <is>
          <t>FUSION</t>
        </is>
      </c>
      <c r="K38" s="18" t="inlineStr">
        <is>
          <t>financials</t>
        </is>
      </c>
      <c r="L38" s="19" t="n">
        <v>282</v>
      </c>
      <c r="M38" s="19" t="n">
        <v>3663.38</v>
      </c>
      <c r="N38" s="16" t="n">
        <v>10</v>
      </c>
    </row>
    <row r="39">
      <c r="A39" s="17" t="inlineStr">
        <is>
          <t>ZOTA</t>
        </is>
      </c>
      <c r="B39" s="18" t="inlineStr">
        <is>
          <t>Zota Health Care Ltd</t>
        </is>
      </c>
      <c r="C39" s="18" t="inlineStr">
        <is>
          <t>healthcare</t>
        </is>
      </c>
      <c r="D39" s="16" t="n">
        <v>8</v>
      </c>
      <c r="E39" s="16" t="n">
        <v>0</v>
      </c>
      <c r="F39" s="19" t="n">
        <v>4854.45</v>
      </c>
      <c r="J39" s="17" t="inlineStr">
        <is>
          <t>SURYODAY</t>
        </is>
      </c>
      <c r="K39" s="18" t="inlineStr">
        <is>
          <t>Financial Services</t>
        </is>
      </c>
      <c r="L39" s="19" t="n">
        <v>282</v>
      </c>
      <c r="M39" s="19" t="n">
        <v>1866.98</v>
      </c>
      <c r="N39" s="16" t="n">
        <v>28</v>
      </c>
    </row>
    <row r="40">
      <c r="A40" s="17" t="inlineStr">
        <is>
          <t>ONMOBILE</t>
        </is>
      </c>
      <c r="B40" s="18" t="inlineStr">
        <is>
          <t>Onmobile Global Limited</t>
        </is>
      </c>
      <c r="C40" s="18" t="inlineStr">
        <is>
          <t>telecom-service</t>
        </is>
      </c>
      <c r="D40" s="16" t="n">
        <v>8</v>
      </c>
      <c r="E40" s="16" t="n">
        <v>0</v>
      </c>
      <c r="F40" s="19" t="n">
        <v>780.61</v>
      </c>
      <c r="J40" s="17" t="inlineStr">
        <is>
          <t>DHANBANK</t>
        </is>
      </c>
      <c r="K40" s="18" t="inlineStr">
        <is>
          <t>Financial Services</t>
        </is>
      </c>
      <c r="L40" s="19" t="n">
        <v>282</v>
      </c>
      <c r="M40" s="19" t="n">
        <v>1327.37</v>
      </c>
      <c r="N40" s="16" t="n">
        <v>12</v>
      </c>
    </row>
    <row r="41">
      <c r="A41" s="17" t="inlineStr">
        <is>
          <t>FDC</t>
        </is>
      </c>
      <c r="B41" s="18" t="inlineStr">
        <is>
          <t>Fdc Limited</t>
        </is>
      </c>
      <c r="C41" s="18" t="inlineStr">
        <is>
          <t>healthcare</t>
        </is>
      </c>
      <c r="D41" s="16" t="n">
        <v>7</v>
      </c>
      <c r="E41" s="16" t="n">
        <v>2</v>
      </c>
      <c r="F41" s="19" t="n">
        <v>6938.15</v>
      </c>
      <c r="J41" s="17" t="inlineStr">
        <is>
          <t>J&amp;KBANK</t>
        </is>
      </c>
      <c r="K41" s="18" t="inlineStr">
        <is>
          <t>bank</t>
        </is>
      </c>
      <c r="L41" s="19" t="n">
        <v>280</v>
      </c>
      <c r="M41" s="19" t="n">
        <v>18027.46</v>
      </c>
      <c r="N41" s="16" t="n">
        <v>29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239.97</v>
      </c>
      <c r="D47" s="28" t="n">
        <v>292</v>
      </c>
      <c r="E47" s="17" t="inlineStr">
        <is>
          <t>MRUTR</t>
        </is>
      </c>
      <c r="F47" s="18" t="inlineStr">
        <is>
          <t>MRUTR</t>
        </is>
      </c>
      <c r="G47" s="18" t="inlineStr">
        <is>
          <t>Consumer Defensive</t>
        </is>
      </c>
      <c r="H47" s="19" t="n">
        <v>4509.53</v>
      </c>
    </row>
    <row r="48">
      <c r="A48" s="16" t="n">
        <v>2</v>
      </c>
      <c r="B48" s="27" t="n">
        <v>99</v>
      </c>
      <c r="C48" s="28" t="n">
        <v>93.95</v>
      </c>
      <c r="D48" s="28" t="n">
        <v>260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9540.74</v>
      </c>
    </row>
    <row r="49">
      <c r="A49" s="16" t="n">
        <v>3</v>
      </c>
      <c r="B49" s="27" t="n">
        <v>98</v>
      </c>
      <c r="C49" s="28" t="n">
        <v>82.17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29731.79</v>
      </c>
    </row>
    <row r="50">
      <c r="A50" s="16" t="n">
        <v>4</v>
      </c>
      <c r="B50" s="27" t="n">
        <v>98</v>
      </c>
      <c r="C50" s="28" t="n">
        <v>72.41</v>
      </c>
      <c r="D50" s="28" t="n">
        <v>248</v>
      </c>
      <c r="E50" s="17" t="inlineStr">
        <is>
          <t>SWANDEF</t>
        </is>
      </c>
      <c r="F50" s="18" t="inlineStr">
        <is>
          <t>Swan Defence and Heavy Industries Ltd</t>
        </is>
      </c>
      <c r="G50" s="18" t="inlineStr">
        <is>
          <t>transportation</t>
        </is>
      </c>
      <c r="H50" s="19" t="n">
        <v>12135.33</v>
      </c>
    </row>
    <row r="51">
      <c r="A51" s="16" t="n">
        <v>5</v>
      </c>
      <c r="B51" s="27" t="n">
        <v>98</v>
      </c>
      <c r="C51" s="28" t="n">
        <v>63.61</v>
      </c>
      <c r="D51" s="28" t="n">
        <v>255</v>
      </c>
      <c r="E51" s="17" t="inlineStr">
        <is>
          <t>HFCL</t>
        </is>
      </c>
      <c r="F51" s="18" t="inlineStr">
        <is>
          <t>HFCL Ltd</t>
        </is>
      </c>
      <c r="G51" s="18" t="inlineStr">
        <is>
          <t>telecom</t>
        </is>
      </c>
      <c r="H51" s="19" t="n">
        <v>34597.74</v>
      </c>
    </row>
    <row r="52">
      <c r="A52" s="16" t="n">
        <v>6</v>
      </c>
      <c r="B52" s="27" t="n">
        <v>98</v>
      </c>
      <c r="C52" s="28" t="n">
        <v>61.11</v>
      </c>
      <c r="D52" s="28" t="n">
        <v>245</v>
      </c>
      <c r="E52" s="17" t="inlineStr">
        <is>
          <t>BHAGYANGR</t>
        </is>
      </c>
      <c r="F52" s="18" t="inlineStr">
        <is>
          <t>Bhagyanagar India Limited</t>
        </is>
      </c>
      <c r="G52" s="18" t="inlineStr">
        <is>
          <t>Basic Materials</t>
        </is>
      </c>
      <c r="H52" s="19" t="n">
        <v>1196.93</v>
      </c>
    </row>
    <row r="53">
      <c r="A53" s="16" t="n">
        <v>7</v>
      </c>
      <c r="B53" s="27" t="n">
        <v>97</v>
      </c>
      <c r="C53" s="28" t="n">
        <v>58.4</v>
      </c>
      <c r="D53" s="28" t="n">
        <v>263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2769.27</v>
      </c>
    </row>
    <row r="54">
      <c r="A54" s="16" t="n">
        <v>8</v>
      </c>
      <c r="B54" s="27" t="n">
        <v>97</v>
      </c>
      <c r="C54" s="28" t="n">
        <v>54.46</v>
      </c>
      <c r="D54" s="28" t="n">
        <v>272</v>
      </c>
      <c r="E54" s="17" t="inlineStr">
        <is>
          <t>MODINSU</t>
        </is>
      </c>
      <c r="F54" s="18" t="inlineStr">
        <is>
          <t>Modern Insulators Limited</t>
        </is>
      </c>
      <c r="G54" s="18" t="inlineStr">
        <is>
          <t>Technology</t>
        </is>
      </c>
      <c r="H54" s="19" t="n">
        <v>2315.71</v>
      </c>
    </row>
    <row r="55">
      <c r="A55" s="16" t="n">
        <v>9</v>
      </c>
      <c r="B55" s="27" t="n">
        <v>97</v>
      </c>
      <c r="C55" s="28" t="n">
        <v>51.79</v>
      </c>
      <c r="D55" s="28" t="n">
        <v>277</v>
      </c>
      <c r="E55" s="17" t="inlineStr">
        <is>
          <t>BLISSGVS</t>
        </is>
      </c>
      <c r="F55" s="18" t="inlineStr">
        <is>
          <t>Bliss Gvs Pharma Limited</t>
        </is>
      </c>
      <c r="G55" s="18" t="inlineStr">
        <is>
          <t>healthcare</t>
        </is>
      </c>
      <c r="H55" s="19" t="n">
        <v>5414.28</v>
      </c>
    </row>
    <row r="56">
      <c r="A56" s="16" t="n">
        <v>10</v>
      </c>
      <c r="B56" s="27" t="n">
        <v>96</v>
      </c>
      <c r="C56" s="28" t="n">
        <v>48.79</v>
      </c>
      <c r="D56" s="28" t="n">
        <v>300</v>
      </c>
      <c r="E56" s="17" t="inlineStr">
        <is>
          <t>IBULLSLTD</t>
        </is>
      </c>
      <c r="F56" s="18" t="inlineStr">
        <is>
          <t>Indiabulls Limited</t>
        </is>
      </c>
      <c r="G56" s="18" t="inlineStr">
        <is>
          <t>miscellaneous</t>
        </is>
      </c>
      <c r="H56" s="19" t="n">
        <v>6752.33</v>
      </c>
    </row>
    <row r="57">
      <c r="A57" s="16" t="n">
        <v>11</v>
      </c>
      <c r="B57" s="27" t="n">
        <v>96</v>
      </c>
      <c r="C57" s="28" t="n">
        <v>48.73</v>
      </c>
      <c r="D57" s="28" t="n">
        <v>270</v>
      </c>
      <c r="E57" s="17" t="inlineStr">
        <is>
          <t>CEMPRO</t>
        </is>
      </c>
      <c r="F57" s="18" t="inlineStr">
        <is>
          <t>Cemindia Projects Ltd</t>
        </is>
      </c>
      <c r="G57" s="18" t="inlineStr">
        <is>
          <t>realty</t>
        </is>
      </c>
      <c r="H57" s="19" t="n">
        <v>25665.07</v>
      </c>
    </row>
    <row r="58">
      <c r="A58" s="16" t="n">
        <v>12</v>
      </c>
      <c r="B58" s="27" t="n">
        <v>96</v>
      </c>
      <c r="C58" s="28" t="n">
        <v>46.58</v>
      </c>
      <c r="D58" s="28" t="n">
        <v>270</v>
      </c>
      <c r="E58" s="17" t="inlineStr">
        <is>
          <t>INDOTECH</t>
        </is>
      </c>
      <c r="F58" s="18" t="inlineStr">
        <is>
          <t>Indo Tech Transformers Limited</t>
        </is>
      </c>
      <c r="G58" s="18" t="inlineStr">
        <is>
          <t>industrials</t>
        </is>
      </c>
      <c r="H58" s="19" t="n">
        <v>3238.14</v>
      </c>
    </row>
    <row r="59">
      <c r="A59" s="16" t="n">
        <v>13</v>
      </c>
      <c r="B59" s="27" t="n">
        <v>95</v>
      </c>
      <c r="C59" s="28" t="n">
        <v>46.45</v>
      </c>
      <c r="D59" s="28" t="n">
        <v>285</v>
      </c>
      <c r="E59" s="17" t="inlineStr">
        <is>
          <t>TIMEX</t>
        </is>
      </c>
      <c r="F59" s="18" t="inlineStr">
        <is>
          <t>Timex Group India Limited</t>
        </is>
      </c>
      <c r="G59" s="18" t="inlineStr">
        <is>
          <t>Consumer Cyclical</t>
        </is>
      </c>
      <c r="H59" s="19" t="n">
        <v>5273.63</v>
      </c>
    </row>
    <row r="60">
      <c r="A60" s="16" t="n">
        <v>14</v>
      </c>
      <c r="B60" s="27" t="n">
        <v>95</v>
      </c>
      <c r="C60" s="28" t="n">
        <v>46.42</v>
      </c>
      <c r="D60" s="28" t="n">
        <v>270</v>
      </c>
      <c r="E60" s="17" t="inlineStr">
        <is>
          <t>NITTAGELA</t>
        </is>
      </c>
      <c r="F60" s="18" t="inlineStr">
        <is>
          <t>Nitta Gelatin India Limited</t>
        </is>
      </c>
      <c r="G60" s="18" t="inlineStr">
        <is>
          <t>Basic Materials</t>
        </is>
      </c>
      <c r="H60" s="19" t="n">
        <v>1672.65</v>
      </c>
    </row>
    <row r="61">
      <c r="A61" s="16" t="n">
        <v>15</v>
      </c>
      <c r="B61" s="27" t="n">
        <v>95</v>
      </c>
      <c r="C61" s="28" t="n">
        <v>45.62</v>
      </c>
      <c r="D61" s="28" t="n">
        <v>275</v>
      </c>
      <c r="E61" s="17" t="inlineStr">
        <is>
          <t>THANGAMAYL</t>
        </is>
      </c>
      <c r="F61" s="18" t="inlineStr">
        <is>
          <t>Thangamayil Jewellery Limited</t>
        </is>
      </c>
      <c r="G61" s="18" t="inlineStr">
        <is>
          <t>consumer discretionary</t>
        </is>
      </c>
      <c r="H61" s="19" t="n">
        <v>19808.57</v>
      </c>
    </row>
    <row r="62">
      <c r="A62" s="16" t="n">
        <v>16</v>
      </c>
      <c r="B62" s="27" t="n">
        <v>95</v>
      </c>
      <c r="C62" s="28" t="n">
        <v>45.42</v>
      </c>
      <c r="D62" s="28" t="n">
        <v>270</v>
      </c>
      <c r="E62" s="17" t="inlineStr">
        <is>
          <t>NINSYS</t>
        </is>
      </c>
      <c r="F62" s="18" t="inlineStr">
        <is>
          <t>NINtec Systems Ltd</t>
        </is>
      </c>
      <c r="G62" s="18" t="inlineStr">
        <is>
          <t>i.t</t>
        </is>
      </c>
      <c r="H62" s="19" t="n">
        <v>1673.33</v>
      </c>
    </row>
    <row r="63">
      <c r="A63" s="16" t="n">
        <v>17</v>
      </c>
      <c r="B63" s="29" t="n">
        <v>94</v>
      </c>
      <c r="C63" s="28" t="n">
        <v>43.74</v>
      </c>
      <c r="D63" s="28" t="n">
        <v>265</v>
      </c>
      <c r="E63" s="17" t="inlineStr">
        <is>
          <t>RAMCOSYS</t>
        </is>
      </c>
      <c r="F63" s="18" t="inlineStr">
        <is>
          <t>Ramco Systems Limited</t>
        </is>
      </c>
      <c r="G63" s="18" t="inlineStr">
        <is>
          <t>i.t</t>
        </is>
      </c>
      <c r="H63" s="19" t="n">
        <v>3292.44</v>
      </c>
    </row>
    <row r="64">
      <c r="A64" s="16" t="n">
        <v>18</v>
      </c>
      <c r="B64" s="29" t="n">
        <v>94</v>
      </c>
      <c r="C64" s="28" t="n">
        <v>43.67</v>
      </c>
      <c r="D64" s="28" t="n">
        <v>255</v>
      </c>
      <c r="E64" s="17" t="inlineStr">
        <is>
          <t>JAYBARMARU</t>
        </is>
      </c>
      <c r="F64" s="18" t="inlineStr">
        <is>
          <t>Jay Bharat Maruti Limited</t>
        </is>
      </c>
      <c r="G64" s="18" t="inlineStr">
        <is>
          <t>auto</t>
        </is>
      </c>
      <c r="H64" s="19" t="n">
        <v>2030.77</v>
      </c>
    </row>
    <row r="65">
      <c r="A65" s="16" t="n">
        <v>19</v>
      </c>
      <c r="B65" s="29" t="n">
        <v>94</v>
      </c>
      <c r="C65" s="28" t="n">
        <v>40.42</v>
      </c>
      <c r="D65" s="28" t="n">
        <v>268</v>
      </c>
      <c r="E65" s="17" t="inlineStr">
        <is>
          <t>HITECHCORP</t>
        </is>
      </c>
      <c r="F65" s="18" t="inlineStr">
        <is>
          <t>Hitech Corporation</t>
        </is>
      </c>
      <c r="G65" s="18" t="inlineStr">
        <is>
          <t>industrials</t>
        </is>
      </c>
      <c r="H65" s="19" t="n">
        <v>541.03</v>
      </c>
    </row>
    <row r="66">
      <c r="A66" s="16" t="n">
        <v>20</v>
      </c>
      <c r="B66" s="29" t="n">
        <v>93</v>
      </c>
      <c r="C66" s="28" t="n">
        <v>40.38</v>
      </c>
      <c r="D66" s="28" t="n">
        <v>287</v>
      </c>
      <c r="E66" s="17" t="inlineStr">
        <is>
          <t>IOLCP</t>
        </is>
      </c>
      <c r="F66" s="18" t="inlineStr">
        <is>
          <t>Iol Chemicals And Pharmaceuticals Limited</t>
        </is>
      </c>
      <c r="G66" s="18" t="inlineStr">
        <is>
          <t>healthcare</t>
        </is>
      </c>
      <c r="H66" s="19" t="n">
        <v>4844.38</v>
      </c>
    </row>
    <row r="67">
      <c r="A67" s="16" t="n">
        <v>21</v>
      </c>
      <c r="B67" s="29" t="n">
        <v>93</v>
      </c>
      <c r="C67" s="28" t="n">
        <v>39.96</v>
      </c>
      <c r="D67" s="28" t="n">
        <v>270</v>
      </c>
      <c r="E67" s="17" t="inlineStr">
        <is>
          <t>ATHERENERG</t>
        </is>
      </c>
      <c r="F67" s="18" t="inlineStr">
        <is>
          <t>Ather Energy Ltd</t>
        </is>
      </c>
      <c r="G67" s="18" t="inlineStr">
        <is>
          <t>auto</t>
        </is>
      </c>
      <c r="H67" s="19" t="n">
        <v>43647.7</v>
      </c>
    </row>
    <row r="68">
      <c r="A68" s="16" t="n">
        <v>22</v>
      </c>
      <c r="B68" s="29" t="n">
        <v>93</v>
      </c>
      <c r="C68" s="28" t="n">
        <v>39.66</v>
      </c>
      <c r="D68" s="28" t="n">
        <v>265</v>
      </c>
      <c r="E68" s="17" t="inlineStr">
        <is>
          <t>RPTECH</t>
        </is>
      </c>
      <c r="F68" s="18" t="inlineStr">
        <is>
          <t>Rashi Peripherals Ltd</t>
        </is>
      </c>
      <c r="G68" s="18" t="inlineStr">
        <is>
          <t>services</t>
        </is>
      </c>
      <c r="H68" s="19" t="n">
        <v>4959.28</v>
      </c>
    </row>
    <row r="69">
      <c r="A69" s="16" t="n">
        <v>23</v>
      </c>
      <c r="B69" s="29" t="n">
        <v>93</v>
      </c>
      <c r="C69" s="28" t="n">
        <v>37.66</v>
      </c>
      <c r="D69" s="28" t="n">
        <v>282</v>
      </c>
      <c r="E69" s="17" t="inlineStr">
        <is>
          <t>PAISALO</t>
        </is>
      </c>
      <c r="F69" s="18" t="inlineStr">
        <is>
          <t>Paisalo Digital Ltd</t>
        </is>
      </c>
      <c r="G69" s="18" t="inlineStr">
        <is>
          <t>financials</t>
        </is>
      </c>
      <c r="H69" s="19" t="n">
        <v>6324.82</v>
      </c>
    </row>
    <row r="70">
      <c r="A70" s="16" t="n">
        <v>24</v>
      </c>
      <c r="B70" s="29" t="n">
        <v>92</v>
      </c>
      <c r="C70" s="28" t="n">
        <v>36.45</v>
      </c>
      <c r="D70" s="28" t="n">
        <v>223</v>
      </c>
      <c r="E70" s="17" t="inlineStr">
        <is>
          <t>SALSTEEL</t>
        </is>
      </c>
      <c r="F70" s="18" t="inlineStr">
        <is>
          <t>SAL Steel</t>
        </is>
      </c>
      <c r="G70" s="18" t="inlineStr">
        <is>
          <t>metals &amp; mining</t>
        </is>
      </c>
      <c r="H70" s="19" t="n">
        <v>840.8099999999999</v>
      </c>
    </row>
    <row r="71">
      <c r="A71" s="16" t="n">
        <v>25</v>
      </c>
      <c r="B71" s="29" t="n">
        <v>92</v>
      </c>
      <c r="C71" s="28" t="n">
        <v>36.25</v>
      </c>
      <c r="D71" s="28" t="n">
        <v>260</v>
      </c>
      <c r="E71" s="17" t="inlineStr">
        <is>
          <t>AEGISLOG</t>
        </is>
      </c>
      <c r="F71" s="18" t="inlineStr">
        <is>
          <t>Aegis Logistics Ltd</t>
        </is>
      </c>
      <c r="G71" s="18" t="inlineStr">
        <is>
          <t>services</t>
        </is>
      </c>
      <c r="H71" s="19" t="n">
        <v>48567.87</v>
      </c>
    </row>
    <row r="72">
      <c r="A72" s="16" t="n">
        <v>26</v>
      </c>
      <c r="B72" s="29" t="n">
        <v>92</v>
      </c>
      <c r="C72" s="28" t="n">
        <v>35.13</v>
      </c>
      <c r="D72" s="28" t="n">
        <v>262</v>
      </c>
      <c r="E72" s="17" t="inlineStr">
        <is>
          <t>ACUTAAS</t>
        </is>
      </c>
      <c r="F72" s="18" t="inlineStr">
        <is>
          <t>Acutaas Chemicals Ltd</t>
        </is>
      </c>
      <c r="G72" s="18" t="inlineStr">
        <is>
          <t>healthcare</t>
        </is>
      </c>
      <c r="H72" s="19" t="n">
        <v>27762.5</v>
      </c>
    </row>
    <row r="73">
      <c r="A73" s="16" t="n">
        <v>27</v>
      </c>
      <c r="B73" s="29" t="n">
        <v>92</v>
      </c>
      <c r="C73" s="28" t="n">
        <v>35.13</v>
      </c>
      <c r="D73" s="28" t="n">
        <v>255</v>
      </c>
      <c r="E73" s="17" t="inlineStr">
        <is>
          <t>RPEL</t>
        </is>
      </c>
      <c r="F73" s="18" t="inlineStr">
        <is>
          <t>Raghav Productivity Enhancers Ltd</t>
        </is>
      </c>
      <c r="G73" s="18" t="inlineStr">
        <is>
          <t>building materials</t>
        </is>
      </c>
      <c r="H73" s="19" t="n">
        <v>5998.33</v>
      </c>
    </row>
    <row r="74">
      <c r="A74" s="16" t="n">
        <v>28</v>
      </c>
      <c r="B74" s="29" t="n">
        <v>91</v>
      </c>
      <c r="C74" s="28" t="n">
        <v>35.01</v>
      </c>
      <c r="D74" s="28" t="n">
        <v>262</v>
      </c>
      <c r="E74" s="17" t="inlineStr">
        <is>
          <t>SENORES</t>
        </is>
      </c>
      <c r="F74" s="18" t="inlineStr">
        <is>
          <t>Senores Pharmaceuticals Ltd</t>
        </is>
      </c>
      <c r="G74" s="18" t="inlineStr">
        <is>
          <t>healthcare</t>
        </is>
      </c>
      <c r="H74" s="19" t="n">
        <v>6257.76</v>
      </c>
    </row>
    <row r="75">
      <c r="A75" s="16" t="n">
        <v>29</v>
      </c>
      <c r="B75" s="29" t="n">
        <v>91</v>
      </c>
      <c r="C75" s="28" t="n">
        <v>34.74</v>
      </c>
      <c r="D75" s="28" t="n">
        <v>273</v>
      </c>
      <c r="E75" s="17" t="inlineStr">
        <is>
          <t>GRWRHITECH</t>
        </is>
      </c>
      <c r="F75" s="18" t="inlineStr">
        <is>
          <t>Garware Hi Tech Films Ltd</t>
        </is>
      </c>
      <c r="G75" s="18" t="inlineStr">
        <is>
          <t>industrials</t>
        </is>
      </c>
      <c r="H75" s="19" t="n">
        <v>16180.2</v>
      </c>
    </row>
    <row r="76">
      <c r="A76" s="16" t="n">
        <v>30</v>
      </c>
      <c r="B76" s="29" t="n">
        <v>91</v>
      </c>
      <c r="C76" s="28" t="n">
        <v>34.37</v>
      </c>
      <c r="D76" s="28" t="n">
        <v>233</v>
      </c>
      <c r="E76" s="17" t="inlineStr">
        <is>
          <t>SETL</t>
        </is>
      </c>
      <c r="F76" s="18" t="inlineStr">
        <is>
          <t>Standard Enginnering Technology Ltd</t>
        </is>
      </c>
      <c r="G76" s="18" t="inlineStr">
        <is>
          <t>industrials</t>
        </is>
      </c>
      <c r="H76" s="19" t="n">
        <v>5207.73</v>
      </c>
    </row>
    <row r="77">
      <c r="A77" s="16" t="n">
        <v>31</v>
      </c>
      <c r="B77" s="29" t="n">
        <v>90</v>
      </c>
      <c r="C77" s="28" t="n">
        <v>34.07</v>
      </c>
      <c r="D77" s="28" t="n">
        <v>255</v>
      </c>
      <c r="E77" s="17" t="inlineStr">
        <is>
          <t>UNIABEXAL</t>
        </is>
      </c>
      <c r="F77" s="18" t="inlineStr">
        <is>
          <t>Uni Abex Alloy Products Limited</t>
        </is>
      </c>
      <c r="G77" s="18" t="inlineStr">
        <is>
          <t>Basic Materials</t>
        </is>
      </c>
      <c r="H77" s="19" t="n">
        <v>1122.35</v>
      </c>
    </row>
    <row r="78">
      <c r="A78" s="16" t="n">
        <v>32</v>
      </c>
      <c r="B78" s="29" t="n">
        <v>90</v>
      </c>
      <c r="C78" s="28" t="n">
        <v>33.95</v>
      </c>
      <c r="D78" s="28" t="n">
        <v>253</v>
      </c>
      <c r="E78" s="17" t="inlineStr">
        <is>
          <t>YASHO</t>
        </is>
      </c>
      <c r="F78" s="18" t="inlineStr">
        <is>
          <t>Yasho Industries Ltd</t>
        </is>
      </c>
      <c r="G78" s="18" t="inlineStr">
        <is>
          <t>chemicals</t>
        </is>
      </c>
      <c r="H78" s="19" t="n">
        <v>3449.53</v>
      </c>
    </row>
    <row r="79">
      <c r="A79" s="16" t="n">
        <v>33</v>
      </c>
      <c r="B79" s="29" t="n">
        <v>90</v>
      </c>
      <c r="C79" s="28" t="n">
        <v>33.87</v>
      </c>
      <c r="D79" s="28" t="n">
        <v>287</v>
      </c>
      <c r="E79" s="17" t="inlineStr">
        <is>
          <t>KPL</t>
        </is>
      </c>
      <c r="F79" s="18" t="inlineStr">
        <is>
          <t>Kwality Pharmaceuticals Limited</t>
        </is>
      </c>
      <c r="G79" s="18" t="inlineStr">
        <is>
          <t>Healthcare</t>
        </is>
      </c>
      <c r="H79" s="19" t="n">
        <v>2650.34</v>
      </c>
    </row>
    <row r="80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UNICHEMLAB</t>
        </is>
      </c>
      <c r="B2" s="31" t="inlineStr">
        <is>
          <t>Unichem Laboratories Limited</t>
        </is>
      </c>
      <c r="C2" s="31" t="inlineStr">
        <is>
          <t>healthcare</t>
        </is>
      </c>
      <c r="D2" s="31" t="inlineStr">
        <is>
          <t>pharmaceuticals - indian - bulk drugs &amp; formln</t>
        </is>
      </c>
      <c r="E2" s="31" t="inlineStr">
        <is>
          <t>smallcap</t>
        </is>
      </c>
      <c r="F2" s="31" t="n">
        <v>3360.11</v>
      </c>
      <c r="G2" s="31" t="n">
        <v>572.7</v>
      </c>
      <c r="H2" s="31" t="n">
        <v>20</v>
      </c>
      <c r="I2" s="31" t="n">
        <v>3535394</v>
      </c>
      <c r="J2" s="31" t="inlineStr">
        <is>
          <t>506690</t>
        </is>
      </c>
    </row>
    <row r="3">
      <c r="A3" s="31" t="inlineStr">
        <is>
          <t>JINDRILL</t>
        </is>
      </c>
      <c r="B3" s="31" t="inlineStr">
        <is>
          <t>Jindal Drilling And Industries Limited</t>
        </is>
      </c>
      <c r="C3" s="31" t="inlineStr">
        <is>
          <t>energy</t>
        </is>
      </c>
      <c r="D3" s="31" t="inlineStr">
        <is>
          <t>oil drilling / allied services</t>
        </is>
      </c>
      <c r="E3" s="31" t="inlineStr">
        <is>
          <t>smallcap</t>
        </is>
      </c>
      <c r="F3" s="31" t="n">
        <v>1565.56</v>
      </c>
      <c r="G3" s="31" t="n">
        <v>601.05</v>
      </c>
      <c r="H3" s="31" t="n">
        <v>11.26</v>
      </c>
      <c r="I3" s="31" t="n">
        <v>20334559</v>
      </c>
      <c r="J3" s="31" t="inlineStr">
        <is>
          <t>511034</t>
        </is>
      </c>
    </row>
    <row r="4">
      <c r="A4" s="31" t="inlineStr">
        <is>
          <t>CONSOFINVT</t>
        </is>
      </c>
      <c r="B4" s="31" t="inlineStr">
        <is>
          <t>Consolidated Finvest &amp; Holdings Limited</t>
        </is>
      </c>
      <c r="C4" s="31" t="inlineStr">
        <is>
          <t>financials</t>
        </is>
      </c>
      <c r="D4" s="31" t="inlineStr">
        <is>
          <t>finance &amp; investments</t>
        </is>
      </c>
      <c r="E4" s="31" t="inlineStr">
        <is>
          <t>smallcap</t>
        </is>
      </c>
      <c r="F4" s="31" t="n">
        <v>738.88</v>
      </c>
      <c r="G4" s="31" t="n">
        <v>249</v>
      </c>
      <c r="H4" s="31" t="n">
        <v>8.94</v>
      </c>
      <c r="I4" s="31" t="n">
        <v>91350</v>
      </c>
      <c r="J4" s="31" t="inlineStr">
        <is>
          <t>500226</t>
        </is>
      </c>
    </row>
    <row r="5">
      <c r="A5" s="31" t="inlineStr">
        <is>
          <t>ORCHPHARMA</t>
        </is>
      </c>
      <c r="B5" s="31" t="inlineStr">
        <is>
          <t>Orchid Pharma Ltd</t>
        </is>
      </c>
      <c r="C5" s="31" t="inlineStr">
        <is>
          <t>healthcare</t>
        </is>
      </c>
      <c r="D5" s="31" t="inlineStr">
        <is>
          <t>pharmaceuticals - indian - bulk drugs &amp; formln</t>
        </is>
      </c>
      <c r="E5" s="31" t="inlineStr">
        <is>
          <t>smallcap</t>
        </is>
      </c>
      <c r="F5" s="31" t="n">
        <v>4689.74</v>
      </c>
      <c r="G5" s="31" t="n">
        <v>1002.25</v>
      </c>
      <c r="H5" s="31" t="n">
        <v>8.390000000000001</v>
      </c>
      <c r="I5" s="31" t="n">
        <v>3259827</v>
      </c>
      <c r="J5" s="31" t="inlineStr">
        <is>
          <t>524372</t>
        </is>
      </c>
    </row>
    <row r="6">
      <c r="A6" s="31" t="inlineStr">
        <is>
          <t>SHAREINDIA</t>
        </is>
      </c>
      <c r="B6" s="31" t="inlineStr">
        <is>
          <t>Share India Securities Ltd</t>
        </is>
      </c>
      <c r="C6" s="31" t="inlineStr">
        <is>
          <t>financials</t>
        </is>
      </c>
      <c r="D6" s="31" t="inlineStr">
        <is>
          <t>finance &amp; investments</t>
        </is>
      </c>
      <c r="E6" s="31" t="inlineStr">
        <is>
          <t>smallcap</t>
        </is>
      </c>
      <c r="F6" s="31" t="n">
        <v>3608.65</v>
      </c>
      <c r="G6" s="31" t="n">
        <v>177.72</v>
      </c>
      <c r="H6" s="31" t="n">
        <v>7.77</v>
      </c>
      <c r="I6" s="31" t="n">
        <v>70663048</v>
      </c>
      <c r="J6" s="31" t="inlineStr">
        <is>
          <t>540725</t>
        </is>
      </c>
    </row>
    <row r="7">
      <c r="A7" s="31" t="inlineStr">
        <is>
          <t>THANGAMAYL</t>
        </is>
      </c>
      <c r="B7" s="31" t="inlineStr">
        <is>
          <t>Thangamayil Jewellery Limited</t>
        </is>
      </c>
      <c r="C7" s="31" t="inlineStr">
        <is>
          <t>consumer discretionary</t>
        </is>
      </c>
      <c r="D7" s="31" t="inlineStr">
        <is>
          <t>diamond cutting / jewellery</t>
        </is>
      </c>
      <c r="E7" s="31" t="inlineStr">
        <is>
          <t>midcap</t>
        </is>
      </c>
      <c r="F7" s="31" t="n">
        <v>19808.57</v>
      </c>
      <c r="G7" s="31" t="n">
        <v>6806</v>
      </c>
      <c r="H7" s="31" t="n">
        <v>6.79</v>
      </c>
      <c r="I7" s="31" t="n">
        <v>594451</v>
      </c>
      <c r="J7" s="31" t="inlineStr">
        <is>
          <t>533158</t>
        </is>
      </c>
    </row>
    <row r="8">
      <c r="A8" s="31" t="inlineStr">
        <is>
          <t>OAL</t>
        </is>
      </c>
      <c r="B8" s="31" t="inlineStr">
        <is>
          <t>Oriental Aromatics Ltd</t>
        </is>
      </c>
      <c r="C8" s="31" t="inlineStr">
        <is>
          <t>chemicals</t>
        </is>
      </c>
      <c r="D8" s="31" t="inlineStr">
        <is>
          <t>chemicals</t>
        </is>
      </c>
      <c r="E8" s="31" t="inlineStr">
        <is>
          <t>smallcap</t>
        </is>
      </c>
      <c r="F8" s="31" t="n">
        <v>1072.71</v>
      </c>
      <c r="G8" s="31" t="n">
        <v>338.85</v>
      </c>
      <c r="H8" s="31" t="n">
        <v>6.31</v>
      </c>
      <c r="I8" s="31" t="n">
        <v>207480</v>
      </c>
      <c r="J8" s="31" t="inlineStr">
        <is>
          <t>500078</t>
        </is>
      </c>
    </row>
    <row r="9">
      <c r="A9" s="31" t="inlineStr">
        <is>
          <t>AETHER</t>
        </is>
      </c>
      <c r="B9" s="31" t="inlineStr">
        <is>
          <t>Aether Industries Ltd</t>
        </is>
      </c>
      <c r="C9" s="31" t="inlineStr">
        <is>
          <t>chemicals</t>
        </is>
      </c>
      <c r="D9" s="31" t="inlineStr">
        <is>
          <t>chemicals</t>
        </is>
      </c>
      <c r="E9" s="31" t="inlineStr">
        <is>
          <t>midcap</t>
        </is>
      </c>
      <c r="F9" s="31" t="n">
        <v>17646.42</v>
      </c>
      <c r="G9" s="31" t="n">
        <v>1413.4</v>
      </c>
      <c r="H9" s="31" t="n">
        <v>6.27</v>
      </c>
      <c r="I9" s="31" t="n">
        <v>908343</v>
      </c>
      <c r="J9" s="31" t="inlineStr">
        <is>
          <t>543534</t>
        </is>
      </c>
    </row>
    <row r="10">
      <c r="A10" s="31" t="inlineStr">
        <is>
          <t>BALAMINES</t>
        </is>
      </c>
      <c r="B10" s="31" t="inlineStr">
        <is>
          <t>Balaji Amines Limited</t>
        </is>
      </c>
      <c r="C10" s="31" t="inlineStr">
        <is>
          <t>chemicals</t>
        </is>
      </c>
      <c r="D10" s="31" t="inlineStr">
        <is>
          <t>chemicals</t>
        </is>
      </c>
      <c r="E10" s="31" t="inlineStr">
        <is>
          <t>midcap</t>
        </is>
      </c>
      <c r="F10" s="31" t="n">
        <v>6699.88</v>
      </c>
      <c r="G10" s="31" t="n">
        <v>2196.7</v>
      </c>
      <c r="H10" s="31" t="n">
        <v>6.23</v>
      </c>
      <c r="I10" s="31" t="n">
        <v>1912262</v>
      </c>
      <c r="J10" s="31" t="inlineStr">
        <is>
          <t>530999</t>
        </is>
      </c>
    </row>
    <row r="11">
      <c r="A11" s="31" t="inlineStr">
        <is>
          <t>ATHERENERG</t>
        </is>
      </c>
      <c r="B11" s="31" t="inlineStr">
        <is>
          <t>Ather Energy Ltd</t>
        </is>
      </c>
      <c r="C11" s="31" t="inlineStr">
        <is>
          <t>auto</t>
        </is>
      </c>
      <c r="D11" s="31" t="inlineStr">
        <is>
          <t>automobiles - scooters and 3 - wheelers</t>
        </is>
      </c>
      <c r="E11" s="31" t="inlineStr">
        <is>
          <t>largecap</t>
        </is>
      </c>
      <c r="F11" s="31" t="n">
        <v>43647.7</v>
      </c>
      <c r="G11" s="31" t="n">
        <v>1200</v>
      </c>
      <c r="H11" s="31" t="n">
        <v>5.21</v>
      </c>
      <c r="I11" s="31" t="n">
        <v>8881733</v>
      </c>
      <c r="J11" s="31" t="inlineStr">
        <is>
          <t>544397</t>
        </is>
      </c>
    </row>
    <row r="12">
      <c r="A12" s="31" t="inlineStr">
        <is>
          <t>INDSWFTLAB</t>
        </is>
      </c>
      <c r="B12" s="31" t="inlineStr">
        <is>
          <t>Ind-swift Laboratories Limited</t>
        </is>
      </c>
      <c r="C12" s="31" t="inlineStr">
        <is>
          <t>healthcare</t>
        </is>
      </c>
      <c r="D12" s="31" t="inlineStr">
        <is>
          <t>pharmaceuticals - indian - bulk drugs &amp; formln</t>
        </is>
      </c>
      <c r="E12" s="31" t="inlineStr">
        <is>
          <t>smallcap</t>
        </is>
      </c>
      <c r="F12" s="31" t="n">
        <v>1868.29</v>
      </c>
      <c r="G12" s="31" t="n">
        <v>225.47</v>
      </c>
      <c r="H12" s="31" t="n">
        <v>4.8</v>
      </c>
      <c r="I12" s="31" t="n">
        <v>4930370</v>
      </c>
      <c r="J12" s="31" t="inlineStr">
        <is>
          <t>532305</t>
        </is>
      </c>
    </row>
    <row r="13">
      <c r="A13" s="31" t="inlineStr">
        <is>
          <t>NGLFINE</t>
        </is>
      </c>
      <c r="B13" s="31" t="inlineStr">
        <is>
          <t>NGL Fine Chem Ltd</t>
        </is>
      </c>
      <c r="C13" s="31" t="inlineStr">
        <is>
          <t>healthcare</t>
        </is>
      </c>
      <c r="D13" s="31" t="inlineStr">
        <is>
          <t>pharmaceuticals - indian - bulk drugs</t>
        </is>
      </c>
      <c r="E13" s="31" t="inlineStr">
        <is>
          <t>smallcap</t>
        </is>
      </c>
      <c r="F13" s="31" t="n">
        <v>1910.43</v>
      </c>
      <c r="G13" s="31" t="n">
        <v>3224.6</v>
      </c>
      <c r="H13" s="31" t="n">
        <v>4.28</v>
      </c>
      <c r="I13" s="31" t="n">
        <v>15518</v>
      </c>
      <c r="J13" s="31" t="inlineStr">
        <is>
          <t>524774</t>
        </is>
      </c>
    </row>
    <row r="14">
      <c r="A14" s="31" t="inlineStr">
        <is>
          <t>SIGNPOST</t>
        </is>
      </c>
      <c r="B14" s="31" t="inlineStr">
        <is>
          <t>Signpost India Ltd</t>
        </is>
      </c>
      <c r="C14" s="31" t="inlineStr">
        <is>
          <t>miscellaneous</t>
        </is>
      </c>
      <c r="D14" s="31" t="inlineStr">
        <is>
          <t>miscellaneous</t>
        </is>
      </c>
      <c r="E14" s="31" t="inlineStr">
        <is>
          <t>smallcap</t>
        </is>
      </c>
      <c r="F14" s="31" t="n">
        <v>1590.14</v>
      </c>
      <c r="G14" s="31" t="n">
        <v>310.15</v>
      </c>
      <c r="H14" s="31" t="n">
        <v>4.25</v>
      </c>
      <c r="I14" s="31" t="n">
        <v>1440951</v>
      </c>
      <c r="J14" s="31" t="n"/>
    </row>
    <row r="15">
      <c r="A15" s="31" t="inlineStr">
        <is>
          <t>INOXINDIA</t>
        </is>
      </c>
      <c r="B15" s="31" t="inlineStr">
        <is>
          <t>Inox India Ltd</t>
        </is>
      </c>
      <c r="C15" s="31" t="inlineStr">
        <is>
          <t>industrials</t>
        </is>
      </c>
      <c r="D15" s="31" t="inlineStr">
        <is>
          <t>packaging</t>
        </is>
      </c>
      <c r="E15" s="31" t="inlineStr">
        <is>
          <t>midcap</t>
        </is>
      </c>
      <c r="F15" s="31" t="n">
        <v>16395.52</v>
      </c>
      <c r="G15" s="31" t="n">
        <v>1875.9</v>
      </c>
      <c r="H15" s="31" t="n">
        <v>3.85</v>
      </c>
      <c r="I15" s="31" t="n">
        <v>1113856</v>
      </c>
      <c r="J15" s="31" t="inlineStr">
        <is>
          <t>544046</t>
        </is>
      </c>
    </row>
    <row r="16">
      <c r="A16" s="31" t="inlineStr">
        <is>
          <t>SENORES</t>
        </is>
      </c>
      <c r="B16" s="31" t="inlineStr">
        <is>
          <t>Senores Pharmaceuticals Ltd</t>
        </is>
      </c>
      <c r="C16" s="31" t="inlineStr">
        <is>
          <t>healthcare</t>
        </is>
      </c>
      <c r="D16" s="31" t="inlineStr">
        <is>
          <t>pharmaceuticals - indian - formulations</t>
        </is>
      </c>
      <c r="E16" s="31" t="inlineStr">
        <is>
          <t>midcap</t>
        </is>
      </c>
      <c r="F16" s="31" t="n">
        <v>6257.76</v>
      </c>
      <c r="G16" s="31" t="n">
        <v>1409.8</v>
      </c>
      <c r="H16" s="31" t="n">
        <v>3.75</v>
      </c>
      <c r="I16" s="31" t="n">
        <v>615649</v>
      </c>
      <c r="J16" s="31" t="inlineStr">
        <is>
          <t>544319</t>
        </is>
      </c>
    </row>
    <row r="17">
      <c r="A17" s="31" t="inlineStr">
        <is>
          <t>SILVERTUC</t>
        </is>
      </c>
      <c r="B17" s="31" t="inlineStr">
        <is>
          <t>Silver Touch Technologies Ltd</t>
        </is>
      </c>
      <c r="C17" s="31" t="inlineStr">
        <is>
          <t>i.t</t>
        </is>
      </c>
      <c r="D17" s="31" t="inlineStr">
        <is>
          <t>computers - software - medium / small</t>
        </is>
      </c>
      <c r="E17" s="31" t="inlineStr">
        <is>
          <t>smallcap</t>
        </is>
      </c>
      <c r="F17" s="31" t="n">
        <v>2299.45</v>
      </c>
      <c r="G17" s="31" t="n">
        <v>187.9</v>
      </c>
      <c r="H17" s="31" t="n">
        <v>3.62</v>
      </c>
      <c r="I17" s="31" t="n">
        <v>782778</v>
      </c>
      <c r="J17" s="31" t="inlineStr">
        <is>
          <t>535031</t>
        </is>
      </c>
    </row>
    <row r="18">
      <c r="A18" s="31" t="inlineStr">
        <is>
          <t>KSL</t>
        </is>
      </c>
      <c r="B18" s="31" t="inlineStr">
        <is>
          <t>Kalyani Steels Limited</t>
        </is>
      </c>
      <c r="C18" s="31" t="inlineStr">
        <is>
          <t>metals &amp; mining</t>
        </is>
      </c>
      <c r="D18" s="31" t="inlineStr">
        <is>
          <t>steel - medium / small</t>
        </is>
      </c>
      <c r="E18" s="31" t="inlineStr">
        <is>
          <t>smallcap</t>
        </is>
      </c>
      <c r="F18" s="31" t="n">
        <v>3770.53</v>
      </c>
      <c r="G18" s="31" t="n">
        <v>893.4</v>
      </c>
      <c r="H18" s="31" t="n">
        <v>3.43</v>
      </c>
      <c r="I18" s="31" t="n">
        <v>166539</v>
      </c>
      <c r="J18" s="31" t="inlineStr">
        <is>
          <t>500235</t>
        </is>
      </c>
    </row>
    <row r="19">
      <c r="A19" s="31" t="inlineStr">
        <is>
          <t>RISHABH</t>
        </is>
      </c>
      <c r="B19" s="31" t="inlineStr">
        <is>
          <t>Rishabh Instruments Ltd</t>
        </is>
      </c>
      <c r="C19" s="31" t="inlineStr">
        <is>
          <t>industrials</t>
        </is>
      </c>
      <c r="D19" s="31" t="inlineStr">
        <is>
          <t>electric equipment</t>
        </is>
      </c>
      <c r="E19" s="31" t="inlineStr">
        <is>
          <t>smallcap</t>
        </is>
      </c>
      <c r="F19" s="31" t="n">
        <v>2426.86</v>
      </c>
      <c r="G19" s="31" t="n">
        <v>650.8</v>
      </c>
      <c r="H19" s="31" t="n">
        <v>3.37</v>
      </c>
      <c r="I19" s="31" t="n">
        <v>793398</v>
      </c>
      <c r="J19" s="31" t="inlineStr">
        <is>
          <t>543977</t>
        </is>
      </c>
    </row>
    <row r="20">
      <c r="A20" s="31" t="inlineStr">
        <is>
          <t>ITDC</t>
        </is>
      </c>
      <c r="B20" s="31" t="inlineStr">
        <is>
          <t>India Tourism Development Corporation Ltd</t>
        </is>
      </c>
      <c r="C20" s="31" t="inlineStr">
        <is>
          <t>services</t>
        </is>
      </c>
      <c r="D20" s="31" t="inlineStr">
        <is>
          <t>hotels</t>
        </is>
      </c>
      <c r="E20" s="31" t="inlineStr">
        <is>
          <t>midcap</t>
        </is>
      </c>
      <c r="F20" s="31" t="n">
        <v>6027.87</v>
      </c>
      <c r="G20" s="31" t="n">
        <v>723.4</v>
      </c>
      <c r="H20" s="31" t="n">
        <v>2.93</v>
      </c>
      <c r="I20" s="31" t="n">
        <v>32758491</v>
      </c>
      <c r="J20" s="31" t="inlineStr">
        <is>
          <t>532189</t>
        </is>
      </c>
    </row>
    <row r="21">
      <c r="A21" s="31" t="inlineStr">
        <is>
          <t>DIACABS</t>
        </is>
      </c>
      <c r="B21" s="31" t="inlineStr">
        <is>
          <t>Diamond Power Infrastructure Ltd</t>
        </is>
      </c>
      <c r="C21" s="31" t="inlineStr">
        <is>
          <t>industrials</t>
        </is>
      </c>
      <c r="D21" s="31" t="inlineStr">
        <is>
          <t>cables - power</t>
        </is>
      </c>
      <c r="E21" s="31" t="inlineStr">
        <is>
          <t>midcap</t>
        </is>
      </c>
      <c r="F21" s="31" t="n">
        <v>11854.21</v>
      </c>
      <c r="G21" s="31" t="n">
        <v>231.33</v>
      </c>
      <c r="H21" s="31" t="n">
        <v>2.84</v>
      </c>
      <c r="I21" s="31" t="n">
        <v>14213234</v>
      </c>
      <c r="J21" s="31" t="inlineStr">
        <is>
          <t>522163</t>
        </is>
      </c>
    </row>
    <row r="22">
      <c r="A22" s="31" t="inlineStr">
        <is>
          <t>RML</t>
        </is>
      </c>
      <c r="B22" s="31" t="inlineStr">
        <is>
          <t>Rane (madras) Limited</t>
        </is>
      </c>
      <c r="C22" s="31" t="inlineStr">
        <is>
          <t>auto</t>
        </is>
      </c>
      <c r="D22" s="31" t="inlineStr">
        <is>
          <t>auto ancillaries</t>
        </is>
      </c>
      <c r="E22" s="31" t="inlineStr">
        <is>
          <t>smallcap</t>
        </is>
      </c>
      <c r="F22" s="31" t="n">
        <v>3388.31</v>
      </c>
      <c r="G22" s="31" t="n">
        <v>1258</v>
      </c>
      <c r="H22" s="31" t="n">
        <v>2.61</v>
      </c>
      <c r="I22" s="31" t="n">
        <v>136755</v>
      </c>
      <c r="J22" s="31" t="inlineStr">
        <is>
          <t>532661</t>
        </is>
      </c>
    </row>
    <row r="23">
      <c r="A23" s="31" t="inlineStr">
        <is>
          <t>AVANTEL</t>
        </is>
      </c>
      <c r="B23" s="31" t="inlineStr">
        <is>
          <t>Avantel Ltd</t>
        </is>
      </c>
      <c r="C23" s="31" t="inlineStr">
        <is>
          <t>aerospace &amp; defence</t>
        </is>
      </c>
      <c r="D23" s="31" t="inlineStr">
        <is>
          <t>telecommunications - equipment</t>
        </is>
      </c>
      <c r="E23" s="31" t="inlineStr">
        <is>
          <t>smallcap</t>
        </is>
      </c>
      <c r="F23" s="31" t="n">
        <v>4720.35</v>
      </c>
      <c r="G23" s="31" t="n">
        <v>182.2</v>
      </c>
      <c r="H23" s="31" t="n">
        <v>2.56</v>
      </c>
      <c r="I23" s="31" t="n">
        <v>7029894</v>
      </c>
      <c r="J23" s="31" t="inlineStr">
        <is>
          <t>532406</t>
        </is>
      </c>
    </row>
    <row r="24">
      <c r="A24" s="31" t="inlineStr">
        <is>
          <t>ARROWGREEN</t>
        </is>
      </c>
      <c r="B24" s="31" t="inlineStr">
        <is>
          <t>Arrow Greentech Limited</t>
        </is>
      </c>
      <c r="C24" s="31" t="inlineStr">
        <is>
          <t>plastic products</t>
        </is>
      </c>
      <c r="D24" s="31" t="inlineStr">
        <is>
          <t>plastics products</t>
        </is>
      </c>
      <c r="E24" s="31" t="inlineStr">
        <is>
          <t>smallcap</t>
        </is>
      </c>
      <c r="F24" s="31" t="n">
        <v>1000.93</v>
      </c>
      <c r="G24" s="31" t="n">
        <v>680</v>
      </c>
      <c r="H24" s="31" t="n">
        <v>2.5</v>
      </c>
      <c r="I24" s="31" t="n">
        <v>49405</v>
      </c>
      <c r="J24" s="31" t="inlineStr">
        <is>
          <t>516064</t>
        </is>
      </c>
    </row>
    <row r="25">
      <c r="A25" s="31" t="inlineStr">
        <is>
          <t>VAIBHAVGBL</t>
        </is>
      </c>
      <c r="B25" s="31" t="inlineStr">
        <is>
          <t>Vaibhav Global Limited</t>
        </is>
      </c>
      <c r="C25" s="31" t="inlineStr">
        <is>
          <t>consumer discretionary</t>
        </is>
      </c>
      <c r="D25" s="31" t="inlineStr">
        <is>
          <t>diamond cutting / jewellery</t>
        </is>
      </c>
      <c r="E25" s="31" t="inlineStr">
        <is>
          <t>smallcap</t>
        </is>
      </c>
      <c r="F25" s="31" t="n">
        <v>3959.84</v>
      </c>
      <c r="G25" s="31" t="n">
        <v>242.77</v>
      </c>
      <c r="H25" s="31" t="n">
        <v>2.43</v>
      </c>
      <c r="I25" s="31" t="n">
        <v>3259330</v>
      </c>
      <c r="J25" s="31" t="inlineStr">
        <is>
          <t>532156</t>
        </is>
      </c>
    </row>
    <row r="26">
      <c r="A26" s="31" t="inlineStr">
        <is>
          <t>RUBYMILLS</t>
        </is>
      </c>
      <c r="B26" s="31" t="inlineStr">
        <is>
          <t>The Ruby Mills Limited</t>
        </is>
      </c>
      <c r="C26" s="31" t="inlineStr">
        <is>
          <t>textiles</t>
        </is>
      </c>
      <c r="D26" s="31" t="inlineStr">
        <is>
          <t>textiles - composite</t>
        </is>
      </c>
      <c r="E26" s="31" t="inlineStr">
        <is>
          <t>smallcap</t>
        </is>
      </c>
      <c r="F26" s="31" t="n">
        <v>1146.16</v>
      </c>
      <c r="G26" s="31" t="n">
        <v>351</v>
      </c>
      <c r="H26" s="31" t="n">
        <v>2.41</v>
      </c>
      <c r="I26" s="31" t="n">
        <v>39326</v>
      </c>
      <c r="J26" s="31" t="inlineStr">
        <is>
          <t>503169</t>
        </is>
      </c>
    </row>
    <row r="27">
      <c r="A27" s="31" t="inlineStr">
        <is>
          <t>MOSCHIP</t>
        </is>
      </c>
      <c r="B27" s="31" t="inlineStr">
        <is>
          <t>Moschip Technologies Ltd</t>
        </is>
      </c>
      <c r="C27" s="31" t="inlineStr">
        <is>
          <t>i.t</t>
        </is>
      </c>
      <c r="D27" s="31" t="inlineStr">
        <is>
          <t>computers - hardware</t>
        </is>
      </c>
      <c r="E27" s="31" t="inlineStr">
        <is>
          <t>smallcap</t>
        </is>
      </c>
      <c r="F27" s="31" t="n">
        <v>4379.45</v>
      </c>
      <c r="G27" s="31" t="n">
        <v>231.29</v>
      </c>
      <c r="H27" s="31" t="n">
        <v>2.39</v>
      </c>
      <c r="I27" s="31" t="n">
        <v>15702565</v>
      </c>
      <c r="J27" s="31" t="inlineStr">
        <is>
          <t>532407</t>
        </is>
      </c>
    </row>
    <row r="28">
      <c r="A28" s="31" t="inlineStr">
        <is>
          <t>POCL</t>
        </is>
      </c>
      <c r="B28" s="31" t="inlineStr">
        <is>
          <t>Pondy Oxides &amp; Chemicals Ltd</t>
        </is>
      </c>
      <c r="C28" s="31" t="inlineStr">
        <is>
          <t>metals &amp; mining</t>
        </is>
      </c>
      <c r="D28" s="31" t="inlineStr">
        <is>
          <t>mining / minerals / metals</t>
        </is>
      </c>
      <c r="E28" s="31" t="inlineStr">
        <is>
          <t>smallcap</t>
        </is>
      </c>
      <c r="F28" s="31" t="n">
        <v>4359.76</v>
      </c>
      <c r="G28" s="31" t="n">
        <v>1461.6</v>
      </c>
      <c r="H28" s="31" t="n">
        <v>2.29</v>
      </c>
      <c r="I28" s="31" t="n">
        <v>750084</v>
      </c>
      <c r="J28" s="31" t="inlineStr">
        <is>
          <t>532626</t>
        </is>
      </c>
    </row>
    <row r="29">
      <c r="A29" s="31" t="inlineStr">
        <is>
          <t>RBZJEWEL</t>
        </is>
      </c>
      <c r="B29" s="31" t="inlineStr">
        <is>
          <t>RBZ Jewellers Ltd</t>
        </is>
      </c>
      <c r="C29" s="31" t="inlineStr">
        <is>
          <t>consumer discretionary</t>
        </is>
      </c>
      <c r="D29" s="31" t="inlineStr">
        <is>
          <t>diamond cutting / jewellery</t>
        </is>
      </c>
      <c r="E29" s="31" t="inlineStr">
        <is>
          <t>smallcap</t>
        </is>
      </c>
      <c r="F29" s="31" t="n">
        <v>562.72</v>
      </c>
      <c r="G29" s="31" t="n">
        <v>143.89</v>
      </c>
      <c r="H29" s="31" t="n">
        <v>2.28</v>
      </c>
      <c r="I29" s="31" t="n">
        <v>149502</v>
      </c>
      <c r="J29" s="31" t="inlineStr">
        <is>
          <t>544060</t>
        </is>
      </c>
    </row>
    <row r="30">
      <c r="A30" s="31" t="inlineStr">
        <is>
          <t>SALSTEEL</t>
        </is>
      </c>
      <c r="B30" s="31" t="inlineStr">
        <is>
          <t>SAL Steel</t>
        </is>
      </c>
      <c r="C30" s="31" t="inlineStr">
        <is>
          <t>metals &amp; mining</t>
        </is>
      </c>
      <c r="D30" s="31" t="inlineStr">
        <is>
          <t>steel - sponge iron</t>
        </is>
      </c>
      <c r="E30" s="31" t="inlineStr">
        <is>
          <t>smallcap</t>
        </is>
      </c>
      <c r="F30" s="31" t="n">
        <v>840.8099999999999</v>
      </c>
      <c r="G30" s="31" t="n">
        <v>59.4</v>
      </c>
      <c r="H30" s="31" t="n">
        <v>2.27</v>
      </c>
      <c r="I30" s="31" t="n">
        <v>126476</v>
      </c>
      <c r="J30" s="31" t="inlineStr">
        <is>
          <t>532604</t>
        </is>
      </c>
    </row>
    <row r="31">
      <c r="A31" s="31" t="inlineStr">
        <is>
          <t>BHAGCHEM</t>
        </is>
      </c>
      <c r="B31" s="31" t="inlineStr">
        <is>
          <t>Bhagiradha Chemicals &amp; Industries Ltd</t>
        </is>
      </c>
      <c r="C31" s="31" t="inlineStr">
        <is>
          <t>chemicals</t>
        </is>
      </c>
      <c r="D31" s="31" t="inlineStr">
        <is>
          <t>pesticides / agrochemicals - indian</t>
        </is>
      </c>
      <c r="E31" s="31" t="inlineStr">
        <is>
          <t>smallcap</t>
        </is>
      </c>
      <c r="F31" s="31" t="n">
        <v>3694.27</v>
      </c>
      <c r="G31" s="31" t="n">
        <v>291.1</v>
      </c>
      <c r="H31" s="31" t="n">
        <v>2.18</v>
      </c>
      <c r="I31" s="31" t="n">
        <v>588229</v>
      </c>
      <c r="J31" s="31" t="inlineStr">
        <is>
          <t>531719</t>
        </is>
      </c>
    </row>
    <row r="32">
      <c r="A32" s="31" t="inlineStr">
        <is>
          <t>INNOVACAP</t>
        </is>
      </c>
      <c r="B32" s="31" t="inlineStr">
        <is>
          <t>Innova Captab Ltd</t>
        </is>
      </c>
      <c r="C32" s="31" t="inlineStr">
        <is>
          <t>healthcare</t>
        </is>
      </c>
      <c r="D32" s="31" t="inlineStr">
        <is>
          <t>pharmaceuticals - indian - bulk drugs &amp; formln</t>
        </is>
      </c>
      <c r="E32" s="31" t="inlineStr">
        <is>
          <t>midcap</t>
        </is>
      </c>
      <c r="F32" s="31" t="n">
        <v>5539.95</v>
      </c>
      <c r="G32" s="31" t="n">
        <v>989</v>
      </c>
      <c r="H32" s="31" t="n">
        <v>2.16</v>
      </c>
      <c r="I32" s="31" t="n">
        <v>159050</v>
      </c>
      <c r="J32" s="31" t="inlineStr">
        <is>
          <t>544067</t>
        </is>
      </c>
    </row>
    <row r="33">
      <c r="A33" s="31" t="inlineStr">
        <is>
          <t>SKYGOLD</t>
        </is>
      </c>
      <c r="B33" s="31" t="inlineStr">
        <is>
          <t>Sky Gold Ltd</t>
        </is>
      </c>
      <c r="C33" s="31" t="inlineStr">
        <is>
          <t>consumer discretionary</t>
        </is>
      </c>
      <c r="D33" s="31" t="inlineStr">
        <is>
          <t>diamond cutting / jewellery</t>
        </is>
      </c>
      <c r="E33" s="31" t="inlineStr">
        <is>
          <t>midcap</t>
        </is>
      </c>
      <c r="F33" s="31" t="n">
        <v>8899.83</v>
      </c>
      <c r="G33" s="31" t="n">
        <v>585.5</v>
      </c>
      <c r="H33" s="31" t="n">
        <v>1.89</v>
      </c>
      <c r="I33" s="31" t="n">
        <v>2631994</v>
      </c>
      <c r="J33" s="31" t="inlineStr">
        <is>
          <t>541967</t>
        </is>
      </c>
    </row>
    <row r="34">
      <c r="A34" s="31" t="inlineStr">
        <is>
          <t>ACUTAAS</t>
        </is>
      </c>
      <c r="B34" s="31" t="inlineStr">
        <is>
          <t>Acutaas Chemicals Ltd</t>
        </is>
      </c>
      <c r="C34" s="31" t="inlineStr">
        <is>
          <t>healthcare</t>
        </is>
      </c>
      <c r="D34" s="31" t="inlineStr">
        <is>
          <t>pharmaceuticals - indian - bulk drugs</t>
        </is>
      </c>
      <c r="E34" s="31" t="inlineStr">
        <is>
          <t>largecap</t>
        </is>
      </c>
      <c r="F34" s="31" t="n">
        <v>27762.5</v>
      </c>
      <c r="G34" s="31" t="n">
        <v>3454.5</v>
      </c>
      <c r="H34" s="31" t="n">
        <v>1.87</v>
      </c>
      <c r="I34" s="31" t="n">
        <v>503473</v>
      </c>
      <c r="J34" s="31" t="inlineStr">
        <is>
          <t>543349</t>
        </is>
      </c>
    </row>
    <row r="35">
      <c r="A35" s="31" t="inlineStr">
        <is>
          <t>YASHO</t>
        </is>
      </c>
      <c r="B35" s="31" t="inlineStr">
        <is>
          <t>Yasho Industries Ltd</t>
        </is>
      </c>
      <c r="C35" s="31" t="inlineStr">
        <is>
          <t>chemicals</t>
        </is>
      </c>
      <c r="D35" s="31" t="inlineStr">
        <is>
          <t>chemicals</t>
        </is>
      </c>
      <c r="E35" s="31" t="inlineStr">
        <is>
          <t>smallcap</t>
        </is>
      </c>
      <c r="F35" s="31" t="n">
        <v>3449.53</v>
      </c>
      <c r="G35" s="31" t="n">
        <v>2914.1</v>
      </c>
      <c r="H35" s="31" t="n">
        <v>1.86</v>
      </c>
      <c r="I35" s="31" t="n">
        <v>18472</v>
      </c>
      <c r="J35" s="31" t="inlineStr">
        <is>
          <t>541167</t>
        </is>
      </c>
    </row>
    <row r="36">
      <c r="A36" s="31" t="inlineStr">
        <is>
          <t>XPROINDIA</t>
        </is>
      </c>
      <c r="B36" s="31" t="inlineStr">
        <is>
          <t>Xpro India Limited</t>
        </is>
      </c>
      <c r="C36" s="31" t="inlineStr">
        <is>
          <t>industrials</t>
        </is>
      </c>
      <c r="D36" s="31" t="inlineStr">
        <is>
          <t>packaging</t>
        </is>
      </c>
      <c r="E36" s="31" t="inlineStr">
        <is>
          <t>smallcap</t>
        </is>
      </c>
      <c r="F36" s="31" t="n">
        <v>3305.34</v>
      </c>
      <c r="G36" s="31" t="n">
        <v>1433.5</v>
      </c>
      <c r="H36" s="31" t="n">
        <v>1.79</v>
      </c>
      <c r="I36" s="31" t="n">
        <v>83810</v>
      </c>
      <c r="J36" s="31" t="inlineStr">
        <is>
          <t>590013</t>
        </is>
      </c>
    </row>
    <row r="37">
      <c r="A37" s="31" t="inlineStr">
        <is>
          <t>SETL</t>
        </is>
      </c>
      <c r="B37" s="31" t="inlineStr">
        <is>
          <t>Standard Enginnering Technology Ltd</t>
        </is>
      </c>
      <c r="C37" s="31" t="inlineStr">
        <is>
          <t>industrials</t>
        </is>
      </c>
      <c r="D37" s="31" t="inlineStr">
        <is>
          <t>engineering</t>
        </is>
      </c>
      <c r="E37" s="31" t="inlineStr">
        <is>
          <t>midcap</t>
        </is>
      </c>
      <c r="F37" s="31" t="n">
        <v>5207.73</v>
      </c>
      <c r="G37" s="31" t="n">
        <v>265.6</v>
      </c>
      <c r="H37" s="31" t="n">
        <v>1.74</v>
      </c>
      <c r="I37" s="31" t="n">
        <v>1316961</v>
      </c>
      <c r="J37" s="31" t="inlineStr">
        <is>
          <t>544333</t>
        </is>
      </c>
    </row>
    <row r="38">
      <c r="A38" s="31" t="inlineStr">
        <is>
          <t>HAPPYFORGE</t>
        </is>
      </c>
      <c r="B38" s="31" t="inlineStr">
        <is>
          <t>Happy Forgings Ltd</t>
        </is>
      </c>
      <c r="C38" s="31" t="inlineStr">
        <is>
          <t>industrials</t>
        </is>
      </c>
      <c r="D38" s="31" t="inlineStr">
        <is>
          <t>castings &amp; forgings</t>
        </is>
      </c>
      <c r="E38" s="31" t="inlineStr">
        <is>
          <t>midcap</t>
        </is>
      </c>
      <c r="F38" s="31" t="n">
        <v>14112</v>
      </c>
      <c r="G38" s="31" t="n">
        <v>1520.8</v>
      </c>
      <c r="H38" s="31" t="n">
        <v>1.68</v>
      </c>
      <c r="I38" s="31" t="n">
        <v>90408</v>
      </c>
      <c r="J38" s="31" t="inlineStr">
        <is>
          <t>544057</t>
        </is>
      </c>
    </row>
    <row r="39">
      <c r="A39" s="31" t="inlineStr">
        <is>
          <t>EXIDEIND</t>
        </is>
      </c>
      <c r="B39" s="31" t="inlineStr">
        <is>
          <t>Exide Industries Limited</t>
        </is>
      </c>
      <c r="C39" s="31" t="inlineStr">
        <is>
          <t>auto</t>
        </is>
      </c>
      <c r="D39" s="31" t="inlineStr">
        <is>
          <t>auto ancillaries</t>
        </is>
      </c>
      <c r="E39" s="31" t="inlineStr">
        <is>
          <t>largecap</t>
        </is>
      </c>
      <c r="F39" s="31" t="n">
        <v>35232.5</v>
      </c>
      <c r="G39" s="31" t="n">
        <v>421.35</v>
      </c>
      <c r="H39" s="31" t="n">
        <v>1.65</v>
      </c>
      <c r="I39" s="31" t="n">
        <v>6891443</v>
      </c>
      <c r="J39" s="31" t="inlineStr">
        <is>
          <t>500086</t>
        </is>
      </c>
    </row>
    <row r="40">
      <c r="A40" s="31" t="inlineStr">
        <is>
          <t>WSTCSTPAPR</t>
        </is>
      </c>
      <c r="B40" s="31" t="inlineStr">
        <is>
          <t>West Coast Paper Mills Limited</t>
        </is>
      </c>
      <c r="C40" s="31" t="inlineStr">
        <is>
          <t>building materials</t>
        </is>
      </c>
      <c r="D40" s="31" t="inlineStr">
        <is>
          <t>paper</t>
        </is>
      </c>
      <c r="E40" s="31" t="inlineStr">
        <is>
          <t>smallcap</t>
        </is>
      </c>
      <c r="F40" s="31" t="n">
        <v>3522.39</v>
      </c>
      <c r="G40" s="31" t="n">
        <v>541.95</v>
      </c>
      <c r="H40" s="31" t="n">
        <v>1.62</v>
      </c>
      <c r="I40" s="31" t="n">
        <v>960062</v>
      </c>
      <c r="J40" s="31" t="inlineStr">
        <is>
          <t>500444</t>
        </is>
      </c>
    </row>
    <row r="41">
      <c r="A41" s="31" t="inlineStr">
        <is>
          <t>RATNAVEER</t>
        </is>
      </c>
      <c r="B41" s="31" t="inlineStr">
        <is>
          <t>Ratnaveer Precision Engineering Ltd</t>
        </is>
      </c>
      <c r="C41" s="31" t="inlineStr">
        <is>
          <t>metals &amp; mining</t>
        </is>
      </c>
      <c r="D41" s="31" t="inlineStr">
        <is>
          <t>steel - medium / small</t>
        </is>
      </c>
      <c r="E41" s="31" t="inlineStr">
        <is>
          <t>smallcap</t>
        </is>
      </c>
      <c r="F41" s="31" t="n">
        <v>1271.25</v>
      </c>
      <c r="G41" s="31" t="n">
        <v>180.69</v>
      </c>
      <c r="H41" s="31" t="n">
        <v>1.52</v>
      </c>
      <c r="I41" s="31" t="n">
        <v>5111846</v>
      </c>
      <c r="J41" s="31" t="inlineStr">
        <is>
          <t>543978</t>
        </is>
      </c>
    </row>
    <row r="42">
      <c r="A42" s="31" t="inlineStr">
        <is>
          <t>ASTRAMICRO</t>
        </is>
      </c>
      <c r="B42" s="31" t="inlineStr">
        <is>
          <t>Astra Microwave Products Limited</t>
        </is>
      </c>
      <c r="C42" s="31" t="inlineStr">
        <is>
          <t>aerospace &amp; defence</t>
        </is>
      </c>
      <c r="D42" s="31" t="inlineStr">
        <is>
          <t>telecommunications - equipment</t>
        </is>
      </c>
      <c r="E42" s="31" t="inlineStr">
        <is>
          <t>midcap</t>
        </is>
      </c>
      <c r="F42" s="31" t="n">
        <v>16921.1</v>
      </c>
      <c r="G42" s="31" t="n">
        <v>1809.3</v>
      </c>
      <c r="H42" s="31" t="n">
        <v>1.52</v>
      </c>
      <c r="I42" s="31" t="n">
        <v>818869</v>
      </c>
      <c r="J42" s="31" t="inlineStr">
        <is>
          <t>532493</t>
        </is>
      </c>
    </row>
    <row r="43">
      <c r="A43" s="31" t="inlineStr">
        <is>
          <t>TBZ</t>
        </is>
      </c>
      <c r="B43" s="31" t="inlineStr">
        <is>
          <t>Tribhovandas Bhimji Zaveri Limited</t>
        </is>
      </c>
      <c r="C43" s="31" t="inlineStr">
        <is>
          <t>consumer discretionary</t>
        </is>
      </c>
      <c r="D43" s="31" t="inlineStr">
        <is>
          <t>diamond cutting / jewellery</t>
        </is>
      </c>
      <c r="E43" s="31" t="inlineStr">
        <is>
          <t>smallcap</t>
        </is>
      </c>
      <c r="F43" s="31" t="n">
        <v>1326</v>
      </c>
      <c r="G43" s="31" t="n">
        <v>201.7</v>
      </c>
      <c r="H43" s="31" t="n">
        <v>1.5</v>
      </c>
      <c r="I43" s="31" t="n">
        <v>5632467</v>
      </c>
      <c r="J43" s="31" t="inlineStr">
        <is>
          <t>534369</t>
        </is>
      </c>
    </row>
    <row r="44">
      <c r="A44" s="31" t="inlineStr">
        <is>
          <t>INDOBORAX</t>
        </is>
      </c>
      <c r="B44" s="31" t="inlineStr">
        <is>
          <t>Indo Borax &amp; Chemicals Ltd</t>
        </is>
      </c>
      <c r="C44" s="31" t="inlineStr">
        <is>
          <t>chemicals</t>
        </is>
      </c>
      <c r="D44" s="31" t="inlineStr">
        <is>
          <t>chemicals</t>
        </is>
      </c>
      <c r="E44" s="31" t="inlineStr">
        <is>
          <t>smallcap</t>
        </is>
      </c>
      <c r="F44" s="31" t="n">
        <v>1314.89</v>
      </c>
      <c r="G44" s="31" t="n">
        <v>415.45</v>
      </c>
      <c r="H44" s="31" t="n">
        <v>1.39</v>
      </c>
      <c r="I44" s="31" t="n">
        <v>305425</v>
      </c>
      <c r="J44" s="31" t="inlineStr">
        <is>
          <t>524342</t>
        </is>
      </c>
    </row>
    <row r="45">
      <c r="A45" s="31" t="inlineStr">
        <is>
          <t>SPARC</t>
        </is>
      </c>
      <c r="B45" s="31" t="inlineStr">
        <is>
          <t>Sun Pharma Advanced Research Company Limited</t>
        </is>
      </c>
      <c r="C45" s="31" t="inlineStr">
        <is>
          <t>healthcare</t>
        </is>
      </c>
      <c r="D45" s="31" t="inlineStr">
        <is>
          <t>miscellaneous</t>
        </is>
      </c>
      <c r="E45" s="31" t="inlineStr">
        <is>
          <t>midcap</t>
        </is>
      </c>
      <c r="F45" s="31" t="n">
        <v>8643.309999999999</v>
      </c>
      <c r="G45" s="31" t="n">
        <v>269.98</v>
      </c>
      <c r="H45" s="31" t="n">
        <v>1.37</v>
      </c>
      <c r="I45" s="31" t="n">
        <v>8322511</v>
      </c>
      <c r="J45" s="31" t="inlineStr">
        <is>
          <t>532872</t>
        </is>
      </c>
    </row>
    <row r="46">
      <c r="A46" s="31" t="inlineStr">
        <is>
          <t>J&amp;KBANK</t>
        </is>
      </c>
      <c r="B46" s="31" t="inlineStr">
        <is>
          <t>The Jammu &amp; Kashmir Bank Limited</t>
        </is>
      </c>
      <c r="C46" s="31" t="inlineStr">
        <is>
          <t>bank</t>
        </is>
      </c>
      <c r="D46" s="31" t="inlineStr">
        <is>
          <t>banks - private sector</t>
        </is>
      </c>
      <c r="E46" s="31" t="inlineStr">
        <is>
          <t>midcap</t>
        </is>
      </c>
      <c r="F46" s="31" t="n">
        <v>18027.46</v>
      </c>
      <c r="G46" s="31" t="n">
        <v>165.96</v>
      </c>
      <c r="H46" s="31" t="n">
        <v>1.37</v>
      </c>
      <c r="I46" s="31" t="n">
        <v>10594097</v>
      </c>
      <c r="J46" s="31" t="inlineStr">
        <is>
          <t>532209</t>
        </is>
      </c>
    </row>
    <row r="47">
      <c r="A47" s="31" t="inlineStr">
        <is>
          <t>INDOTECH</t>
        </is>
      </c>
      <c r="B47" s="31" t="inlineStr">
        <is>
          <t>Indo Tech Transformers Limited</t>
        </is>
      </c>
      <c r="C47" s="31" t="inlineStr">
        <is>
          <t>industrials</t>
        </is>
      </c>
      <c r="D47" s="31" t="inlineStr">
        <is>
          <t>electric equipment</t>
        </is>
      </c>
      <c r="E47" s="31" t="inlineStr">
        <is>
          <t>smallcap</t>
        </is>
      </c>
      <c r="F47" s="31" t="n">
        <v>3238.14</v>
      </c>
      <c r="G47" s="31" t="n">
        <v>3088.2</v>
      </c>
      <c r="H47" s="31" t="n">
        <v>1.28</v>
      </c>
      <c r="I47" s="31" t="n">
        <v>23219</v>
      </c>
      <c r="J47" s="31" t="inlineStr">
        <is>
          <t>532717</t>
        </is>
      </c>
    </row>
    <row r="48">
      <c r="A48" s="31" t="inlineStr">
        <is>
          <t>PAISALO</t>
        </is>
      </c>
      <c r="B48" s="31" t="inlineStr">
        <is>
          <t>Paisalo Digital Ltd</t>
        </is>
      </c>
      <c r="C48" s="31" t="inlineStr">
        <is>
          <t>financials</t>
        </is>
      </c>
      <c r="D48" s="31" t="inlineStr">
        <is>
          <t>finance &amp; investments</t>
        </is>
      </c>
      <c r="E48" s="31" t="inlineStr">
        <is>
          <t>midcap</t>
        </is>
      </c>
      <c r="F48" s="31" t="n">
        <v>6324.82</v>
      </c>
      <c r="G48" s="31" t="n">
        <v>70.42</v>
      </c>
      <c r="H48" s="31" t="n">
        <v>1.27</v>
      </c>
      <c r="I48" s="31" t="n">
        <v>20464691</v>
      </c>
      <c r="J48" s="31" t="inlineStr">
        <is>
          <t>532900</t>
        </is>
      </c>
    </row>
    <row r="49">
      <c r="A49" s="31" t="inlineStr">
        <is>
          <t>IOLCP</t>
        </is>
      </c>
      <c r="B49" s="31" t="inlineStr">
        <is>
          <t>Iol Chemicals And Pharmaceuticals Limited</t>
        </is>
      </c>
      <c r="C49" s="31" t="inlineStr">
        <is>
          <t>healthcare</t>
        </is>
      </c>
      <c r="D49" s="31" t="inlineStr">
        <is>
          <t>pharmaceuticals - indian - bulk drugs &amp; formln</t>
        </is>
      </c>
      <c r="E49" s="31" t="inlineStr">
        <is>
          <t>smallcap</t>
        </is>
      </c>
      <c r="F49" s="31" t="n">
        <v>4844.38</v>
      </c>
      <c r="G49" s="31" t="n">
        <v>167.11</v>
      </c>
      <c r="H49" s="31" t="n">
        <v>1.25</v>
      </c>
      <c r="I49" s="31" t="n">
        <v>33183238</v>
      </c>
      <c r="J49" s="31" t="inlineStr">
        <is>
          <t>524164</t>
        </is>
      </c>
    </row>
    <row r="50">
      <c r="A50" s="31" t="inlineStr">
        <is>
          <t>TALBROAUTO</t>
        </is>
      </c>
      <c r="B50" s="31" t="inlineStr">
        <is>
          <t>Talbros Automotive Components Limited</t>
        </is>
      </c>
      <c r="C50" s="31" t="inlineStr">
        <is>
          <t>auto</t>
        </is>
      </c>
      <c r="D50" s="31" t="inlineStr">
        <is>
          <t>auto ancillaries</t>
        </is>
      </c>
      <c r="E50" s="31" t="inlineStr">
        <is>
          <t>smallcap</t>
        </is>
      </c>
      <c r="F50" s="31" t="n">
        <v>2481.16</v>
      </c>
      <c r="G50" s="31" t="n">
        <v>406.75</v>
      </c>
      <c r="H50" s="31" t="n">
        <v>1.19</v>
      </c>
      <c r="I50" s="31" t="n">
        <v>310609</v>
      </c>
      <c r="J50" s="31" t="inlineStr">
        <is>
          <t>505160</t>
        </is>
      </c>
    </row>
    <row r="51">
      <c r="A51" s="31" t="inlineStr">
        <is>
          <t>GREAVESCOT</t>
        </is>
      </c>
      <c r="B51" s="31" t="inlineStr">
        <is>
          <t>Greaves Cotton Limited</t>
        </is>
      </c>
      <c r="C51" s="31" t="inlineStr">
        <is>
          <t>industrials</t>
        </is>
      </c>
      <c r="D51" s="31" t="inlineStr">
        <is>
          <t>engines</t>
        </is>
      </c>
      <c r="E51" s="31" t="inlineStr">
        <is>
          <t>midcap</t>
        </is>
      </c>
      <c r="F51" s="31" t="n">
        <v>5169.35</v>
      </c>
      <c r="G51" s="31" t="n">
        <v>224.57</v>
      </c>
      <c r="H51" s="31" t="n">
        <v>1.18</v>
      </c>
      <c r="I51" s="31" t="n">
        <v>4061965</v>
      </c>
      <c r="J51" s="31" t="inlineStr">
        <is>
          <t>501455</t>
        </is>
      </c>
    </row>
    <row r="52">
      <c r="A52" s="31" t="inlineStr">
        <is>
          <t>AGARWALEYE</t>
        </is>
      </c>
      <c r="B52" s="31" t="inlineStr">
        <is>
          <t>Dr Agarwals Health Care Ltd</t>
        </is>
      </c>
      <c r="C52" s="31" t="inlineStr">
        <is>
          <t>healthcare</t>
        </is>
      </c>
      <c r="D52" s="31" t="inlineStr">
        <is>
          <t>healthcare</t>
        </is>
      </c>
      <c r="E52" s="31" t="inlineStr">
        <is>
          <t>midcap</t>
        </is>
      </c>
      <c r="F52" s="31" t="n">
        <v>14970.74</v>
      </c>
      <c r="G52" s="31" t="n">
        <v>478</v>
      </c>
      <c r="H52" s="31" t="n">
        <v>1.15</v>
      </c>
      <c r="I52" s="31" t="n">
        <v>140226</v>
      </c>
      <c r="J52" s="31" t="inlineStr">
        <is>
          <t>544350</t>
        </is>
      </c>
    </row>
    <row r="53">
      <c r="A53" s="31" t="inlineStr">
        <is>
          <t>SUPRAJIT</t>
        </is>
      </c>
      <c r="B53" s="31" t="inlineStr">
        <is>
          <t>Suprajit Engineering Limited</t>
        </is>
      </c>
      <c r="C53" s="31" t="inlineStr">
        <is>
          <t>auto</t>
        </is>
      </c>
      <c r="D53" s="31" t="inlineStr">
        <is>
          <t>auto ancillaries</t>
        </is>
      </c>
      <c r="E53" s="31" t="inlineStr">
        <is>
          <t>midcap</t>
        </is>
      </c>
      <c r="F53" s="31" t="n">
        <v>6682.98</v>
      </c>
      <c r="G53" s="31" t="n">
        <v>492.65</v>
      </c>
      <c r="H53" s="31" t="n">
        <v>1.12</v>
      </c>
      <c r="I53" s="31" t="n">
        <v>793957</v>
      </c>
      <c r="J53" s="31" t="inlineStr">
        <is>
          <t>532509</t>
        </is>
      </c>
    </row>
    <row r="54">
      <c r="A54" s="31" t="inlineStr">
        <is>
          <t>MMFL</t>
        </is>
      </c>
      <c r="B54" s="31" t="inlineStr">
        <is>
          <t>Mm Forgings Limited</t>
        </is>
      </c>
      <c r="C54" s="31" t="inlineStr">
        <is>
          <t>industrials</t>
        </is>
      </c>
      <c r="D54" s="31" t="inlineStr">
        <is>
          <t>castings &amp; forgings</t>
        </is>
      </c>
      <c r="E54" s="31" t="inlineStr">
        <is>
          <t>smallcap</t>
        </is>
      </c>
      <c r="F54" s="31" t="n">
        <v>2388.01</v>
      </c>
      <c r="G54" s="31" t="n">
        <v>500.1</v>
      </c>
      <c r="H54" s="31" t="n">
        <v>1.11</v>
      </c>
      <c r="I54" s="31" t="n">
        <v>160853</v>
      </c>
      <c r="J54" s="31" t="inlineStr">
        <is>
          <t>522241</t>
        </is>
      </c>
    </row>
    <row r="55">
      <c r="A55" s="31" t="inlineStr">
        <is>
          <t>ORBTEXP</t>
        </is>
      </c>
      <c r="B55" s="31" t="inlineStr">
        <is>
          <t>Orbit Exports Limited</t>
        </is>
      </c>
      <c r="C55" s="31" t="inlineStr">
        <is>
          <t>textiles</t>
        </is>
      </c>
      <c r="D55" s="31" t="inlineStr">
        <is>
          <t>textiles - processing</t>
        </is>
      </c>
      <c r="E55" s="31" t="inlineStr">
        <is>
          <t>smallcap</t>
        </is>
      </c>
      <c r="F55" s="31" t="n">
        <v>601.03</v>
      </c>
      <c r="G55" s="31" t="n">
        <v>229</v>
      </c>
      <c r="H55" s="31" t="n">
        <v>1.01</v>
      </c>
      <c r="I55" s="31" t="n">
        <v>19024</v>
      </c>
      <c r="J55" s="31" t="inlineStr">
        <is>
          <t>512626</t>
        </is>
      </c>
    </row>
    <row r="56">
      <c r="A56" s="31" t="inlineStr">
        <is>
          <t>DLINKINDIA</t>
        </is>
      </c>
      <c r="B56" s="31" t="inlineStr">
        <is>
          <t>D-link (india) Limited</t>
        </is>
      </c>
      <c r="C56" s="31" t="inlineStr">
        <is>
          <t>services</t>
        </is>
      </c>
      <c r="D56" s="31" t="inlineStr">
        <is>
          <t>trading</t>
        </is>
      </c>
      <c r="E56" s="31" t="inlineStr">
        <is>
          <t>smallcap</t>
        </is>
      </c>
      <c r="F56" s="31" t="n">
        <v>1893.3</v>
      </c>
      <c r="G56" s="31" t="n">
        <v>538.25</v>
      </c>
      <c r="H56" s="31" t="n">
        <v>0.9399999999999999</v>
      </c>
      <c r="I56" s="31" t="n">
        <v>1108781</v>
      </c>
      <c r="J56" s="31" t="inlineStr">
        <is>
          <t>533146</t>
        </is>
      </c>
    </row>
    <row r="57">
      <c r="A57" s="31" t="inlineStr">
        <is>
          <t>VHL</t>
        </is>
      </c>
      <c r="B57" s="31" t="inlineStr">
        <is>
          <t>Vardhman Holdings Limited</t>
        </is>
      </c>
      <c r="C57" s="31" t="inlineStr">
        <is>
          <t>financials</t>
        </is>
      </c>
      <c r="D57" s="31" t="inlineStr">
        <is>
          <t>finance &amp; investments</t>
        </is>
      </c>
      <c r="E57" s="31" t="inlineStr">
        <is>
          <t>smallcap</t>
        </is>
      </c>
      <c r="F57" s="31" t="n">
        <v>1139.92</v>
      </c>
      <c r="G57" s="31" t="n">
        <v>3604.9</v>
      </c>
      <c r="H57" s="31" t="n">
        <v>0.93</v>
      </c>
      <c r="I57" s="31" t="n">
        <v>417</v>
      </c>
      <c r="J57" s="31" t="inlineStr">
        <is>
          <t>500439</t>
        </is>
      </c>
    </row>
    <row r="58">
      <c r="A58" s="31" t="inlineStr">
        <is>
          <t>NYKAA</t>
        </is>
      </c>
      <c r="B58" s="31" t="inlineStr">
        <is>
          <t>FSN E-Commerce Ventures Ltd</t>
        </is>
      </c>
      <c r="C58" s="31" t="inlineStr">
        <is>
          <t>i.t</t>
        </is>
      </c>
      <c r="D58" s="31" t="inlineStr">
        <is>
          <t>trading</t>
        </is>
      </c>
      <c r="E58" s="31" t="inlineStr">
        <is>
          <t>largecap</t>
        </is>
      </c>
      <c r="F58" s="31" t="n">
        <v>90248.92999999999</v>
      </c>
      <c r="G58" s="31" t="n">
        <v>317.95</v>
      </c>
      <c r="H58" s="31" t="n">
        <v>0.87</v>
      </c>
      <c r="I58" s="31" t="n">
        <v>10701340</v>
      </c>
      <c r="J58" s="31" t="inlineStr">
        <is>
          <t>543384</t>
        </is>
      </c>
    </row>
    <row r="59">
      <c r="A59" s="31" t="inlineStr">
        <is>
          <t>MARKSANS</t>
        </is>
      </c>
      <c r="B59" s="31" t="inlineStr">
        <is>
          <t>Marksans Pharma Limited</t>
        </is>
      </c>
      <c r="C59" s="31" t="inlineStr">
        <is>
          <t>healthcare</t>
        </is>
      </c>
      <c r="D59" s="31" t="inlineStr">
        <is>
          <t>pharmaceuticals - indian - formulations</t>
        </is>
      </c>
      <c r="E59" s="31" t="inlineStr">
        <is>
          <t>midcap</t>
        </is>
      </c>
      <c r="F59" s="31" t="n">
        <v>11836.64</v>
      </c>
      <c r="G59" s="31" t="n">
        <v>263.45</v>
      </c>
      <c r="H59" s="31" t="n">
        <v>0.86</v>
      </c>
      <c r="I59" s="31" t="n">
        <v>3791392</v>
      </c>
      <c r="J59" s="31" t="inlineStr">
        <is>
          <t>524404</t>
        </is>
      </c>
    </row>
    <row r="60">
      <c r="A60" s="31" t="inlineStr">
        <is>
          <t>SPAL</t>
        </is>
      </c>
      <c r="B60" s="31" t="inlineStr">
        <is>
          <t>S. P. Apparels Limited</t>
        </is>
      </c>
      <c r="C60" s="31" t="inlineStr">
        <is>
          <t>consumer discretionary</t>
        </is>
      </c>
      <c r="D60" s="31" t="inlineStr">
        <is>
          <t>textiles - products</t>
        </is>
      </c>
      <c r="E60" s="31" t="inlineStr">
        <is>
          <t>smallcap</t>
        </is>
      </c>
      <c r="F60" s="31" t="n">
        <v>2894.74</v>
      </c>
      <c r="G60" s="31" t="n">
        <v>1161</v>
      </c>
      <c r="H60" s="31" t="n">
        <v>0.83</v>
      </c>
      <c r="I60" s="31" t="n">
        <v>421935</v>
      </c>
      <c r="J60" s="31" t="inlineStr">
        <is>
          <t>540048</t>
        </is>
      </c>
    </row>
    <row r="61">
      <c r="A61" s="31" t="inlineStr">
        <is>
          <t>ZOTA</t>
        </is>
      </c>
      <c r="B61" s="31" t="inlineStr">
        <is>
          <t>Zota Health Care Ltd</t>
        </is>
      </c>
      <c r="C61" s="31" t="inlineStr">
        <is>
          <t>healthcare</t>
        </is>
      </c>
      <c r="D61" s="31" t="inlineStr">
        <is>
          <t>pharmaceuticals - indian - bulk drugs &amp; formln</t>
        </is>
      </c>
      <c r="E61" s="31" t="inlineStr">
        <is>
          <t>smallcap</t>
        </is>
      </c>
      <c r="F61" s="31" t="n">
        <v>4854.45</v>
      </c>
      <c r="G61" s="31" t="n">
        <v>1413</v>
      </c>
      <c r="H61" s="31" t="n">
        <v>0.8100000000000001</v>
      </c>
      <c r="I61" s="31" t="n">
        <v>79750</v>
      </c>
      <c r="J61" s="31" t="inlineStr">
        <is>
          <t>538426</t>
        </is>
      </c>
    </row>
    <row r="62">
      <c r="A62" s="31" t="inlineStr">
        <is>
          <t>SHREEPUSHK</t>
        </is>
      </c>
      <c r="B62" s="31" t="inlineStr">
        <is>
          <t>Shree Pushkar Chemicals &amp; Fertilisers Limited</t>
        </is>
      </c>
      <c r="C62" s="31" t="inlineStr">
        <is>
          <t>chemicals</t>
        </is>
      </c>
      <c r="D62" s="31" t="inlineStr">
        <is>
          <t>dyes and pigments</t>
        </is>
      </c>
      <c r="E62" s="31" t="inlineStr">
        <is>
          <t>smallcap</t>
        </is>
      </c>
      <c r="F62" s="31" t="n">
        <v>1363.03</v>
      </c>
      <c r="G62" s="31" t="n">
        <v>424.65</v>
      </c>
      <c r="H62" s="31" t="n">
        <v>0.75</v>
      </c>
      <c r="I62" s="31" t="n">
        <v>111167</v>
      </c>
      <c r="J62" s="31" t="inlineStr">
        <is>
          <t>539334</t>
        </is>
      </c>
    </row>
    <row r="63">
      <c r="A63" s="31" t="inlineStr">
        <is>
          <t>SYRMA</t>
        </is>
      </c>
      <c r="B63" s="31" t="inlineStr">
        <is>
          <t>Syrma SGS Technology Ltd</t>
        </is>
      </c>
      <c r="C63" s="31" t="inlineStr">
        <is>
          <t>consumer discretionary</t>
        </is>
      </c>
      <c r="D63" s="31" t="inlineStr">
        <is>
          <t>electronics - components</t>
        </is>
      </c>
      <c r="E63" s="31" t="inlineStr">
        <is>
          <t>largecap</t>
        </is>
      </c>
      <c r="F63" s="31" t="n">
        <v>26147.81</v>
      </c>
      <c r="G63" s="31" t="n">
        <v>1366.2</v>
      </c>
      <c r="H63" s="31" t="n">
        <v>0.75</v>
      </c>
      <c r="I63" s="31" t="n">
        <v>952782</v>
      </c>
      <c r="J63" s="31" t="inlineStr">
        <is>
          <t>543573</t>
        </is>
      </c>
    </row>
    <row r="64">
      <c r="A64" s="31" t="inlineStr">
        <is>
          <t>FILATEX</t>
        </is>
      </c>
      <c r="B64" s="31" t="inlineStr">
        <is>
          <t>Filatex India Limited</t>
        </is>
      </c>
      <c r="C64" s="31" t="inlineStr">
        <is>
          <t>textiles</t>
        </is>
      </c>
      <c r="D64" s="31" t="inlineStr">
        <is>
          <t>textiles - manmade</t>
        </is>
      </c>
      <c r="E64" s="31" t="inlineStr">
        <is>
          <t>smallcap</t>
        </is>
      </c>
      <c r="F64" s="31" t="n">
        <v>2559.55</v>
      </c>
      <c r="G64" s="31" t="n">
        <v>58.05</v>
      </c>
      <c r="H64" s="31" t="n">
        <v>0.71</v>
      </c>
      <c r="I64" s="31" t="n">
        <v>4714945</v>
      </c>
      <c r="J64" s="31" t="inlineStr">
        <is>
          <t>526227</t>
        </is>
      </c>
    </row>
    <row r="65">
      <c r="A65" s="31" t="inlineStr">
        <is>
          <t>NINSYS</t>
        </is>
      </c>
      <c r="B65" s="31" t="inlineStr">
        <is>
          <t>NINtec Systems Ltd</t>
        </is>
      </c>
      <c r="C65" s="31" t="inlineStr">
        <is>
          <t>i.t</t>
        </is>
      </c>
      <c r="D65" s="31" t="inlineStr">
        <is>
          <t>computers - software - medium / small</t>
        </is>
      </c>
      <c r="E65" s="31" t="inlineStr">
        <is>
          <t>smallcap</t>
        </is>
      </c>
      <c r="F65" s="31" t="n">
        <v>1673.33</v>
      </c>
      <c r="G65" s="31" t="n">
        <v>906.95</v>
      </c>
      <c r="H65" s="31" t="n">
        <v>0.68</v>
      </c>
      <c r="I65" s="31" t="n">
        <v>4334</v>
      </c>
      <c r="J65" s="31" t="inlineStr">
        <is>
          <t>539843</t>
        </is>
      </c>
    </row>
    <row r="66">
      <c r="A66" s="31" t="inlineStr">
        <is>
          <t>MONARCH</t>
        </is>
      </c>
      <c r="B66" s="31" t="inlineStr">
        <is>
          <t>Monarch Networth Capital Ltd</t>
        </is>
      </c>
      <c r="C66" s="31" t="inlineStr">
        <is>
          <t>financials</t>
        </is>
      </c>
      <c r="D66" s="31" t="inlineStr">
        <is>
          <t>finance &amp; investments</t>
        </is>
      </c>
      <c r="E66" s="31" t="inlineStr">
        <is>
          <t>smallcap</t>
        </is>
      </c>
      <c r="F66" s="31" t="n">
        <v>2756.16</v>
      </c>
      <c r="G66" s="31" t="n">
        <v>350</v>
      </c>
      <c r="H66" s="31" t="n">
        <v>0.66</v>
      </c>
      <c r="I66" s="31" t="n">
        <v>54929</v>
      </c>
      <c r="J66" s="31" t="inlineStr">
        <is>
          <t>511551</t>
        </is>
      </c>
    </row>
    <row r="67">
      <c r="A67" s="31" t="inlineStr">
        <is>
          <t>RAINBOW</t>
        </is>
      </c>
      <c r="B67" s="31" t="inlineStr">
        <is>
          <t>Rainbow Childrens Medicare Ltd</t>
        </is>
      </c>
      <c r="C67" s="31" t="inlineStr">
        <is>
          <t>healthcare</t>
        </is>
      </c>
      <c r="D67" s="31" t="inlineStr">
        <is>
          <t>healthcare</t>
        </is>
      </c>
      <c r="E67" s="31" t="inlineStr">
        <is>
          <t>midcap</t>
        </is>
      </c>
      <c r="F67" s="31" t="n">
        <v>14441.71</v>
      </c>
      <c r="G67" s="31" t="n">
        <v>1431.1</v>
      </c>
      <c r="H67" s="31" t="n">
        <v>0.64</v>
      </c>
      <c r="I67" s="31" t="n">
        <v>113576</v>
      </c>
      <c r="J67" s="31" t="inlineStr">
        <is>
          <t>543524</t>
        </is>
      </c>
    </row>
    <row r="68">
      <c r="A68" s="31" t="inlineStr">
        <is>
          <t>HONASA</t>
        </is>
      </c>
      <c r="B68" s="31" t="inlineStr">
        <is>
          <t>Honasa Consumer Ltd</t>
        </is>
      </c>
      <c r="C68" s="31" t="inlineStr">
        <is>
          <t>services</t>
        </is>
      </c>
      <c r="D68" s="31" t="inlineStr">
        <is>
          <t>trading</t>
        </is>
      </c>
      <c r="E68" s="31" t="inlineStr">
        <is>
          <t>midcap</t>
        </is>
      </c>
      <c r="F68" s="31" t="n">
        <v>15124.81</v>
      </c>
      <c r="G68" s="31" t="n">
        <v>467.6</v>
      </c>
      <c r="H68" s="31" t="n">
        <v>0.59</v>
      </c>
      <c r="I68" s="31" t="n">
        <v>1359620</v>
      </c>
      <c r="J68" s="31" t="inlineStr">
        <is>
          <t>544014</t>
        </is>
      </c>
    </row>
    <row r="69">
      <c r="A69" s="31" t="inlineStr">
        <is>
          <t>JBCHEPHARM</t>
        </is>
      </c>
      <c r="B69" s="31" t="inlineStr">
        <is>
          <t>Jb Chemicals &amp; Pharmaceuticals Limited</t>
        </is>
      </c>
      <c r="C69" s="31" t="inlineStr">
        <is>
          <t>healthcare</t>
        </is>
      </c>
      <c r="D69" s="31" t="inlineStr">
        <is>
          <t>pharmaceuticals - indian - bulk drugs &amp; formln</t>
        </is>
      </c>
      <c r="E69" s="31" t="inlineStr">
        <is>
          <t>largecap</t>
        </is>
      </c>
      <c r="F69" s="31" t="n">
        <v>38887.32</v>
      </c>
      <c r="G69" s="31" t="n">
        <v>2435.8</v>
      </c>
      <c r="H69" s="31" t="n">
        <v>0.57</v>
      </c>
      <c r="I69" s="31" t="n">
        <v>1169387</v>
      </c>
      <c r="J69" s="31" t="inlineStr">
        <is>
          <t>506943</t>
        </is>
      </c>
    </row>
    <row r="70">
      <c r="A70" s="31" t="inlineStr">
        <is>
          <t>NEULANDLAB</t>
        </is>
      </c>
      <c r="B70" s="31" t="inlineStr">
        <is>
          <t>Neuland Laboratories Limited</t>
        </is>
      </c>
      <c r="C70" s="31" t="inlineStr">
        <is>
          <t>healthcare</t>
        </is>
      </c>
      <c r="D70" s="31" t="inlineStr">
        <is>
          <t>pharmaceuticals - indian - bulk drugs</t>
        </is>
      </c>
      <c r="E70" s="31" t="inlineStr">
        <is>
          <t>largecap</t>
        </is>
      </c>
      <c r="F70" s="31" t="n">
        <v>24248.49</v>
      </c>
      <c r="G70" s="31" t="n">
        <v>19000</v>
      </c>
      <c r="H70" s="31" t="n">
        <v>0.53</v>
      </c>
      <c r="I70" s="31" t="n">
        <v>42476</v>
      </c>
      <c r="J70" s="31" t="inlineStr">
        <is>
          <t>524558</t>
        </is>
      </c>
    </row>
    <row r="71">
      <c r="A71" s="31" t="inlineStr">
        <is>
          <t>RPGLIFE</t>
        </is>
      </c>
      <c r="B71" s="31" t="inlineStr">
        <is>
          <t>Rpg Life Sciences Limited</t>
        </is>
      </c>
      <c r="C71" s="31" t="inlineStr">
        <is>
          <t>healthcare</t>
        </is>
      </c>
      <c r="D71" s="31" t="inlineStr">
        <is>
          <t>pharmaceuticals - indian - bulk drugs &amp; formln</t>
        </is>
      </c>
      <c r="E71" s="31" t="inlineStr">
        <is>
          <t>smallcap</t>
        </is>
      </c>
      <c r="F71" s="31" t="n">
        <v>4036.02</v>
      </c>
      <c r="G71" s="31" t="n">
        <v>2452.3</v>
      </c>
      <c r="H71" s="31" t="n">
        <v>0.49</v>
      </c>
      <c r="I71" s="31" t="n">
        <v>81686</v>
      </c>
      <c r="J71" s="31" t="inlineStr">
        <is>
          <t>532983</t>
        </is>
      </c>
    </row>
    <row r="72">
      <c r="A72" s="31" t="inlineStr">
        <is>
          <t>SIS</t>
        </is>
      </c>
      <c r="B72" s="31" t="inlineStr">
        <is>
          <t>Security &amp; Intelligence Services India</t>
        </is>
      </c>
      <c r="C72" s="31" t="inlineStr">
        <is>
          <t>miscellaneous</t>
        </is>
      </c>
      <c r="D72" s="31" t="inlineStr">
        <is>
          <t>miscellaneous</t>
        </is>
      </c>
      <c r="E72" s="31" t="inlineStr">
        <is>
          <t>midcap</t>
        </is>
      </c>
      <c r="F72" s="31" t="n">
        <v>6045.74</v>
      </c>
      <c r="G72" s="31" t="n">
        <v>430.05</v>
      </c>
      <c r="H72" s="31" t="n">
        <v>0.49</v>
      </c>
      <c r="I72" s="31" t="n">
        <v>148720</v>
      </c>
      <c r="J72" s="31" t="inlineStr">
        <is>
          <t>540673</t>
        </is>
      </c>
    </row>
    <row r="73">
      <c r="A73" s="31" t="inlineStr">
        <is>
          <t>MANGLMCEM</t>
        </is>
      </c>
      <c r="B73" s="31" t="inlineStr">
        <is>
          <t>Mangalam Cement Limited</t>
        </is>
      </c>
      <c r="C73" s="31" t="inlineStr">
        <is>
          <t>building materials</t>
        </is>
      </c>
      <c r="D73" s="31" t="inlineStr">
        <is>
          <t>cement - north india</t>
        </is>
      </c>
      <c r="E73" s="31" t="inlineStr">
        <is>
          <t>smallcap</t>
        </is>
      </c>
      <c r="F73" s="31" t="n">
        <v>2545.42</v>
      </c>
      <c r="G73" s="31" t="n">
        <v>929.95</v>
      </c>
      <c r="H73" s="31" t="n">
        <v>0.46</v>
      </c>
      <c r="I73" s="31" t="n">
        <v>84114</v>
      </c>
      <c r="J73" s="31" t="inlineStr">
        <is>
          <t>502157</t>
        </is>
      </c>
    </row>
    <row r="74">
      <c r="A74" s="31" t="inlineStr">
        <is>
          <t>SJS</t>
        </is>
      </c>
      <c r="B74" s="31" t="inlineStr">
        <is>
          <t>S J S Enterprises Ltd</t>
        </is>
      </c>
      <c r="C74" s="31" t="inlineStr">
        <is>
          <t>auto</t>
        </is>
      </c>
      <c r="D74" s="31" t="inlineStr">
        <is>
          <t>plastics products</t>
        </is>
      </c>
      <c r="E74" s="31" t="inlineStr">
        <is>
          <t>midcap</t>
        </is>
      </c>
      <c r="F74" s="31" t="n">
        <v>7065.85</v>
      </c>
      <c r="G74" s="31" t="n">
        <v>2218</v>
      </c>
      <c r="H74" s="31" t="n">
        <v>0.44</v>
      </c>
      <c r="I74" s="31" t="n">
        <v>134710</v>
      </c>
      <c r="J74" s="31" t="inlineStr">
        <is>
          <t>543387</t>
        </is>
      </c>
    </row>
    <row r="75">
      <c r="A75" s="31" t="inlineStr">
        <is>
          <t>SUNDRMFAST</t>
        </is>
      </c>
      <c r="B75" s="31" t="inlineStr">
        <is>
          <t>Sundram Fasteners Limited</t>
        </is>
      </c>
      <c r="C75" s="31" t="inlineStr">
        <is>
          <t>auto</t>
        </is>
      </c>
      <c r="D75" s="31" t="inlineStr">
        <is>
          <t>auto ancillaries</t>
        </is>
      </c>
      <c r="E75" s="31" t="inlineStr">
        <is>
          <t>midcap</t>
        </is>
      </c>
      <c r="F75" s="31" t="n">
        <v>19544.04</v>
      </c>
      <c r="G75" s="31" t="n">
        <v>933.95</v>
      </c>
      <c r="H75" s="31" t="n">
        <v>0.41</v>
      </c>
      <c r="I75" s="31" t="n">
        <v>169041</v>
      </c>
      <c r="J75" s="31" t="inlineStr">
        <is>
          <t>500403</t>
        </is>
      </c>
    </row>
    <row r="76">
      <c r="A76" s="31" t="inlineStr">
        <is>
          <t>ANANDRATHI</t>
        </is>
      </c>
      <c r="B76" s="31" t="inlineStr">
        <is>
          <t>Anand Rathi Wealth Ltd</t>
        </is>
      </c>
      <c r="C76" s="31" t="inlineStr">
        <is>
          <t>financials</t>
        </is>
      </c>
      <c r="D76" s="31" t="inlineStr">
        <is>
          <t>finance &amp; investments</t>
        </is>
      </c>
      <c r="E76" s="31" t="inlineStr">
        <is>
          <t>largecap</t>
        </is>
      </c>
      <c r="F76" s="31" t="n">
        <v>34071.67</v>
      </c>
      <c r="G76" s="31" t="n">
        <v>2059.8</v>
      </c>
      <c r="H76" s="31" t="n">
        <v>0.38</v>
      </c>
      <c r="I76" s="31" t="n">
        <v>348997</v>
      </c>
      <c r="J76" s="31" t="inlineStr">
        <is>
          <t>543415</t>
        </is>
      </c>
    </row>
    <row r="77">
      <c r="A77" s="31" t="inlineStr">
        <is>
          <t>PANSARI</t>
        </is>
      </c>
      <c r="B77" s="31" t="inlineStr">
        <is>
          <t>Pansari Developers Ltd</t>
        </is>
      </c>
      <c r="C77" s="31" t="inlineStr">
        <is>
          <t>realty</t>
        </is>
      </c>
      <c r="D77" s="31" t="inlineStr">
        <is>
          <t>construction</t>
        </is>
      </c>
      <c r="E77" s="31" t="inlineStr">
        <is>
          <t>smallcap</t>
        </is>
      </c>
      <c r="F77" s="31" t="n">
        <v>619.45</v>
      </c>
      <c r="G77" s="31" t="n">
        <v>356.4</v>
      </c>
      <c r="H77" s="31" t="n">
        <v>0.38</v>
      </c>
      <c r="I77" s="31" t="n">
        <v>96036</v>
      </c>
      <c r="J77" s="31" t="inlineStr">
        <is>
          <t>538381</t>
        </is>
      </c>
    </row>
    <row r="78">
      <c r="A78" s="31" t="inlineStr">
        <is>
          <t>PGHL</t>
        </is>
      </c>
      <c r="B78" s="31" t="inlineStr">
        <is>
          <t>Procter &amp; Gamble Health Ltd</t>
        </is>
      </c>
      <c r="C78" s="31" t="inlineStr">
        <is>
          <t>healthcare</t>
        </is>
      </c>
      <c r="D78" s="31" t="inlineStr">
        <is>
          <t>pharmaceuticals - multinational</t>
        </is>
      </c>
      <c r="E78" s="31" t="inlineStr">
        <is>
          <t>midcap</t>
        </is>
      </c>
      <c r="F78" s="31" t="n">
        <v>10375.44</v>
      </c>
      <c r="G78" s="31" t="n">
        <v>6274</v>
      </c>
      <c r="H78" s="31" t="n">
        <v>0.38</v>
      </c>
      <c r="I78" s="31" t="n">
        <v>35050</v>
      </c>
      <c r="J78" s="31" t="inlineStr">
        <is>
          <t>500126</t>
        </is>
      </c>
    </row>
    <row r="79">
      <c r="A79" s="31" t="inlineStr">
        <is>
          <t>KSB</t>
        </is>
      </c>
      <c r="B79" s="31" t="inlineStr">
        <is>
          <t>KSB Ltd</t>
        </is>
      </c>
      <c r="C79" s="31" t="inlineStr">
        <is>
          <t>industrials</t>
        </is>
      </c>
      <c r="D79" s="31" t="inlineStr">
        <is>
          <t>pumps</t>
        </is>
      </c>
      <c r="E79" s="31" t="inlineStr">
        <is>
          <t>midcap</t>
        </is>
      </c>
      <c r="F79" s="31" t="n">
        <v>16124.73</v>
      </c>
      <c r="G79" s="31" t="n">
        <v>930</v>
      </c>
      <c r="H79" s="31" t="n">
        <v>0.38</v>
      </c>
      <c r="I79" s="31" t="n">
        <v>205443</v>
      </c>
      <c r="J79" s="31" t="inlineStr">
        <is>
          <t>500249</t>
        </is>
      </c>
    </row>
    <row r="80">
      <c r="A80" s="31" t="inlineStr">
        <is>
          <t>VMART</t>
        </is>
      </c>
      <c r="B80" s="31" t="inlineStr">
        <is>
          <t>V-mart Retail Limited</t>
        </is>
      </c>
      <c r="C80" s="31" t="inlineStr">
        <is>
          <t>consumer discretionary</t>
        </is>
      </c>
      <c r="D80" s="31" t="inlineStr">
        <is>
          <t>trading</t>
        </is>
      </c>
      <c r="E80" s="31" t="inlineStr">
        <is>
          <t>midcap</t>
        </is>
      </c>
      <c r="F80" s="31" t="n">
        <v>6216.82</v>
      </c>
      <c r="G80" s="31" t="n">
        <v>784.95</v>
      </c>
      <c r="H80" s="31" t="n">
        <v>0.33</v>
      </c>
      <c r="I80" s="31" t="n">
        <v>174151</v>
      </c>
      <c r="J80" s="31" t="inlineStr">
        <is>
          <t>534976</t>
        </is>
      </c>
    </row>
    <row r="81">
      <c r="A81" s="31" t="inlineStr">
        <is>
          <t>PIXTRANS</t>
        </is>
      </c>
      <c r="B81" s="31" t="inlineStr">
        <is>
          <t>Pix Transmission Ltd</t>
        </is>
      </c>
      <c r="C81" s="31" t="inlineStr">
        <is>
          <t>fmcg</t>
        </is>
      </c>
      <c r="D81" s="31" t="inlineStr">
        <is>
          <t>miscellaneous</t>
        </is>
      </c>
      <c r="E81" s="31" t="inlineStr">
        <is>
          <t>smallcap</t>
        </is>
      </c>
      <c r="F81" s="31" t="n">
        <v>2378.28</v>
      </c>
      <c r="G81" s="31" t="n">
        <v>1751</v>
      </c>
      <c r="H81" s="31" t="n">
        <v>0.32</v>
      </c>
      <c r="I81" s="31" t="n">
        <v>28002</v>
      </c>
      <c r="J81" s="31" t="inlineStr">
        <is>
          <t>500333</t>
        </is>
      </c>
    </row>
    <row r="82">
      <c r="A82" s="31" t="inlineStr">
        <is>
          <t>KIRLOSENG</t>
        </is>
      </c>
      <c r="B82" s="31" t="inlineStr">
        <is>
          <t>Kirloskar Oil Engines Limited</t>
        </is>
      </c>
      <c r="C82" s="31" t="inlineStr">
        <is>
          <t>industrials</t>
        </is>
      </c>
      <c r="D82" s="31" t="inlineStr">
        <is>
          <t>engines</t>
        </is>
      </c>
      <c r="E82" s="31" t="inlineStr">
        <is>
          <t>largecap</t>
        </is>
      </c>
      <c r="F82" s="31" t="n">
        <v>32995.09</v>
      </c>
      <c r="G82" s="31" t="n">
        <v>2277</v>
      </c>
      <c r="H82" s="31" t="n">
        <v>0.31</v>
      </c>
      <c r="I82" s="31" t="n">
        <v>1027465</v>
      </c>
      <c r="J82" s="31" t="inlineStr">
        <is>
          <t>533293</t>
        </is>
      </c>
    </row>
    <row r="83">
      <c r="A83" s="31" t="inlineStr">
        <is>
          <t>GODREJIND</t>
        </is>
      </c>
      <c r="B83" s="31" t="inlineStr">
        <is>
          <t>Godrej Industries Limited</t>
        </is>
      </c>
      <c r="C83" s="31" t="inlineStr">
        <is>
          <t>chemicals</t>
        </is>
      </c>
      <c r="D83" s="31" t="inlineStr">
        <is>
          <t>chemicals</t>
        </is>
      </c>
      <c r="E83" s="31" t="inlineStr">
        <is>
          <t>largecap</t>
        </is>
      </c>
      <c r="F83" s="31" t="n">
        <v>40847.69</v>
      </c>
      <c r="G83" s="31" t="n">
        <v>1216.4</v>
      </c>
      <c r="H83" s="31" t="n">
        <v>0.3</v>
      </c>
      <c r="I83" s="31" t="n">
        <v>149975</v>
      </c>
      <c r="J83" s="31" t="inlineStr">
        <is>
          <t>500164</t>
        </is>
      </c>
    </row>
    <row r="84">
      <c r="A84" s="31" t="inlineStr">
        <is>
          <t>ADANIENSOL</t>
        </is>
      </c>
      <c r="B84" s="31" t="inlineStr">
        <is>
          <t>Adani Energy Solutions Ltd</t>
        </is>
      </c>
      <c r="C84" s="31" t="inlineStr">
        <is>
          <t>power &amp; utilities</t>
        </is>
      </c>
      <c r="D84" s="31" t="inlineStr">
        <is>
          <t>power generation and supply</t>
        </is>
      </c>
      <c r="E84" s="31" t="inlineStr">
        <is>
          <t>largecap</t>
        </is>
      </c>
      <c r="F84" s="31" t="n">
        <v>198331.76</v>
      </c>
      <c r="G84" s="31" t="n">
        <v>1655.5</v>
      </c>
      <c r="H84" s="31" t="n">
        <v>0.27</v>
      </c>
      <c r="I84" s="31" t="n">
        <v>4413897</v>
      </c>
      <c r="J84" s="31" t="inlineStr">
        <is>
          <t>539254</t>
        </is>
      </c>
    </row>
    <row r="85">
      <c r="A85" s="31" t="inlineStr">
        <is>
          <t>SCHNEIDER</t>
        </is>
      </c>
      <c r="B85" s="31" t="inlineStr">
        <is>
          <t>Schneider Electric Infrastructure Limited</t>
        </is>
      </c>
      <c r="C85" s="31" t="inlineStr">
        <is>
          <t>industrials</t>
        </is>
      </c>
      <c r="D85" s="31" t="inlineStr">
        <is>
          <t>electric equipment</t>
        </is>
      </c>
      <c r="E85" s="31" t="inlineStr">
        <is>
          <t>largecap</t>
        </is>
      </c>
      <c r="F85" s="31" t="n">
        <v>35688.67</v>
      </c>
      <c r="G85" s="31" t="n">
        <v>1496.6</v>
      </c>
      <c r="H85" s="31" t="n">
        <v>0.27</v>
      </c>
      <c r="I85" s="31" t="n">
        <v>634379</v>
      </c>
      <c r="J85" s="31" t="inlineStr">
        <is>
          <t>534139</t>
        </is>
      </c>
    </row>
    <row r="86">
      <c r="A86" s="31" t="inlineStr">
        <is>
          <t>JLHL</t>
        </is>
      </c>
      <c r="B86" s="31" t="inlineStr">
        <is>
          <t>Jupiter Life Line Hospitals Ltd</t>
        </is>
      </c>
      <c r="C86" s="31" t="inlineStr">
        <is>
          <t>healthcare</t>
        </is>
      </c>
      <c r="D86" s="31" t="inlineStr">
        <is>
          <t>healthcare</t>
        </is>
      </c>
      <c r="E86" s="31" t="inlineStr">
        <is>
          <t>midcap</t>
        </is>
      </c>
      <c r="F86" s="31" t="n">
        <v>9579.200000000001</v>
      </c>
      <c r="G86" s="31" t="n">
        <v>1464.2</v>
      </c>
      <c r="H86" s="31" t="n">
        <v>0.22</v>
      </c>
      <c r="I86" s="31" t="n">
        <v>16820</v>
      </c>
      <c r="J86" s="31" t="inlineStr">
        <is>
          <t>543980</t>
        </is>
      </c>
    </row>
    <row r="87">
      <c r="A87" s="31" t="inlineStr">
        <is>
          <t>BLISSGVS</t>
        </is>
      </c>
      <c r="B87" s="31" t="inlineStr">
        <is>
          <t>Bliss Gvs Pharma Limited</t>
        </is>
      </c>
      <c r="C87" s="31" t="inlineStr">
        <is>
          <t>healthcare</t>
        </is>
      </c>
      <c r="D87" s="31" t="inlineStr">
        <is>
          <t>pharmaceuticals - indian - formulations</t>
        </is>
      </c>
      <c r="E87" s="31" t="inlineStr">
        <is>
          <t>midcap</t>
        </is>
      </c>
      <c r="F87" s="31" t="n">
        <v>5414.28</v>
      </c>
      <c r="G87" s="31" t="n">
        <v>512.95</v>
      </c>
      <c r="H87" s="31" t="n">
        <v>0.22</v>
      </c>
      <c r="I87" s="31" t="n">
        <v>514840</v>
      </c>
      <c r="J87" s="31" t="inlineStr">
        <is>
          <t>506197</t>
        </is>
      </c>
    </row>
    <row r="88">
      <c r="A88" s="31" t="inlineStr">
        <is>
          <t>TORNTPHARM</t>
        </is>
      </c>
      <c r="B88" s="31" t="inlineStr">
        <is>
          <t>Torrent Pharmaceuticals Limited</t>
        </is>
      </c>
      <c r="C88" s="31" t="inlineStr">
        <is>
          <t>healthcare</t>
        </is>
      </c>
      <c r="D88" s="31" t="inlineStr">
        <is>
          <t>pharmaceuticals - indian - formulations</t>
        </is>
      </c>
      <c r="E88" s="31" t="inlineStr">
        <is>
          <t>largecap</t>
        </is>
      </c>
      <c r="F88" s="31" t="n">
        <v>164372.8</v>
      </c>
      <c r="G88" s="31" t="n">
        <v>4866.4</v>
      </c>
      <c r="H88" s="31" t="n">
        <v>0.2</v>
      </c>
      <c r="I88" s="31" t="n">
        <v>1025037</v>
      </c>
      <c r="J88" s="31" t="inlineStr">
        <is>
          <t>500420</t>
        </is>
      </c>
    </row>
    <row r="89">
      <c r="A89" s="31" t="inlineStr">
        <is>
          <t>STOVEKRAFT</t>
        </is>
      </c>
      <c r="B89" s="31" t="inlineStr">
        <is>
          <t>Stove Kraft Ltd</t>
        </is>
      </c>
      <c r="C89" s="31" t="inlineStr">
        <is>
          <t>consumer discretionary</t>
        </is>
      </c>
      <c r="D89" s="31" t="inlineStr">
        <is>
          <t>domestic appliances</t>
        </is>
      </c>
      <c r="E89" s="31" t="inlineStr">
        <is>
          <t>smallcap</t>
        </is>
      </c>
      <c r="F89" s="31" t="n">
        <v>2588.33</v>
      </c>
      <c r="G89" s="31" t="n">
        <v>782.45</v>
      </c>
      <c r="H89" s="31" t="n">
        <v>0.08</v>
      </c>
      <c r="I89" s="31" t="n">
        <v>285383</v>
      </c>
      <c r="J89" s="31" t="inlineStr">
        <is>
          <t>543260</t>
        </is>
      </c>
    </row>
    <row r="90">
      <c r="A90" s="31" t="inlineStr">
        <is>
          <t>ENDURANCE</t>
        </is>
      </c>
      <c r="B90" s="31" t="inlineStr">
        <is>
          <t>Endurance Technologies Limited</t>
        </is>
      </c>
      <c r="C90" s="31" t="inlineStr">
        <is>
          <t>auto</t>
        </is>
      </c>
      <c r="D90" s="31" t="inlineStr">
        <is>
          <t>auto ancillaries</t>
        </is>
      </c>
      <c r="E90" s="31" t="inlineStr">
        <is>
          <t>largecap</t>
        </is>
      </c>
      <c r="F90" s="31" t="n">
        <v>37528.85</v>
      </c>
      <c r="G90" s="31" t="n">
        <v>2669.7</v>
      </c>
      <c r="H90" s="31" t="n">
        <v>0.06</v>
      </c>
      <c r="I90" s="31" t="n">
        <v>150455</v>
      </c>
      <c r="J90" s="31" t="inlineStr">
        <is>
          <t>540153</t>
        </is>
      </c>
    </row>
    <row r="91">
      <c r="A91" s="31" t="inlineStr">
        <is>
          <t>5PAISA</t>
        </is>
      </c>
      <c r="B91" s="31" t="inlineStr">
        <is>
          <t>5Paisa Capital Ltd</t>
        </is>
      </c>
      <c r="C91" s="31" t="inlineStr">
        <is>
          <t>financials</t>
        </is>
      </c>
      <c r="D91" s="31" t="inlineStr">
        <is>
          <t>finance &amp; investments</t>
        </is>
      </c>
      <c r="E91" s="31" t="inlineStr">
        <is>
          <t>smallcap</t>
        </is>
      </c>
      <c r="F91" s="31" t="n">
        <v>1717.06</v>
      </c>
      <c r="G91" s="31" t="n">
        <v>366.4</v>
      </c>
      <c r="H91" s="31" t="n">
        <v>0.04</v>
      </c>
      <c r="I91" s="31" t="n">
        <v>55381</v>
      </c>
      <c r="J91" s="31" t="inlineStr">
        <is>
          <t>540776</t>
        </is>
      </c>
    </row>
    <row r="92">
      <c r="A92" s="31" t="inlineStr">
        <is>
          <t>POKARNA</t>
        </is>
      </c>
      <c r="B92" s="31" t="inlineStr">
        <is>
          <t>Pokarna Limited</t>
        </is>
      </c>
      <c r="C92" s="31" t="inlineStr">
        <is>
          <t>consumer discretionary</t>
        </is>
      </c>
      <c r="D92" s="31" t="inlineStr">
        <is>
          <t>miscellaneous</t>
        </is>
      </c>
      <c r="E92" s="31" t="inlineStr">
        <is>
          <t>smallcap</t>
        </is>
      </c>
      <c r="F92" s="31" t="n">
        <v>3068.78</v>
      </c>
      <c r="G92" s="31" t="n">
        <v>990.1</v>
      </c>
      <c r="H92" s="31" t="n">
        <v>0.03</v>
      </c>
      <c r="I92" s="31" t="n">
        <v>67126</v>
      </c>
      <c r="J92" s="31" t="inlineStr">
        <is>
          <t>532486</t>
        </is>
      </c>
    </row>
    <row r="93">
      <c r="A93" s="31" t="inlineStr">
        <is>
          <t>MGEL</t>
        </is>
      </c>
      <c r="B93" s="31" t="inlineStr">
        <is>
          <t>Mangalam Global Enterprise Ltd</t>
        </is>
      </c>
      <c r="C93" s="31" t="inlineStr">
        <is>
          <t>services</t>
        </is>
      </c>
      <c r="D93" s="31" t="inlineStr">
        <is>
          <t>trading</t>
        </is>
      </c>
      <c r="E93" s="31" t="inlineStr">
        <is>
          <t>smallcap</t>
        </is>
      </c>
      <c r="F93" s="31" t="n">
        <v>552.01</v>
      </c>
      <c r="G93" s="31" t="n">
        <v>16.75</v>
      </c>
      <c r="H93" s="31" t="n">
        <v>0</v>
      </c>
      <c r="I93" s="31" t="n">
        <v>233635</v>
      </c>
      <c r="J93" s="31" t="inlineStr">
        <is>
          <t>535349</t>
        </is>
      </c>
    </row>
    <row r="94">
      <c r="A94" s="31" t="inlineStr">
        <is>
          <t>IRISDOREME</t>
        </is>
      </c>
      <c r="B94" s="31" t="inlineStr">
        <is>
          <t>Iris Clothings Ltd</t>
        </is>
      </c>
      <c r="C94" s="31" t="inlineStr">
        <is>
          <t>consumer discretionary</t>
        </is>
      </c>
      <c r="D94" s="31" t="inlineStr">
        <is>
          <t>textiles - products</t>
        </is>
      </c>
      <c r="E94" s="31" t="inlineStr">
        <is>
          <t>smallcap</t>
        </is>
      </c>
      <c r="F94" s="31" t="n">
        <v>856.87</v>
      </c>
      <c r="G94" s="31" t="n">
        <v>45</v>
      </c>
      <c r="H94" s="31" t="n">
        <v>-0.04</v>
      </c>
      <c r="I94" s="31" t="n">
        <v>459705</v>
      </c>
      <c r="J94" s="31" t="inlineStr">
        <is>
          <t>535123</t>
        </is>
      </c>
    </row>
    <row r="95">
      <c r="A95" s="31" t="inlineStr">
        <is>
          <t>GUFICBIO</t>
        </is>
      </c>
      <c r="B95" s="31" t="inlineStr">
        <is>
          <t>Gufic Biosciences Limited</t>
        </is>
      </c>
      <c r="C95" s="31" t="inlineStr">
        <is>
          <t>healthcare</t>
        </is>
      </c>
      <c r="D95" s="31" t="inlineStr">
        <is>
          <t>pharmaceuticals - indian - bulk drugs &amp; formln</t>
        </is>
      </c>
      <c r="E95" s="31" t="inlineStr">
        <is>
          <t>smallcap</t>
        </is>
      </c>
      <c r="F95" s="31" t="n">
        <v>3814.75</v>
      </c>
      <c r="G95" s="31" t="n">
        <v>380.05</v>
      </c>
      <c r="H95" s="31" t="n">
        <v>-0.09</v>
      </c>
      <c r="I95" s="31" t="n">
        <v>266564</v>
      </c>
      <c r="J95" s="31" t="inlineStr">
        <is>
          <t>509079</t>
        </is>
      </c>
    </row>
    <row r="96">
      <c r="A96" s="31" t="inlineStr">
        <is>
          <t>HONAUT</t>
        </is>
      </c>
      <c r="B96" s="31" t="inlineStr">
        <is>
          <t>Honeywell Automation India Limited</t>
        </is>
      </c>
      <c r="C96" s="31" t="inlineStr">
        <is>
          <t>consumer discretionary</t>
        </is>
      </c>
      <c r="D96" s="31" t="inlineStr">
        <is>
          <t>electronics - components</t>
        </is>
      </c>
      <c r="E96" s="31" t="inlineStr">
        <is>
          <t>largecap</t>
        </is>
      </c>
      <c r="F96" s="31" t="n">
        <v>33721.57</v>
      </c>
      <c r="G96" s="31" t="n">
        <v>38100</v>
      </c>
      <c r="H96" s="31" t="n">
        <v>-0.1</v>
      </c>
      <c r="I96" s="31" t="n">
        <v>6524</v>
      </c>
      <c r="J96" s="31" t="inlineStr">
        <is>
          <t>517174</t>
        </is>
      </c>
    </row>
    <row r="97">
      <c r="A97" s="31" t="inlineStr">
        <is>
          <t>COMSYN</t>
        </is>
      </c>
      <c r="B97" s="31" t="inlineStr">
        <is>
          <t>Commercial Syn Bags Ltd</t>
        </is>
      </c>
      <c r="C97" s="31" t="inlineStr">
        <is>
          <t>industrials</t>
        </is>
      </c>
      <c r="D97" s="31" t="inlineStr">
        <is>
          <t>packaging</t>
        </is>
      </c>
      <c r="E97" s="31" t="inlineStr">
        <is>
          <t>smallcap</t>
        </is>
      </c>
      <c r="F97" s="31" t="n">
        <v>773.95</v>
      </c>
      <c r="G97" s="31" t="n">
        <v>191.61</v>
      </c>
      <c r="H97" s="31" t="n">
        <v>-0.13</v>
      </c>
      <c r="I97" s="31" t="n">
        <v>709325</v>
      </c>
      <c r="J97" s="31" t="inlineStr">
        <is>
          <t>539986</t>
        </is>
      </c>
    </row>
    <row r="98">
      <c r="A98" s="31" t="inlineStr">
        <is>
          <t>NOVARTIND</t>
        </is>
      </c>
      <c r="B98" s="31" t="inlineStr">
        <is>
          <t>Novartis India Ltd</t>
        </is>
      </c>
      <c r="C98" s="31" t="inlineStr">
        <is>
          <t>healthcare</t>
        </is>
      </c>
      <c r="D98" s="31" t="inlineStr">
        <is>
          <t>pharmaceuticals - multinational</t>
        </is>
      </c>
      <c r="E98" s="31" t="inlineStr">
        <is>
          <t>smallcap</t>
        </is>
      </c>
      <c r="F98" s="31" t="n">
        <v>3599.42</v>
      </c>
      <c r="G98" s="31" t="n">
        <v>1455.9</v>
      </c>
      <c r="H98" s="31" t="n">
        <v>-0.13</v>
      </c>
      <c r="I98" s="31" t="n">
        <v>9978</v>
      </c>
      <c r="J98" s="31" t="inlineStr">
        <is>
          <t>500672</t>
        </is>
      </c>
    </row>
    <row r="99">
      <c r="A99" s="31" t="inlineStr">
        <is>
          <t>SBC</t>
        </is>
      </c>
      <c r="B99" s="31" t="inlineStr">
        <is>
          <t>SBC Exports Ltd</t>
        </is>
      </c>
      <c r="C99" s="31" t="inlineStr">
        <is>
          <t>textiles</t>
        </is>
      </c>
      <c r="D99" s="31" t="inlineStr">
        <is>
          <t>textiles - products</t>
        </is>
      </c>
      <c r="E99" s="31" t="inlineStr">
        <is>
          <t>smallcap</t>
        </is>
      </c>
      <c r="F99" s="31" t="n">
        <v>2005.71</v>
      </c>
      <c r="G99" s="31" t="n">
        <v>42.06</v>
      </c>
      <c r="H99" s="31" t="n">
        <v>-0.14</v>
      </c>
      <c r="I99" s="31" t="n">
        <v>7461048</v>
      </c>
      <c r="J99" s="31" t="inlineStr">
        <is>
          <t>542725</t>
        </is>
      </c>
    </row>
    <row r="100">
      <c r="A100" s="31" t="inlineStr">
        <is>
          <t>RANEHOLDIN</t>
        </is>
      </c>
      <c r="B100" s="31" t="inlineStr">
        <is>
          <t>Rane Holdings Limited</t>
        </is>
      </c>
      <c r="C100" s="31" t="inlineStr">
        <is>
          <t>financials</t>
        </is>
      </c>
      <c r="D100" s="31" t="inlineStr">
        <is>
          <t>finance &amp; investments</t>
        </is>
      </c>
      <c r="E100" s="31" t="inlineStr">
        <is>
          <t>smallcap</t>
        </is>
      </c>
      <c r="F100" s="31" t="n">
        <v>2471.49</v>
      </c>
      <c r="G100" s="31" t="n">
        <v>1728.4</v>
      </c>
      <c r="H100" s="31" t="n">
        <v>-0.15</v>
      </c>
      <c r="I100" s="31" t="n">
        <v>15719</v>
      </c>
      <c r="J100" s="31" t="inlineStr">
        <is>
          <t>505800</t>
        </is>
      </c>
    </row>
    <row r="101">
      <c r="A101" s="31" t="inlineStr">
        <is>
          <t>M&amp;MFIN</t>
        </is>
      </c>
      <c r="B101" s="31" t="inlineStr">
        <is>
          <t>Mahindra &amp; Mahindra Financial Services Limited</t>
        </is>
      </c>
      <c r="C101" s="31" t="inlineStr">
        <is>
          <t>financials</t>
        </is>
      </c>
      <c r="D101" s="31" t="inlineStr">
        <is>
          <t>finance &amp; investments</t>
        </is>
      </c>
      <c r="E101" s="31" t="inlineStr">
        <is>
          <t>largecap</t>
        </is>
      </c>
      <c r="F101" s="31" t="n">
        <v>46174.84</v>
      </c>
      <c r="G101" s="31" t="n">
        <v>331.65</v>
      </c>
      <c r="H101" s="31" t="n">
        <v>-0.17</v>
      </c>
      <c r="I101" s="31" t="n">
        <v>6173236</v>
      </c>
      <c r="J101" s="31" t="inlineStr">
        <is>
          <t>532720</t>
        </is>
      </c>
    </row>
    <row r="102">
      <c r="A102" s="31" t="inlineStr">
        <is>
          <t>CGCL</t>
        </is>
      </c>
      <c r="B102" s="31" t="inlineStr">
        <is>
          <t>Capri Global Capital Limited</t>
        </is>
      </c>
      <c r="C102" s="31" t="inlineStr">
        <is>
          <t>financials</t>
        </is>
      </c>
      <c r="D102" s="31" t="inlineStr">
        <is>
          <t>finance &amp; investments</t>
        </is>
      </c>
      <c r="E102" s="31" t="inlineStr">
        <is>
          <t>largecap</t>
        </is>
      </c>
      <c r="F102" s="31" t="n">
        <v>22848.27</v>
      </c>
      <c r="G102" s="31" t="n">
        <v>237</v>
      </c>
      <c r="H102" s="31" t="n">
        <v>-0.2</v>
      </c>
      <c r="I102" s="31" t="n">
        <v>20251942</v>
      </c>
      <c r="J102" s="31" t="inlineStr">
        <is>
          <t>531595</t>
        </is>
      </c>
    </row>
    <row r="103">
      <c r="A103" s="31" t="inlineStr">
        <is>
          <t>SOBHA</t>
        </is>
      </c>
      <c r="B103" s="31" t="inlineStr">
        <is>
          <t>Sobha Limited</t>
        </is>
      </c>
      <c r="C103" s="31" t="inlineStr">
        <is>
          <t>realty</t>
        </is>
      </c>
      <c r="D103" s="31" t="inlineStr">
        <is>
          <t>construction</t>
        </is>
      </c>
      <c r="E103" s="31" t="inlineStr">
        <is>
          <t>midcap</t>
        </is>
      </c>
      <c r="F103" s="31" t="n">
        <v>15553.23</v>
      </c>
      <c r="G103" s="31" t="n">
        <v>1451.2</v>
      </c>
      <c r="H103" s="31" t="n">
        <v>-0.21</v>
      </c>
      <c r="I103" s="31" t="n">
        <v>334191</v>
      </c>
      <c r="J103" s="31" t="inlineStr">
        <is>
          <t>532784</t>
        </is>
      </c>
    </row>
    <row r="104">
      <c r="A104" s="31" t="inlineStr">
        <is>
          <t>MAYURUNIQ</t>
        </is>
      </c>
      <c r="B104" s="31" t="inlineStr">
        <is>
          <t>Mayur Uniquoters Ltd</t>
        </is>
      </c>
      <c r="C104" s="31" t="inlineStr">
        <is>
          <t>consumer discretionary</t>
        </is>
      </c>
      <c r="D104" s="31" t="inlineStr">
        <is>
          <t>leather / leather products</t>
        </is>
      </c>
      <c r="E104" s="31" t="inlineStr">
        <is>
          <t>smallcap</t>
        </is>
      </c>
      <c r="F104" s="31" t="n">
        <v>3716.28</v>
      </c>
      <c r="G104" s="31" t="n">
        <v>853.25</v>
      </c>
      <c r="H104" s="31" t="n">
        <v>-0.23</v>
      </c>
      <c r="I104" s="31" t="n">
        <v>155589</v>
      </c>
      <c r="J104" s="31" t="inlineStr">
        <is>
          <t>522249</t>
        </is>
      </c>
    </row>
    <row r="105">
      <c r="A105" s="31" t="inlineStr">
        <is>
          <t>CERA</t>
        </is>
      </c>
      <c r="B105" s="31" t="inlineStr">
        <is>
          <t>Cera Sanitaryware Limited</t>
        </is>
      </c>
      <c r="C105" s="31" t="inlineStr">
        <is>
          <t>building materials</t>
        </is>
      </c>
      <c r="D105" s="31" t="inlineStr">
        <is>
          <t>ceramics - tiles / sanitaryware</t>
        </is>
      </c>
      <c r="E105" s="31" t="inlineStr">
        <is>
          <t>midcap</t>
        </is>
      </c>
      <c r="F105" s="31" t="n">
        <v>8225.41</v>
      </c>
      <c r="G105" s="31" t="n">
        <v>6360</v>
      </c>
      <c r="H105" s="31" t="n">
        <v>-0.27</v>
      </c>
      <c r="I105" s="31" t="n">
        <v>11022</v>
      </c>
      <c r="J105" s="31" t="inlineStr">
        <is>
          <t>532443</t>
        </is>
      </c>
    </row>
    <row r="106">
      <c r="A106" s="31" t="inlineStr">
        <is>
          <t>CEMPRO</t>
        </is>
      </c>
      <c r="B106" s="31" t="inlineStr">
        <is>
          <t>Cemindia Projects Ltd</t>
        </is>
      </c>
      <c r="C106" s="31" t="inlineStr">
        <is>
          <t>realty</t>
        </is>
      </c>
      <c r="D106" s="31" t="inlineStr">
        <is>
          <t>construction</t>
        </is>
      </c>
      <c r="E106" s="31" t="inlineStr">
        <is>
          <t>largecap</t>
        </is>
      </c>
      <c r="F106" s="31" t="n">
        <v>25665.07</v>
      </c>
      <c r="G106" s="31" t="n">
        <v>1490</v>
      </c>
      <c r="H106" s="31" t="n">
        <v>-0.27</v>
      </c>
      <c r="I106" s="31" t="n">
        <v>978952</v>
      </c>
      <c r="J106" s="31" t="inlineStr">
        <is>
          <t>509496</t>
        </is>
      </c>
    </row>
    <row r="107">
      <c r="A107" s="31" t="inlineStr">
        <is>
          <t>CARTRADE</t>
        </is>
      </c>
      <c r="B107" s="31" t="inlineStr">
        <is>
          <t>Cartrade Tech Ltd</t>
        </is>
      </c>
      <c r="C107" s="31" t="inlineStr">
        <is>
          <t>consumer discretionary</t>
        </is>
      </c>
      <c r="D107" s="31" t="inlineStr">
        <is>
          <t>miscellaneous</t>
        </is>
      </c>
      <c r="E107" s="31" t="inlineStr">
        <is>
          <t>midcap</t>
        </is>
      </c>
      <c r="F107" s="31" t="n">
        <v>13326.37</v>
      </c>
      <c r="G107" s="31" t="n">
        <v>2775.9</v>
      </c>
      <c r="H107" s="31" t="n">
        <v>-0.27</v>
      </c>
      <c r="I107" s="31" t="n">
        <v>699381</v>
      </c>
      <c r="J107" s="31" t="inlineStr">
        <is>
          <t>543333</t>
        </is>
      </c>
    </row>
    <row r="108">
      <c r="A108" s="31" t="inlineStr">
        <is>
          <t>CENTURYPLY</t>
        </is>
      </c>
      <c r="B108" s="31" t="inlineStr">
        <is>
          <t>Century Plyboards (india) Limited</t>
        </is>
      </c>
      <c r="C108" s="31" t="inlineStr">
        <is>
          <t>building materials</t>
        </is>
      </c>
      <c r="D108" s="31" t="inlineStr">
        <is>
          <t>miscellaneous</t>
        </is>
      </c>
      <c r="E108" s="31" t="inlineStr">
        <is>
          <t>midcap</t>
        </is>
      </c>
      <c r="F108" s="31" t="n">
        <v>17157.31</v>
      </c>
      <c r="G108" s="31" t="n">
        <v>770</v>
      </c>
      <c r="H108" s="31" t="n">
        <v>-0.29</v>
      </c>
      <c r="I108" s="31" t="n">
        <v>36084</v>
      </c>
      <c r="J108" s="31" t="inlineStr">
        <is>
          <t>532548</t>
        </is>
      </c>
    </row>
    <row r="109">
      <c r="A109" s="31" t="inlineStr">
        <is>
          <t>BOSCHLTD</t>
        </is>
      </c>
      <c r="B109" s="31" t="inlineStr">
        <is>
          <t>Bosch Limited</t>
        </is>
      </c>
      <c r="C109" s="31" t="inlineStr">
        <is>
          <t>auto</t>
        </is>
      </c>
      <c r="D109" s="31" t="inlineStr">
        <is>
          <t>auto ancillaries</t>
        </is>
      </c>
      <c r="E109" s="31" t="inlineStr">
        <is>
          <t>largecap</t>
        </is>
      </c>
      <c r="F109" s="31" t="n">
        <v>123681.58</v>
      </c>
      <c r="G109" s="31" t="n">
        <v>41780</v>
      </c>
      <c r="H109" s="31" t="n">
        <v>-0.37</v>
      </c>
      <c r="I109" s="31" t="n">
        <v>64657</v>
      </c>
      <c r="J109" s="31" t="inlineStr">
        <is>
          <t>500530</t>
        </is>
      </c>
    </row>
    <row r="110">
      <c r="A110" s="31" t="inlineStr">
        <is>
          <t>AKUMS</t>
        </is>
      </c>
      <c r="B110" s="31" t="inlineStr">
        <is>
          <t>Akums Drugs &amp; Pharmaceuticals Ltd</t>
        </is>
      </c>
      <c r="C110" s="31" t="inlineStr">
        <is>
          <t>healthcare</t>
        </is>
      </c>
      <c r="D110" s="31" t="inlineStr">
        <is>
          <t>pharmaceuticals - indian - bulk drugs &amp; formln</t>
        </is>
      </c>
      <c r="E110" s="31" t="inlineStr">
        <is>
          <t>midcap</t>
        </is>
      </c>
      <c r="F110" s="31" t="n">
        <v>10228.25</v>
      </c>
      <c r="G110" s="31" t="n">
        <v>647.35</v>
      </c>
      <c r="H110" s="31" t="n">
        <v>-0.38</v>
      </c>
      <c r="I110" s="31" t="n">
        <v>727066</v>
      </c>
      <c r="J110" s="31" t="inlineStr">
        <is>
          <t>544222</t>
        </is>
      </c>
    </row>
    <row r="111">
      <c r="A111" s="31" t="inlineStr">
        <is>
          <t>TITAN</t>
        </is>
      </c>
      <c r="B111" s="31" t="inlineStr">
        <is>
          <t>Titan Company Limited</t>
        </is>
      </c>
      <c r="C111" s="31" t="inlineStr">
        <is>
          <t>consumer discretionary</t>
        </is>
      </c>
      <c r="D111" s="31" t="inlineStr">
        <is>
          <t>diamond cutting / jewellery</t>
        </is>
      </c>
      <c r="E111" s="31" t="inlineStr">
        <is>
          <t>largecap</t>
        </is>
      </c>
      <c r="F111" s="31" t="n">
        <v>408754.5</v>
      </c>
      <c r="G111" s="31" t="n">
        <v>4586.4</v>
      </c>
      <c r="H111" s="31" t="n">
        <v>-0.39</v>
      </c>
      <c r="I111" s="31" t="n">
        <v>1045714</v>
      </c>
      <c r="J111" s="31" t="inlineStr">
        <is>
          <t>500114</t>
        </is>
      </c>
    </row>
    <row r="112">
      <c r="A112" s="31" t="inlineStr">
        <is>
          <t>POLYPLEX</t>
        </is>
      </c>
      <c r="B112" s="31" t="inlineStr">
        <is>
          <t>Polyplex Corporation Limited</t>
        </is>
      </c>
      <c r="C112" s="31" t="inlineStr">
        <is>
          <t>industrials</t>
        </is>
      </c>
      <c r="D112" s="31" t="inlineStr">
        <is>
          <t>packaging</t>
        </is>
      </c>
      <c r="E112" s="31" t="inlineStr">
        <is>
          <t>smallcap</t>
        </is>
      </c>
      <c r="F112" s="31" t="n">
        <v>3217.88</v>
      </c>
      <c r="G112" s="31" t="n">
        <v>1020.9</v>
      </c>
      <c r="H112" s="31" t="n">
        <v>-0.4</v>
      </c>
      <c r="I112" s="31" t="n">
        <v>106608</v>
      </c>
      <c r="J112" s="31" t="inlineStr">
        <is>
          <t>524051</t>
        </is>
      </c>
    </row>
    <row r="113">
      <c r="A113" s="31" t="inlineStr">
        <is>
          <t>DRREDDY</t>
        </is>
      </c>
      <c r="B113" s="31" t="inlineStr">
        <is>
          <t>Dr. Reddy's Laboratories Limited</t>
        </is>
      </c>
      <c r="C113" s="31" t="inlineStr">
        <is>
          <t>healthcare</t>
        </is>
      </c>
      <c r="D113" s="31" t="inlineStr">
        <is>
          <t>pharmaceuticals - indian - bulk drugs &amp; formln</t>
        </is>
      </c>
      <c r="E113" s="31" t="inlineStr">
        <is>
          <t>largecap</t>
        </is>
      </c>
      <c r="F113" s="31" t="n">
        <v>113062.63</v>
      </c>
      <c r="G113" s="31" t="n">
        <v>1349</v>
      </c>
      <c r="H113" s="31" t="n">
        <v>-0.41</v>
      </c>
      <c r="I113" s="31" t="n">
        <v>1561612</v>
      </c>
      <c r="J113" s="31" t="inlineStr">
        <is>
          <t>500124</t>
        </is>
      </c>
    </row>
    <row r="114">
      <c r="A114" s="31" t="inlineStr">
        <is>
          <t>MINDACORP</t>
        </is>
      </c>
      <c r="B114" s="31" t="inlineStr">
        <is>
          <t>Minda Corporation Limited</t>
        </is>
      </c>
      <c r="C114" s="31" t="inlineStr">
        <is>
          <t>auto</t>
        </is>
      </c>
      <c r="D114" s="31" t="inlineStr">
        <is>
          <t>auto ancillaries</t>
        </is>
      </c>
      <c r="E114" s="31" t="inlineStr">
        <is>
          <t>midcap</t>
        </is>
      </c>
      <c r="F114" s="31" t="n">
        <v>16406.83</v>
      </c>
      <c r="G114" s="31" t="n">
        <v>683.35</v>
      </c>
      <c r="H114" s="31" t="n">
        <v>-0.42</v>
      </c>
      <c r="I114" s="31" t="n">
        <v>362007</v>
      </c>
      <c r="J114" s="31" t="inlineStr">
        <is>
          <t>538962</t>
        </is>
      </c>
    </row>
    <row r="115">
      <c r="A115" s="31" t="inlineStr">
        <is>
          <t>ZYDUSLIFE</t>
        </is>
      </c>
      <c r="B115" s="31" t="inlineStr">
        <is>
          <t>Zydus Lifesciences Ltd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largecap</t>
        </is>
      </c>
      <c r="F115" s="31" t="n">
        <v>115012.19</v>
      </c>
      <c r="G115" s="31" t="n">
        <v>1148</v>
      </c>
      <c r="H115" s="31" t="n">
        <v>-0.43</v>
      </c>
      <c r="I115" s="31" t="n">
        <v>2481524</v>
      </c>
      <c r="J115" s="31" t="inlineStr">
        <is>
          <t>532321</t>
        </is>
      </c>
    </row>
    <row r="116">
      <c r="A116" s="31" t="inlineStr">
        <is>
          <t>GRANULES</t>
        </is>
      </c>
      <c r="B116" s="31" t="inlineStr">
        <is>
          <t>Granules India Limited</t>
        </is>
      </c>
      <c r="C116" s="31" t="inlineStr">
        <is>
          <t>healthcare</t>
        </is>
      </c>
      <c r="D116" s="31" t="inlineStr">
        <is>
          <t>pharmaceuticals - indian - bulk drugs &amp; formln</t>
        </is>
      </c>
      <c r="E116" s="31" t="inlineStr">
        <is>
          <t>largecap</t>
        </is>
      </c>
      <c r="F116" s="31" t="n">
        <v>21398.5</v>
      </c>
      <c r="G116" s="31" t="n">
        <v>859.55</v>
      </c>
      <c r="H116" s="31" t="n">
        <v>-0.46</v>
      </c>
      <c r="I116" s="31" t="n">
        <v>1594260</v>
      </c>
      <c r="J116" s="31" t="inlineStr">
        <is>
          <t>532482</t>
        </is>
      </c>
    </row>
    <row r="117">
      <c r="A117" s="31" t="inlineStr">
        <is>
          <t>RPEL</t>
        </is>
      </c>
      <c r="B117" s="31" t="inlineStr">
        <is>
          <t>Raghav Productivity Enhancers Ltd</t>
        </is>
      </c>
      <c r="C117" s="31" t="inlineStr">
        <is>
          <t>building materials</t>
        </is>
      </c>
      <c r="D117" s="31" t="inlineStr">
        <is>
          <t>refractories / intermediates</t>
        </is>
      </c>
      <c r="E117" s="31" t="inlineStr">
        <is>
          <t>midcap</t>
        </is>
      </c>
      <c r="F117" s="31" t="n">
        <v>5998.33</v>
      </c>
      <c r="G117" s="31" t="n">
        <v>1300</v>
      </c>
      <c r="H117" s="31" t="n">
        <v>-0.47</v>
      </c>
      <c r="I117" s="31" t="n">
        <v>156309</v>
      </c>
      <c r="J117" s="31" t="inlineStr">
        <is>
          <t>539837</t>
        </is>
      </c>
    </row>
    <row r="118">
      <c r="A118" s="31" t="inlineStr">
        <is>
          <t>RADICO</t>
        </is>
      </c>
      <c r="B118" s="31" t="inlineStr">
        <is>
          <t>Radico Khaitan Limited</t>
        </is>
      </c>
      <c r="C118" s="31" t="inlineStr">
        <is>
          <t>fmcg</t>
        </is>
      </c>
      <c r="D118" s="31" t="inlineStr">
        <is>
          <t>breweries &amp; distilleries</t>
        </is>
      </c>
      <c r="E118" s="31" t="inlineStr">
        <is>
          <t>largecap</t>
        </is>
      </c>
      <c r="F118" s="31" t="n">
        <v>54879.41</v>
      </c>
      <c r="G118" s="31" t="n">
        <v>4077.6</v>
      </c>
      <c r="H118" s="31" t="n">
        <v>-0.51</v>
      </c>
      <c r="I118" s="31" t="n">
        <v>312100</v>
      </c>
      <c r="J118" s="31" t="inlineStr">
        <is>
          <t>532497</t>
        </is>
      </c>
    </row>
    <row r="119">
      <c r="A119" s="31" t="inlineStr">
        <is>
          <t>ASKAUTOLTD</t>
        </is>
      </c>
      <c r="B119" s="31" t="inlineStr">
        <is>
          <t>ASK Automotive Ltd</t>
        </is>
      </c>
      <c r="C119" s="31" t="inlineStr">
        <is>
          <t>auto</t>
        </is>
      </c>
      <c r="D119" s="31" t="inlineStr">
        <is>
          <t>auto ancillaries</t>
        </is>
      </c>
      <c r="E119" s="31" t="inlineStr">
        <is>
          <t>midcap</t>
        </is>
      </c>
      <c r="F119" s="31" t="n">
        <v>9225.290000000001</v>
      </c>
      <c r="G119" s="31" t="n">
        <v>465.5</v>
      </c>
      <c r="H119" s="31" t="n">
        <v>-0.52</v>
      </c>
      <c r="I119" s="31" t="n">
        <v>448298</v>
      </c>
      <c r="J119" s="31" t="inlineStr">
        <is>
          <t>544022</t>
        </is>
      </c>
    </row>
    <row r="120">
      <c r="A120" s="31" t="inlineStr">
        <is>
          <t>ACMESOLAR</t>
        </is>
      </c>
      <c r="B120" s="31" t="inlineStr">
        <is>
          <t>ACME Solar Holdings Ltd</t>
        </is>
      </c>
      <c r="C120" s="31" t="inlineStr">
        <is>
          <t>realty</t>
        </is>
      </c>
      <c r="D120" s="31" t="inlineStr">
        <is>
          <t>engineering - turnkey services</t>
        </is>
      </c>
      <c r="E120" s="31" t="inlineStr">
        <is>
          <t>largecap</t>
        </is>
      </c>
      <c r="F120" s="31" t="n">
        <v>25926.32</v>
      </c>
      <c r="G120" s="31" t="n">
        <v>365.25</v>
      </c>
      <c r="H120" s="31" t="n">
        <v>-0.52</v>
      </c>
      <c r="I120" s="31" t="n">
        <v>1121558</v>
      </c>
      <c r="J120" s="31" t="inlineStr">
        <is>
          <t>544283</t>
        </is>
      </c>
    </row>
    <row r="121">
      <c r="A121" s="31" t="inlineStr">
        <is>
          <t>BHARATFORG</t>
        </is>
      </c>
      <c r="B121" s="31" t="inlineStr">
        <is>
          <t>Bharat Forge Limited</t>
        </is>
      </c>
      <c r="C121" s="31" t="inlineStr">
        <is>
          <t>industrials</t>
        </is>
      </c>
      <c r="D121" s="31" t="inlineStr">
        <is>
          <t>castings &amp; forgings</t>
        </is>
      </c>
      <c r="E121" s="31" t="inlineStr">
        <is>
          <t>largecap</t>
        </is>
      </c>
      <c r="F121" s="31" t="n">
        <v>100953.2</v>
      </c>
      <c r="G121" s="31" t="n">
        <v>2100.5</v>
      </c>
      <c r="H121" s="31" t="n">
        <v>-0.53</v>
      </c>
      <c r="I121" s="31" t="n">
        <v>861242</v>
      </c>
      <c r="J121" s="31" t="inlineStr">
        <is>
          <t>500493</t>
        </is>
      </c>
    </row>
    <row r="122">
      <c r="A122" s="31" t="inlineStr">
        <is>
          <t>KRYSTAL</t>
        </is>
      </c>
      <c r="B122" s="31" t="inlineStr">
        <is>
          <t>Krystal Integrated Services Ltd</t>
        </is>
      </c>
      <c r="C122" s="31" t="inlineStr">
        <is>
          <t>miscellaneous</t>
        </is>
      </c>
      <c r="D122" s="31" t="inlineStr">
        <is>
          <t>miscellaneous</t>
        </is>
      </c>
      <c r="E122" s="31" t="inlineStr">
        <is>
          <t>smallcap</t>
        </is>
      </c>
      <c r="F122" s="31" t="n">
        <v>846.5599999999999</v>
      </c>
      <c r="G122" s="31" t="n">
        <v>602.5</v>
      </c>
      <c r="H122" s="31" t="n">
        <v>-0.5600000000000001</v>
      </c>
      <c r="I122" s="31" t="n">
        <v>11757</v>
      </c>
      <c r="J122" s="31" t="inlineStr">
        <is>
          <t>544149</t>
        </is>
      </c>
    </row>
    <row r="123">
      <c r="A123" s="31" t="inlineStr">
        <is>
          <t>LAURUSLABS</t>
        </is>
      </c>
      <c r="B123" s="31" t="inlineStr">
        <is>
          <t>Laurus Labs Limited</t>
        </is>
      </c>
      <c r="C123" s="31" t="inlineStr">
        <is>
          <t>healthcare</t>
        </is>
      </c>
      <c r="D123" s="31" t="inlineStr">
        <is>
          <t>pharmaceuticals - indian - bulk drugs &amp; formln</t>
        </is>
      </c>
      <c r="E123" s="31" t="inlineStr">
        <is>
          <t>largecap</t>
        </is>
      </c>
      <c r="F123" s="31" t="n">
        <v>79758.41</v>
      </c>
      <c r="G123" s="31" t="n">
        <v>1469.2</v>
      </c>
      <c r="H123" s="31" t="n">
        <v>-0.5600000000000001</v>
      </c>
      <c r="I123" s="31" t="n">
        <v>1918556</v>
      </c>
      <c r="J123" s="31" t="inlineStr">
        <is>
          <t>540222</t>
        </is>
      </c>
    </row>
    <row r="124">
      <c r="A124" s="31" t="inlineStr">
        <is>
          <t>KIRLOSIND</t>
        </is>
      </c>
      <c r="B124" s="31" t="inlineStr">
        <is>
          <t>Kirloskar Industries Limited</t>
        </is>
      </c>
      <c r="C124" s="31" t="inlineStr">
        <is>
          <t>financials</t>
        </is>
      </c>
      <c r="D124" s="31" t="inlineStr">
        <is>
          <t>finance &amp; investments</t>
        </is>
      </c>
      <c r="E124" s="31" t="inlineStr">
        <is>
          <t>smallcap</t>
        </is>
      </c>
      <c r="F124" s="31" t="n">
        <v>4227.5</v>
      </c>
      <c r="G124" s="31" t="n">
        <v>3999</v>
      </c>
      <c r="H124" s="31" t="n">
        <v>-0.59</v>
      </c>
      <c r="I124" s="31" t="n">
        <v>9948</v>
      </c>
      <c r="J124" s="31" t="inlineStr">
        <is>
          <t>500243</t>
        </is>
      </c>
    </row>
    <row r="125">
      <c r="A125" s="31" t="inlineStr">
        <is>
          <t>ADFFOODS</t>
        </is>
      </c>
      <c r="B125" s="31" t="inlineStr">
        <is>
          <t>Adf Foods Limited</t>
        </is>
      </c>
      <c r="C125" s="31" t="inlineStr">
        <is>
          <t>fmcg</t>
        </is>
      </c>
      <c r="D125" s="31" t="inlineStr">
        <is>
          <t>food - processing - indian</t>
        </is>
      </c>
      <c r="E125" s="31" t="inlineStr">
        <is>
          <t>smallcap</t>
        </is>
      </c>
      <c r="F125" s="31" t="n">
        <v>3410.17</v>
      </c>
      <c r="G125" s="31" t="n">
        <v>308.45</v>
      </c>
      <c r="H125" s="31" t="n">
        <v>-0.63</v>
      </c>
      <c r="I125" s="31" t="n">
        <v>305173</v>
      </c>
      <c r="J125" s="31" t="inlineStr">
        <is>
          <t>519183</t>
        </is>
      </c>
    </row>
    <row r="126">
      <c r="A126" s="31" t="inlineStr">
        <is>
          <t>HITECHCORP</t>
        </is>
      </c>
      <c r="B126" s="31" t="inlineStr">
        <is>
          <t>Hitech Corporation</t>
        </is>
      </c>
      <c r="C126" s="31" t="inlineStr">
        <is>
          <t>industrials</t>
        </is>
      </c>
      <c r="D126" s="31" t="inlineStr">
        <is>
          <t>packaging</t>
        </is>
      </c>
      <c r="E126" s="31" t="inlineStr">
        <is>
          <t>smallcap</t>
        </is>
      </c>
      <c r="F126" s="31" t="n">
        <v>541.03</v>
      </c>
      <c r="G126" s="31" t="n">
        <v>313</v>
      </c>
      <c r="H126" s="31" t="n">
        <v>-0.63</v>
      </c>
      <c r="I126" s="31" t="n">
        <v>25218</v>
      </c>
      <c r="J126" s="31" t="inlineStr">
        <is>
          <t>526217</t>
        </is>
      </c>
    </row>
    <row r="127">
      <c r="A127" s="31" t="inlineStr">
        <is>
          <t>SANGAMIND</t>
        </is>
      </c>
      <c r="B127" s="31" t="inlineStr">
        <is>
          <t>Sangam (india) Limited</t>
        </is>
      </c>
      <c r="C127" s="31" t="inlineStr">
        <is>
          <t>textiles</t>
        </is>
      </c>
      <c r="D127" s="31" t="inlineStr">
        <is>
          <t>textiles - spinning - synthetic / blended</t>
        </is>
      </c>
      <c r="E127" s="31" t="inlineStr">
        <is>
          <t>smallcap</t>
        </is>
      </c>
      <c r="F127" s="31" t="n">
        <v>2774.36</v>
      </c>
      <c r="G127" s="31" t="n">
        <v>548.65</v>
      </c>
      <c r="H127" s="31" t="n">
        <v>-0.63</v>
      </c>
      <c r="I127" s="31" t="n">
        <v>156553</v>
      </c>
      <c r="J127" s="31" t="inlineStr">
        <is>
          <t>514234</t>
        </is>
      </c>
    </row>
    <row r="128">
      <c r="A128" s="31" t="inlineStr">
        <is>
          <t>FDC</t>
        </is>
      </c>
      <c r="B128" s="31" t="inlineStr">
        <is>
          <t>Fdc Limited</t>
        </is>
      </c>
      <c r="C128" s="31" t="inlineStr">
        <is>
          <t>healthcare</t>
        </is>
      </c>
      <c r="D128" s="31" t="inlineStr">
        <is>
          <t>pharmaceuticals - indian - bulk drugs &amp; formln</t>
        </is>
      </c>
      <c r="E128" s="31" t="inlineStr">
        <is>
          <t>midcap</t>
        </is>
      </c>
      <c r="F128" s="31" t="n">
        <v>6938.15</v>
      </c>
      <c r="G128" s="31" t="n">
        <v>423.4</v>
      </c>
      <c r="H128" s="31" t="n">
        <v>-0.65</v>
      </c>
      <c r="I128" s="31" t="n">
        <v>239349</v>
      </c>
      <c r="J128" s="31" t="inlineStr">
        <is>
          <t>531599</t>
        </is>
      </c>
    </row>
    <row r="129">
      <c r="A129" s="31" t="inlineStr">
        <is>
          <t>UNIMECH</t>
        </is>
      </c>
      <c r="B129" s="31" t="inlineStr">
        <is>
          <t>Unimech Aerospace and Manufacturing Ltd</t>
        </is>
      </c>
      <c r="C129" s="31" t="inlineStr">
        <is>
          <t>aerospace &amp; defence</t>
        </is>
      </c>
      <c r="D129" s="31" t="inlineStr">
        <is>
          <t>engineering</t>
        </is>
      </c>
      <c r="E129" s="31" t="inlineStr">
        <is>
          <t>midcap</t>
        </is>
      </c>
      <c r="F129" s="31" t="n">
        <v>5958.9</v>
      </c>
      <c r="G129" s="31" t="n">
        <v>1163.9</v>
      </c>
      <c r="H129" s="31" t="n">
        <v>-0.67</v>
      </c>
      <c r="I129" s="31" t="n">
        <v>96912</v>
      </c>
      <c r="J129" s="31" t="inlineStr">
        <is>
          <t>544322</t>
        </is>
      </c>
    </row>
    <row r="130">
      <c r="A130" s="31" t="inlineStr">
        <is>
          <t>VSTIND</t>
        </is>
      </c>
      <c r="B130" s="31" t="inlineStr">
        <is>
          <t>Vst Industries Limited</t>
        </is>
      </c>
      <c r="C130" s="31" t="inlineStr">
        <is>
          <t>fmcg</t>
        </is>
      </c>
      <c r="D130" s="31" t="inlineStr">
        <is>
          <t>cigarettes</t>
        </is>
      </c>
      <c r="E130" s="31" t="inlineStr">
        <is>
          <t>smallcap</t>
        </is>
      </c>
      <c r="F130" s="31" t="n">
        <v>4543.79</v>
      </c>
      <c r="G130" s="31" t="n">
        <v>265.65</v>
      </c>
      <c r="H130" s="31" t="n">
        <v>-0.6899999999999999</v>
      </c>
      <c r="I130" s="31" t="n">
        <v>871136</v>
      </c>
      <c r="J130" s="31" t="inlineStr">
        <is>
          <t>509966</t>
        </is>
      </c>
    </row>
    <row r="131">
      <c r="A131" s="31" t="inlineStr">
        <is>
          <t>SUVEN</t>
        </is>
      </c>
      <c r="B131" s="31" t="inlineStr">
        <is>
          <t>Suven Life Sciences Limited</t>
        </is>
      </c>
      <c r="C131" s="31" t="inlineStr">
        <is>
          <t>healthcare</t>
        </is>
      </c>
      <c r="D131" s="31" t="inlineStr">
        <is>
          <t>miscellaneous</t>
        </is>
      </c>
      <c r="E131" s="31" t="inlineStr">
        <is>
          <t>midcap</t>
        </is>
      </c>
      <c r="F131" s="31" t="n">
        <v>8421.92</v>
      </c>
      <c r="G131" s="31" t="n">
        <v>317.1</v>
      </c>
      <c r="H131" s="31" t="n">
        <v>-0.7</v>
      </c>
      <c r="I131" s="31" t="n">
        <v>1444509</v>
      </c>
      <c r="J131" s="31" t="inlineStr">
        <is>
          <t>530239</t>
        </is>
      </c>
    </row>
    <row r="132">
      <c r="A132" s="31" t="inlineStr">
        <is>
          <t>JINDALSAW</t>
        </is>
      </c>
      <c r="B132" s="31" t="inlineStr">
        <is>
          <t>Jindal Saw Limited</t>
        </is>
      </c>
      <c r="C132" s="31" t="inlineStr">
        <is>
          <t>industrials</t>
        </is>
      </c>
      <c r="D132" s="31" t="inlineStr">
        <is>
          <t>steel - large</t>
        </is>
      </c>
      <c r="E132" s="31" t="inlineStr">
        <is>
          <t>midcap</t>
        </is>
      </c>
      <c r="F132" s="31" t="n">
        <v>16726.34</v>
      </c>
      <c r="G132" s="31" t="n">
        <v>259.65</v>
      </c>
      <c r="H132" s="31" t="n">
        <v>-0.73</v>
      </c>
      <c r="I132" s="31" t="n">
        <v>1757327</v>
      </c>
      <c r="J132" s="31" t="inlineStr">
        <is>
          <t>500378</t>
        </is>
      </c>
    </row>
    <row r="133">
      <c r="A133" s="31" t="inlineStr">
        <is>
          <t>SHILPAMED</t>
        </is>
      </c>
      <c r="B133" s="31" t="inlineStr">
        <is>
          <t>Shilpa Medicare Limited</t>
        </is>
      </c>
      <c r="C133" s="31" t="inlineStr">
        <is>
          <t>healthcare</t>
        </is>
      </c>
      <c r="D133" s="31" t="inlineStr">
        <is>
          <t>pharmaceuticals - indian - formulations</t>
        </is>
      </c>
      <c r="E133" s="31" t="inlineStr">
        <is>
          <t>midcap</t>
        </is>
      </c>
      <c r="F133" s="31" t="n">
        <v>11731</v>
      </c>
      <c r="G133" s="31" t="n">
        <v>595.35</v>
      </c>
      <c r="H133" s="31" t="n">
        <v>-0.74</v>
      </c>
      <c r="I133" s="31" t="n">
        <v>702134</v>
      </c>
      <c r="J133" s="31" t="inlineStr">
        <is>
          <t>530549</t>
        </is>
      </c>
    </row>
    <row r="134">
      <c r="A134" s="31" t="inlineStr">
        <is>
          <t>WELCORP</t>
        </is>
      </c>
      <c r="B134" s="31" t="inlineStr">
        <is>
          <t>Welspun Corp Limited</t>
        </is>
      </c>
      <c r="C134" s="31" t="inlineStr">
        <is>
          <t>industrials</t>
        </is>
      </c>
      <c r="D134" s="31" t="inlineStr">
        <is>
          <t>steel - large</t>
        </is>
      </c>
      <c r="E134" s="31" t="inlineStr">
        <is>
          <t>largecap</t>
        </is>
      </c>
      <c r="F134" s="31" t="n">
        <v>40650.14</v>
      </c>
      <c r="G134" s="31" t="n">
        <v>1529.2</v>
      </c>
      <c r="H134" s="31" t="n">
        <v>-0.77</v>
      </c>
      <c r="I134" s="31" t="n">
        <v>1280583</v>
      </c>
      <c r="J134" s="31" t="inlineStr">
        <is>
          <t>532144</t>
        </is>
      </c>
    </row>
    <row r="135">
      <c r="A135" s="31" t="inlineStr">
        <is>
          <t>SUNPHARMA</t>
        </is>
      </c>
      <c r="B135" s="31" t="inlineStr">
        <is>
          <t>Sun Pharmaceuticals Industries Limited</t>
        </is>
      </c>
      <c r="C135" s="31" t="inlineStr">
        <is>
          <t>healthcare</t>
        </is>
      </c>
      <c r="D135" s="31" t="inlineStr">
        <is>
          <t>pharmaceuticals - indian - bulk drugs &amp; formln</t>
        </is>
      </c>
      <c r="E135" s="31" t="inlineStr">
        <is>
          <t>largecap</t>
        </is>
      </c>
      <c r="F135" s="31" t="n">
        <v>456689.42</v>
      </c>
      <c r="G135" s="31" t="n">
        <v>1888.2</v>
      </c>
      <c r="H135" s="31" t="n">
        <v>-0.8</v>
      </c>
      <c r="I135" s="31" t="n">
        <v>2786000</v>
      </c>
      <c r="J135" s="31" t="inlineStr">
        <is>
          <t>524715</t>
        </is>
      </c>
    </row>
    <row r="136">
      <c r="A136" s="31" t="inlineStr">
        <is>
          <t>OFSS</t>
        </is>
      </c>
      <c r="B136" s="31" t="inlineStr">
        <is>
          <t>Oracle Financial Services Software Limited</t>
        </is>
      </c>
      <c r="C136" s="31" t="inlineStr">
        <is>
          <t>i.t</t>
        </is>
      </c>
      <c r="D136" s="31" t="inlineStr">
        <is>
          <t>computers - software - large</t>
        </is>
      </c>
      <c r="E136" s="31" t="inlineStr">
        <is>
          <t>largecap</t>
        </is>
      </c>
      <c r="F136" s="31" t="n">
        <v>96582.89</v>
      </c>
      <c r="G136" s="31" t="n">
        <v>11002</v>
      </c>
      <c r="H136" s="31" t="n">
        <v>-0.86</v>
      </c>
      <c r="I136" s="31" t="n">
        <v>156666</v>
      </c>
      <c r="J136" s="31" t="inlineStr">
        <is>
          <t>532466</t>
        </is>
      </c>
    </row>
    <row r="137">
      <c r="A137" s="31" t="inlineStr">
        <is>
          <t>MARICO</t>
        </is>
      </c>
      <c r="B137" s="31" t="inlineStr">
        <is>
          <t>Marico Limited</t>
        </is>
      </c>
      <c r="C137" s="31" t="inlineStr">
        <is>
          <t>fmcg</t>
        </is>
      </c>
      <c r="D137" s="31" t="inlineStr">
        <is>
          <t>solvent extraction</t>
        </is>
      </c>
      <c r="E137" s="31" t="inlineStr">
        <is>
          <t>largecap</t>
        </is>
      </c>
      <c r="F137" s="31" t="n">
        <v>110037.59</v>
      </c>
      <c r="G137" s="31" t="n">
        <v>840.1</v>
      </c>
      <c r="H137" s="31" t="n">
        <v>-0.89</v>
      </c>
      <c r="I137" s="31" t="n">
        <v>2190111</v>
      </c>
      <c r="J137" s="31" t="inlineStr">
        <is>
          <t>531642</t>
        </is>
      </c>
    </row>
    <row r="138">
      <c r="A138" s="31" t="inlineStr">
        <is>
          <t>PAGEIND</t>
        </is>
      </c>
      <c r="B138" s="31" t="inlineStr">
        <is>
          <t>Page Industries Limited</t>
        </is>
      </c>
      <c r="C138" s="31" t="inlineStr">
        <is>
          <t>consumer discretionary</t>
        </is>
      </c>
      <c r="D138" s="31" t="inlineStr">
        <is>
          <t>textiles - products</t>
        </is>
      </c>
      <c r="E138" s="31" t="inlineStr">
        <is>
          <t>largecap</t>
        </is>
      </c>
      <c r="F138" s="31" t="n">
        <v>46600.89</v>
      </c>
      <c r="G138" s="31" t="n">
        <v>41395</v>
      </c>
      <c r="H138" s="31" t="n">
        <v>-0.92</v>
      </c>
      <c r="I138" s="31" t="n">
        <v>72900</v>
      </c>
      <c r="J138" s="31" t="inlineStr">
        <is>
          <t>532827</t>
        </is>
      </c>
    </row>
    <row r="139">
      <c r="A139" s="31" t="inlineStr">
        <is>
          <t>CCL</t>
        </is>
      </c>
      <c r="B139" s="31" t="inlineStr">
        <is>
          <t>Ccl Products (india) Limited</t>
        </is>
      </c>
      <c r="C139" s="31" t="inlineStr">
        <is>
          <t>fmcg</t>
        </is>
      </c>
      <c r="D139" s="31" t="inlineStr">
        <is>
          <t>tea</t>
        </is>
      </c>
      <c r="E139" s="31" t="inlineStr">
        <is>
          <t>midcap</t>
        </is>
      </c>
      <c r="F139" s="31" t="n">
        <v>15919.2</v>
      </c>
      <c r="G139" s="31" t="n">
        <v>1181.2</v>
      </c>
      <c r="H139" s="31" t="n">
        <v>-0.92</v>
      </c>
      <c r="I139" s="31" t="n">
        <v>129377</v>
      </c>
      <c r="J139" s="31" t="inlineStr">
        <is>
          <t>519600</t>
        </is>
      </c>
    </row>
    <row r="140">
      <c r="A140" s="31" t="inlineStr">
        <is>
          <t>MEDANTA</t>
        </is>
      </c>
      <c r="B140" s="31" t="inlineStr">
        <is>
          <t>Global Health Ltd</t>
        </is>
      </c>
      <c r="C140" s="31" t="inlineStr">
        <is>
          <t>healthcare</t>
        </is>
      </c>
      <c r="D140" s="31" t="inlineStr">
        <is>
          <t>healthcare</t>
        </is>
      </c>
      <c r="E140" s="31" t="inlineStr">
        <is>
          <t>largecap</t>
        </is>
      </c>
      <c r="F140" s="31" t="n">
        <v>35595.91</v>
      </c>
      <c r="G140" s="31" t="n">
        <v>1312</v>
      </c>
      <c r="H140" s="31" t="n">
        <v>-0.93</v>
      </c>
      <c r="I140" s="31" t="n">
        <v>229489</v>
      </c>
      <c r="J140" s="31" t="inlineStr">
        <is>
          <t>543654</t>
        </is>
      </c>
    </row>
    <row r="141">
      <c r="A141" s="31" t="inlineStr">
        <is>
          <t>APOLLOHOSP</t>
        </is>
      </c>
      <c r="B141" s="31" t="inlineStr">
        <is>
          <t>Apollo Hospitals Enterprise Limited</t>
        </is>
      </c>
      <c r="C141" s="31" t="inlineStr">
        <is>
          <t>healthcare</t>
        </is>
      </c>
      <c r="D141" s="31" t="inlineStr">
        <is>
          <t>healthcare</t>
        </is>
      </c>
      <c r="E141" s="31" t="inlineStr">
        <is>
          <t>largecap</t>
        </is>
      </c>
      <c r="F141" s="31" t="n">
        <v>127062.5</v>
      </c>
      <c r="G141" s="31" t="n">
        <v>8753.5</v>
      </c>
      <c r="H141" s="31" t="n">
        <v>-0.9399999999999999</v>
      </c>
      <c r="I141" s="31" t="n">
        <v>275839</v>
      </c>
      <c r="J141" s="31" t="inlineStr">
        <is>
          <t>508869</t>
        </is>
      </c>
    </row>
    <row r="142">
      <c r="A142" s="31" t="inlineStr">
        <is>
          <t>STARHEALTH</t>
        </is>
      </c>
      <c r="B142" s="31" t="inlineStr">
        <is>
          <t>Star Health &amp; Allied Insurance Company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largecap</t>
        </is>
      </c>
      <c r="F142" s="31" t="n">
        <v>34701.1</v>
      </c>
      <c r="G142" s="31" t="n">
        <v>584.2</v>
      </c>
      <c r="H142" s="31" t="n">
        <v>-0.9399999999999999</v>
      </c>
      <c r="I142" s="31" t="n">
        <v>501607</v>
      </c>
      <c r="J142" s="31" t="inlineStr">
        <is>
          <t>543412</t>
        </is>
      </c>
    </row>
    <row r="143">
      <c r="A143" s="31" t="inlineStr">
        <is>
          <t>ALKEM</t>
        </is>
      </c>
      <c r="B143" s="31" t="inlineStr">
        <is>
          <t>Alkem Laboratories Limited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largecap</t>
        </is>
      </c>
      <c r="F143" s="31" t="n">
        <v>67763.46000000001</v>
      </c>
      <c r="G143" s="31" t="n">
        <v>5614</v>
      </c>
      <c r="H143" s="31" t="n">
        <v>-0.9399999999999999</v>
      </c>
      <c r="I143" s="31" t="n">
        <v>101198</v>
      </c>
      <c r="J143" s="31" t="inlineStr">
        <is>
          <t>539523</t>
        </is>
      </c>
    </row>
    <row r="144">
      <c r="A144" s="31" t="inlineStr">
        <is>
          <t>PGIL</t>
        </is>
      </c>
      <c r="B144" s="31" t="inlineStr">
        <is>
          <t>Pearl Global Industries Limited</t>
        </is>
      </c>
      <c r="C144" s="31" t="inlineStr">
        <is>
          <t>consumer discretionary</t>
        </is>
      </c>
      <c r="D144" s="31" t="inlineStr">
        <is>
          <t>textiles - products</t>
        </is>
      </c>
      <c r="E144" s="31" t="inlineStr">
        <is>
          <t>midcap</t>
        </is>
      </c>
      <c r="F144" s="31" t="n">
        <v>9094</v>
      </c>
      <c r="G144" s="31" t="n">
        <v>1951.7</v>
      </c>
      <c r="H144" s="31" t="n">
        <v>-0.96</v>
      </c>
      <c r="I144" s="31" t="n">
        <v>54886</v>
      </c>
      <c r="J144" s="31" t="inlineStr">
        <is>
          <t>532808</t>
        </is>
      </c>
    </row>
    <row r="145">
      <c r="A145" s="31" t="inlineStr">
        <is>
          <t>TEXINFRA</t>
        </is>
      </c>
      <c r="B145" s="31" t="inlineStr">
        <is>
          <t>Texmaco Infrastructure &amp; Holdings Limited</t>
        </is>
      </c>
      <c r="C145" s="31" t="inlineStr">
        <is>
          <t>realty</t>
        </is>
      </c>
      <c r="D145" s="31" t="inlineStr">
        <is>
          <t>construction</t>
        </is>
      </c>
      <c r="E145" s="31" t="inlineStr">
        <is>
          <t>smallcap</t>
        </is>
      </c>
      <c r="F145" s="31" t="n">
        <v>1467.7</v>
      </c>
      <c r="G145" s="31" t="n">
        <v>114.06</v>
      </c>
      <c r="H145" s="31" t="n">
        <v>-0.97</v>
      </c>
      <c r="I145" s="31" t="n">
        <v>113964</v>
      </c>
      <c r="J145" s="31" t="inlineStr">
        <is>
          <t>505400</t>
        </is>
      </c>
    </row>
    <row r="146">
      <c r="A146" s="31" t="inlineStr">
        <is>
          <t>AURUM</t>
        </is>
      </c>
      <c r="B146" s="31" t="inlineStr">
        <is>
          <t>Aurum Proptech Ltd</t>
        </is>
      </c>
      <c r="C146" s="31" t="inlineStr">
        <is>
          <t>i.t</t>
        </is>
      </c>
      <c r="D146" s="31" t="inlineStr">
        <is>
          <t>computers - software - medium / small</t>
        </is>
      </c>
      <c r="E146" s="31" t="inlineStr">
        <is>
          <t>smallcap</t>
        </is>
      </c>
      <c r="F146" s="31" t="n">
        <v>1710.94</v>
      </c>
      <c r="G146" s="31" t="n">
        <v>220.99</v>
      </c>
      <c r="H146" s="31" t="n">
        <v>-0.99</v>
      </c>
      <c r="I146" s="31" t="n">
        <v>99654</v>
      </c>
      <c r="J146" s="31" t="inlineStr">
        <is>
          <t>539289</t>
        </is>
      </c>
    </row>
    <row r="147">
      <c r="A147" s="31" t="inlineStr">
        <is>
          <t>BAJAJCON</t>
        </is>
      </c>
      <c r="B147" s="31" t="inlineStr">
        <is>
          <t>Bajaj Consumer Care Ltd</t>
        </is>
      </c>
      <c r="C147" s="31" t="inlineStr">
        <is>
          <t>fmcg</t>
        </is>
      </c>
      <c r="D147" s="31" t="inlineStr">
        <is>
          <t>personal care - indian</t>
        </is>
      </c>
      <c r="E147" s="31" t="inlineStr">
        <is>
          <t>midcap</t>
        </is>
      </c>
      <c r="F147" s="31" t="n">
        <v>8101.6</v>
      </c>
      <c r="G147" s="31" t="n">
        <v>613.9</v>
      </c>
      <c r="H147" s="31" t="n">
        <v>-1.02</v>
      </c>
      <c r="I147" s="31" t="n">
        <v>528408</v>
      </c>
      <c r="J147" s="31" t="inlineStr">
        <is>
          <t>533229</t>
        </is>
      </c>
    </row>
    <row r="148">
      <c r="A148" s="31" t="inlineStr">
        <is>
          <t>AJANTPHARM</t>
        </is>
      </c>
      <c r="B148" s="31" t="inlineStr">
        <is>
          <t>Ajanta Pharma Limited</t>
        </is>
      </c>
      <c r="C148" s="31" t="inlineStr">
        <is>
          <t>healthcare</t>
        </is>
      </c>
      <c r="D148" s="31" t="inlineStr">
        <is>
          <t>pharmaceuticals - indian - formulations</t>
        </is>
      </c>
      <c r="E148" s="31" t="inlineStr">
        <is>
          <t>largecap</t>
        </is>
      </c>
      <c r="F148" s="31" t="n">
        <v>41409.91</v>
      </c>
      <c r="G148" s="31" t="n">
        <v>3278.8</v>
      </c>
      <c r="H148" s="31" t="n">
        <v>-1.08</v>
      </c>
      <c r="I148" s="31" t="n">
        <v>122540</v>
      </c>
      <c r="J148" s="31" t="inlineStr">
        <is>
          <t>532331</t>
        </is>
      </c>
    </row>
    <row r="149">
      <c r="A149" s="31" t="inlineStr">
        <is>
          <t>SFL</t>
        </is>
      </c>
      <c r="B149" s="31" t="inlineStr">
        <is>
          <t>Sheela Foam Limited</t>
        </is>
      </c>
      <c r="C149" s="31" t="inlineStr">
        <is>
          <t>consumer discretionary</t>
        </is>
      </c>
      <c r="D149" s="31" t="inlineStr">
        <is>
          <t>miscellaneous</t>
        </is>
      </c>
      <c r="E149" s="31" t="inlineStr">
        <is>
          <t>midcap</t>
        </is>
      </c>
      <c r="F149" s="31" t="n">
        <v>8137</v>
      </c>
      <c r="G149" s="31" t="n">
        <v>740.4</v>
      </c>
      <c r="H149" s="31" t="n">
        <v>-1.08</v>
      </c>
      <c r="I149" s="31" t="n">
        <v>495358</v>
      </c>
      <c r="J149" s="31" t="inlineStr">
        <is>
          <t>540203</t>
        </is>
      </c>
    </row>
    <row r="150">
      <c r="A150" s="31" t="inlineStr">
        <is>
          <t>RAIN</t>
        </is>
      </c>
      <c r="B150" s="31" t="inlineStr">
        <is>
          <t>Rain Industries Limited</t>
        </is>
      </c>
      <c r="C150" s="31" t="inlineStr">
        <is>
          <t>miscellaneous</t>
        </is>
      </c>
      <c r="D150" s="31" t="inlineStr">
        <is>
          <t>miscellaneous</t>
        </is>
      </c>
      <c r="E150" s="31" t="inlineStr">
        <is>
          <t>midcap</t>
        </is>
      </c>
      <c r="F150" s="31" t="n">
        <v>6757.52</v>
      </c>
      <c r="G150" s="31" t="n">
        <v>198.72</v>
      </c>
      <c r="H150" s="31" t="n">
        <v>-1.09</v>
      </c>
      <c r="I150" s="31" t="n">
        <v>11216193</v>
      </c>
      <c r="J150" s="31" t="inlineStr">
        <is>
          <t>500339</t>
        </is>
      </c>
    </row>
    <row r="151">
      <c r="A151" s="31" t="inlineStr">
        <is>
          <t>KOVAI</t>
        </is>
      </c>
      <c r="B151" s="31" t="inlineStr">
        <is>
          <t>Kovai Medical Center &amp; Hospital Ltd</t>
        </is>
      </c>
      <c r="C151" s="31" t="inlineStr">
        <is>
          <t>healthcare</t>
        </is>
      </c>
      <c r="D151" s="31" t="inlineStr">
        <is>
          <t>healthcare</t>
        </is>
      </c>
      <c r="E151" s="31" t="inlineStr">
        <is>
          <t>midcap</t>
        </is>
      </c>
      <c r="F151" s="31" t="n">
        <v>6605.3</v>
      </c>
      <c r="G151" s="31" t="n">
        <v>5968.5</v>
      </c>
      <c r="H151" s="31" t="n">
        <v>-1.13</v>
      </c>
      <c r="I151" s="31" t="n">
        <v>1755</v>
      </c>
      <c r="J151" s="31" t="inlineStr">
        <is>
          <t>523323</t>
        </is>
      </c>
    </row>
    <row r="152">
      <c r="A152" s="31" t="inlineStr">
        <is>
          <t>GANDHAR</t>
        </is>
      </c>
      <c r="B152" s="31" t="inlineStr">
        <is>
          <t>Gandhar Oil Refinery (India) Ltd</t>
        </is>
      </c>
      <c r="C152" s="31" t="inlineStr">
        <is>
          <t>energy</t>
        </is>
      </c>
      <c r="D152" s="31" t="inlineStr">
        <is>
          <t>refineries</t>
        </is>
      </c>
      <c r="E152" s="31" t="inlineStr">
        <is>
          <t>smallcap</t>
        </is>
      </c>
      <c r="F152" s="31" t="n">
        <v>1885.65</v>
      </c>
      <c r="G152" s="31" t="n">
        <v>190.45</v>
      </c>
      <c r="H152" s="31" t="n">
        <v>-1.14</v>
      </c>
      <c r="I152" s="31" t="n">
        <v>1179224</v>
      </c>
      <c r="J152" s="31" t="inlineStr">
        <is>
          <t>544029</t>
        </is>
      </c>
    </row>
    <row r="153">
      <c r="A153" s="31" t="inlineStr">
        <is>
          <t>CHOICEIN</t>
        </is>
      </c>
      <c r="B153" s="31" t="inlineStr">
        <is>
          <t>Choice International Ltd</t>
        </is>
      </c>
      <c r="C153" s="31" t="inlineStr">
        <is>
          <t>financials</t>
        </is>
      </c>
      <c r="D153" s="31" t="inlineStr">
        <is>
          <t>finance &amp; investments</t>
        </is>
      </c>
      <c r="E153" s="31" t="inlineStr">
        <is>
          <t>midcap</t>
        </is>
      </c>
      <c r="F153" s="31" t="n">
        <v>17335.35</v>
      </c>
      <c r="G153" s="31" t="n">
        <v>769.1</v>
      </c>
      <c r="H153" s="31" t="n">
        <v>-1.16</v>
      </c>
      <c r="I153" s="31" t="n">
        <v>1324322</v>
      </c>
      <c r="J153" s="31" t="inlineStr">
        <is>
          <t>531358</t>
        </is>
      </c>
    </row>
    <row r="154">
      <c r="A154" s="31" t="inlineStr">
        <is>
          <t>MANBA</t>
        </is>
      </c>
      <c r="B154" s="31" t="inlineStr">
        <is>
          <t>Manba Finance Ltd</t>
        </is>
      </c>
      <c r="C154" s="31" t="inlineStr">
        <is>
          <t>financials</t>
        </is>
      </c>
      <c r="D154" s="31" t="inlineStr">
        <is>
          <t>finance &amp; investments</t>
        </is>
      </c>
      <c r="E154" s="31" t="inlineStr">
        <is>
          <t>smallcap</t>
        </is>
      </c>
      <c r="F154" s="31" t="n">
        <v>693.71</v>
      </c>
      <c r="G154" s="31" t="n">
        <v>136.46</v>
      </c>
      <c r="H154" s="31" t="n">
        <v>-1.17</v>
      </c>
      <c r="I154" s="31" t="n">
        <v>159969</v>
      </c>
      <c r="J154" s="31" t="inlineStr">
        <is>
          <t>544262</t>
        </is>
      </c>
    </row>
    <row r="155">
      <c r="A155" s="31" t="inlineStr">
        <is>
          <t>NH</t>
        </is>
      </c>
      <c r="B155" s="31" t="inlineStr">
        <is>
          <t>Narayana Hrudayalaya Ltd.</t>
        </is>
      </c>
      <c r="C155" s="31" t="inlineStr">
        <is>
          <t>healthcare</t>
        </is>
      </c>
      <c r="D155" s="31" t="inlineStr">
        <is>
          <t>healthcare</t>
        </is>
      </c>
      <c r="E155" s="31" t="inlineStr">
        <is>
          <t>largecap</t>
        </is>
      </c>
      <c r="F155" s="31" t="n">
        <v>40923.25</v>
      </c>
      <c r="G155" s="31" t="n">
        <v>1978.6</v>
      </c>
      <c r="H155" s="31" t="n">
        <v>-1.19</v>
      </c>
      <c r="I155" s="31" t="n">
        <v>221806</v>
      </c>
      <c r="J155" s="31" t="inlineStr">
        <is>
          <t>539551</t>
        </is>
      </c>
    </row>
    <row r="156">
      <c r="A156" s="31" t="inlineStr">
        <is>
          <t>SPANDANA</t>
        </is>
      </c>
      <c r="B156" s="31" t="inlineStr">
        <is>
          <t>Spandana Sphoorty Financial Ltd</t>
        </is>
      </c>
      <c r="C156" s="31" t="inlineStr">
        <is>
          <t>financials</t>
        </is>
      </c>
      <c r="D156" s="31" t="inlineStr">
        <is>
          <t>finance &amp; investments</t>
        </is>
      </c>
      <c r="E156" s="31" t="inlineStr">
        <is>
          <t>smallcap</t>
        </is>
      </c>
      <c r="F156" s="31" t="n">
        <v>2628.6</v>
      </c>
      <c r="G156" s="31" t="n">
        <v>292.9</v>
      </c>
      <c r="H156" s="31" t="n">
        <v>-1.23</v>
      </c>
      <c r="I156" s="31" t="n">
        <v>411518</v>
      </c>
      <c r="J156" s="31" t="inlineStr">
        <is>
          <t>542759</t>
        </is>
      </c>
    </row>
    <row r="157">
      <c r="A157" s="31" t="inlineStr">
        <is>
          <t>LUPIN</t>
        </is>
      </c>
      <c r="B157" s="31" t="inlineStr">
        <is>
          <t>Lupin Limited</t>
        </is>
      </c>
      <c r="C157" s="31" t="inlineStr">
        <is>
          <t>healthcare</t>
        </is>
      </c>
      <c r="D157" s="31" t="inlineStr">
        <is>
          <t>pharmaceuticals - indian - bulk drugs &amp; formln</t>
        </is>
      </c>
      <c r="E157" s="31" t="inlineStr">
        <is>
          <t>largecap</t>
        </is>
      </c>
      <c r="F157" s="31" t="n">
        <v>113846.74</v>
      </c>
      <c r="G157" s="31" t="n">
        <v>2459</v>
      </c>
      <c r="H157" s="31" t="n">
        <v>-1.25</v>
      </c>
      <c r="I157" s="31" t="n">
        <v>1199850</v>
      </c>
      <c r="J157" s="31" t="inlineStr">
        <is>
          <t>500257</t>
        </is>
      </c>
    </row>
    <row r="158">
      <c r="A158" s="31" t="inlineStr">
        <is>
          <t>ALIVUS</t>
        </is>
      </c>
      <c r="B158" s="31" t="inlineStr">
        <is>
          <t>Alivus Life Sciences Ltd</t>
        </is>
      </c>
      <c r="C158" s="31" t="inlineStr">
        <is>
          <t>healthcare</t>
        </is>
      </c>
      <c r="D158" s="31" t="inlineStr">
        <is>
          <t>pharmaceuticals - indian - bulk drugs &amp; formln</t>
        </is>
      </c>
      <c r="E158" s="31" t="inlineStr">
        <is>
          <t>midcap</t>
        </is>
      </c>
      <c r="F158" s="31" t="n">
        <v>14049.63</v>
      </c>
      <c r="G158" s="31" t="n">
        <v>1130.1</v>
      </c>
      <c r="H158" s="31" t="n">
        <v>-1.28</v>
      </c>
      <c r="I158" s="31" t="n">
        <v>162049</v>
      </c>
      <c r="J158" s="31" t="inlineStr">
        <is>
          <t>543322</t>
        </is>
      </c>
    </row>
    <row r="159">
      <c r="A159" s="31" t="inlineStr">
        <is>
          <t>NRL</t>
        </is>
      </c>
      <c r="B159" s="31" t="inlineStr">
        <is>
          <t>Nupur Recyclers Ltd</t>
        </is>
      </c>
      <c r="C159" s="31" t="inlineStr">
        <is>
          <t>services</t>
        </is>
      </c>
      <c r="D159" s="31" t="inlineStr">
        <is>
          <t>trading</t>
        </is>
      </c>
      <c r="E159" s="31" t="inlineStr">
        <is>
          <t>smallcap</t>
        </is>
      </c>
      <c r="F159" s="31" t="n">
        <v>673.84</v>
      </c>
      <c r="G159" s="31" t="n">
        <v>96.28</v>
      </c>
      <c r="H159" s="31" t="n">
        <v>-1.31</v>
      </c>
      <c r="I159" s="31" t="n">
        <v>195078</v>
      </c>
      <c r="J159" s="31" t="inlineStr">
        <is>
          <t>535413</t>
        </is>
      </c>
    </row>
    <row r="160">
      <c r="A160" s="31" t="inlineStr">
        <is>
          <t>SONACOMS</t>
        </is>
      </c>
      <c r="B160" s="31" t="inlineStr">
        <is>
          <t>Sona BLW Precision Forgings Ltd</t>
        </is>
      </c>
      <c r="C160" s="31" t="inlineStr">
        <is>
          <t>auto</t>
        </is>
      </c>
      <c r="D160" s="31" t="inlineStr">
        <is>
          <t>auto ancillaries</t>
        </is>
      </c>
      <c r="E160" s="31" t="inlineStr">
        <is>
          <t>largecap</t>
        </is>
      </c>
      <c r="F160" s="31" t="n">
        <v>41738.36</v>
      </c>
      <c r="G160" s="31" t="n">
        <v>662.05</v>
      </c>
      <c r="H160" s="31" t="n">
        <v>-1.36</v>
      </c>
      <c r="I160" s="31" t="n">
        <v>3230617</v>
      </c>
      <c r="J160" s="31" t="inlineStr">
        <is>
          <t>543300</t>
        </is>
      </c>
    </row>
    <row r="161">
      <c r="A161" s="31" t="inlineStr">
        <is>
          <t>AVL</t>
        </is>
      </c>
      <c r="B161" s="31" t="inlineStr">
        <is>
          <t>Aditya Vision Ltd</t>
        </is>
      </c>
      <c r="C161" s="31" t="inlineStr">
        <is>
          <t>consumer discretionary</t>
        </is>
      </c>
      <c r="D161" s="31" t="inlineStr">
        <is>
          <t>trading</t>
        </is>
      </c>
      <c r="E161" s="31" t="inlineStr">
        <is>
          <t>midcap</t>
        </is>
      </c>
      <c r="F161" s="31" t="n">
        <v>8410.120000000001</v>
      </c>
      <c r="G161" s="31" t="n">
        <v>642.4</v>
      </c>
      <c r="H161" s="31" t="n">
        <v>-1.36</v>
      </c>
      <c r="I161" s="31" t="n">
        <v>97407</v>
      </c>
      <c r="J161" s="31" t="inlineStr">
        <is>
          <t>540205</t>
        </is>
      </c>
    </row>
    <row r="162">
      <c r="A162" s="31" t="inlineStr">
        <is>
          <t>PARAS</t>
        </is>
      </c>
      <c r="B162" s="31" t="inlineStr">
        <is>
          <t>Paras Defence and Space Technologies Ltd</t>
        </is>
      </c>
      <c r="C162" s="31" t="inlineStr">
        <is>
          <t>aerospace &amp; defence</t>
        </is>
      </c>
      <c r="D162" s="31" t="inlineStr">
        <is>
          <t>engineering</t>
        </is>
      </c>
      <c r="E162" s="31" t="inlineStr">
        <is>
          <t>midcap</t>
        </is>
      </c>
      <c r="F162" s="31" t="n">
        <v>10432.03</v>
      </c>
      <c r="G162" s="31" t="n">
        <v>1276.4</v>
      </c>
      <c r="H162" s="31" t="n">
        <v>-1.4</v>
      </c>
      <c r="I162" s="31" t="n">
        <v>2994874</v>
      </c>
      <c r="J162" s="31" t="inlineStr">
        <is>
          <t>543367</t>
        </is>
      </c>
    </row>
    <row r="163">
      <c r="A163" s="31" t="inlineStr">
        <is>
          <t>ADOR</t>
        </is>
      </c>
      <c r="B163" s="31" t="inlineStr">
        <is>
          <t>Ador Welding Ltd</t>
        </is>
      </c>
      <c r="C163" s="31" t="inlineStr">
        <is>
          <t>industrials</t>
        </is>
      </c>
      <c r="D163" s="31" t="inlineStr">
        <is>
          <t>electrodes - welding equipment</t>
        </is>
      </c>
      <c r="E163" s="31" t="inlineStr">
        <is>
          <t>smallcap</t>
        </is>
      </c>
      <c r="F163" s="31" t="n">
        <v>2268.81</v>
      </c>
      <c r="G163" s="31" t="n">
        <v>1285.1</v>
      </c>
      <c r="H163" s="31" t="n">
        <v>-1.43</v>
      </c>
      <c r="I163" s="31" t="n">
        <v>27995</v>
      </c>
      <c r="J163" s="31" t="inlineStr">
        <is>
          <t>517041</t>
        </is>
      </c>
    </row>
    <row r="164">
      <c r="A164" s="31" t="inlineStr">
        <is>
          <t>CEATLTD</t>
        </is>
      </c>
      <c r="B164" s="31" t="inlineStr">
        <is>
          <t>Ceat Limited</t>
        </is>
      </c>
      <c r="C164" s="31" t="inlineStr">
        <is>
          <t>auto</t>
        </is>
      </c>
      <c r="D164" s="31" t="inlineStr">
        <is>
          <t>tyres</t>
        </is>
      </c>
      <c r="E164" s="31" t="inlineStr">
        <is>
          <t>midcap</t>
        </is>
      </c>
      <c r="F164" s="31" t="n">
        <v>15836.21</v>
      </c>
      <c r="G164" s="31" t="n">
        <v>3858.6</v>
      </c>
      <c r="H164" s="31" t="n">
        <v>-1.44</v>
      </c>
      <c r="I164" s="31" t="n">
        <v>342294</v>
      </c>
      <c r="J164" s="31" t="inlineStr">
        <is>
          <t>500878</t>
        </is>
      </c>
    </row>
    <row r="165">
      <c r="A165" s="31" t="inlineStr">
        <is>
          <t>KANORICHEM</t>
        </is>
      </c>
      <c r="B165" s="31" t="inlineStr">
        <is>
          <t>Kanoria Chemicals &amp; Industries Limited</t>
        </is>
      </c>
      <c r="C165" s="31" t="inlineStr">
        <is>
          <t>chemicals</t>
        </is>
      </c>
      <c r="D165" s="31" t="inlineStr">
        <is>
          <t>chemicals</t>
        </is>
      </c>
      <c r="E165" s="31" t="inlineStr">
        <is>
          <t>smallcap</t>
        </is>
      </c>
      <c r="F165" s="31" t="n">
        <v>568.8</v>
      </c>
      <c r="G165" s="31" t="n">
        <v>128.3</v>
      </c>
      <c r="H165" s="31" t="n">
        <v>-1.44</v>
      </c>
      <c r="I165" s="31" t="n">
        <v>24980</v>
      </c>
      <c r="J165" s="31" t="inlineStr">
        <is>
          <t>506525</t>
        </is>
      </c>
    </row>
    <row r="166">
      <c r="A166" s="31" t="inlineStr">
        <is>
          <t>PRECOT</t>
        </is>
      </c>
      <c r="B166" s="31" t="inlineStr">
        <is>
          <t>Precot Meridian Limited</t>
        </is>
      </c>
      <c r="C166" s="31" t="inlineStr">
        <is>
          <t>textiles</t>
        </is>
      </c>
      <c r="D166" s="31" t="inlineStr">
        <is>
          <t>textiles - cotton/blended</t>
        </is>
      </c>
      <c r="E166" s="31" t="inlineStr">
        <is>
          <t>smallcap</t>
        </is>
      </c>
      <c r="F166" s="31" t="n">
        <v>937.62</v>
      </c>
      <c r="G166" s="31" t="n">
        <v>770</v>
      </c>
      <c r="H166" s="31" t="n">
        <v>-1.45</v>
      </c>
      <c r="I166" s="31" t="n">
        <v>3078</v>
      </c>
      <c r="J166" s="31" t="inlineStr">
        <is>
          <t>521184</t>
        </is>
      </c>
    </row>
    <row r="167">
      <c r="A167" s="31" t="inlineStr">
        <is>
          <t>NESTLEIND</t>
        </is>
      </c>
      <c r="B167" s="31" t="inlineStr">
        <is>
          <t>Nestle India Limited</t>
        </is>
      </c>
      <c r="C167" s="31" t="inlineStr">
        <is>
          <t>fmcg</t>
        </is>
      </c>
      <c r="D167" s="31" t="inlineStr">
        <is>
          <t>food - processing - mnc</t>
        </is>
      </c>
      <c r="E167" s="31" t="inlineStr">
        <is>
          <t>largecap</t>
        </is>
      </c>
      <c r="F167" s="31" t="n">
        <v>283809.3</v>
      </c>
      <c r="G167" s="31" t="n">
        <v>1450.5</v>
      </c>
      <c r="H167" s="31" t="n">
        <v>-1.45</v>
      </c>
      <c r="I167" s="31" t="n">
        <v>1855873</v>
      </c>
      <c r="J167" s="31" t="inlineStr">
        <is>
          <t>500790</t>
        </is>
      </c>
    </row>
    <row r="168">
      <c r="A168" s="31" t="inlineStr">
        <is>
          <t>THELEELA</t>
        </is>
      </c>
      <c r="B168" s="31" t="inlineStr">
        <is>
          <t>Leela Palaces Hotels &amp; Resorts Ltd</t>
        </is>
      </c>
      <c r="C168" s="31" t="inlineStr">
        <is>
          <t>services</t>
        </is>
      </c>
      <c r="D168" s="31" t="inlineStr">
        <is>
          <t>hotels</t>
        </is>
      </c>
      <c r="E168" s="31" t="inlineStr">
        <is>
          <t>midcap</t>
        </is>
      </c>
      <c r="F168" s="31" t="n">
        <v>16285.46</v>
      </c>
      <c r="G168" s="31" t="n">
        <v>480.6</v>
      </c>
      <c r="H168" s="31" t="n">
        <v>-1.45</v>
      </c>
      <c r="I168" s="31" t="n">
        <v>401942</v>
      </c>
      <c r="J168" s="31" t="inlineStr">
        <is>
          <t>544408</t>
        </is>
      </c>
    </row>
    <row r="169">
      <c r="A169" s="31" t="inlineStr">
        <is>
          <t>WELENT</t>
        </is>
      </c>
      <c r="B169" s="31" t="inlineStr">
        <is>
          <t>Welspun Enterprises Limited</t>
        </is>
      </c>
      <c r="C169" s="31" t="inlineStr">
        <is>
          <t>realty</t>
        </is>
      </c>
      <c r="D169" s="31" t="inlineStr">
        <is>
          <t>construction</t>
        </is>
      </c>
      <c r="E169" s="31" t="inlineStr">
        <is>
          <t>midcap</t>
        </is>
      </c>
      <c r="F169" s="31" t="n">
        <v>8448.780000000001</v>
      </c>
      <c r="G169" s="31" t="n">
        <v>601.5</v>
      </c>
      <c r="H169" s="31" t="n">
        <v>-1.46</v>
      </c>
      <c r="I169" s="31" t="n">
        <v>229517</v>
      </c>
      <c r="J169" s="31" t="inlineStr">
        <is>
          <t>532553</t>
        </is>
      </c>
    </row>
    <row r="170">
      <c r="A170" s="31" t="inlineStr">
        <is>
          <t>KAJARIACER</t>
        </is>
      </c>
      <c r="B170" s="31" t="inlineStr">
        <is>
          <t>Kajaria Ceramics Limited</t>
        </is>
      </c>
      <c r="C170" s="31" t="inlineStr">
        <is>
          <t>building materials</t>
        </is>
      </c>
      <c r="D170" s="31" t="inlineStr">
        <is>
          <t>ceramics - tiles / sanitaryware</t>
        </is>
      </c>
      <c r="E170" s="31" t="inlineStr">
        <is>
          <t>midcap</t>
        </is>
      </c>
      <c r="F170" s="31" t="n">
        <v>19291.06</v>
      </c>
      <c r="G170" s="31" t="n">
        <v>1193.4</v>
      </c>
      <c r="H170" s="31" t="n">
        <v>-1.47</v>
      </c>
      <c r="I170" s="31" t="n">
        <v>108231</v>
      </c>
      <c r="J170" s="31" t="inlineStr">
        <is>
          <t>500233</t>
        </is>
      </c>
    </row>
    <row r="171">
      <c r="A171" s="31" t="inlineStr">
        <is>
          <t>CAPLIPOINT</t>
        </is>
      </c>
      <c r="B171" s="31" t="inlineStr">
        <is>
          <t>Caplin Point Laboratories Limited</t>
        </is>
      </c>
      <c r="C171" s="31" t="inlineStr">
        <is>
          <t>healthcare</t>
        </is>
      </c>
      <c r="D171" s="31" t="inlineStr">
        <is>
          <t>pharmaceuticals - indian - formulations</t>
        </is>
      </c>
      <c r="E171" s="31" t="inlineStr">
        <is>
          <t>midcap</t>
        </is>
      </c>
      <c r="F171" s="31" t="n">
        <v>19510.68</v>
      </c>
      <c r="G171" s="31" t="n">
        <v>2528.4</v>
      </c>
      <c r="H171" s="31" t="n">
        <v>-1.5</v>
      </c>
      <c r="I171" s="31" t="n">
        <v>111713</v>
      </c>
      <c r="J171" s="31" t="inlineStr">
        <is>
          <t>524742</t>
        </is>
      </c>
    </row>
    <row r="172">
      <c r="A172" s="31" t="inlineStr">
        <is>
          <t>FEDERALBNK</t>
        </is>
      </c>
      <c r="B172" s="31" t="inlineStr">
        <is>
          <t>The Federal Bank  Limited</t>
        </is>
      </c>
      <c r="C172" s="31" t="inlineStr">
        <is>
          <t>bank</t>
        </is>
      </c>
      <c r="D172" s="31" t="inlineStr">
        <is>
          <t>banks - private sector</t>
        </is>
      </c>
      <c r="E172" s="31" t="inlineStr">
        <is>
          <t>largecap</t>
        </is>
      </c>
      <c r="F172" s="31" t="n">
        <v>81703.28</v>
      </c>
      <c r="G172" s="31" t="n">
        <v>326.55</v>
      </c>
      <c r="H172" s="31" t="n">
        <v>-1.51</v>
      </c>
      <c r="I172" s="31" t="n">
        <v>4715548</v>
      </c>
      <c r="J172" s="31" t="inlineStr">
        <is>
          <t>500469</t>
        </is>
      </c>
    </row>
    <row r="173">
      <c r="A173" s="31" t="inlineStr">
        <is>
          <t>SANSERA</t>
        </is>
      </c>
      <c r="B173" s="31" t="inlineStr">
        <is>
          <t>Sansera Engineering Ltd</t>
        </is>
      </c>
      <c r="C173" s="31" t="inlineStr">
        <is>
          <t>auto</t>
        </is>
      </c>
      <c r="D173" s="31" t="inlineStr">
        <is>
          <t>auto ancillaries</t>
        </is>
      </c>
      <c r="E173" s="31" t="inlineStr">
        <is>
          <t>midcap</t>
        </is>
      </c>
      <c r="F173" s="31" t="n">
        <v>19643.94</v>
      </c>
      <c r="G173" s="31" t="n">
        <v>3102</v>
      </c>
      <c r="H173" s="31" t="n">
        <v>-1.57</v>
      </c>
      <c r="I173" s="31" t="n">
        <v>304929</v>
      </c>
      <c r="J173" s="31" t="inlineStr">
        <is>
          <t>543358</t>
        </is>
      </c>
    </row>
    <row r="174">
      <c r="A174" s="31" t="inlineStr">
        <is>
          <t>TBOTEK</t>
        </is>
      </c>
      <c r="B174" s="31" t="inlineStr">
        <is>
          <t>TBO Tek Ltd</t>
        </is>
      </c>
      <c r="C174" s="31" t="inlineStr">
        <is>
          <t>i.t</t>
        </is>
      </c>
      <c r="D174" s="31" t="inlineStr">
        <is>
          <t>travel agencies</t>
        </is>
      </c>
      <c r="E174" s="31" t="inlineStr">
        <is>
          <t>midcap</t>
        </is>
      </c>
      <c r="F174" s="31" t="n">
        <v>16341.38</v>
      </c>
      <c r="G174" s="31" t="n">
        <v>1481</v>
      </c>
      <c r="H174" s="31" t="n">
        <v>-1.59</v>
      </c>
      <c r="I174" s="31" t="n">
        <v>144656</v>
      </c>
      <c r="J174" s="31" t="inlineStr">
        <is>
          <t>544174</t>
        </is>
      </c>
    </row>
    <row r="175">
      <c r="A175" s="31" t="inlineStr">
        <is>
          <t>DIVGIITTS</t>
        </is>
      </c>
      <c r="B175" s="31" t="inlineStr">
        <is>
          <t>Divgi Torqtransfer Systems Ltd</t>
        </is>
      </c>
      <c r="C175" s="31" t="inlineStr">
        <is>
          <t>auto</t>
        </is>
      </c>
      <c r="D175" s="31" t="inlineStr">
        <is>
          <t>auto ancillaries</t>
        </is>
      </c>
      <c r="E175" s="31" t="inlineStr">
        <is>
          <t>smallcap</t>
        </is>
      </c>
      <c r="F175" s="31" t="n">
        <v>2946.82</v>
      </c>
      <c r="G175" s="31" t="n">
        <v>948</v>
      </c>
      <c r="H175" s="31" t="n">
        <v>-1.61</v>
      </c>
      <c r="I175" s="31" t="n">
        <v>65949</v>
      </c>
      <c r="J175" s="31" t="inlineStr">
        <is>
          <t>543812</t>
        </is>
      </c>
    </row>
    <row r="176">
      <c r="A176" s="31" t="inlineStr">
        <is>
          <t>RPTECH</t>
        </is>
      </c>
      <c r="B176" s="31" t="inlineStr">
        <is>
          <t>Rashi Peripherals Ltd</t>
        </is>
      </c>
      <c r="C176" s="31" t="inlineStr">
        <is>
          <t>services</t>
        </is>
      </c>
      <c r="D176" s="31" t="inlineStr">
        <is>
          <t>trading</t>
        </is>
      </c>
      <c r="E176" s="31" t="inlineStr">
        <is>
          <t>smallcap</t>
        </is>
      </c>
      <c r="F176" s="31" t="n">
        <v>4959.28</v>
      </c>
      <c r="G176" s="31" t="n">
        <v>740.45</v>
      </c>
      <c r="H176" s="31" t="n">
        <v>-1.61</v>
      </c>
      <c r="I176" s="31" t="n">
        <v>404260</v>
      </c>
      <c r="J176" s="31" t="n"/>
    </row>
    <row r="177">
      <c r="A177" s="31" t="inlineStr">
        <is>
          <t>AUROPHARMA</t>
        </is>
      </c>
      <c r="B177" s="31" t="inlineStr">
        <is>
          <t>Aurobindo Pharma Limited</t>
        </is>
      </c>
      <c r="C177" s="31" t="inlineStr">
        <is>
          <t>healthcare</t>
        </is>
      </c>
      <c r="D177" s="31" t="inlineStr">
        <is>
          <t>pharmaceuticals - indian - bulk drugs &amp; formln</t>
        </is>
      </c>
      <c r="E177" s="31" t="inlineStr">
        <is>
          <t>largecap</t>
        </is>
      </c>
      <c r="F177" s="31" t="n">
        <v>91946.7</v>
      </c>
      <c r="G177" s="31" t="n">
        <v>1557.4</v>
      </c>
      <c r="H177" s="31" t="n">
        <v>-1.62</v>
      </c>
      <c r="I177" s="31" t="n">
        <v>1106072</v>
      </c>
      <c r="J177" s="31" t="inlineStr">
        <is>
          <t>524804</t>
        </is>
      </c>
    </row>
    <row r="178">
      <c r="A178" s="31" t="inlineStr">
        <is>
          <t>ABDL</t>
        </is>
      </c>
      <c r="B178" s="31" t="inlineStr">
        <is>
          <t>Allied Blenders &amp; Distillers Ltd</t>
        </is>
      </c>
      <c r="C178" s="31" t="inlineStr">
        <is>
          <t>fmcg</t>
        </is>
      </c>
      <c r="D178" s="31" t="inlineStr">
        <is>
          <t>breweries &amp; distilleries</t>
        </is>
      </c>
      <c r="E178" s="31" t="inlineStr">
        <is>
          <t>midcap</t>
        </is>
      </c>
      <c r="F178" s="31" t="n">
        <v>19188.12</v>
      </c>
      <c r="G178" s="31" t="n">
        <v>674.8</v>
      </c>
      <c r="H178" s="31" t="n">
        <v>-1.63</v>
      </c>
      <c r="I178" s="31" t="n">
        <v>432530</v>
      </c>
      <c r="J178" s="31" t="inlineStr">
        <is>
          <t>544203</t>
        </is>
      </c>
    </row>
    <row r="179">
      <c r="A179" s="31" t="inlineStr">
        <is>
          <t>KICL</t>
        </is>
      </c>
      <c r="B179" s="31" t="inlineStr">
        <is>
          <t>Kalyani Investment Company Limited</t>
        </is>
      </c>
      <c r="C179" s="31" t="inlineStr">
        <is>
          <t>financials</t>
        </is>
      </c>
      <c r="D179" s="31" t="inlineStr">
        <is>
          <t>finance &amp; investments</t>
        </is>
      </c>
      <c r="E179" s="31" t="inlineStr">
        <is>
          <t>smallcap</t>
        </is>
      </c>
      <c r="F179" s="31" t="n">
        <v>2383.24</v>
      </c>
      <c r="G179" s="31" t="n">
        <v>5370</v>
      </c>
      <c r="H179" s="31" t="n">
        <v>-1.64</v>
      </c>
      <c r="I179" s="31" t="n">
        <v>3095</v>
      </c>
      <c r="J179" s="31" t="inlineStr">
        <is>
          <t>533302</t>
        </is>
      </c>
    </row>
    <row r="180">
      <c r="A180" s="31" t="inlineStr">
        <is>
          <t>GREENPLY</t>
        </is>
      </c>
      <c r="B180" s="31" t="inlineStr">
        <is>
          <t>Greenply Industries Limited</t>
        </is>
      </c>
      <c r="C180" s="31" t="inlineStr">
        <is>
          <t>building materials</t>
        </is>
      </c>
      <c r="D180" s="31" t="inlineStr">
        <is>
          <t>miscellaneous</t>
        </is>
      </c>
      <c r="E180" s="31" t="inlineStr">
        <is>
          <t>smallcap</t>
        </is>
      </c>
      <c r="F180" s="31" t="n">
        <v>3999.99</v>
      </c>
      <c r="G180" s="31" t="n">
        <v>315</v>
      </c>
      <c r="H180" s="31" t="n">
        <v>-1.64</v>
      </c>
      <c r="I180" s="31" t="n">
        <v>209265</v>
      </c>
      <c r="J180" s="31" t="inlineStr">
        <is>
          <t>526797</t>
        </is>
      </c>
    </row>
    <row r="181">
      <c r="A181" s="31" t="inlineStr">
        <is>
          <t>NAVNETEDUL</t>
        </is>
      </c>
      <c r="B181" s="31" t="inlineStr">
        <is>
          <t>Navneet Education Limited</t>
        </is>
      </c>
      <c r="C181" s="31" t="inlineStr">
        <is>
          <t>miscellaneous</t>
        </is>
      </c>
      <c r="D181" s="31" t="inlineStr">
        <is>
          <t>printing &amp; stationery</t>
        </is>
      </c>
      <c r="E181" s="31" t="inlineStr">
        <is>
          <t>smallcap</t>
        </is>
      </c>
      <c r="F181" s="31" t="n">
        <v>3315.76</v>
      </c>
      <c r="G181" s="31" t="n">
        <v>147.42</v>
      </c>
      <c r="H181" s="31" t="n">
        <v>-1.65</v>
      </c>
      <c r="I181" s="31" t="n">
        <v>241218</v>
      </c>
      <c r="J181" s="31" t="inlineStr">
        <is>
          <t>508989</t>
        </is>
      </c>
    </row>
    <row r="182">
      <c r="A182" s="31" t="inlineStr">
        <is>
          <t>RELTD</t>
        </is>
      </c>
      <c r="B182" s="31" t="inlineStr">
        <is>
          <t>Ravindra Energy Ltd</t>
        </is>
      </c>
      <c r="C182" s="31" t="inlineStr">
        <is>
          <t>industrials</t>
        </is>
      </c>
      <c r="D182" s="31" t="inlineStr">
        <is>
          <t>electric equipment</t>
        </is>
      </c>
      <c r="E182" s="31" t="inlineStr">
        <is>
          <t>smallcap</t>
        </is>
      </c>
      <c r="F182" s="31" t="n">
        <v>3635.04</v>
      </c>
      <c r="G182" s="31" t="n">
        <v>179.84</v>
      </c>
      <c r="H182" s="31" t="n">
        <v>-1.77</v>
      </c>
      <c r="I182" s="31" t="n">
        <v>2429653</v>
      </c>
      <c r="J182" s="31" t="inlineStr">
        <is>
          <t>504341</t>
        </is>
      </c>
    </row>
    <row r="183">
      <c r="A183" s="31" t="inlineStr">
        <is>
          <t>PRIVISCL</t>
        </is>
      </c>
      <c r="B183" s="31" t="inlineStr">
        <is>
          <t>Privi Speciality Chemicals Ltd</t>
        </is>
      </c>
      <c r="C183" s="31" t="inlineStr">
        <is>
          <t>chemicals</t>
        </is>
      </c>
      <c r="D183" s="31" t="inlineStr">
        <is>
          <t>chemicals</t>
        </is>
      </c>
      <c r="E183" s="31" t="inlineStr">
        <is>
          <t>midcap</t>
        </is>
      </c>
      <c r="F183" s="31" t="n">
        <v>14216.09</v>
      </c>
      <c r="G183" s="31" t="n">
        <v>3575</v>
      </c>
      <c r="H183" s="31" t="n">
        <v>-1.77</v>
      </c>
      <c r="I183" s="31" t="n">
        <v>55113</v>
      </c>
      <c r="J183" s="31" t="inlineStr">
        <is>
          <t>530117</t>
        </is>
      </c>
    </row>
    <row r="184">
      <c r="A184" s="31" t="inlineStr">
        <is>
          <t>GRWRHITECH</t>
        </is>
      </c>
      <c r="B184" s="31" t="inlineStr">
        <is>
          <t>Garware Hi Tech Films Ltd</t>
        </is>
      </c>
      <c r="C184" s="31" t="inlineStr">
        <is>
          <t>industrials</t>
        </is>
      </c>
      <c r="D184" s="31" t="inlineStr">
        <is>
          <t>packaging</t>
        </is>
      </c>
      <c r="E184" s="31" t="inlineStr">
        <is>
          <t>midcap</t>
        </is>
      </c>
      <c r="F184" s="31" t="n">
        <v>16180.2</v>
      </c>
      <c r="G184" s="31" t="n">
        <v>6841.5</v>
      </c>
      <c r="H184" s="31" t="n">
        <v>-1.77</v>
      </c>
      <c r="I184" s="31" t="n">
        <v>75148</v>
      </c>
      <c r="J184" s="31" t="inlineStr">
        <is>
          <t>500655</t>
        </is>
      </c>
    </row>
    <row r="185">
      <c r="A185" s="31" t="inlineStr">
        <is>
          <t>PAYTM</t>
        </is>
      </c>
      <c r="B185" s="31" t="inlineStr">
        <is>
          <t>One 97 Communications Ltd</t>
        </is>
      </c>
      <c r="C185" s="31" t="inlineStr">
        <is>
          <t>i.t</t>
        </is>
      </c>
      <c r="D185" s="31" t="inlineStr">
        <is>
          <t>miscellaneous</t>
        </is>
      </c>
      <c r="E185" s="31" t="inlineStr">
        <is>
          <t>largecap</t>
        </is>
      </c>
      <c r="F185" s="31" t="n">
        <v>79749.69</v>
      </c>
      <c r="G185" s="31" t="n">
        <v>1223.4</v>
      </c>
      <c r="H185" s="31" t="n">
        <v>-1.81</v>
      </c>
      <c r="I185" s="31" t="n">
        <v>3597474</v>
      </c>
      <c r="J185" s="31" t="inlineStr">
        <is>
          <t>543396</t>
        </is>
      </c>
    </row>
    <row r="186">
      <c r="A186" s="31" t="inlineStr">
        <is>
          <t>SIGMAADV</t>
        </is>
      </c>
      <c r="B186" s="31" t="inlineStr">
        <is>
          <t>Sigma Advanced System Ltd</t>
        </is>
      </c>
      <c r="C186" s="31" t="inlineStr">
        <is>
          <t>aerospace &amp; defence</t>
        </is>
      </c>
      <c r="D186" s="31" t="inlineStr">
        <is>
          <t>electronics - components</t>
        </is>
      </c>
      <c r="E186" s="31" t="inlineStr">
        <is>
          <t>midcap</t>
        </is>
      </c>
      <c r="F186" s="31" t="n">
        <v>9540.74</v>
      </c>
      <c r="G186" s="31" t="n">
        <v>531.5</v>
      </c>
      <c r="H186" s="31" t="n">
        <v>-1.82</v>
      </c>
      <c r="I186" s="31" t="n">
        <v>609737</v>
      </c>
      <c r="J186" s="31" t="inlineStr">
        <is>
          <t>532408</t>
        </is>
      </c>
    </row>
    <row r="187">
      <c r="A187" s="31" t="inlineStr">
        <is>
          <t>SANGHVIMOV</t>
        </is>
      </c>
      <c r="B187" s="31" t="inlineStr">
        <is>
          <t>Sanghvi Movers Limited</t>
        </is>
      </c>
      <c r="C187" s="31" t="inlineStr">
        <is>
          <t>miscellaneous</t>
        </is>
      </c>
      <c r="D187" s="31" t="inlineStr">
        <is>
          <t>miscellaneous</t>
        </is>
      </c>
      <c r="E187" s="31" t="inlineStr">
        <is>
          <t>smallcap</t>
        </is>
      </c>
      <c r="F187" s="31" t="n">
        <v>3891.16</v>
      </c>
      <c r="G187" s="31" t="n">
        <v>441.25</v>
      </c>
      <c r="H187" s="31" t="n">
        <v>-1.82</v>
      </c>
      <c r="I187" s="31" t="n">
        <v>403999</v>
      </c>
      <c r="J187" s="31" t="inlineStr">
        <is>
          <t>530073</t>
        </is>
      </c>
    </row>
    <row r="188">
      <c r="A188" s="31" t="inlineStr">
        <is>
          <t>NRBBEARING</t>
        </is>
      </c>
      <c r="B188" s="31" t="inlineStr">
        <is>
          <t>Nrb Bearing Limited</t>
        </is>
      </c>
      <c r="C188" s="31" t="inlineStr">
        <is>
          <t>industrials</t>
        </is>
      </c>
      <c r="D188" s="31" t="inlineStr">
        <is>
          <t>bearings</t>
        </is>
      </c>
      <c r="E188" s="31" t="inlineStr">
        <is>
          <t>smallcap</t>
        </is>
      </c>
      <c r="F188" s="31" t="n">
        <v>4196.75</v>
      </c>
      <c r="G188" s="31" t="n">
        <v>424.95</v>
      </c>
      <c r="H188" s="31" t="n">
        <v>-1.86</v>
      </c>
      <c r="I188" s="31" t="n">
        <v>600676</v>
      </c>
      <c r="J188" s="31" t="inlineStr">
        <is>
          <t>530367</t>
        </is>
      </c>
    </row>
    <row r="189">
      <c r="A189" s="31" t="inlineStr">
        <is>
          <t>SSWL</t>
        </is>
      </c>
      <c r="B189" s="31" t="inlineStr">
        <is>
          <t>Steel Strips Wheels Limited</t>
        </is>
      </c>
      <c r="C189" s="31" t="inlineStr">
        <is>
          <t>auto</t>
        </is>
      </c>
      <c r="D189" s="31" t="inlineStr">
        <is>
          <t>auto ancillaries</t>
        </is>
      </c>
      <c r="E189" s="31" t="inlineStr">
        <is>
          <t>smallcap</t>
        </is>
      </c>
      <c r="F189" s="31" t="n">
        <v>3804.4</v>
      </c>
      <c r="G189" s="31" t="n">
        <v>237.47</v>
      </c>
      <c r="H189" s="31" t="n">
        <v>-1.89</v>
      </c>
      <c r="I189" s="31" t="n">
        <v>464118</v>
      </c>
      <c r="J189" s="31" t="inlineStr">
        <is>
          <t>513262</t>
        </is>
      </c>
    </row>
    <row r="190">
      <c r="A190" s="31" t="inlineStr">
        <is>
          <t>BALRAMCHIN</t>
        </is>
      </c>
      <c r="B190" s="31" t="inlineStr">
        <is>
          <t>Balrampur Chini Mills Limited</t>
        </is>
      </c>
      <c r="C190" s="31" t="inlineStr">
        <is>
          <t>fmcg</t>
        </is>
      </c>
      <c r="D190" s="31" t="inlineStr">
        <is>
          <t>sugar</t>
        </is>
      </c>
      <c r="E190" s="31" t="inlineStr">
        <is>
          <t>midcap</t>
        </is>
      </c>
      <c r="F190" s="31" t="n">
        <v>12077.09</v>
      </c>
      <c r="G190" s="31" t="n">
        <v>560.85</v>
      </c>
      <c r="H190" s="31" t="n">
        <v>-1.89</v>
      </c>
      <c r="I190" s="31" t="n">
        <v>358980</v>
      </c>
      <c r="J190" s="31" t="inlineStr">
        <is>
          <t>500038</t>
        </is>
      </c>
    </row>
    <row r="191">
      <c r="A191" s="31" t="inlineStr">
        <is>
          <t>OBEROIRLTY</t>
        </is>
      </c>
      <c r="B191" s="31" t="inlineStr">
        <is>
          <t>Oberoi Realty Limited</t>
        </is>
      </c>
      <c r="C191" s="31" t="inlineStr">
        <is>
          <t>realty</t>
        </is>
      </c>
      <c r="D191" s="31" t="inlineStr">
        <is>
          <t>construction</t>
        </is>
      </c>
      <c r="E191" s="31" t="inlineStr">
        <is>
          <t>largecap</t>
        </is>
      </c>
      <c r="F191" s="31" t="n">
        <v>69317.13</v>
      </c>
      <c r="G191" s="31" t="n">
        <v>1870.1</v>
      </c>
      <c r="H191" s="31" t="n">
        <v>-1.9</v>
      </c>
      <c r="I191" s="31" t="n">
        <v>564485</v>
      </c>
      <c r="J191" s="31" t="inlineStr">
        <is>
          <t>533273</t>
        </is>
      </c>
    </row>
    <row r="192">
      <c r="A192" s="31" t="inlineStr">
        <is>
          <t>GOODLUCK</t>
        </is>
      </c>
      <c r="B192" s="31" t="inlineStr">
        <is>
          <t>Goodluck India Limited</t>
        </is>
      </c>
      <c r="C192" s="31" t="inlineStr">
        <is>
          <t>metals &amp; mining</t>
        </is>
      </c>
      <c r="D192" s="31" t="inlineStr">
        <is>
          <t>steel - medium / small</t>
        </is>
      </c>
      <c r="E192" s="31" t="inlineStr">
        <is>
          <t>smallcap</t>
        </is>
      </c>
      <c r="F192" s="31" t="n">
        <v>4926.28</v>
      </c>
      <c r="G192" s="31" t="n">
        <v>1453.6</v>
      </c>
      <c r="H192" s="31" t="n">
        <v>-1.92</v>
      </c>
      <c r="I192" s="31" t="n">
        <v>193478</v>
      </c>
      <c r="J192" s="31" t="inlineStr">
        <is>
          <t>530655</t>
        </is>
      </c>
    </row>
    <row r="193">
      <c r="A193" s="31" t="inlineStr">
        <is>
          <t>CANFINHOME</t>
        </is>
      </c>
      <c r="B193" s="31" t="inlineStr">
        <is>
          <t>Can Fin Homes Limited</t>
        </is>
      </c>
      <c r="C193" s="31" t="inlineStr">
        <is>
          <t>financials</t>
        </is>
      </c>
      <c r="D193" s="31" t="inlineStr">
        <is>
          <t>finance - housing</t>
        </is>
      </c>
      <c r="E193" s="31" t="inlineStr">
        <is>
          <t>midcap</t>
        </is>
      </c>
      <c r="F193" s="31" t="n">
        <v>12114.36</v>
      </c>
      <c r="G193" s="31" t="n">
        <v>892.3</v>
      </c>
      <c r="H193" s="31" t="n">
        <v>-1.92</v>
      </c>
      <c r="I193" s="31" t="n">
        <v>386346</v>
      </c>
      <c r="J193" s="31" t="inlineStr">
        <is>
          <t>511196</t>
        </is>
      </c>
    </row>
    <row r="194">
      <c r="A194" s="31" t="inlineStr">
        <is>
          <t>DALMIASUG</t>
        </is>
      </c>
      <c r="B194" s="31" t="inlineStr">
        <is>
          <t>Dalmia Bharat Sugar And Industries Limited</t>
        </is>
      </c>
      <c r="C194" s="31" t="inlineStr">
        <is>
          <t>fmcg</t>
        </is>
      </c>
      <c r="D194" s="31" t="inlineStr">
        <is>
          <t>sugar</t>
        </is>
      </c>
      <c r="E194" s="31" t="inlineStr">
        <is>
          <t>smallcap</t>
        </is>
      </c>
      <c r="F194" s="31" t="n">
        <v>2930</v>
      </c>
      <c r="G194" s="31" t="n">
        <v>355</v>
      </c>
      <c r="H194" s="31" t="n">
        <v>-1.93</v>
      </c>
      <c r="I194" s="31" t="n">
        <v>153919</v>
      </c>
      <c r="J194" s="31" t="inlineStr">
        <is>
          <t>500097</t>
        </is>
      </c>
    </row>
    <row r="195">
      <c r="A195" s="31" t="inlineStr">
        <is>
          <t>AVADHSUGAR</t>
        </is>
      </c>
      <c r="B195" s="31" t="inlineStr">
        <is>
          <t>Avadh Sugar &amp; Energy</t>
        </is>
      </c>
      <c r="C195" s="31" t="inlineStr">
        <is>
          <t>fmcg</t>
        </is>
      </c>
      <c r="D195" s="31" t="inlineStr">
        <is>
          <t>sugar</t>
        </is>
      </c>
      <c r="E195" s="31" t="inlineStr">
        <is>
          <t>smallcap</t>
        </is>
      </c>
      <c r="F195" s="31" t="n">
        <v>1041.06</v>
      </c>
      <c r="G195" s="31" t="n">
        <v>510</v>
      </c>
      <c r="H195" s="31" t="n">
        <v>-1.93</v>
      </c>
      <c r="I195" s="31" t="n">
        <v>21588</v>
      </c>
      <c r="J195" s="31" t="inlineStr">
        <is>
          <t>540649</t>
        </is>
      </c>
    </row>
    <row r="196">
      <c r="A196" s="31" t="inlineStr">
        <is>
          <t>TVSMOTOR</t>
        </is>
      </c>
      <c r="B196" s="31" t="inlineStr">
        <is>
          <t>Tvs Motor Company Limited</t>
        </is>
      </c>
      <c r="C196" s="31" t="inlineStr">
        <is>
          <t>auto</t>
        </is>
      </c>
      <c r="D196" s="31" t="inlineStr">
        <is>
          <t>automobiles - motorcycles / mopeds</t>
        </is>
      </c>
      <c r="E196" s="31" t="inlineStr">
        <is>
          <t>largecap</t>
        </is>
      </c>
      <c r="F196" s="31" t="n">
        <v>176385.59</v>
      </c>
      <c r="G196" s="31" t="n">
        <v>3639.7</v>
      </c>
      <c r="H196" s="31" t="n">
        <v>-1.97</v>
      </c>
      <c r="I196" s="31" t="n">
        <v>1177049</v>
      </c>
      <c r="J196" s="31" t="inlineStr">
        <is>
          <t>532343</t>
        </is>
      </c>
    </row>
    <row r="197">
      <c r="A197" s="31" t="inlineStr">
        <is>
          <t>AZAD</t>
        </is>
      </c>
      <c r="B197" s="31" t="inlineStr">
        <is>
          <t>Azad Engineering Ltd</t>
        </is>
      </c>
      <c r="C197" s="31" t="inlineStr">
        <is>
          <t>aerospace &amp; defence</t>
        </is>
      </c>
      <c r="D197" s="31" t="inlineStr">
        <is>
          <t>engineering</t>
        </is>
      </c>
      <c r="E197" s="31" t="inlineStr">
        <is>
          <t>midcap</t>
        </is>
      </c>
      <c r="F197" s="31" t="n">
        <v>14694.28</v>
      </c>
      <c r="G197" s="31" t="n">
        <v>2229.4</v>
      </c>
      <c r="H197" s="31" t="n">
        <v>-2.02</v>
      </c>
      <c r="I197" s="31" t="n">
        <v>847942</v>
      </c>
      <c r="J197" s="31" t="inlineStr">
        <is>
          <t>544061</t>
        </is>
      </c>
    </row>
    <row r="198">
      <c r="A198" s="31" t="inlineStr">
        <is>
          <t>INDNIPPON</t>
        </is>
      </c>
      <c r="B198" s="31" t="inlineStr">
        <is>
          <t>India Nippon Electricals Limited</t>
        </is>
      </c>
      <c r="C198" s="31" t="inlineStr">
        <is>
          <t>auto</t>
        </is>
      </c>
      <c r="D198" s="31" t="inlineStr">
        <is>
          <t>auto ancillaries</t>
        </is>
      </c>
      <c r="E198" s="31" t="inlineStr">
        <is>
          <t>smallcap</t>
        </is>
      </c>
      <c r="F198" s="31" t="n">
        <v>2326.84</v>
      </c>
      <c r="G198" s="31" t="n">
        <v>1007.4</v>
      </c>
      <c r="H198" s="31" t="n">
        <v>-2.06</v>
      </c>
      <c r="I198" s="31" t="n">
        <v>63029</v>
      </c>
      <c r="J198" s="31" t="inlineStr">
        <is>
          <t>532240</t>
        </is>
      </c>
    </row>
    <row r="199">
      <c r="A199" s="31" t="inlineStr">
        <is>
          <t>STEELCAS</t>
        </is>
      </c>
      <c r="B199" s="31" t="inlineStr">
        <is>
          <t>Steelcast Ltd</t>
        </is>
      </c>
      <c r="C199" s="31" t="inlineStr">
        <is>
          <t>industrials</t>
        </is>
      </c>
      <c r="D199" s="31" t="inlineStr">
        <is>
          <t>castings &amp; forgings</t>
        </is>
      </c>
      <c r="E199" s="31" t="inlineStr">
        <is>
          <t>smallcap</t>
        </is>
      </c>
      <c r="F199" s="31" t="n">
        <v>3160.98</v>
      </c>
      <c r="G199" s="31" t="n">
        <v>305.9</v>
      </c>
      <c r="H199" s="31" t="n">
        <v>-2.07</v>
      </c>
      <c r="I199" s="31" t="n">
        <v>72073</v>
      </c>
      <c r="J199" s="31" t="inlineStr">
        <is>
          <t>513517</t>
        </is>
      </c>
    </row>
    <row r="200">
      <c r="A200" s="31" t="inlineStr">
        <is>
          <t>KMEW</t>
        </is>
      </c>
      <c r="B200" s="31" t="inlineStr">
        <is>
          <t>Knowledge Marine &amp; Engineering Works Ltd</t>
        </is>
      </c>
      <c r="C200" s="31" t="inlineStr">
        <is>
          <t>transportation</t>
        </is>
      </c>
      <c r="D200" s="31" t="inlineStr">
        <is>
          <t>miscellaneous</t>
        </is>
      </c>
      <c r="E200" s="31" t="inlineStr">
        <is>
          <t>midcap</t>
        </is>
      </c>
      <c r="F200" s="31" t="n">
        <v>5584.26</v>
      </c>
      <c r="G200" s="31" t="n">
        <v>2236.9</v>
      </c>
      <c r="H200" s="31" t="n">
        <v>-2.08</v>
      </c>
      <c r="I200" s="31" t="n">
        <v>178083</v>
      </c>
      <c r="J200" s="31" t="inlineStr">
        <is>
          <t>543273</t>
        </is>
      </c>
    </row>
    <row r="201">
      <c r="A201" s="31" t="inlineStr">
        <is>
          <t>UNITDSPR</t>
        </is>
      </c>
      <c r="B201" s="31" t="inlineStr">
        <is>
          <t>United Spirits Ltd</t>
        </is>
      </c>
      <c r="C201" s="31" t="inlineStr">
        <is>
          <t>fmcg</t>
        </is>
      </c>
      <c r="D201" s="31" t="inlineStr">
        <is>
          <t>breweries &amp; distilleries</t>
        </is>
      </c>
      <c r="E201" s="31" t="inlineStr">
        <is>
          <t>largecap</t>
        </is>
      </c>
      <c r="F201" s="31" t="n">
        <v>104694.88</v>
      </c>
      <c r="G201" s="31" t="n">
        <v>1408.8</v>
      </c>
      <c r="H201" s="31" t="n">
        <v>-2.13</v>
      </c>
      <c r="I201" s="31" t="n">
        <v>2405613</v>
      </c>
      <c r="J201" s="31" t="inlineStr">
        <is>
          <t>532432</t>
        </is>
      </c>
    </row>
    <row r="202">
      <c r="A202" s="31" t="inlineStr">
        <is>
          <t>GLAND</t>
        </is>
      </c>
      <c r="B202" s="31" t="inlineStr">
        <is>
          <t>Gland Pharma Ltd</t>
        </is>
      </c>
      <c r="C202" s="31" t="inlineStr">
        <is>
          <t>healthcare</t>
        </is>
      </c>
      <c r="D202" s="31" t="inlineStr">
        <is>
          <t>pharmaceuticals - indian - formulations</t>
        </is>
      </c>
      <c r="E202" s="31" t="inlineStr">
        <is>
          <t>largecap</t>
        </is>
      </c>
      <c r="F202" s="31" t="n">
        <v>42012.89</v>
      </c>
      <c r="G202" s="31" t="n">
        <v>2495.8</v>
      </c>
      <c r="H202" s="31" t="n">
        <v>-2.13</v>
      </c>
      <c r="I202" s="31" t="n">
        <v>1017221</v>
      </c>
      <c r="J202" s="31" t="inlineStr">
        <is>
          <t>543245</t>
        </is>
      </c>
    </row>
    <row r="203">
      <c r="A203" s="31" t="inlineStr">
        <is>
          <t>BLSE</t>
        </is>
      </c>
      <c r="B203" s="31" t="inlineStr">
        <is>
          <t>BLS E-Services Ltd</t>
        </is>
      </c>
      <c r="C203" s="31" t="inlineStr">
        <is>
          <t>i.t</t>
        </is>
      </c>
      <c r="D203" s="31" t="inlineStr">
        <is>
          <t>computers - software - medium / small</t>
        </is>
      </c>
      <c r="E203" s="31" t="inlineStr">
        <is>
          <t>smallcap</t>
        </is>
      </c>
      <c r="F203" s="31" t="n">
        <v>2427.05</v>
      </c>
      <c r="G203" s="31" t="n">
        <v>261.4</v>
      </c>
      <c r="H203" s="31" t="n">
        <v>-2.15</v>
      </c>
      <c r="I203" s="31" t="n">
        <v>683342</v>
      </c>
      <c r="J203" s="31" t="inlineStr">
        <is>
          <t>544107</t>
        </is>
      </c>
    </row>
    <row r="204">
      <c r="A204" s="31" t="inlineStr">
        <is>
          <t>REDINGTON</t>
        </is>
      </c>
      <c r="B204" s="31" t="inlineStr">
        <is>
          <t>Redington (india) Limited</t>
        </is>
      </c>
      <c r="C204" s="31" t="inlineStr">
        <is>
          <t>services</t>
        </is>
      </c>
      <c r="D204" s="31" t="inlineStr">
        <is>
          <t>trading</t>
        </is>
      </c>
      <c r="E204" s="31" t="inlineStr">
        <is>
          <t>largecap</t>
        </is>
      </c>
      <c r="F204" s="31" t="n">
        <v>21463.62</v>
      </c>
      <c r="G204" s="31" t="n">
        <v>268.6</v>
      </c>
      <c r="H204" s="31" t="n">
        <v>-2.17</v>
      </c>
      <c r="I204" s="31" t="n">
        <v>3681927</v>
      </c>
      <c r="J204" s="31" t="inlineStr">
        <is>
          <t>532805</t>
        </is>
      </c>
    </row>
    <row r="205">
      <c r="A205" s="31" t="inlineStr">
        <is>
          <t>BHARATSE</t>
        </is>
      </c>
      <c r="B205" s="31" t="inlineStr">
        <is>
          <t>Bharat Seats Ltd</t>
        </is>
      </c>
      <c r="C205" s="31" t="inlineStr">
        <is>
          <t>auto</t>
        </is>
      </c>
      <c r="D205" s="31" t="inlineStr">
        <is>
          <t>auto ancillaries</t>
        </is>
      </c>
      <c r="E205" s="31" t="inlineStr">
        <is>
          <t>smallcap</t>
        </is>
      </c>
      <c r="F205" s="31" t="n">
        <v>1474.61</v>
      </c>
      <c r="G205" s="31" t="n">
        <v>229.69</v>
      </c>
      <c r="H205" s="31" t="n">
        <v>-2.18</v>
      </c>
      <c r="I205" s="31" t="n">
        <v>554299</v>
      </c>
      <c r="J205" s="31" t="inlineStr">
        <is>
          <t>523229</t>
        </is>
      </c>
    </row>
    <row r="206">
      <c r="A206" s="31" t="inlineStr">
        <is>
          <t>TRIVENI</t>
        </is>
      </c>
      <c r="B206" s="31" t="inlineStr">
        <is>
          <t>Triveni Engineering &amp; Industries Limited</t>
        </is>
      </c>
      <c r="C206" s="31" t="inlineStr">
        <is>
          <t>fmcg</t>
        </is>
      </c>
      <c r="D206" s="31" t="inlineStr">
        <is>
          <t>sugar</t>
        </is>
      </c>
      <c r="E206" s="31" t="inlineStr">
        <is>
          <t>midcap</t>
        </is>
      </c>
      <c r="F206" s="31" t="n">
        <v>10049.61</v>
      </c>
      <c r="G206" s="31" t="n">
        <v>449.1</v>
      </c>
      <c r="H206" s="31" t="n">
        <v>-2.18</v>
      </c>
      <c r="I206" s="31" t="n">
        <v>562396</v>
      </c>
      <c r="J206" s="31" t="inlineStr">
        <is>
          <t>532356</t>
        </is>
      </c>
    </row>
    <row r="207">
      <c r="A207" s="31" t="inlineStr">
        <is>
          <t>GNA</t>
        </is>
      </c>
      <c r="B207" s="31" t="inlineStr">
        <is>
          <t>Gna Axles Limited</t>
        </is>
      </c>
      <c r="C207" s="31" t="inlineStr">
        <is>
          <t>auto</t>
        </is>
      </c>
      <c r="D207" s="31" t="inlineStr">
        <is>
          <t>auto ancillaries</t>
        </is>
      </c>
      <c r="E207" s="31" t="inlineStr">
        <is>
          <t>smallcap</t>
        </is>
      </c>
      <c r="F207" s="31" t="n">
        <v>2016.67</v>
      </c>
      <c r="G207" s="31" t="n">
        <v>459.4</v>
      </c>
      <c r="H207" s="31" t="n">
        <v>-2.2</v>
      </c>
      <c r="I207" s="31" t="n">
        <v>155776</v>
      </c>
      <c r="J207" s="31" t="inlineStr">
        <is>
          <t>540124</t>
        </is>
      </c>
    </row>
    <row r="208">
      <c r="A208" s="31" t="inlineStr">
        <is>
          <t>VARROC</t>
        </is>
      </c>
      <c r="B208" s="31" t="inlineStr">
        <is>
          <t>Varroc Engineering Ltd</t>
        </is>
      </c>
      <c r="C208" s="31" t="inlineStr">
        <is>
          <t>auto</t>
        </is>
      </c>
      <c r="D208" s="31" t="inlineStr">
        <is>
          <t>auto ancillaries</t>
        </is>
      </c>
      <c r="E208" s="31" t="inlineStr">
        <is>
          <t>midcap</t>
        </is>
      </c>
      <c r="F208" s="31" t="n">
        <v>9948.690000000001</v>
      </c>
      <c r="G208" s="31" t="n">
        <v>636.75</v>
      </c>
      <c r="H208" s="31" t="n">
        <v>-2.21</v>
      </c>
      <c r="I208" s="31" t="n">
        <v>173011</v>
      </c>
      <c r="J208" s="31" t="inlineStr">
        <is>
          <t>541578</t>
        </is>
      </c>
    </row>
    <row r="209">
      <c r="A209" s="31" t="inlineStr">
        <is>
          <t>PRICOLLTD</t>
        </is>
      </c>
      <c r="B209" s="31" t="inlineStr">
        <is>
          <t>Pricol Ltd.</t>
        </is>
      </c>
      <c r="C209" s="31" t="inlineStr">
        <is>
          <t>auto</t>
        </is>
      </c>
      <c r="D209" s="31" t="inlineStr">
        <is>
          <t>auto ancillaries</t>
        </is>
      </c>
      <c r="E209" s="31" t="inlineStr">
        <is>
          <t>midcap</t>
        </is>
      </c>
      <c r="F209" s="31" t="n">
        <v>7589.56</v>
      </c>
      <c r="G209" s="31" t="n">
        <v>608.8</v>
      </c>
      <c r="H209" s="31" t="n">
        <v>-2.23</v>
      </c>
      <c r="I209" s="31" t="n">
        <v>448490</v>
      </c>
      <c r="J209" s="31" t="inlineStr">
        <is>
          <t>540293</t>
        </is>
      </c>
    </row>
    <row r="210">
      <c r="A210" s="31" t="inlineStr">
        <is>
          <t>RELIGARE</t>
        </is>
      </c>
      <c r="B210" s="31" t="inlineStr">
        <is>
          <t>Religare Enterprises Limited</t>
        </is>
      </c>
      <c r="C210" s="31" t="inlineStr">
        <is>
          <t>financials</t>
        </is>
      </c>
      <c r="D210" s="31" t="inlineStr">
        <is>
          <t>finance &amp; investments</t>
        </is>
      </c>
      <c r="E210" s="31" t="inlineStr">
        <is>
          <t>midcap</t>
        </is>
      </c>
      <c r="F210" s="31" t="n">
        <v>9286.68</v>
      </c>
      <c r="G210" s="31" t="n">
        <v>266</v>
      </c>
      <c r="H210" s="31" t="n">
        <v>-2.26</v>
      </c>
      <c r="I210" s="31" t="n">
        <v>953492</v>
      </c>
      <c r="J210" s="31" t="inlineStr">
        <is>
          <t>532915</t>
        </is>
      </c>
    </row>
    <row r="211">
      <c r="A211" s="31" t="inlineStr">
        <is>
          <t>PRESTIGE</t>
        </is>
      </c>
      <c r="B211" s="31" t="inlineStr">
        <is>
          <t>Prestige Estates Projects Limited</t>
        </is>
      </c>
      <c r="C211" s="31" t="inlineStr">
        <is>
          <t>realty</t>
        </is>
      </c>
      <c r="D211" s="31" t="inlineStr">
        <is>
          <t>construction</t>
        </is>
      </c>
      <c r="E211" s="31" t="inlineStr">
        <is>
          <t>largecap</t>
        </is>
      </c>
      <c r="F211" s="31" t="n">
        <v>72074.09</v>
      </c>
      <c r="G211" s="31" t="n">
        <v>1635.3</v>
      </c>
      <c r="H211" s="31" t="n">
        <v>-2.27</v>
      </c>
      <c r="I211" s="31" t="n">
        <v>1043090</v>
      </c>
      <c r="J211" s="31" t="inlineStr">
        <is>
          <t>533274</t>
        </is>
      </c>
    </row>
    <row r="212">
      <c r="A212" s="31" t="inlineStr">
        <is>
          <t>UFBL</t>
        </is>
      </c>
      <c r="B212" s="31" t="inlineStr">
        <is>
          <t>United Foodbrands Ltd</t>
        </is>
      </c>
      <c r="C212" s="31" t="inlineStr">
        <is>
          <t>consumer discretionary</t>
        </is>
      </c>
      <c r="D212" s="31" t="inlineStr">
        <is>
          <t>hotels</t>
        </is>
      </c>
      <c r="E212" s="31" t="inlineStr">
        <is>
          <t>smallcap</t>
        </is>
      </c>
      <c r="F212" s="31" t="n">
        <v>2769.27</v>
      </c>
      <c r="G212" s="31" t="n">
        <v>692.4</v>
      </c>
      <c r="H212" s="31" t="n">
        <v>-2.27</v>
      </c>
      <c r="I212" s="31" t="n">
        <v>90220</v>
      </c>
      <c r="J212" s="31" t="inlineStr">
        <is>
          <t>543283</t>
        </is>
      </c>
    </row>
    <row r="213">
      <c r="A213" s="31" t="inlineStr">
        <is>
          <t>BORORENEW</t>
        </is>
      </c>
      <c r="B213" s="31" t="inlineStr">
        <is>
          <t>Borosil Renewables Ltd</t>
        </is>
      </c>
      <c r="C213" s="31" t="inlineStr">
        <is>
          <t>building materials</t>
        </is>
      </c>
      <c r="D213" s="31" t="inlineStr">
        <is>
          <t>glass &amp; glass products</t>
        </is>
      </c>
      <c r="E213" s="31" t="inlineStr">
        <is>
          <t>midcap</t>
        </is>
      </c>
      <c r="F213" s="31" t="n">
        <v>8535.4</v>
      </c>
      <c r="G213" s="31" t="n">
        <v>594.6</v>
      </c>
      <c r="H213" s="31" t="n">
        <v>-2.34</v>
      </c>
      <c r="I213" s="31" t="n">
        <v>512383</v>
      </c>
      <c r="J213" s="31" t="inlineStr">
        <is>
          <t>502219</t>
        </is>
      </c>
    </row>
    <row r="214">
      <c r="A214" s="31" t="inlineStr">
        <is>
          <t>MENONBE</t>
        </is>
      </c>
      <c r="B214" s="31" t="inlineStr">
        <is>
          <t>Menon Bearings Limited</t>
        </is>
      </c>
      <c r="C214" s="31" t="inlineStr">
        <is>
          <t>auto</t>
        </is>
      </c>
      <c r="D214" s="31" t="inlineStr">
        <is>
          <t>auto ancillaries</t>
        </is>
      </c>
      <c r="E214" s="31" t="inlineStr">
        <is>
          <t>smallcap</t>
        </is>
      </c>
      <c r="F214" s="31" t="n">
        <v>953.52</v>
      </c>
      <c r="G214" s="31" t="n">
        <v>166.15</v>
      </c>
      <c r="H214" s="31" t="n">
        <v>-2.35</v>
      </c>
      <c r="I214" s="31" t="n">
        <v>83495</v>
      </c>
      <c r="J214" s="31" t="inlineStr">
        <is>
          <t>523828</t>
        </is>
      </c>
    </row>
    <row r="215">
      <c r="A215" s="31" t="inlineStr">
        <is>
          <t>ICICIBANK</t>
        </is>
      </c>
      <c r="B215" s="31" t="inlineStr">
        <is>
          <t>Icici Bank Limited</t>
        </is>
      </c>
      <c r="C215" s="31" t="inlineStr">
        <is>
          <t>bank</t>
        </is>
      </c>
      <c r="D215" s="31" t="inlineStr">
        <is>
          <t>banks - private sector</t>
        </is>
      </c>
      <c r="E215" s="31" t="inlineStr">
        <is>
          <t>largecap</t>
        </is>
      </c>
      <c r="F215" s="31" t="n">
        <v>1012941.13</v>
      </c>
      <c r="G215" s="31" t="n">
        <v>1380.6</v>
      </c>
      <c r="H215" s="31" t="n">
        <v>-2.41</v>
      </c>
      <c r="I215" s="31" t="n">
        <v>10573142</v>
      </c>
      <c r="J215" s="31" t="inlineStr">
        <is>
          <t>532174</t>
        </is>
      </c>
    </row>
    <row r="216">
      <c r="A216" s="31" t="inlineStr">
        <is>
          <t>MAHLOG</t>
        </is>
      </c>
      <c r="B216" s="31" t="inlineStr">
        <is>
          <t>Mahindra Logistics Ltd</t>
        </is>
      </c>
      <c r="C216" s="31" t="inlineStr">
        <is>
          <t>transportation</t>
        </is>
      </c>
      <c r="D216" s="31" t="inlineStr">
        <is>
          <t>miscellaneous</t>
        </is>
      </c>
      <c r="E216" s="31" t="inlineStr">
        <is>
          <t>smallcap</t>
        </is>
      </c>
      <c r="F216" s="31" t="n">
        <v>3889.52</v>
      </c>
      <c r="G216" s="31" t="n">
        <v>382.5</v>
      </c>
      <c r="H216" s="31" t="n">
        <v>-2.42</v>
      </c>
      <c r="I216" s="31" t="n">
        <v>165605</v>
      </c>
      <c r="J216" s="31" t="inlineStr">
        <is>
          <t>540768</t>
        </is>
      </c>
    </row>
    <row r="217">
      <c r="A217" s="31" t="inlineStr">
        <is>
          <t>TPLPLASTEH</t>
        </is>
      </c>
      <c r="B217" s="31" t="inlineStr">
        <is>
          <t>Tpl Plastech Limited</t>
        </is>
      </c>
      <c r="C217" s="31" t="inlineStr">
        <is>
          <t>industrials</t>
        </is>
      </c>
      <c r="D217" s="31" t="inlineStr">
        <is>
          <t>packaging</t>
        </is>
      </c>
      <c r="E217" s="31" t="inlineStr">
        <is>
          <t>smallcap</t>
        </is>
      </c>
      <c r="F217" s="31" t="n">
        <v>639.47</v>
      </c>
      <c r="G217" s="31" t="n">
        <v>79.98999999999999</v>
      </c>
      <c r="H217" s="31" t="n">
        <v>-2.43</v>
      </c>
      <c r="I217" s="31" t="n">
        <v>297284</v>
      </c>
      <c r="J217" s="31" t="inlineStr">
        <is>
          <t>526582</t>
        </is>
      </c>
    </row>
    <row r="218">
      <c r="A218" s="31" t="inlineStr">
        <is>
          <t>MAHLIFE</t>
        </is>
      </c>
      <c r="B218" s="31" t="inlineStr">
        <is>
          <t>Mahindra Lifespace Developers Limited</t>
        </is>
      </c>
      <c r="C218" s="31" t="inlineStr">
        <is>
          <t>realty</t>
        </is>
      </c>
      <c r="D218" s="31" t="inlineStr">
        <is>
          <t>construction</t>
        </is>
      </c>
      <c r="E218" s="31" t="inlineStr">
        <is>
          <t>midcap</t>
        </is>
      </c>
      <c r="F218" s="31" t="n">
        <v>7912.88</v>
      </c>
      <c r="G218" s="31" t="n">
        <v>361.85</v>
      </c>
      <c r="H218" s="31" t="n">
        <v>-2.44</v>
      </c>
      <c r="I218" s="31" t="n">
        <v>240228</v>
      </c>
      <c r="J218" s="31" t="inlineStr">
        <is>
          <t>532313</t>
        </is>
      </c>
    </row>
    <row r="219">
      <c r="A219" s="31" t="inlineStr">
        <is>
          <t>DIAMONDYD</t>
        </is>
      </c>
      <c r="B219" s="31" t="inlineStr">
        <is>
          <t>Prataap Snacks Ltd</t>
        </is>
      </c>
      <c r="C219" s="31" t="inlineStr">
        <is>
          <t>fmcg</t>
        </is>
      </c>
      <c r="D219" s="31" t="inlineStr">
        <is>
          <t>food - processing - indian</t>
        </is>
      </c>
      <c r="E219" s="31" t="inlineStr">
        <is>
          <t>smallcap</t>
        </is>
      </c>
      <c r="F219" s="31" t="n">
        <v>2928.42</v>
      </c>
      <c r="G219" s="31" t="n">
        <v>1195</v>
      </c>
      <c r="H219" s="31" t="n">
        <v>-2.46</v>
      </c>
      <c r="I219" s="31" t="n">
        <v>30769</v>
      </c>
      <c r="J219" s="31" t="inlineStr">
        <is>
          <t>540724</t>
        </is>
      </c>
    </row>
    <row r="220">
      <c r="A220" s="31" t="inlineStr">
        <is>
          <t>JSWINFRA</t>
        </is>
      </c>
      <c r="B220" s="31" t="inlineStr">
        <is>
          <t>JSW Infrastructure Ltd</t>
        </is>
      </c>
      <c r="C220" s="31" t="inlineStr">
        <is>
          <t>transportation</t>
        </is>
      </c>
      <c r="D220" s="31" t="inlineStr">
        <is>
          <t>miscellaneous</t>
        </is>
      </c>
      <c r="E220" s="31" t="inlineStr">
        <is>
          <t>largecap</t>
        </is>
      </c>
      <c r="F220" s="31" t="n">
        <v>75130.89999999999</v>
      </c>
      <c r="G220" s="31" t="n">
        <v>314.25</v>
      </c>
      <c r="H220" s="31" t="n">
        <v>-2.54</v>
      </c>
      <c r="I220" s="31" t="n">
        <v>2979834</v>
      </c>
      <c r="J220" s="31" t="inlineStr">
        <is>
          <t>543994</t>
        </is>
      </c>
    </row>
    <row r="221">
      <c r="A221" s="31" t="inlineStr">
        <is>
          <t>FUSION</t>
        </is>
      </c>
      <c r="B221" s="31" t="inlineStr">
        <is>
          <t>Fusion Micro Finance Ltd</t>
        </is>
      </c>
      <c r="C221" s="31" t="inlineStr">
        <is>
          <t>financials</t>
        </is>
      </c>
      <c r="D221" s="31" t="inlineStr">
        <is>
          <t>finance &amp; investments</t>
        </is>
      </c>
      <c r="E221" s="31" t="inlineStr">
        <is>
          <t>smallcap</t>
        </is>
      </c>
      <c r="F221" s="31" t="n">
        <v>3663.38</v>
      </c>
      <c r="G221" s="31" t="n">
        <v>220.29</v>
      </c>
      <c r="H221" s="31" t="n">
        <v>-2.54</v>
      </c>
      <c r="I221" s="31" t="n">
        <v>1695718</v>
      </c>
      <c r="J221" s="31" t="inlineStr">
        <is>
          <t>543652</t>
        </is>
      </c>
    </row>
    <row r="222">
      <c r="A222" s="31" t="inlineStr">
        <is>
          <t>IPCALAB</t>
        </is>
      </c>
      <c r="B222" s="31" t="inlineStr">
        <is>
          <t>Ipca Laboratories Limited</t>
        </is>
      </c>
      <c r="C222" s="31" t="inlineStr">
        <is>
          <t>healthcare</t>
        </is>
      </c>
      <c r="D222" s="31" t="inlineStr">
        <is>
          <t>pharmaceuticals - indian - bulk drugs &amp; formln</t>
        </is>
      </c>
      <c r="E222" s="31" t="inlineStr">
        <is>
          <t>largecap</t>
        </is>
      </c>
      <c r="F222" s="31" t="n">
        <v>45491.7</v>
      </c>
      <c r="G222" s="31" t="n">
        <v>1747</v>
      </c>
      <c r="H222" s="31" t="n">
        <v>-2.57</v>
      </c>
      <c r="I222" s="31" t="n">
        <v>166408</v>
      </c>
      <c r="J222" s="31" t="inlineStr">
        <is>
          <t>524494</t>
        </is>
      </c>
    </row>
    <row r="223">
      <c r="A223" s="31" t="inlineStr">
        <is>
          <t>VADILALIND</t>
        </is>
      </c>
      <c r="B223" s="31" t="inlineStr">
        <is>
          <t>Vadilal Industries Limited</t>
        </is>
      </c>
      <c r="C223" s="31" t="inlineStr">
        <is>
          <t>fmcg</t>
        </is>
      </c>
      <c r="D223" s="31" t="inlineStr">
        <is>
          <t>food - processing - indian</t>
        </is>
      </c>
      <c r="E223" s="31" t="inlineStr">
        <is>
          <t>smallcap</t>
        </is>
      </c>
      <c r="F223" s="31" t="n">
        <v>4666.34</v>
      </c>
      <c r="G223" s="31" t="n">
        <v>6324.5</v>
      </c>
      <c r="H223" s="31" t="n">
        <v>-2.58</v>
      </c>
      <c r="I223" s="31" t="n">
        <v>17028</v>
      </c>
      <c r="J223" s="31" t="inlineStr">
        <is>
          <t>519156</t>
        </is>
      </c>
    </row>
    <row r="224">
      <c r="A224" s="31" t="inlineStr">
        <is>
          <t>PHOENIXLTD</t>
        </is>
      </c>
      <c r="B224" s="31" t="inlineStr">
        <is>
          <t>The Phoenix Mills Limited</t>
        </is>
      </c>
      <c r="C224" s="31" t="inlineStr">
        <is>
          <t>realty</t>
        </is>
      </c>
      <c r="D224" s="31" t="inlineStr">
        <is>
          <t>construction</t>
        </is>
      </c>
      <c r="E224" s="31" t="inlineStr">
        <is>
          <t>largecap</t>
        </is>
      </c>
      <c r="F224" s="31" t="n">
        <v>74212.75999999999</v>
      </c>
      <c r="G224" s="31" t="n">
        <v>2021</v>
      </c>
      <c r="H224" s="31" t="n">
        <v>-2.61</v>
      </c>
      <c r="I224" s="31" t="n">
        <v>480025</v>
      </c>
      <c r="J224" s="31" t="inlineStr">
        <is>
          <t>503100</t>
        </is>
      </c>
    </row>
    <row r="225">
      <c r="A225" s="31" t="inlineStr">
        <is>
          <t>RAMCOSYS</t>
        </is>
      </c>
      <c r="B225" s="31" t="inlineStr">
        <is>
          <t>Ramco Systems Limited</t>
        </is>
      </c>
      <c r="C225" s="31" t="inlineStr">
        <is>
          <t>i.t</t>
        </is>
      </c>
      <c r="D225" s="31" t="inlineStr">
        <is>
          <t>computers - software - medium / small</t>
        </is>
      </c>
      <c r="E225" s="31" t="inlineStr">
        <is>
          <t>smallcap</t>
        </is>
      </c>
      <c r="F225" s="31" t="n">
        <v>3292.44</v>
      </c>
      <c r="G225" s="31" t="n">
        <v>856.45</v>
      </c>
      <c r="H225" s="31" t="n">
        <v>-2.68</v>
      </c>
      <c r="I225" s="31" t="n">
        <v>3547843</v>
      </c>
      <c r="J225" s="31" t="inlineStr">
        <is>
          <t>532370</t>
        </is>
      </c>
    </row>
    <row r="226">
      <c r="A226" s="31" t="inlineStr">
        <is>
          <t>INDUSINDBK</t>
        </is>
      </c>
      <c r="B226" s="31" t="inlineStr">
        <is>
          <t>Indusind Bank Limited</t>
        </is>
      </c>
      <c r="C226" s="31" t="inlineStr">
        <is>
          <t>bank</t>
        </is>
      </c>
      <c r="D226" s="31" t="inlineStr">
        <is>
          <t>banks - private sector</t>
        </is>
      </c>
      <c r="E226" s="31" t="inlineStr">
        <is>
          <t>largecap</t>
        </is>
      </c>
      <c r="F226" s="31" t="n">
        <v>79644.12</v>
      </c>
      <c r="G226" s="31" t="n">
        <v>994.65</v>
      </c>
      <c r="H226" s="31" t="n">
        <v>-2.7</v>
      </c>
      <c r="I226" s="31" t="n">
        <v>3903276</v>
      </c>
      <c r="J226" s="31" t="inlineStr">
        <is>
          <t>532187</t>
        </is>
      </c>
    </row>
    <row r="227">
      <c r="A227" s="31" t="inlineStr">
        <is>
          <t>CREDITACC</t>
        </is>
      </c>
      <c r="B227" s="31" t="inlineStr">
        <is>
          <t>CreditAccess Grameen Ltd</t>
        </is>
      </c>
      <c r="C227" s="31" t="inlineStr">
        <is>
          <t>financials</t>
        </is>
      </c>
      <c r="D227" s="31" t="inlineStr">
        <is>
          <t>finance &amp; investments</t>
        </is>
      </c>
      <c r="E227" s="31" t="inlineStr">
        <is>
          <t>largecap</t>
        </is>
      </c>
      <c r="F227" s="31" t="n">
        <v>25346.22</v>
      </c>
      <c r="G227" s="31" t="n">
        <v>1539</v>
      </c>
      <c r="H227" s="31" t="n">
        <v>-2.73</v>
      </c>
      <c r="I227" s="31" t="n">
        <v>340960</v>
      </c>
      <c r="J227" s="31" t="inlineStr">
        <is>
          <t>541770</t>
        </is>
      </c>
    </row>
    <row r="228">
      <c r="A228" s="31" t="inlineStr">
        <is>
          <t>ZYDUSWELL</t>
        </is>
      </c>
      <c r="B228" s="31" t="inlineStr">
        <is>
          <t>Zydus Wellness Limited</t>
        </is>
      </c>
      <c r="C228" s="31" t="inlineStr">
        <is>
          <t>fmcg</t>
        </is>
      </c>
      <c r="D228" s="31" t="inlineStr">
        <is>
          <t>food - processing - indian</t>
        </is>
      </c>
      <c r="E228" s="31" t="inlineStr">
        <is>
          <t>midcap</t>
        </is>
      </c>
      <c r="F228" s="31" t="n">
        <v>18321.29</v>
      </c>
      <c r="G228" s="31" t="n">
        <v>559.9</v>
      </c>
      <c r="H228" s="31" t="n">
        <v>-2.77</v>
      </c>
      <c r="I228" s="31" t="n">
        <v>805974</v>
      </c>
      <c r="J228" s="31" t="inlineStr">
        <is>
          <t>531335</t>
        </is>
      </c>
    </row>
    <row r="229">
      <c r="A229" s="31" t="inlineStr">
        <is>
          <t>MANAPPURAM</t>
        </is>
      </c>
      <c r="B229" s="31" t="inlineStr">
        <is>
          <t>Manappuram Finance Limited</t>
        </is>
      </c>
      <c r="C229" s="31" t="inlineStr">
        <is>
          <t>financials</t>
        </is>
      </c>
      <c r="D229" s="31" t="inlineStr">
        <is>
          <t>finance &amp; investments</t>
        </is>
      </c>
      <c r="E229" s="31" t="inlineStr">
        <is>
          <t>largecap</t>
        </is>
      </c>
      <c r="F229" s="31" t="n">
        <v>32134.69</v>
      </c>
      <c r="G229" s="31" t="n">
        <v>332.55</v>
      </c>
      <c r="H229" s="31" t="n">
        <v>-2.79</v>
      </c>
      <c r="I229" s="31" t="n">
        <v>3451777</v>
      </c>
      <c r="J229" s="31" t="inlineStr">
        <is>
          <t>531213</t>
        </is>
      </c>
    </row>
    <row r="230">
      <c r="A230" s="31" t="inlineStr">
        <is>
          <t>GABRIEL</t>
        </is>
      </c>
      <c r="B230" s="31" t="inlineStr">
        <is>
          <t>Gabriel India Limited</t>
        </is>
      </c>
      <c r="C230" s="31" t="inlineStr">
        <is>
          <t>auto</t>
        </is>
      </c>
      <c r="D230" s="31" t="inlineStr">
        <is>
          <t>auto ancillaries</t>
        </is>
      </c>
      <c r="E230" s="31" t="inlineStr">
        <is>
          <t>largecap</t>
        </is>
      </c>
      <c r="F230" s="31" t="n">
        <v>22444.41</v>
      </c>
      <c r="G230" s="31" t="n">
        <v>1231</v>
      </c>
      <c r="H230" s="31" t="n">
        <v>-2.8</v>
      </c>
      <c r="I230" s="31" t="n">
        <v>269500</v>
      </c>
      <c r="J230" s="31" t="inlineStr">
        <is>
          <t>505714</t>
        </is>
      </c>
    </row>
    <row r="231">
      <c r="A231" s="31" t="inlineStr">
        <is>
          <t>3MINDIA</t>
        </is>
      </c>
      <c r="B231" s="31" t="inlineStr">
        <is>
          <t>3m India Limited</t>
        </is>
      </c>
      <c r="C231" s="31" t="inlineStr">
        <is>
          <t>miscellaneous</t>
        </is>
      </c>
      <c r="D231" s="31" t="inlineStr">
        <is>
          <t>diversified - large</t>
        </is>
      </c>
      <c r="E231" s="31" t="inlineStr">
        <is>
          <t>largecap</t>
        </is>
      </c>
      <c r="F231" s="31" t="n">
        <v>39720.64</v>
      </c>
      <c r="G231" s="31" t="n">
        <v>34255</v>
      </c>
      <c r="H231" s="31" t="n">
        <v>-2.85</v>
      </c>
      <c r="I231" s="31" t="n">
        <v>3946</v>
      </c>
      <c r="J231" s="31" t="inlineStr">
        <is>
          <t>523395</t>
        </is>
      </c>
    </row>
    <row r="232">
      <c r="A232" s="31" t="inlineStr">
        <is>
          <t>CYIENTDLM</t>
        </is>
      </c>
      <c r="B232" s="31" t="inlineStr">
        <is>
          <t>Cyient DLM Ltd</t>
        </is>
      </c>
      <c r="C232" s="31" t="inlineStr">
        <is>
          <t>consumer discretionary</t>
        </is>
      </c>
      <c r="D232" s="31" t="inlineStr">
        <is>
          <t>electronics - components</t>
        </is>
      </c>
      <c r="E232" s="31" t="inlineStr">
        <is>
          <t>smallcap</t>
        </is>
      </c>
      <c r="F232" s="31" t="n">
        <v>4260.28</v>
      </c>
      <c r="G232" s="31" t="n">
        <v>521.1</v>
      </c>
      <c r="H232" s="31" t="n">
        <v>-2.92</v>
      </c>
      <c r="I232" s="31" t="n">
        <v>1261137</v>
      </c>
      <c r="J232" s="31" t="inlineStr">
        <is>
          <t>543933</t>
        </is>
      </c>
    </row>
    <row r="233">
      <c r="A233" s="31" t="inlineStr">
        <is>
          <t>QUESS</t>
        </is>
      </c>
      <c r="B233" s="31" t="inlineStr">
        <is>
          <t>Quess Corp Limited</t>
        </is>
      </c>
      <c r="C233" s="31" t="inlineStr">
        <is>
          <t>miscellaneous</t>
        </is>
      </c>
      <c r="D233" s="31" t="inlineStr">
        <is>
          <t>diversified - large</t>
        </is>
      </c>
      <c r="E233" s="31" t="inlineStr">
        <is>
          <t>smallcap</t>
        </is>
      </c>
      <c r="F233" s="31" t="n">
        <v>4468.74</v>
      </c>
      <c r="G233" s="31" t="n">
        <v>290.5</v>
      </c>
      <c r="H233" s="31" t="n">
        <v>-2.92</v>
      </c>
      <c r="I233" s="31" t="n">
        <v>686021</v>
      </c>
      <c r="J233" s="31" t="inlineStr">
        <is>
          <t>539978</t>
        </is>
      </c>
    </row>
    <row r="234">
      <c r="A234" s="31" t="inlineStr">
        <is>
          <t>SUYOG</t>
        </is>
      </c>
      <c r="B234" s="31" t="inlineStr">
        <is>
          <t>Suyog Telematics Ltd</t>
        </is>
      </c>
      <c r="C234" s="31" t="inlineStr">
        <is>
          <t>telecom</t>
        </is>
      </c>
      <c r="D234" s="31" t="inlineStr">
        <is>
          <t>transmisson line towers / equipment</t>
        </is>
      </c>
      <c r="E234" s="31" t="inlineStr">
        <is>
          <t>smallcap</t>
        </is>
      </c>
      <c r="F234" s="31" t="n">
        <v>1056.18</v>
      </c>
      <c r="G234" s="31" t="n">
        <v>874.95</v>
      </c>
      <c r="H234" s="31" t="n">
        <v>-2.93</v>
      </c>
      <c r="I234" s="31" t="n">
        <v>60337</v>
      </c>
      <c r="J234" s="31" t="inlineStr">
        <is>
          <t>537259</t>
        </is>
      </c>
    </row>
    <row r="235">
      <c r="A235" s="31" t="inlineStr">
        <is>
          <t>POONAWALLA</t>
        </is>
      </c>
      <c r="B235" s="31" t="inlineStr">
        <is>
          <t>Poonawalla Fincorp Ltd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largecap</t>
        </is>
      </c>
      <c r="F235" s="31" t="n">
        <v>41525.72</v>
      </c>
      <c r="G235" s="31" t="n">
        <v>457.95</v>
      </c>
      <c r="H235" s="31" t="n">
        <v>-2.93</v>
      </c>
      <c r="I235" s="31" t="n">
        <v>3122168</v>
      </c>
      <c r="J235" s="31" t="inlineStr">
        <is>
          <t>524000</t>
        </is>
      </c>
    </row>
    <row r="236">
      <c r="A236" s="31" t="inlineStr">
        <is>
          <t>IBULLSLTD</t>
        </is>
      </c>
      <c r="B236" s="31" t="inlineStr">
        <is>
          <t>Indiabulls Limited</t>
        </is>
      </c>
      <c r="C236" s="31" t="inlineStr">
        <is>
          <t>miscellaneous</t>
        </is>
      </c>
      <c r="D236" s="31" t="inlineStr">
        <is>
          <t>diversified - medium / small</t>
        </is>
      </c>
      <c r="E236" s="31" t="inlineStr">
        <is>
          <t>midcap</t>
        </is>
      </c>
      <c r="F236" s="31" t="n">
        <v>6752.33</v>
      </c>
      <c r="G236" s="31" t="n">
        <v>28.19</v>
      </c>
      <c r="H236" s="31" t="n">
        <v>-2.96</v>
      </c>
      <c r="I236" s="31" t="n">
        <v>11844783</v>
      </c>
      <c r="J236" s="31" t="inlineStr">
        <is>
          <t>533520</t>
        </is>
      </c>
    </row>
    <row r="237">
      <c r="A237" s="31" t="inlineStr">
        <is>
          <t>PSPPROJECT</t>
        </is>
      </c>
      <c r="B237" s="31" t="inlineStr">
        <is>
          <t>PSP Projects Ltd</t>
        </is>
      </c>
      <c r="C237" s="31" t="inlineStr">
        <is>
          <t>realty</t>
        </is>
      </c>
      <c r="D237" s="31" t="inlineStr">
        <is>
          <t>construction</t>
        </is>
      </c>
      <c r="E237" s="31" t="inlineStr">
        <is>
          <t>smallcap</t>
        </is>
      </c>
      <c r="F237" s="31" t="n">
        <v>4246.83</v>
      </c>
      <c r="G237" s="31" t="n">
        <v>1039.3</v>
      </c>
      <c r="H237" s="31" t="n">
        <v>-2.99</v>
      </c>
      <c r="I237" s="31" t="n">
        <v>149260</v>
      </c>
      <c r="J237" s="31" t="inlineStr">
        <is>
          <t>540544</t>
        </is>
      </c>
    </row>
    <row r="238">
      <c r="A238" s="31" t="inlineStr">
        <is>
          <t>RAJRATAN</t>
        </is>
      </c>
      <c r="B238" s="31" t="inlineStr">
        <is>
          <t>Rajratan Global Wire Ltd</t>
        </is>
      </c>
      <c r="C238" s="31" t="inlineStr">
        <is>
          <t>metals &amp; mining</t>
        </is>
      </c>
      <c r="D238" s="31" t="inlineStr">
        <is>
          <t>steel - medium / small</t>
        </is>
      </c>
      <c r="E238" s="31" t="inlineStr">
        <is>
          <t>smallcap</t>
        </is>
      </c>
      <c r="F238" s="31" t="n">
        <v>2433.96</v>
      </c>
      <c r="G238" s="31" t="n">
        <v>464.9</v>
      </c>
      <c r="H238" s="31" t="n">
        <v>-3.02</v>
      </c>
      <c r="I238" s="31" t="n">
        <v>161460</v>
      </c>
      <c r="J238" s="31" t="inlineStr">
        <is>
          <t>517522</t>
        </is>
      </c>
    </row>
    <row r="239">
      <c r="A239" s="31" t="inlineStr">
        <is>
          <t>NELCO</t>
        </is>
      </c>
      <c r="B239" s="31" t="inlineStr">
        <is>
          <t>Nelco Limited</t>
        </is>
      </c>
      <c r="C239" s="31" t="inlineStr">
        <is>
          <t>telecom</t>
        </is>
      </c>
      <c r="D239" s="31" t="inlineStr">
        <is>
          <t>telecommunications - service provider</t>
        </is>
      </c>
      <c r="E239" s="31" t="inlineStr">
        <is>
          <t>smallcap</t>
        </is>
      </c>
      <c r="F239" s="31" t="n">
        <v>2085.72</v>
      </c>
      <c r="G239" s="31" t="n">
        <v>886.25</v>
      </c>
      <c r="H239" s="31" t="n">
        <v>-3.04</v>
      </c>
      <c r="I239" s="31" t="n">
        <v>249591</v>
      </c>
      <c r="J239" s="31" t="inlineStr">
        <is>
          <t>504112</t>
        </is>
      </c>
    </row>
    <row r="240">
      <c r="A240" s="31" t="inlineStr">
        <is>
          <t>EQUITASBNK</t>
        </is>
      </c>
      <c r="B240" s="31" t="inlineStr">
        <is>
          <t>Equitas Small Finance Bank Ltd</t>
        </is>
      </c>
      <c r="C240" s="31" t="inlineStr">
        <is>
          <t>bank</t>
        </is>
      </c>
      <c r="D240" s="31" t="inlineStr">
        <is>
          <t>banks - private sector</t>
        </is>
      </c>
      <c r="E240" s="31" t="inlineStr">
        <is>
          <t>midcap</t>
        </is>
      </c>
      <c r="F240" s="31" t="n">
        <v>9041.629999999999</v>
      </c>
      <c r="G240" s="31" t="n">
        <v>76.81999999999999</v>
      </c>
      <c r="H240" s="31" t="n">
        <v>-3.05</v>
      </c>
      <c r="I240" s="31" t="n">
        <v>3881232</v>
      </c>
      <c r="J240" s="31" t="inlineStr">
        <is>
          <t>543243</t>
        </is>
      </c>
    </row>
    <row r="241">
      <c r="A241" s="31" t="inlineStr">
        <is>
          <t>BAJFINANCE</t>
        </is>
      </c>
      <c r="B241" s="31" t="inlineStr">
        <is>
          <t>Bajaj Finance Limited</t>
        </is>
      </c>
      <c r="C241" s="31" t="inlineStr">
        <is>
          <t>financials</t>
        </is>
      </c>
      <c r="D241" s="31" t="inlineStr">
        <is>
          <t>finance &amp; investments</t>
        </is>
      </c>
      <c r="E241" s="31" t="inlineStr">
        <is>
          <t>largecap</t>
        </is>
      </c>
      <c r="F241" s="31" t="n">
        <v>648693.73</v>
      </c>
      <c r="G241" s="31" t="n">
        <v>1010.4</v>
      </c>
      <c r="H241" s="31" t="n">
        <v>-3.08</v>
      </c>
      <c r="I241" s="31" t="n">
        <v>8313859</v>
      </c>
      <c r="J241" s="31" t="inlineStr">
        <is>
          <t>500034</t>
        </is>
      </c>
    </row>
    <row r="242">
      <c r="A242" s="31" t="inlineStr">
        <is>
          <t>INDHOTEL</t>
        </is>
      </c>
      <c r="B242" s="31" t="inlineStr">
        <is>
          <t>The Indian Hotels Company Limited</t>
        </is>
      </c>
      <c r="C242" s="31" t="inlineStr">
        <is>
          <t>services</t>
        </is>
      </c>
      <c r="D242" s="31" t="inlineStr">
        <is>
          <t>hotels</t>
        </is>
      </c>
      <c r="E242" s="31" t="inlineStr">
        <is>
          <t>largecap</t>
        </is>
      </c>
      <c r="F242" s="31" t="n">
        <v>106180.93</v>
      </c>
      <c r="G242" s="31" t="n">
        <v>722.9</v>
      </c>
      <c r="H242" s="31" t="n">
        <v>-3.09</v>
      </c>
      <c r="I242" s="31" t="n">
        <v>1478462</v>
      </c>
      <c r="J242" s="31" t="inlineStr">
        <is>
          <t>500850</t>
        </is>
      </c>
    </row>
    <row r="243">
      <c r="A243" s="31" t="inlineStr">
        <is>
          <t>IKS</t>
        </is>
      </c>
      <c r="B243" s="31" t="inlineStr">
        <is>
          <t>Inventurus Knowledge Solutions Ltd</t>
        </is>
      </c>
      <c r="C243" s="31" t="inlineStr">
        <is>
          <t>i.t</t>
        </is>
      </c>
      <c r="D243" s="31" t="inlineStr">
        <is>
          <t>computers - software - medium / small</t>
        </is>
      </c>
      <c r="E243" s="31" t="inlineStr">
        <is>
          <t>largecap</t>
        </is>
      </c>
      <c r="F243" s="31" t="n">
        <v>32435.91</v>
      </c>
      <c r="G243" s="31" t="n">
        <v>1831.9</v>
      </c>
      <c r="H243" s="31" t="n">
        <v>-3.1</v>
      </c>
      <c r="I243" s="31" t="n">
        <v>343116</v>
      </c>
      <c r="J243" s="31" t="inlineStr">
        <is>
          <t>544309</t>
        </is>
      </c>
    </row>
    <row r="244">
      <c r="A244" s="31" t="inlineStr">
        <is>
          <t>SWANDEF</t>
        </is>
      </c>
      <c r="B244" s="31" t="inlineStr">
        <is>
          <t>Swan Defence and Heavy Industries Ltd</t>
        </is>
      </c>
      <c r="C244" s="31" t="inlineStr">
        <is>
          <t>transportation</t>
        </is>
      </c>
      <c r="D244" s="31" t="inlineStr">
        <is>
          <t>miscellaneous</t>
        </is>
      </c>
      <c r="E244" s="31" t="inlineStr">
        <is>
          <t>midcap</t>
        </is>
      </c>
      <c r="F244" s="31" t="n">
        <v>12135.33</v>
      </c>
      <c r="G244" s="31" t="n">
        <v>2231.9</v>
      </c>
      <c r="H244" s="31" t="n">
        <v>-3.11</v>
      </c>
      <c r="I244" s="31" t="n">
        <v>8989</v>
      </c>
      <c r="J244" s="31" t="inlineStr">
        <is>
          <t>533107</t>
        </is>
      </c>
    </row>
    <row r="245">
      <c r="A245" s="31" t="inlineStr">
        <is>
          <t>DELHIVERY</t>
        </is>
      </c>
      <c r="B245" s="31" t="inlineStr">
        <is>
          <t>Delhivery Ltd</t>
        </is>
      </c>
      <c r="C245" s="31" t="inlineStr">
        <is>
          <t>transportation</t>
        </is>
      </c>
      <c r="D245" s="31" t="inlineStr">
        <is>
          <t>miscellaneous</t>
        </is>
      </c>
      <c r="E245" s="31" t="inlineStr">
        <is>
          <t>largecap</t>
        </is>
      </c>
      <c r="F245" s="31" t="n">
        <v>38770.41</v>
      </c>
      <c r="G245" s="31" t="n">
        <v>501.8</v>
      </c>
      <c r="H245" s="31" t="n">
        <v>-3.11</v>
      </c>
      <c r="I245" s="31" t="n">
        <v>3778616</v>
      </c>
      <c r="J245" s="31" t="inlineStr">
        <is>
          <t>543529</t>
        </is>
      </c>
    </row>
    <row r="246">
      <c r="A246" s="31" t="inlineStr">
        <is>
          <t>GODREJPROP</t>
        </is>
      </c>
      <c r="B246" s="31" t="inlineStr">
        <is>
          <t>Godrej Properties Limited</t>
        </is>
      </c>
      <c r="C246" s="31" t="inlineStr">
        <is>
          <t>realty</t>
        </is>
      </c>
      <c r="D246" s="31" t="inlineStr">
        <is>
          <t>construction</t>
        </is>
      </c>
      <c r="E246" s="31" t="inlineStr">
        <is>
          <t>largecap</t>
        </is>
      </c>
      <c r="F246" s="31" t="n">
        <v>61539.47</v>
      </c>
      <c r="G246" s="31" t="n">
        <v>1979.5</v>
      </c>
      <c r="H246" s="31" t="n">
        <v>-3.11</v>
      </c>
      <c r="I246" s="31" t="n">
        <v>1082521</v>
      </c>
      <c r="J246" s="31" t="inlineStr">
        <is>
          <t>533150</t>
        </is>
      </c>
    </row>
    <row r="247">
      <c r="A247" s="31" t="inlineStr">
        <is>
          <t>ESAFSFB</t>
        </is>
      </c>
      <c r="B247" s="31" t="inlineStr">
        <is>
          <t>ESAF Small Finance Bank Ltd</t>
        </is>
      </c>
      <c r="C247" s="31" t="inlineStr">
        <is>
          <t>bank</t>
        </is>
      </c>
      <c r="D247" s="31" t="inlineStr">
        <is>
          <t>banks - private sector</t>
        </is>
      </c>
      <c r="E247" s="31" t="inlineStr">
        <is>
          <t>smallcap</t>
        </is>
      </c>
      <c r="F247" s="31" t="n">
        <v>1745.52</v>
      </c>
      <c r="G247" s="31" t="n">
        <v>32.78</v>
      </c>
      <c r="H247" s="31" t="n">
        <v>-3.16</v>
      </c>
      <c r="I247" s="31" t="n">
        <v>935202</v>
      </c>
      <c r="J247" s="31" t="inlineStr">
        <is>
          <t>544020</t>
        </is>
      </c>
    </row>
    <row r="248">
      <c r="A248" s="31" t="inlineStr">
        <is>
          <t>TVSSCS</t>
        </is>
      </c>
      <c r="B248" s="31" t="inlineStr">
        <is>
          <t>TVS Supply Chain Solutions Ltd</t>
        </is>
      </c>
      <c r="C248" s="31" t="inlineStr">
        <is>
          <t>transportation</t>
        </is>
      </c>
      <c r="D248" s="31" t="inlineStr">
        <is>
          <t>miscellaneous</t>
        </is>
      </c>
      <c r="E248" s="31" t="inlineStr">
        <is>
          <t>midcap</t>
        </is>
      </c>
      <c r="F248" s="31" t="n">
        <v>6144.76</v>
      </c>
      <c r="G248" s="31" t="n">
        <v>134.87</v>
      </c>
      <c r="H248" s="31" t="n">
        <v>-3.17</v>
      </c>
      <c r="I248" s="31" t="n">
        <v>556197</v>
      </c>
      <c r="J248" s="31" t="inlineStr">
        <is>
          <t>543965</t>
        </is>
      </c>
    </row>
    <row r="249">
      <c r="A249" s="31" t="inlineStr">
        <is>
          <t>UJJIVANSFB</t>
        </is>
      </c>
      <c r="B249" s="31" t="inlineStr">
        <is>
          <t>Ujjivan Small Finance Bank Ltd</t>
        </is>
      </c>
      <c r="C249" s="31" t="inlineStr">
        <is>
          <t>bank</t>
        </is>
      </c>
      <c r="D249" s="31" t="inlineStr">
        <is>
          <t>banks - private sector</t>
        </is>
      </c>
      <c r="E249" s="31" t="inlineStr">
        <is>
          <t>midcap</t>
        </is>
      </c>
      <c r="F249" s="31" t="n">
        <v>11971.01</v>
      </c>
      <c r="G249" s="31" t="n">
        <v>59.63</v>
      </c>
      <c r="H249" s="31" t="n">
        <v>-3.23</v>
      </c>
      <c r="I249" s="31" t="n">
        <v>11062538</v>
      </c>
      <c r="J249" s="31" t="inlineStr">
        <is>
          <t>542904</t>
        </is>
      </c>
    </row>
    <row r="250">
      <c r="A250" s="31" t="inlineStr">
        <is>
          <t>RAMCOIND</t>
        </is>
      </c>
      <c r="B250" s="31" t="inlineStr">
        <is>
          <t>Ramco Industries Limited</t>
        </is>
      </c>
      <c r="C250" s="31" t="inlineStr">
        <is>
          <t>building materials</t>
        </is>
      </c>
      <c r="D250" s="31" t="inlineStr">
        <is>
          <t>cement products</t>
        </is>
      </c>
      <c r="E250" s="31" t="inlineStr">
        <is>
          <t>smallcap</t>
        </is>
      </c>
      <c r="F250" s="31" t="n">
        <v>3090.26</v>
      </c>
      <c r="G250" s="31" t="n">
        <v>344.35</v>
      </c>
      <c r="H250" s="31" t="n">
        <v>-3.23</v>
      </c>
      <c r="I250" s="31" t="n">
        <v>675882</v>
      </c>
      <c r="J250" s="31" t="inlineStr">
        <is>
          <t>532369</t>
        </is>
      </c>
    </row>
    <row r="251">
      <c r="A251" s="31" t="inlineStr">
        <is>
          <t>BUTTERFLY</t>
        </is>
      </c>
      <c r="B251" s="31" t="inlineStr">
        <is>
          <t>Butterfly Gandhimathi Appliances Limited</t>
        </is>
      </c>
      <c r="C251" s="31" t="inlineStr">
        <is>
          <t>consumer discretionary</t>
        </is>
      </c>
      <c r="D251" s="31" t="inlineStr">
        <is>
          <t>domestic appliances</t>
        </is>
      </c>
      <c r="E251" s="31" t="inlineStr">
        <is>
          <t>smallcap</t>
        </is>
      </c>
      <c r="F251" s="31" t="n">
        <v>1325.32</v>
      </c>
      <c r="G251" s="31" t="n">
        <v>717.1</v>
      </c>
      <c r="H251" s="31" t="n">
        <v>-3.26</v>
      </c>
      <c r="I251" s="31" t="n">
        <v>125392</v>
      </c>
      <c r="J251" s="31" t="inlineStr">
        <is>
          <t>517421</t>
        </is>
      </c>
    </row>
    <row r="252">
      <c r="A252" s="31" t="inlineStr">
        <is>
          <t>GRAVITA</t>
        </is>
      </c>
      <c r="B252" s="31" t="inlineStr">
        <is>
          <t>Gravita India Limited</t>
        </is>
      </c>
      <c r="C252" s="31" t="inlineStr">
        <is>
          <t>metals &amp; mining</t>
        </is>
      </c>
      <c r="D252" s="31" t="inlineStr">
        <is>
          <t>mining / minerals / metals</t>
        </is>
      </c>
      <c r="E252" s="31" t="inlineStr">
        <is>
          <t>midcap</t>
        </is>
      </c>
      <c r="F252" s="31" t="n">
        <v>13192.52</v>
      </c>
      <c r="G252" s="31" t="n">
        <v>1727.9</v>
      </c>
      <c r="H252" s="31" t="n">
        <v>-3.33</v>
      </c>
      <c r="I252" s="31" t="n">
        <v>621042</v>
      </c>
      <c r="J252" s="31" t="inlineStr">
        <is>
          <t>533282</t>
        </is>
      </c>
    </row>
    <row r="253">
      <c r="A253" s="31" t="inlineStr">
        <is>
          <t>RATEGAIN</t>
        </is>
      </c>
      <c r="B253" s="31" t="inlineStr">
        <is>
          <t>Rategain Travel Technologies Ltd</t>
        </is>
      </c>
      <c r="C253" s="31" t="inlineStr">
        <is>
          <t>i.t</t>
        </is>
      </c>
      <c r="D253" s="31" t="inlineStr">
        <is>
          <t>computers - software - medium / small</t>
        </is>
      </c>
      <c r="E253" s="31" t="inlineStr">
        <is>
          <t>midcap</t>
        </is>
      </c>
      <c r="F253" s="31" t="n">
        <v>11207.99</v>
      </c>
      <c r="G253" s="31" t="n">
        <v>916.85</v>
      </c>
      <c r="H253" s="31" t="n">
        <v>-3.34</v>
      </c>
      <c r="I253" s="31" t="n">
        <v>511929</v>
      </c>
      <c r="J253" s="31" t="inlineStr">
        <is>
          <t>543417</t>
        </is>
      </c>
    </row>
    <row r="254">
      <c r="A254" s="31" t="inlineStr">
        <is>
          <t>PNBHOUSING</t>
        </is>
      </c>
      <c r="B254" s="31" t="inlineStr">
        <is>
          <t>Pnb Housing Finance Limited</t>
        </is>
      </c>
      <c r="C254" s="31" t="inlineStr">
        <is>
          <t>financials</t>
        </is>
      </c>
      <c r="D254" s="31" t="inlineStr">
        <is>
          <t>finance - housing</t>
        </is>
      </c>
      <c r="E254" s="31" t="inlineStr">
        <is>
          <t>largecap</t>
        </is>
      </c>
      <c r="F254" s="31" t="n">
        <v>28908.64</v>
      </c>
      <c r="G254" s="31" t="n">
        <v>1072.2</v>
      </c>
      <c r="H254" s="31" t="n">
        <v>-3.38</v>
      </c>
      <c r="I254" s="31" t="n">
        <v>1520482</v>
      </c>
      <c r="J254" s="31" t="inlineStr">
        <is>
          <t>540173</t>
        </is>
      </c>
    </row>
    <row r="255">
      <c r="A255" s="31" t="inlineStr">
        <is>
          <t>SPECTRUM</t>
        </is>
      </c>
      <c r="B255" s="31" t="inlineStr">
        <is>
          <t>Spectrum Electrical Industries Ltd</t>
        </is>
      </c>
      <c r="C255" s="31" t="inlineStr">
        <is>
          <t>industrials</t>
        </is>
      </c>
      <c r="D255" s="31" t="inlineStr">
        <is>
          <t>electric equipment</t>
        </is>
      </c>
      <c r="E255" s="31" t="inlineStr">
        <is>
          <t>smallcap</t>
        </is>
      </c>
      <c r="F255" s="31" t="n">
        <v>3059.01</v>
      </c>
      <c r="G255" s="31" t="n">
        <v>1880</v>
      </c>
      <c r="H255" s="31" t="n">
        <v>-3.43</v>
      </c>
      <c r="I255" s="31" t="n">
        <v>38629</v>
      </c>
      <c r="J255" s="31" t="inlineStr">
        <is>
          <t>535112</t>
        </is>
      </c>
    </row>
    <row r="256">
      <c r="A256" s="31" t="inlineStr">
        <is>
          <t>GMRAIRPORT</t>
        </is>
      </c>
      <c r="B256" s="31" t="inlineStr">
        <is>
          <t>GMR Airports Ltd</t>
        </is>
      </c>
      <c r="C256" s="31" t="inlineStr">
        <is>
          <t>miscellaneous</t>
        </is>
      </c>
      <c r="D256" s="31" t="inlineStr">
        <is>
          <t>miscellaneous</t>
        </is>
      </c>
      <c r="E256" s="31" t="inlineStr">
        <is>
          <t>largecap</t>
        </is>
      </c>
      <c r="F256" s="31" t="n">
        <v>121407.11</v>
      </c>
      <c r="G256" s="31" t="n">
        <v>111.01</v>
      </c>
      <c r="H256" s="31" t="n">
        <v>-3.45</v>
      </c>
      <c r="I256" s="31" t="n">
        <v>31233729</v>
      </c>
      <c r="J256" s="31" t="inlineStr">
        <is>
          <t>532754</t>
        </is>
      </c>
    </row>
    <row r="257">
      <c r="A257" s="31" t="inlineStr">
        <is>
          <t>CUB</t>
        </is>
      </c>
      <c r="B257" s="31" t="inlineStr">
        <is>
          <t>City Union Bank Limited</t>
        </is>
      </c>
      <c r="C257" s="31" t="inlineStr">
        <is>
          <t>bank</t>
        </is>
      </c>
      <c r="D257" s="31" t="inlineStr">
        <is>
          <t>banks - private sector</t>
        </is>
      </c>
      <c r="E257" s="31" t="inlineStr">
        <is>
          <t>midcap</t>
        </is>
      </c>
      <c r="F257" s="31" t="n">
        <v>16939.25</v>
      </c>
      <c r="G257" s="31" t="n">
        <v>220.08</v>
      </c>
      <c r="H257" s="31" t="n">
        <v>-3.46</v>
      </c>
      <c r="I257" s="31" t="n">
        <v>3779085</v>
      </c>
      <c r="J257" s="31" t="inlineStr">
        <is>
          <t>532210</t>
        </is>
      </c>
    </row>
    <row r="258">
      <c r="A258" s="31" t="inlineStr">
        <is>
          <t>SHRIPISTON</t>
        </is>
      </c>
      <c r="B258" s="31" t="inlineStr">
        <is>
          <t>Shriram Pistons &amp; Rings Limited</t>
        </is>
      </c>
      <c r="C258" s="31" t="inlineStr">
        <is>
          <t>auto</t>
        </is>
      </c>
      <c r="D258" s="31" t="inlineStr">
        <is>
          <t>auto ancillaries</t>
        </is>
      </c>
      <c r="E258" s="31" t="inlineStr">
        <is>
          <t>midcap</t>
        </is>
      </c>
      <c r="F258" s="31" t="n">
        <v>18805.31</v>
      </c>
      <c r="G258" s="31" t="n">
        <v>4116.8</v>
      </c>
      <c r="H258" s="31" t="n">
        <v>-3.57</v>
      </c>
      <c r="I258" s="31" t="n">
        <v>43535</v>
      </c>
      <c r="J258" s="31" t="n"/>
    </row>
    <row r="259">
      <c r="A259" s="31" t="inlineStr">
        <is>
          <t>NUVAMA</t>
        </is>
      </c>
      <c r="B259" s="31" t="inlineStr">
        <is>
          <t>Nuvama Wealth Management Ltd</t>
        </is>
      </c>
      <c r="C259" s="31" t="inlineStr">
        <is>
          <t>financials</t>
        </is>
      </c>
      <c r="D259" s="31" t="inlineStr">
        <is>
          <t>finance &amp; investments</t>
        </is>
      </c>
      <c r="E259" s="31" t="inlineStr">
        <is>
          <t>largecap</t>
        </is>
      </c>
      <c r="F259" s="31" t="n">
        <v>34899.18</v>
      </c>
      <c r="G259" s="31" t="n">
        <v>1848.1</v>
      </c>
      <c r="H259" s="31" t="n">
        <v>-3.6</v>
      </c>
      <c r="I259" s="31" t="n">
        <v>424683</v>
      </c>
      <c r="J259" s="31" t="inlineStr">
        <is>
          <t>543988</t>
        </is>
      </c>
    </row>
    <row r="260">
      <c r="A260" s="31" t="inlineStr">
        <is>
          <t>MOREPENLAB</t>
        </is>
      </c>
      <c r="B260" s="31" t="inlineStr">
        <is>
          <t>Morepen Laboratories Limited</t>
        </is>
      </c>
      <c r="C260" s="31" t="inlineStr">
        <is>
          <t>healthcare</t>
        </is>
      </c>
      <c r="D260" s="31" t="inlineStr">
        <is>
          <t>pharmaceuticals - indian - bulk drugs &amp; formln</t>
        </is>
      </c>
      <c r="E260" s="31" t="inlineStr">
        <is>
          <t>smallcap</t>
        </is>
      </c>
      <c r="F260" s="31" t="n">
        <v>3352.93</v>
      </c>
      <c r="G260" s="31" t="n">
        <v>58.96</v>
      </c>
      <c r="H260" s="31" t="n">
        <v>-3.64</v>
      </c>
      <c r="I260" s="31" t="n">
        <v>11516018</v>
      </c>
      <c r="J260" s="31" t="inlineStr">
        <is>
          <t>500288</t>
        </is>
      </c>
    </row>
    <row r="261">
      <c r="A261" s="31" t="inlineStr">
        <is>
          <t>INDIAGLYCO</t>
        </is>
      </c>
      <c r="B261" s="31" t="inlineStr">
        <is>
          <t>India Glycols Limited</t>
        </is>
      </c>
      <c r="C261" s="31" t="inlineStr">
        <is>
          <t>fmcg</t>
        </is>
      </c>
      <c r="D261" s="31" t="inlineStr">
        <is>
          <t>breweries &amp; distilleries</t>
        </is>
      </c>
      <c r="E261" s="31" t="inlineStr">
        <is>
          <t>midcap</t>
        </is>
      </c>
      <c r="F261" s="31" t="n">
        <v>7225.49</v>
      </c>
      <c r="G261" s="31" t="n">
        <v>1037.95</v>
      </c>
      <c r="H261" s="31" t="n">
        <v>-3.72</v>
      </c>
      <c r="I261" s="31" t="n">
        <v>111559</v>
      </c>
      <c r="J261" s="31" t="inlineStr">
        <is>
          <t>500201</t>
        </is>
      </c>
    </row>
    <row r="262">
      <c r="A262" s="31" t="inlineStr">
        <is>
          <t>AADHARHFC</t>
        </is>
      </c>
      <c r="B262" s="31" t="inlineStr">
        <is>
          <t>Aadhar Housing Finance Ltd</t>
        </is>
      </c>
      <c r="C262" s="31" t="inlineStr">
        <is>
          <t>financials</t>
        </is>
      </c>
      <c r="D262" s="31" t="inlineStr">
        <is>
          <t>finance - housing</t>
        </is>
      </c>
      <c r="E262" s="31" t="inlineStr">
        <is>
          <t>largecap</t>
        </is>
      </c>
      <c r="F262" s="31" t="n">
        <v>23780.71</v>
      </c>
      <c r="G262" s="31" t="n">
        <v>525.2</v>
      </c>
      <c r="H262" s="31" t="n">
        <v>-3.77</v>
      </c>
      <c r="I262" s="31" t="n">
        <v>533341</v>
      </c>
      <c r="J262" s="31" t="inlineStr">
        <is>
          <t>544176</t>
        </is>
      </c>
    </row>
    <row r="263">
      <c r="A263" s="31" t="inlineStr">
        <is>
          <t>ICIL</t>
        </is>
      </c>
      <c r="B263" s="31" t="inlineStr">
        <is>
          <t>Indo Count Industries Limited</t>
        </is>
      </c>
      <c r="C263" s="31" t="inlineStr">
        <is>
          <t>textiles</t>
        </is>
      </c>
      <c r="D263" s="31" t="inlineStr">
        <is>
          <t>textiles - cotton/blended</t>
        </is>
      </c>
      <c r="E263" s="31" t="inlineStr">
        <is>
          <t>midcap</t>
        </is>
      </c>
      <c r="F263" s="31" t="n">
        <v>8465.83</v>
      </c>
      <c r="G263" s="31" t="n">
        <v>411.2</v>
      </c>
      <c r="H263" s="31" t="n">
        <v>-3.8</v>
      </c>
      <c r="I263" s="31" t="n">
        <v>376690</v>
      </c>
      <c r="J263" s="31" t="inlineStr">
        <is>
          <t>521016</t>
        </is>
      </c>
    </row>
    <row r="264">
      <c r="A264" s="31" t="inlineStr">
        <is>
          <t>PANACHE</t>
        </is>
      </c>
      <c r="B264" s="31" t="inlineStr">
        <is>
          <t>Panache Digilife Ltd</t>
        </is>
      </c>
      <c r="C264" s="31" t="inlineStr">
        <is>
          <t>i.t</t>
        </is>
      </c>
      <c r="D264" s="31" t="inlineStr">
        <is>
          <t>computers - hardware</t>
        </is>
      </c>
      <c r="E264" s="31" t="inlineStr">
        <is>
          <t>smallcap</t>
        </is>
      </c>
      <c r="F264" s="31" t="n">
        <v>694.05</v>
      </c>
      <c r="G264" s="31" t="n">
        <v>416.5</v>
      </c>
      <c r="H264" s="31" t="n">
        <v>-3.9</v>
      </c>
      <c r="I264" s="31" t="n">
        <v>7487</v>
      </c>
      <c r="J264" s="31" t="inlineStr">
        <is>
          <t>538424</t>
        </is>
      </c>
    </row>
    <row r="265">
      <c r="A265" s="31" t="inlineStr">
        <is>
          <t>KABRAEXTRU</t>
        </is>
      </c>
      <c r="B265" s="31" t="inlineStr">
        <is>
          <t>Kabra Extrusion Technik Limited</t>
        </is>
      </c>
      <c r="C265" s="31" t="inlineStr">
        <is>
          <t>industrials</t>
        </is>
      </c>
      <c r="D265" s="31" t="inlineStr">
        <is>
          <t>engineering</t>
        </is>
      </c>
      <c r="E265" s="31" t="inlineStr">
        <is>
          <t>smallcap</t>
        </is>
      </c>
      <c r="F265" s="31" t="n">
        <v>1024.53</v>
      </c>
      <c r="G265" s="31" t="n">
        <v>281</v>
      </c>
      <c r="H265" s="31" t="n">
        <v>-4.08</v>
      </c>
      <c r="I265" s="31" t="n">
        <v>104709</v>
      </c>
      <c r="J265" s="31" t="inlineStr">
        <is>
          <t>524109</t>
        </is>
      </c>
    </row>
    <row r="266">
      <c r="A266" s="31" t="inlineStr">
        <is>
          <t>RESPONIND</t>
        </is>
      </c>
      <c r="B266" s="31" t="inlineStr">
        <is>
          <t>Responsive Industries Limited</t>
        </is>
      </c>
      <c r="C266" s="31" t="inlineStr">
        <is>
          <t>plastic products</t>
        </is>
      </c>
      <c r="D266" s="31" t="inlineStr">
        <is>
          <t>plastics products</t>
        </is>
      </c>
      <c r="E266" s="31" t="inlineStr">
        <is>
          <t>midcap</t>
        </is>
      </c>
      <c r="F266" s="31" t="n">
        <v>5652.9</v>
      </c>
      <c r="G266" s="31" t="n">
        <v>203</v>
      </c>
      <c r="H266" s="31" t="n">
        <v>-4.26</v>
      </c>
      <c r="I266" s="31" t="n">
        <v>99652</v>
      </c>
      <c r="J266" s="31" t="inlineStr">
        <is>
          <t>505509</t>
        </is>
      </c>
    </row>
    <row r="267">
      <c r="A267" s="31" t="inlineStr">
        <is>
          <t>MANAKSTEEL</t>
        </is>
      </c>
      <c r="B267" s="31" t="inlineStr">
        <is>
          <t>Manaksia Steels Limited</t>
        </is>
      </c>
      <c r="C267" s="31" t="inlineStr">
        <is>
          <t>metals &amp; mining</t>
        </is>
      </c>
      <c r="D267" s="31" t="inlineStr">
        <is>
          <t>steel - medium / small</t>
        </is>
      </c>
      <c r="E267" s="31" t="inlineStr">
        <is>
          <t>smallcap</t>
        </is>
      </c>
      <c r="F267" s="31" t="n">
        <v>541.25</v>
      </c>
      <c r="G267" s="31" t="n">
        <v>79</v>
      </c>
      <c r="H267" s="31" t="n">
        <v>-4.35</v>
      </c>
      <c r="I267" s="31" t="n">
        <v>78254</v>
      </c>
      <c r="J267" s="31" t="inlineStr">
        <is>
          <t>539044</t>
        </is>
      </c>
    </row>
    <row r="268">
      <c r="A268" s="31" t="inlineStr">
        <is>
          <t>WELSPUNLIV</t>
        </is>
      </c>
      <c r="B268" s="31" t="inlineStr">
        <is>
          <t>Welspun Living Ltd</t>
        </is>
      </c>
      <c r="C268" s="31" t="inlineStr">
        <is>
          <t>textiles</t>
        </is>
      </c>
      <c r="D268" s="31" t="inlineStr">
        <is>
          <t>textiles - products</t>
        </is>
      </c>
      <c r="E268" s="31" t="inlineStr">
        <is>
          <t>midcap</t>
        </is>
      </c>
      <c r="F268" s="31" t="n">
        <v>16346.84</v>
      </c>
      <c r="G268" s="31" t="n">
        <v>162.93</v>
      </c>
      <c r="H268" s="31" t="n">
        <v>-4.4</v>
      </c>
      <c r="I268" s="31" t="n">
        <v>3347810</v>
      </c>
      <c r="J268" s="31" t="inlineStr">
        <is>
          <t>514162</t>
        </is>
      </c>
    </row>
    <row r="269">
      <c r="A269" s="31" t="inlineStr">
        <is>
          <t>CHOLAFIN</t>
        </is>
      </c>
      <c r="B269" s="31" t="inlineStr">
        <is>
          <t>Cholamandalam Investment And Finance Company Limited</t>
        </is>
      </c>
      <c r="C269" s="31" t="inlineStr">
        <is>
          <t>financials</t>
        </is>
      </c>
      <c r="D269" s="31" t="inlineStr">
        <is>
          <t>finance &amp; investments</t>
        </is>
      </c>
      <c r="E269" s="31" t="inlineStr">
        <is>
          <t>largecap</t>
        </is>
      </c>
      <c r="F269" s="31" t="n">
        <v>157916.57</v>
      </c>
      <c r="G269" s="31" t="n">
        <v>1769.4</v>
      </c>
      <c r="H269" s="31" t="n">
        <v>-4.53</v>
      </c>
      <c r="I269" s="31" t="n">
        <v>1760893</v>
      </c>
      <c r="J269" s="31" t="inlineStr">
        <is>
          <t>511243</t>
        </is>
      </c>
    </row>
    <row r="270">
      <c r="A270" s="31" t="inlineStr">
        <is>
          <t>EPL</t>
        </is>
      </c>
      <c r="B270" s="31" t="inlineStr">
        <is>
          <t>EPL Ltd</t>
        </is>
      </c>
      <c r="C270" s="31" t="inlineStr">
        <is>
          <t>industrials</t>
        </is>
      </c>
      <c r="D270" s="31" t="inlineStr">
        <is>
          <t>packaging</t>
        </is>
      </c>
      <c r="E270" s="31" t="inlineStr">
        <is>
          <t>midcap</t>
        </is>
      </c>
      <c r="F270" s="31" t="n">
        <v>7848.95</v>
      </c>
      <c r="G270" s="31" t="n">
        <v>233.85</v>
      </c>
      <c r="H270" s="31" t="n">
        <v>-4.59</v>
      </c>
      <c r="I270" s="31" t="n">
        <v>858604</v>
      </c>
      <c r="J270" s="31" t="inlineStr">
        <is>
          <t>500135</t>
        </is>
      </c>
    </row>
    <row r="271">
      <c r="A271" s="31" t="inlineStr">
        <is>
          <t>SKMEGGPROD</t>
        </is>
      </c>
      <c r="B271" s="31" t="inlineStr">
        <is>
          <t>Skm Egg Products Export (india) Limited</t>
        </is>
      </c>
      <c r="C271" s="31" t="inlineStr">
        <is>
          <t>fmcg</t>
        </is>
      </c>
      <c r="D271" s="31" t="inlineStr">
        <is>
          <t>food - processing - indian</t>
        </is>
      </c>
      <c r="E271" s="31" t="inlineStr">
        <is>
          <t>smallcap</t>
        </is>
      </c>
      <c r="F271" s="31" t="n">
        <v>1635.36</v>
      </c>
      <c r="G271" s="31" t="n">
        <v>296.25</v>
      </c>
      <c r="H271" s="31" t="n">
        <v>-4.6</v>
      </c>
      <c r="I271" s="31" t="n">
        <v>415738</v>
      </c>
      <c r="J271" s="31" t="inlineStr">
        <is>
          <t>532143</t>
        </is>
      </c>
    </row>
    <row r="272">
      <c r="A272" s="31" t="inlineStr">
        <is>
          <t>ASIANHOTNR</t>
        </is>
      </c>
      <c r="B272" s="31" t="inlineStr">
        <is>
          <t>Asian Hotels (north) Limited</t>
        </is>
      </c>
      <c r="C272" s="31" t="inlineStr">
        <is>
          <t>services</t>
        </is>
      </c>
      <c r="D272" s="31" t="inlineStr">
        <is>
          <t>hotels</t>
        </is>
      </c>
      <c r="E272" s="31" t="inlineStr">
        <is>
          <t>smallcap</t>
        </is>
      </c>
      <c r="F272" s="31" t="n">
        <v>1444.84</v>
      </c>
      <c r="G272" s="31" t="n">
        <v>322.9</v>
      </c>
      <c r="H272" s="31" t="n">
        <v>-4.72</v>
      </c>
      <c r="I272" s="31" t="n">
        <v>21768</v>
      </c>
      <c r="J272" s="31" t="inlineStr">
        <is>
          <t>500023</t>
        </is>
      </c>
    </row>
    <row r="273">
      <c r="A273" s="31" t="inlineStr">
        <is>
          <t>GHCLTEXTIL</t>
        </is>
      </c>
      <c r="B273" s="31" t="inlineStr">
        <is>
          <t>GHCL Textiles Ltd</t>
        </is>
      </c>
      <c r="C273" s="31" t="inlineStr">
        <is>
          <t>textiles</t>
        </is>
      </c>
      <c r="D273" s="31" t="inlineStr">
        <is>
          <t>textiles - spinning - synthetic / blended</t>
        </is>
      </c>
      <c r="E273" s="31" t="inlineStr">
        <is>
          <t>smallcap</t>
        </is>
      </c>
      <c r="F273" s="31" t="n">
        <v>1058.33</v>
      </c>
      <c r="G273" s="31" t="n">
        <v>105.34</v>
      </c>
      <c r="H273" s="31" t="n">
        <v>-4.86</v>
      </c>
      <c r="I273" s="31" t="n">
        <v>852614</v>
      </c>
      <c r="J273" s="31" t="inlineStr">
        <is>
          <t>543918</t>
        </is>
      </c>
    </row>
    <row r="274">
      <c r="A274" s="31" t="inlineStr">
        <is>
          <t>KAMDHENU</t>
        </is>
      </c>
      <c r="B274" s="31" t="inlineStr">
        <is>
          <t>Kamdhenu Limited</t>
        </is>
      </c>
      <c r="C274" s="31" t="inlineStr">
        <is>
          <t>metals &amp; mining</t>
        </is>
      </c>
      <c r="D274" s="31" t="inlineStr">
        <is>
          <t>steel - medium / small</t>
        </is>
      </c>
      <c r="E274" s="31" t="inlineStr">
        <is>
          <t>smallcap</t>
        </is>
      </c>
      <c r="F274" s="31" t="n">
        <v>919.78</v>
      </c>
      <c r="G274" s="31" t="n">
        <v>31.01</v>
      </c>
      <c r="H274" s="31" t="n">
        <v>-4.96</v>
      </c>
      <c r="I274" s="31" t="n">
        <v>1586493</v>
      </c>
      <c r="J274" s="31" t="inlineStr">
        <is>
          <t>532741</t>
        </is>
      </c>
    </row>
    <row r="275">
      <c r="A275" s="31" t="inlineStr">
        <is>
          <t>MACPOWER</t>
        </is>
      </c>
      <c r="B275" s="31" t="inlineStr">
        <is>
          <t>Macpower CNC Machines Ltd</t>
        </is>
      </c>
      <c r="C275" s="31" t="inlineStr">
        <is>
          <t>industrials</t>
        </is>
      </c>
      <c r="D275" s="31" t="inlineStr">
        <is>
          <t>engineering</t>
        </is>
      </c>
      <c r="E275" s="31" t="inlineStr">
        <is>
          <t>midcap</t>
        </is>
      </c>
      <c r="F275" s="31" t="n">
        <v>11723.87</v>
      </c>
      <c r="G275" s="31" t="n">
        <v>1331.9</v>
      </c>
      <c r="H275" s="31" t="n">
        <v>-4.97</v>
      </c>
      <c r="I275" s="31" t="n">
        <v>27089</v>
      </c>
      <c r="J275" s="31" t="inlineStr">
        <is>
          <t>535057</t>
        </is>
      </c>
    </row>
    <row r="276">
      <c r="A276" s="31" t="inlineStr">
        <is>
          <t>JAYBARMARU</t>
        </is>
      </c>
      <c r="B276" s="31" t="inlineStr">
        <is>
          <t>Jay Bharat Maruti Limited</t>
        </is>
      </c>
      <c r="C276" s="31" t="inlineStr">
        <is>
          <t>auto</t>
        </is>
      </c>
      <c r="D276" s="31" t="inlineStr">
        <is>
          <t>auto ancillaries</t>
        </is>
      </c>
      <c r="E276" s="31" t="inlineStr">
        <is>
          <t>smallcap</t>
        </is>
      </c>
      <c r="F276" s="31" t="n">
        <v>2030.77</v>
      </c>
      <c r="G276" s="31" t="n">
        <v>178.22</v>
      </c>
      <c r="H276" s="31" t="n">
        <v>-5</v>
      </c>
      <c r="I276" s="31" t="n">
        <v>1310670</v>
      </c>
      <c r="J276" s="31" t="inlineStr">
        <is>
          <t>520066</t>
        </is>
      </c>
    </row>
    <row r="277">
      <c r="A277" s="31" t="inlineStr">
        <is>
          <t>ONMOBILE</t>
        </is>
      </c>
      <c r="B277" s="31" t="inlineStr">
        <is>
          <t>Onmobile Global Limited</t>
        </is>
      </c>
      <c r="C277" s="31" t="inlineStr">
        <is>
          <t>telecom-service</t>
        </is>
      </c>
      <c r="D277" s="31" t="inlineStr">
        <is>
          <t>telecommunications - service provider</t>
        </is>
      </c>
      <c r="E277" s="31" t="inlineStr">
        <is>
          <t>smallcap</t>
        </is>
      </c>
      <c r="F277" s="31" t="n">
        <v>780.61</v>
      </c>
      <c r="G277" s="31" t="n">
        <v>69.75</v>
      </c>
      <c r="H277" s="31" t="n">
        <v>-5</v>
      </c>
      <c r="I277" s="31" t="n">
        <v>137752</v>
      </c>
      <c r="J277" s="31" t="inlineStr">
        <is>
          <t>532944</t>
        </is>
      </c>
    </row>
    <row r="278">
      <c r="A278" s="31" t="inlineStr">
        <is>
          <t>HFCL</t>
        </is>
      </c>
      <c r="B278" s="31" t="inlineStr">
        <is>
          <t>HFCL Ltd</t>
        </is>
      </c>
      <c r="C278" s="31" t="inlineStr">
        <is>
          <t>telecom</t>
        </is>
      </c>
      <c r="D278" s="31" t="inlineStr">
        <is>
          <t>cables - telephone</t>
        </is>
      </c>
      <c r="E278" s="31" t="inlineStr">
        <is>
          <t>largecap</t>
        </is>
      </c>
      <c r="F278" s="31" t="n">
        <v>34597.74</v>
      </c>
      <c r="G278" s="31" t="n">
        <v>214.74</v>
      </c>
      <c r="H278" s="31" t="n">
        <v>-5</v>
      </c>
      <c r="I278" s="31" t="n">
        <v>16300122</v>
      </c>
      <c r="J278" s="31" t="inlineStr">
        <is>
          <t>500183</t>
        </is>
      </c>
    </row>
    <row r="279">
      <c r="A279" s="31" t="inlineStr">
        <is>
          <t>HMVL</t>
        </is>
      </c>
      <c r="B279" s="31" t="inlineStr">
        <is>
          <t>Hindustan Media Ventures Limited</t>
        </is>
      </c>
      <c r="C279" s="31" t="inlineStr">
        <is>
          <t>media</t>
        </is>
      </c>
      <c r="D279" s="31" t="inlineStr">
        <is>
          <t>entertainment / electronic media software</t>
        </is>
      </c>
      <c r="E279" s="31" t="inlineStr">
        <is>
          <t>smallcap</t>
        </is>
      </c>
      <c r="F279" s="31" t="n">
        <v>672.33</v>
      </c>
      <c r="G279" s="31" t="n">
        <v>86.27</v>
      </c>
      <c r="H279" s="31" t="n">
        <v>-5.47</v>
      </c>
      <c r="I279" s="31" t="n">
        <v>64066</v>
      </c>
      <c r="J279" s="31" t="inlineStr">
        <is>
          <t>533217</t>
        </is>
      </c>
    </row>
    <row r="280">
      <c r="A280" s="31" t="inlineStr">
        <is>
          <t>SATIN</t>
        </is>
      </c>
      <c r="B280" s="31" t="inlineStr">
        <is>
          <t>Satin Creditcare Network Limited</t>
        </is>
      </c>
      <c r="C280" s="31" t="inlineStr">
        <is>
          <t>financials</t>
        </is>
      </c>
      <c r="D280" s="31" t="inlineStr">
        <is>
          <t>finance &amp; investments</t>
        </is>
      </c>
      <c r="E280" s="31" t="inlineStr">
        <is>
          <t>smallcap</t>
        </is>
      </c>
      <c r="F280" s="31" t="n">
        <v>2908.59</v>
      </c>
      <c r="G280" s="31" t="n">
        <v>248.85</v>
      </c>
      <c r="H280" s="31" t="n">
        <v>-5.48</v>
      </c>
      <c r="I280" s="31" t="n">
        <v>930866</v>
      </c>
      <c r="J280" s="31" t="inlineStr">
        <is>
          <t>539404</t>
        </is>
      </c>
    </row>
    <row r="281">
      <c r="A281" s="31" t="inlineStr">
        <is>
          <t>WABAG</t>
        </is>
      </c>
      <c r="B281" s="31" t="inlineStr">
        <is>
          <t>Va Tech Wabag Limited</t>
        </is>
      </c>
      <c r="C281" s="31" t="inlineStr">
        <is>
          <t>realty</t>
        </is>
      </c>
      <c r="D281" s="31" t="inlineStr">
        <is>
          <t>engineering - turnkey services</t>
        </is>
      </c>
      <c r="E281" s="31" t="inlineStr">
        <is>
          <t>midcap</t>
        </is>
      </c>
      <c r="F281" s="31" t="n">
        <v>13728.05</v>
      </c>
      <c r="G281" s="31" t="n">
        <v>2081.4</v>
      </c>
      <c r="H281" s="31" t="n">
        <v>-5.53</v>
      </c>
      <c r="I281" s="31" t="n">
        <v>1069469</v>
      </c>
      <c r="J281" s="31" t="inlineStr">
        <is>
          <t>533269</t>
        </is>
      </c>
    </row>
    <row r="282">
      <c r="A282" s="31" t="inlineStr">
        <is>
          <t>GALAPREC</t>
        </is>
      </c>
      <c r="B282" s="31" t="inlineStr">
        <is>
          <t>Gala Precision Engineering Ltd</t>
        </is>
      </c>
      <c r="C282" s="31" t="inlineStr">
        <is>
          <t>industrials</t>
        </is>
      </c>
      <c r="D282" s="31" t="inlineStr">
        <is>
          <t>fasteners</t>
        </is>
      </c>
      <c r="E282" s="31" t="inlineStr">
        <is>
          <t>smallcap</t>
        </is>
      </c>
      <c r="F282" s="31" t="n">
        <v>1543.04</v>
      </c>
      <c r="G282" s="31" t="n">
        <v>1140.4</v>
      </c>
      <c r="H282" s="31" t="n">
        <v>-5.77</v>
      </c>
      <c r="I282" s="31" t="n">
        <v>64399</v>
      </c>
      <c r="J282" s="31" t="inlineStr">
        <is>
          <t>544244</t>
        </is>
      </c>
    </row>
    <row r="283">
      <c r="A283" s="31" t="inlineStr">
        <is>
          <t>TIRUPATIFL</t>
        </is>
      </c>
      <c r="B283" s="31" t="inlineStr">
        <is>
          <t>Tirupati Forge Ltd</t>
        </is>
      </c>
      <c r="C283" s="31" t="inlineStr">
        <is>
          <t>industrials</t>
        </is>
      </c>
      <c r="D283" s="31" t="inlineStr">
        <is>
          <t>castings &amp; forgings</t>
        </is>
      </c>
      <c r="E283" s="31" t="inlineStr">
        <is>
          <t>smallcap</t>
        </is>
      </c>
      <c r="F283" s="31" t="n">
        <v>907.17</v>
      </c>
      <c r="G283" s="31" t="n">
        <v>66.06</v>
      </c>
      <c r="H283" s="31" t="n">
        <v>-5.92</v>
      </c>
      <c r="I283" s="31" t="n">
        <v>1446738</v>
      </c>
      <c r="J283" s="31" t="inlineStr">
        <is>
          <t>535021</t>
        </is>
      </c>
    </row>
    <row r="284">
      <c r="A284" s="31" t="inlineStr">
        <is>
          <t>LTF</t>
        </is>
      </c>
      <c r="B284" s="31" t="inlineStr">
        <is>
          <t>L&amp;T Finance Ltd</t>
        </is>
      </c>
      <c r="C284" s="31" t="inlineStr">
        <is>
          <t>financials</t>
        </is>
      </c>
      <c r="D284" s="31" t="inlineStr">
        <is>
          <t>finance &amp; investments</t>
        </is>
      </c>
      <c r="E284" s="31" t="inlineStr">
        <is>
          <t>largecap</t>
        </is>
      </c>
      <c r="F284" s="31" t="n">
        <v>83696.58</v>
      </c>
      <c r="G284" s="31" t="n">
        <v>314.3</v>
      </c>
      <c r="H284" s="31" t="n">
        <v>-5.95</v>
      </c>
      <c r="I284" s="31" t="n">
        <v>8696392</v>
      </c>
      <c r="J284" s="31" t="inlineStr">
        <is>
          <t>533519</t>
        </is>
      </c>
    </row>
    <row r="285">
      <c r="A285" s="31" t="inlineStr">
        <is>
          <t>AEGISVOPAK</t>
        </is>
      </c>
      <c r="B285" s="31" t="inlineStr">
        <is>
          <t>Aegis Vopak Terminals Ltd</t>
        </is>
      </c>
      <c r="C285" s="31" t="inlineStr">
        <is>
          <t>transportation</t>
        </is>
      </c>
      <c r="D285" s="31" t="inlineStr">
        <is>
          <t>miscellaneous</t>
        </is>
      </c>
      <c r="E285" s="31" t="inlineStr">
        <is>
          <t>largecap</t>
        </is>
      </c>
      <c r="F285" s="31" t="n">
        <v>32610.41</v>
      </c>
      <c r="G285" s="31" t="n">
        <v>276.61</v>
      </c>
      <c r="H285" s="31" t="n">
        <v>-6.02</v>
      </c>
      <c r="I285" s="31" t="n">
        <v>4613101</v>
      </c>
      <c r="J285" s="31" t="inlineStr">
        <is>
          <t>544407</t>
        </is>
      </c>
    </row>
    <row r="286">
      <c r="A286" s="31" t="inlineStr">
        <is>
          <t>VENUSPIPES</t>
        </is>
      </c>
      <c r="B286" s="31" t="inlineStr">
        <is>
          <t>Venus Pipes &amp; Tubes Ltd</t>
        </is>
      </c>
      <c r="C286" s="31" t="inlineStr">
        <is>
          <t>metals &amp; mining</t>
        </is>
      </c>
      <c r="D286" s="31" t="inlineStr">
        <is>
          <t>steel - medium / small</t>
        </is>
      </c>
      <c r="E286" s="31" t="inlineStr">
        <is>
          <t>smallcap</t>
        </is>
      </c>
      <c r="F286" s="31" t="n">
        <v>3822.95</v>
      </c>
      <c r="G286" s="31" t="n">
        <v>1733.1</v>
      </c>
      <c r="H286" s="31" t="n">
        <v>-6.09</v>
      </c>
      <c r="I286" s="31" t="n">
        <v>194140</v>
      </c>
      <c r="J286" s="31" t="inlineStr">
        <is>
          <t>543528</t>
        </is>
      </c>
    </row>
    <row r="287">
      <c r="A287" s="31" t="inlineStr">
        <is>
          <t>HTMEDIA</t>
        </is>
      </c>
      <c r="B287" s="31" t="inlineStr">
        <is>
          <t>Ht Media Limited</t>
        </is>
      </c>
      <c r="C287" s="31" t="inlineStr">
        <is>
          <t>media</t>
        </is>
      </c>
      <c r="D287" s="31" t="inlineStr">
        <is>
          <t>entertainment / electronic media software</t>
        </is>
      </c>
      <c r="E287" s="31" t="inlineStr">
        <is>
          <t>smallcap</t>
        </is>
      </c>
      <c r="F287" s="31" t="n">
        <v>602.1799999999999</v>
      </c>
      <c r="G287" s="31" t="n">
        <v>24.07</v>
      </c>
      <c r="H287" s="31" t="n">
        <v>-6.96</v>
      </c>
      <c r="I287" s="31" t="n">
        <v>309640</v>
      </c>
      <c r="J287" s="31" t="inlineStr">
        <is>
          <t>532662</t>
        </is>
      </c>
    </row>
    <row r="288">
      <c r="A288" s="31" t="inlineStr">
        <is>
          <t>AEGISLOG</t>
        </is>
      </c>
      <c r="B288" s="31" t="inlineStr">
        <is>
          <t>Aegis Logistics Ltd</t>
        </is>
      </c>
      <c r="C288" s="31" t="inlineStr">
        <is>
          <t>services</t>
        </is>
      </c>
      <c r="D288" s="31" t="inlineStr">
        <is>
          <t>trading</t>
        </is>
      </c>
      <c r="E288" s="31" t="inlineStr">
        <is>
          <t>largecap</t>
        </is>
      </c>
      <c r="F288" s="31" t="n">
        <v>48567.87</v>
      </c>
      <c r="G288" s="31" t="n">
        <v>1245.4</v>
      </c>
      <c r="H288" s="31" t="n">
        <v>-9.99</v>
      </c>
      <c r="I288" s="31" t="n">
        <v>2831844</v>
      </c>
      <c r="J288" s="31" t="inlineStr">
        <is>
          <t>500003</t>
        </is>
      </c>
    </row>
    <row r="289">
      <c r="A289" s="31" t="inlineStr">
        <is>
          <t>CUPID</t>
        </is>
      </c>
      <c r="B289" s="31" t="inlineStr">
        <is>
          <t>Cupid Limited</t>
        </is>
      </c>
      <c r="C289" s="31" t="inlineStr">
        <is>
          <t>fmcg</t>
        </is>
      </c>
      <c r="D289" s="31" t="inlineStr">
        <is>
          <t>personal care - indian</t>
        </is>
      </c>
      <c r="E289" s="31" t="inlineStr">
        <is>
          <t>largecap</t>
        </is>
      </c>
      <c r="F289" s="31" t="n">
        <v>29731.79</v>
      </c>
      <c r="G289" s="31" t="n">
        <v>196.98</v>
      </c>
      <c r="H289" s="31" t="n">
        <v>-10.91</v>
      </c>
      <c r="I289" s="31" t="n">
        <v>77637002</v>
      </c>
      <c r="J289" s="31" t="inlineStr">
        <is>
          <t>530843</t>
        </is>
      </c>
    </row>
  </sheetData>
  <autoFilter ref="A1:J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IOLCP</t>
        </is>
      </c>
      <c r="E2" s="31" t="inlineStr">
        <is>
          <t>Iol Chemicals And Pharmaceuticals Limited</t>
        </is>
      </c>
      <c r="F2" s="31" t="inlineStr">
        <is>
          <t>Pharma - API &amp; CRAMS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28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THANGAMAYL</t>
        </is>
      </c>
      <c r="E3" s="31" t="inlineStr">
        <is>
          <t>Thangamayil Jewellery Limited</t>
        </is>
      </c>
      <c r="F3" s="31" t="inlineStr">
        <is>
          <t>Diamond, Gems &amp; Jewellery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27</v>
      </c>
      <c r="K3" s="31" t="n">
        <v>30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ATHERENERG</t>
        </is>
      </c>
      <c r="E4" s="31" t="inlineStr">
        <is>
          <t>Ather Energy Ltd</t>
        </is>
      </c>
      <c r="F4" s="31" t="inlineStr">
        <is>
          <t>Auto - 2 &amp; 3 Wheelers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16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SIGNPOST</t>
        </is>
      </c>
      <c r="E5" s="31" t="inlineStr">
        <is>
          <t>Signpost India Ltd</t>
        </is>
      </c>
      <c r="F5" s="31" t="inlineStr">
        <is>
          <t>Advertisement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17</v>
      </c>
      <c r="K5" s="31" t="n">
        <v>6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SENORES</t>
        </is>
      </c>
      <c r="E6" s="31" t="inlineStr">
        <is>
          <t>Senores Pharmaceuticals Ltd</t>
        </is>
      </c>
      <c r="F6" s="31" t="inlineStr">
        <is>
          <t>Pharma - API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16</v>
      </c>
      <c r="K6" s="31" t="n">
        <v>23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SPARC</t>
        </is>
      </c>
      <c r="E7" s="31" t="inlineStr">
        <is>
          <t>Sun Pharma Advanced Research Company Limited</t>
        </is>
      </c>
      <c r="F7" s="31" t="inlineStr">
        <is>
          <t>Pharma - Others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16</v>
      </c>
      <c r="K7" s="31" t="n">
        <v>29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NYKAA</t>
        </is>
      </c>
      <c r="E8" s="31" t="inlineStr">
        <is>
          <t>FSN E-Commerce Ventures Ltd</t>
        </is>
      </c>
      <c r="F8" s="31" t="inlineStr">
        <is>
          <t>New age - Platform - E-Retail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19</v>
      </c>
      <c r="K8" s="31" t="n">
        <v>19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SKYGOLD</t>
        </is>
      </c>
      <c r="E9" s="31" t="inlineStr">
        <is>
          <t>Sky Gold Ltd</t>
        </is>
      </c>
      <c r="F9" s="31" t="inlineStr">
        <is>
          <t>Diamond, Gems &amp; Jewellery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24</v>
      </c>
      <c r="K9" s="31" t="n">
        <v>19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AETHER</t>
        </is>
      </c>
      <c r="E10" s="31" t="inlineStr">
        <is>
          <t>Aether Industries Ltd</t>
        </is>
      </c>
      <c r="F10" s="31" t="inlineStr">
        <is>
          <t>Speciality Chemicals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16</v>
      </c>
      <c r="K10" s="31" t="n">
        <v>17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SPAL</t>
        </is>
      </c>
      <c r="E11" s="31" t="inlineStr">
        <is>
          <t>S. P. Apparels Limited</t>
        </is>
      </c>
      <c r="F11" s="31" t="inlineStr">
        <is>
          <t>Textiles - Readymade Apparel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15</v>
      </c>
      <c r="K11" s="31" t="n">
        <v>26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RML</t>
        </is>
      </c>
      <c r="E12" s="31" t="inlineStr">
        <is>
          <t>Rane (madras) Limited</t>
        </is>
      </c>
      <c r="F12" s="31" t="inlineStr">
        <is>
          <t>Auto Ancillaries - Gears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20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DIACABS</t>
        </is>
      </c>
      <c r="E13" s="31" t="inlineStr">
        <is>
          <t>Diamond Power Infrastructure Ltd</t>
        </is>
      </c>
      <c r="F13" s="31" t="inlineStr">
        <is>
          <t>Cables - Power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21</v>
      </c>
      <c r="K13" s="31" t="n">
        <v>26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IBULLSLTD</t>
        </is>
      </c>
      <c r="E14" s="31" t="inlineStr">
        <is>
          <t>Indiabulls Limited</t>
        </is>
      </c>
      <c r="F14" s="31" t="inlineStr">
        <is>
          <t>Diversified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18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SATIN</t>
        </is>
      </c>
      <c r="E15" s="31" t="inlineStr">
        <is>
          <t>Satin Creditcare Network Limited</t>
        </is>
      </c>
      <c r="F15" s="31" t="inlineStr">
        <is>
          <t>Finance &amp; Investments - Microfinance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18</v>
      </c>
      <c r="K15" s="31" t="n">
        <v>27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BAJAJCON</t>
        </is>
      </c>
      <c r="E16" s="31" t="inlineStr">
        <is>
          <t>Bajaj Consumer Care Ltd</t>
        </is>
      </c>
      <c r="F16" s="31" t="inlineStr">
        <is>
          <t>FMCG - Personal Care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20</v>
      </c>
      <c r="K16" s="31" t="n">
        <v>27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MAYURUNIQ</t>
        </is>
      </c>
      <c r="E17" s="31" t="inlineStr">
        <is>
          <t>Mayur Uniquoters Ltd</t>
        </is>
      </c>
      <c r="F17" s="31" t="inlineStr">
        <is>
          <t>Plastics - Plastic &amp; Plastic Products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15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INDOBORAX</t>
        </is>
      </c>
      <c r="E18" s="31" t="inlineStr">
        <is>
          <t>Indo Borax &amp; Chemicals Ltd</t>
        </is>
      </c>
      <c r="F18" s="31" t="inlineStr">
        <is>
          <t>Chemicals - Inorganic</t>
        </is>
      </c>
      <c r="G18" s="31" t="n">
        <v>2</v>
      </c>
      <c r="H18" s="31" t="inlineStr">
        <is>
          <t>52W Breakout</t>
        </is>
      </c>
      <c r="I18" s="31" t="inlineStr">
        <is>
          <t>Yes</t>
        </is>
      </c>
      <c r="J18" s="31" t="n">
        <v>13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PAISALO</t>
        </is>
      </c>
      <c r="E19" s="31" t="inlineStr">
        <is>
          <t>Paisalo Digital Ltd</t>
        </is>
      </c>
      <c r="F19" s="31" t="inlineStr">
        <is>
          <t>Finance - Capital Markets - Brokers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RANEHOLDIN</t>
        </is>
      </c>
      <c r="E20" s="31" t="inlineStr">
        <is>
          <t>Rane Holdings Limited</t>
        </is>
      </c>
      <c r="F20" s="31" t="inlineStr">
        <is>
          <t>Finance - Holding Company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15</v>
      </c>
      <c r="K20" s="31" t="n">
        <v>26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FUSION</t>
        </is>
      </c>
      <c r="E21" s="31" t="inlineStr">
        <is>
          <t>Fusion Micro Finance Ltd</t>
        </is>
      </c>
      <c r="F21" s="31" t="inlineStr">
        <is>
          <t>Finance &amp; Investments - Microfinance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16</v>
      </c>
      <c r="K21" s="31" t="n">
        <v>10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GLAND</t>
        </is>
      </c>
      <c r="E22" s="31" t="inlineStr">
        <is>
          <t>Gland Pharma Ltd</t>
        </is>
      </c>
      <c r="F22" s="31" t="inlineStr">
        <is>
          <t>Pharma - API &amp; CRAMS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15</v>
      </c>
      <c r="K22" s="31" t="n">
        <v>24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RADICO</t>
        </is>
      </c>
      <c r="E23" s="31" t="inlineStr">
        <is>
          <t>Radico Khaitan Limited</t>
        </is>
      </c>
      <c r="F23" s="31" t="inlineStr">
        <is>
          <t>Alcoholic Beverages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16</v>
      </c>
      <c r="K23" s="31" t="n">
        <v>27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CREDITACC</t>
        </is>
      </c>
      <c r="E24" s="31" t="inlineStr">
        <is>
          <t>CreditAccess Grameen Ltd</t>
        </is>
      </c>
      <c r="F24" s="31" t="inlineStr">
        <is>
          <t>Finance &amp; Investments - Microfinance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16</v>
      </c>
      <c r="K24" s="31" t="n">
        <v>18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BLISSGVS</t>
        </is>
      </c>
      <c r="E25" s="31" t="inlineStr">
        <is>
          <t>Bliss Gvs Pharma Limited</t>
        </is>
      </c>
      <c r="F25" s="31" t="inlineStr">
        <is>
          <t>Pharma - Formulators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17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CUPID</t>
        </is>
      </c>
      <c r="E26" s="31" t="inlineStr">
        <is>
          <t>Cupid Limited</t>
        </is>
      </c>
      <c r="F26" s="31" t="inlineStr">
        <is>
          <t>Contraceptives/Protectives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16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SUVEN</t>
        </is>
      </c>
      <c r="E27" s="31" t="inlineStr">
        <is>
          <t>Suven Life Sciences Limited</t>
        </is>
      </c>
      <c r="F27" s="31" t="inlineStr">
        <is>
          <t>Pharma - Formulators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15</v>
      </c>
      <c r="K27" s="31" t="n">
        <v>23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CGCL</t>
        </is>
      </c>
      <c r="E28" s="31" t="inlineStr">
        <is>
          <t>Capri Global Capital Limited</t>
        </is>
      </c>
      <c r="F28" s="31" t="inlineStr">
        <is>
          <t>Finance &amp; Investments - Gold Loan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25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SANGHVIMOV</t>
        </is>
      </c>
      <c r="E29" s="31" t="inlineStr">
        <is>
          <t>Sanghvi Movers Limited</t>
        </is>
      </c>
      <c r="F29" s="31" t="inlineStr">
        <is>
          <t>Capital Goods - EPC/Cranes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16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SIS</t>
        </is>
      </c>
      <c r="E30" s="31" t="inlineStr">
        <is>
          <t>Security &amp; Intelligence Services India</t>
        </is>
      </c>
      <c r="F30" s="31" t="inlineStr">
        <is>
          <t>Facility Management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16</v>
      </c>
      <c r="K30" s="31" t="n">
        <v>27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ADFFOODS</t>
        </is>
      </c>
      <c r="E31" s="31" t="inlineStr">
        <is>
          <t>Adf Foods Limited</t>
        </is>
      </c>
      <c r="F31" s="31" t="inlineStr">
        <is>
          <t>FMCG - Contract Mfg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17</v>
      </c>
      <c r="K31" s="31" t="n">
        <v>29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PGIL</t>
        </is>
      </c>
      <c r="E32" s="31" t="inlineStr">
        <is>
          <t>Pearl Global Industries Limited</t>
        </is>
      </c>
      <c r="F32" s="31" t="inlineStr">
        <is>
          <t>Textiles - Readymade Apparel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16</v>
      </c>
      <c r="K32" s="31" t="n">
        <v>25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RISHABH</t>
        </is>
      </c>
      <c r="E33" s="31" t="inlineStr">
        <is>
          <t>Rishabh Instruments Ltd</t>
        </is>
      </c>
      <c r="F33" s="31" t="inlineStr">
        <is>
          <t>Capital Goods - Electric General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16</v>
      </c>
      <c r="K33" s="31" t="n">
        <v>22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CONSOFINVT</t>
        </is>
      </c>
      <c r="E34" s="31" t="inlineStr">
        <is>
          <t>Consolidated Finvest &amp; Holdings Limited</t>
        </is>
      </c>
      <c r="F34" s="31" t="inlineStr">
        <is>
          <t>Finance &amp; Investments - Others</t>
        </is>
      </c>
      <c r="G34" s="31" t="n">
        <v>2</v>
      </c>
      <c r="H34" s="31" t="inlineStr">
        <is>
          <t>52W Breakout</t>
        </is>
      </c>
      <c r="I34" s="31" t="inlineStr">
        <is>
          <t>Yes</t>
        </is>
      </c>
      <c r="J34" s="31" t="n">
        <v>1</v>
      </c>
      <c r="K34" s="31" t="n">
        <v>10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ASTRAMICRO</t>
        </is>
      </c>
      <c r="E35" s="31" t="inlineStr">
        <is>
          <t>Astra Microwave Products Limited</t>
        </is>
      </c>
      <c r="F35" s="31" t="inlineStr">
        <is>
          <t>Aerospace &amp; Defence - Equipments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15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NINSYS</t>
        </is>
      </c>
      <c r="E36" s="31" t="inlineStr">
        <is>
          <t>NINtec Systems Ltd</t>
        </is>
      </c>
      <c r="F36" s="31" t="inlineStr">
        <is>
          <t>IT - Software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13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CEMPRO</t>
        </is>
      </c>
      <c r="E37" s="31" t="inlineStr">
        <is>
          <t>Cemindia Projects Ltd</t>
        </is>
      </c>
      <c r="F37" s="31" t="inlineStr">
        <is>
          <t>Infra - Construction &amp; Contracting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17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INDOTECH</t>
        </is>
      </c>
      <c r="E38" s="31" t="inlineStr">
        <is>
          <t>Indo Tech Transformers Limited</t>
        </is>
      </c>
      <c r="F38" s="31" t="inlineStr">
        <is>
          <t>Capital Goods - Transformers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17</v>
      </c>
      <c r="K38" s="31" t="n">
        <v>23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BHARATSE</t>
        </is>
      </c>
      <c r="E39" s="31" t="inlineStr">
        <is>
          <t>Bharat Seats Ltd</t>
        </is>
      </c>
      <c r="F39" s="31" t="inlineStr">
        <is>
          <t>Auto Ancillaries - Seats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16</v>
      </c>
      <c r="K39" s="31" t="n">
        <v>6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SANGAMIND</t>
        </is>
      </c>
      <c r="E40" s="31" t="inlineStr">
        <is>
          <t>Sangam (india) Limited</t>
        </is>
      </c>
      <c r="F40" s="31" t="inlineStr">
        <is>
          <t>Textiles - Spinning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16</v>
      </c>
      <c r="K40" s="31" t="n">
        <v>28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VADILALIND</t>
        </is>
      </c>
      <c r="E41" s="31" t="inlineStr">
        <is>
          <t>Vadilal Industries Limited</t>
        </is>
      </c>
      <c r="F41" s="31" t="inlineStr">
        <is>
          <t>FMCG - Dairy Products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MINDACORP</t>
        </is>
      </c>
      <c r="E42" s="31" t="inlineStr">
        <is>
          <t>Minda Corporation Limited</t>
        </is>
      </c>
      <c r="F42" s="31" t="inlineStr">
        <is>
          <t>Auto Ancillaries - Diversified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15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PSPPROJECT</t>
        </is>
      </c>
      <c r="E43" s="31" t="inlineStr">
        <is>
          <t>PSP Projects Ltd</t>
        </is>
      </c>
      <c r="F43" s="31" t="inlineStr">
        <is>
          <t>Construction &amp; Contracting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15</v>
      </c>
      <c r="K43" s="31" t="n">
        <v>29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RAMCOSYS</t>
        </is>
      </c>
      <c r="E44" s="31" t="inlineStr">
        <is>
          <t>Ramco Systems Limited</t>
        </is>
      </c>
      <c r="F44" s="31" t="inlineStr">
        <is>
          <t>IT Product Companies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20</v>
      </c>
      <c r="K44" s="31" t="n">
        <v>24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GHCLTEXTIL</t>
        </is>
      </c>
      <c r="E45" s="31" t="inlineStr">
        <is>
          <t>GHCL Textiles Ltd</t>
        </is>
      </c>
      <c r="F45" s="31" t="inlineStr">
        <is>
          <t>Textiles - General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17</v>
      </c>
      <c r="K45" s="31" t="n">
        <v>17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RATEGAIN</t>
        </is>
      </c>
      <c r="E46" s="31" t="inlineStr">
        <is>
          <t>Rategain Travel Technologies Ltd</t>
        </is>
      </c>
      <c r="F46" s="31" t="inlineStr">
        <is>
          <t>IT Product Companies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15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RPTECH</t>
        </is>
      </c>
      <c r="E47" s="31" t="inlineStr">
        <is>
          <t>Rashi Peripherals Ltd</t>
        </is>
      </c>
      <c r="F47" s="31" t="inlineStr">
        <is>
          <t>Trading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22</v>
      </c>
      <c r="K47" s="31" t="n">
        <v>28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AADHARHFC</t>
        </is>
      </c>
      <c r="E48" s="31" t="inlineStr">
        <is>
          <t>Aadhar Housing Finance Ltd</t>
        </is>
      </c>
      <c r="F48" s="31" t="inlineStr">
        <is>
          <t>Finance - Housing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18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ANANDRATHI</t>
        </is>
      </c>
      <c r="E49" s="31" t="inlineStr">
        <is>
          <t>Anand Rathi Wealth Ltd</t>
        </is>
      </c>
      <c r="F49" s="31" t="inlineStr">
        <is>
          <t>Finance - Capital Markets - Wealth Management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17</v>
      </c>
      <c r="K49" s="31" t="n">
        <v>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ACUTAAS</t>
        </is>
      </c>
      <c r="E50" s="31" t="inlineStr">
        <is>
          <t>Acutaas Chemicals Ltd</t>
        </is>
      </c>
      <c r="F50" s="31" t="inlineStr">
        <is>
          <t>Pharma - API &amp; CRAMS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18</v>
      </c>
      <c r="K50" s="31" t="n">
        <v>28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NGLFINE</t>
        </is>
      </c>
      <c r="E51" s="31" t="inlineStr">
        <is>
          <t>NGL Fine Chem Ltd</t>
        </is>
      </c>
      <c r="F51" s="31" t="inlineStr">
        <is>
          <t>Pharma - Animal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18</v>
      </c>
      <c r="K51" s="31" t="n">
        <v>28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CHOLAFIN</t>
        </is>
      </c>
      <c r="E52" s="31" t="inlineStr">
        <is>
          <t>Cholamandalam Investment And Finance Company Limited</t>
        </is>
      </c>
      <c r="F52" s="31" t="inlineStr">
        <is>
          <t>Conglomerate Backed NBFC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15</v>
      </c>
      <c r="K52" s="31" t="n">
        <v>18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NEULANDLAB</t>
        </is>
      </c>
      <c r="E53" s="31" t="inlineStr">
        <is>
          <t>Neuland Laboratories Limited</t>
        </is>
      </c>
      <c r="F53" s="31" t="inlineStr">
        <is>
          <t>Pharma - API &amp; CRAMS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15</v>
      </c>
      <c r="K53" s="31" t="n">
        <v>29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SIGMAADV</t>
        </is>
      </c>
      <c r="E54" s="31" t="inlineStr">
        <is>
          <t>Sigma Advanced System Ltd</t>
        </is>
      </c>
      <c r="F54" s="31" t="inlineStr">
        <is>
          <t>Aerospace &amp; Defence - Equipments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15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HONASA</t>
        </is>
      </c>
      <c r="E55" s="31" t="inlineStr">
        <is>
          <t>Honasa Consumer Ltd</t>
        </is>
      </c>
      <c r="F55" s="31" t="inlineStr">
        <is>
          <t>New age - Platform - E-Retail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16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WABAG</t>
        </is>
      </c>
      <c r="E56" s="31" t="inlineStr">
        <is>
          <t>Va Tech Wabag Limited</t>
        </is>
      </c>
      <c r="F56" s="31" t="inlineStr">
        <is>
          <t>Water Treatment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16</v>
      </c>
      <c r="K56" s="31" t="n">
        <v>29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AEGISLOG</t>
        </is>
      </c>
      <c r="E57" s="31" t="inlineStr">
        <is>
          <t>Aegis Logistics Ltd</t>
        </is>
      </c>
      <c r="F57" s="31" t="inlineStr">
        <is>
          <t>Logistics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19</v>
      </c>
      <c r="K57" s="31" t="n">
        <v>29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WELCORP</t>
        </is>
      </c>
      <c r="E58" s="31" t="inlineStr">
        <is>
          <t>Welspun Corp Limited</t>
        </is>
      </c>
      <c r="F58" s="31" t="inlineStr">
        <is>
          <t>DI Pipes/Saw Pipes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19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KMEW</t>
        </is>
      </c>
      <c r="E59" s="31" t="inlineStr">
        <is>
          <t>Knowledge Marine &amp; Engineering Works Ltd</t>
        </is>
      </c>
      <c r="F59" s="31" t="inlineStr">
        <is>
          <t>Shipping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19</v>
      </c>
      <c r="K59" s="31" t="n">
        <v>16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PANSARI</t>
        </is>
      </c>
      <c r="E60" s="31" t="inlineStr">
        <is>
          <t>Pansari Developers Ltd</t>
        </is>
      </c>
      <c r="F60" s="31" t="inlineStr">
        <is>
          <t>Construction - Housing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0</v>
      </c>
      <c r="K60" s="31" t="n">
        <v>10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ABDL</t>
        </is>
      </c>
      <c r="E61" s="31" t="inlineStr">
        <is>
          <t>Allied Blenders &amp; Distillers Ltd</t>
        </is>
      </c>
      <c r="F61" s="31" t="inlineStr">
        <is>
          <t>Alcoholic Beverages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16</v>
      </c>
      <c r="K61" s="31" t="n">
        <v>28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SKMEGGPROD</t>
        </is>
      </c>
      <c r="E62" s="31" t="inlineStr">
        <is>
          <t>Skm Egg Products Export (india) Limited</t>
        </is>
      </c>
      <c r="F62" s="31" t="inlineStr">
        <is>
          <t>FMCG - Animal/Polutry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21</v>
      </c>
      <c r="K62" s="31" t="n">
        <v>30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RAMCOIND</t>
        </is>
      </c>
      <c r="E63" s="31" t="inlineStr">
        <is>
          <t>Ramco Industries Limited</t>
        </is>
      </c>
      <c r="F63" s="31" t="inlineStr">
        <is>
          <t>Cement Products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17</v>
      </c>
      <c r="K63" s="31" t="n">
        <v>10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JAYBARMARU</t>
        </is>
      </c>
      <c r="E64" s="31" t="inlineStr">
        <is>
          <t>Jay Bharat Maruti Limited</t>
        </is>
      </c>
      <c r="F64" s="31" t="inlineStr">
        <is>
          <t>Auto Ancillaries - Diversified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16</v>
      </c>
      <c r="K64" s="31" t="n">
        <v>30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HFCL</t>
        </is>
      </c>
      <c r="E65" s="31" t="inlineStr">
        <is>
          <t>HFCL Ltd</t>
        </is>
      </c>
      <c r="F65" s="31" t="inlineStr">
        <is>
          <t>Telecom Services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17</v>
      </c>
      <c r="K65" s="31" t="n">
        <v>29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RPEL</t>
        </is>
      </c>
      <c r="E66" s="31" t="inlineStr">
        <is>
          <t>Raghav Productivity Enhancers Ltd</t>
        </is>
      </c>
      <c r="F66" s="31" t="inlineStr">
        <is>
          <t>Steel Products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16</v>
      </c>
      <c r="K66" s="31" t="n">
        <v>30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BLSE</t>
        </is>
      </c>
      <c r="E67" s="31" t="inlineStr">
        <is>
          <t>BLS E-Services Ltd</t>
        </is>
      </c>
      <c r="F67" s="31" t="inlineStr">
        <is>
          <t>IT - Software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17</v>
      </c>
      <c r="K67" s="31" t="n">
        <v>30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GMRAIRPORT</t>
        </is>
      </c>
      <c r="E68" s="31" t="inlineStr">
        <is>
          <t>GMR Airports Ltd</t>
        </is>
      </c>
      <c r="F68" s="31" t="inlineStr">
        <is>
          <t>Miscellaneous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15</v>
      </c>
      <c r="K68" s="31" t="n">
        <v>26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SCHNEIDER</t>
        </is>
      </c>
      <c r="E69" s="31" t="inlineStr">
        <is>
          <t>Schneider Electric Infrastructure Limited</t>
        </is>
      </c>
      <c r="F69" s="31" t="inlineStr">
        <is>
          <t>Capital Goods - Transformers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17</v>
      </c>
      <c r="K69" s="31" t="n">
        <v>16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IKS</t>
        </is>
      </c>
      <c r="E70" s="31" t="inlineStr">
        <is>
          <t>Inventurus Knowledge Solutions Ltd</t>
        </is>
      </c>
      <c r="F70" s="31" t="inlineStr">
        <is>
          <t>IT Enabled Services/Business Process Outsourcing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20</v>
      </c>
      <c r="K70" s="31" t="n">
        <v>19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ITDC</t>
        </is>
      </c>
      <c r="E71" s="31" t="inlineStr">
        <is>
          <t>India Tourism Development Corporation Ltd</t>
        </is>
      </c>
      <c r="F71" s="31" t="inlineStr">
        <is>
          <t>Resorts</t>
        </is>
      </c>
      <c r="G71" s="31" t="n">
        <v>2</v>
      </c>
      <c r="H71" s="31" t="inlineStr">
        <is>
          <t>52W Breakout</t>
        </is>
      </c>
      <c r="I71" s="31" t="inlineStr">
        <is>
          <t>Yes</t>
        </is>
      </c>
      <c r="J71" s="31" t="n">
        <v>13</v>
      </c>
      <c r="K71" s="31" t="n">
        <v>15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ADANIENSOL</t>
        </is>
      </c>
      <c r="E72" s="31" t="inlineStr">
        <is>
          <t>Adani Energy Solutions Ltd</t>
        </is>
      </c>
      <c r="F72" s="31" t="inlineStr">
        <is>
          <t>Power - Transmission/Equipment</t>
        </is>
      </c>
      <c r="G72" s="31" t="n">
        <v>2</v>
      </c>
      <c r="H72" s="31" t="inlineStr">
        <is>
          <t>52W Breakout</t>
        </is>
      </c>
      <c r="I72" s="31" t="inlineStr">
        <is>
          <t>Yes</t>
        </is>
      </c>
      <c r="J72" s="31" t="n">
        <v>11</v>
      </c>
      <c r="K72" s="31" t="n">
        <v>25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JBCHEPHARM</t>
        </is>
      </c>
      <c r="E73" s="31" t="inlineStr">
        <is>
          <t>Jb Chemicals &amp; Pharmaceuticals Limited</t>
        </is>
      </c>
      <c r="F73" s="31" t="inlineStr">
        <is>
          <t>Pharma - Formulators</t>
        </is>
      </c>
      <c r="G73" s="31" t="n">
        <v>2</v>
      </c>
      <c r="H73" s="31" t="inlineStr">
        <is>
          <t>52W Breakout</t>
        </is>
      </c>
      <c r="I73" s="31" t="inlineStr">
        <is>
          <t>Yes</t>
        </is>
      </c>
      <c r="J73" s="31" t="n">
        <v>11</v>
      </c>
      <c r="K73" s="31" t="n">
        <v>22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DIVGIITTS</t>
        </is>
      </c>
      <c r="E74" s="31" t="inlineStr">
        <is>
          <t>Divgi Torqtransfer Systems Ltd</t>
        </is>
      </c>
      <c r="F74" s="31" t="inlineStr">
        <is>
          <t>Auto Ancillaries - Transmission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16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AURUM</t>
        </is>
      </c>
      <c r="E75" s="31" t="inlineStr">
        <is>
          <t>Aurum Proptech Ltd</t>
        </is>
      </c>
      <c r="F75" s="31" t="inlineStr">
        <is>
          <t>IT Enabled Services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18</v>
      </c>
      <c r="K75" s="31" t="n">
        <v>24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AEGISVOPAK</t>
        </is>
      </c>
      <c r="E76" s="31" t="inlineStr">
        <is>
          <t>Aegis Vopak Terminals Ltd</t>
        </is>
      </c>
      <c r="F76" s="31" t="inlineStr">
        <is>
          <t>Miscellaneous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19</v>
      </c>
      <c r="K76" s="31" t="n">
        <v>6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TORNTPHARM</t>
        </is>
      </c>
      <c r="E77" s="31" t="inlineStr">
        <is>
          <t>Torrent Pharmaceuticals Limited</t>
        </is>
      </c>
      <c r="F77" s="31" t="inlineStr">
        <is>
          <t>Pharma - Formulators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6</v>
      </c>
      <c r="K77" s="31" t="n">
        <v>17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INDSWFTLAB</t>
        </is>
      </c>
      <c r="E78" s="31" t="inlineStr">
        <is>
          <t>Ind-swift Laboratories Limited</t>
        </is>
      </c>
      <c r="F78" s="31" t="inlineStr">
        <is>
          <t>Pharma - API</t>
        </is>
      </c>
      <c r="G78" s="31" t="n">
        <v>2</v>
      </c>
      <c r="H78" s="31" t="inlineStr">
        <is>
          <t>52W Breakout</t>
        </is>
      </c>
      <c r="I78" s="31" t="inlineStr">
        <is>
          <t>Yes</t>
        </is>
      </c>
      <c r="J78" s="31" t="n">
        <v>11</v>
      </c>
      <c r="K78" s="31" t="n">
        <v>30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TBZ</t>
        </is>
      </c>
      <c r="E79" s="31" t="inlineStr">
        <is>
          <t>Tribhovandas Bhimji Zaveri Limited</t>
        </is>
      </c>
      <c r="F79" s="31" t="inlineStr">
        <is>
          <t>Diamond, Gems &amp; Jewellery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18</v>
      </c>
      <c r="K79" s="31" t="n">
        <v>22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GALAPREC</t>
        </is>
      </c>
      <c r="E80" s="31" t="inlineStr">
        <is>
          <t>Gala Precision Engineering Ltd</t>
        </is>
      </c>
      <c r="F80" s="31" t="inlineStr">
        <is>
          <t>Castings, Forgings &amp; Fastners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15</v>
      </c>
      <c r="K80" s="31" t="n">
        <v>28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TITAN</t>
        </is>
      </c>
      <c r="E81" s="31" t="inlineStr">
        <is>
          <t>Titan Company Limited</t>
        </is>
      </c>
      <c r="F81" s="31" t="inlineStr">
        <is>
          <t>Diamond, Gems &amp; Jewellery</t>
        </is>
      </c>
      <c r="G81" s="31" t="n">
        <v>2</v>
      </c>
      <c r="H81" s="31" t="inlineStr">
        <is>
          <t>ATH Momentum</t>
        </is>
      </c>
      <c r="I81" s="31" t="inlineStr">
        <is>
          <t>Yes</t>
        </is>
      </c>
      <c r="J81" s="31" t="n">
        <v>10</v>
      </c>
      <c r="K81" s="31" t="n">
        <v>17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RELTD</t>
        </is>
      </c>
      <c r="E82" s="31" t="inlineStr">
        <is>
          <t>Ravindra Energy Ltd</t>
        </is>
      </c>
      <c r="F82" s="31" t="inlineStr">
        <is>
          <t>Capital Goods - Electric General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19</v>
      </c>
      <c r="K82" s="31" t="n">
        <v>14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POCL</t>
        </is>
      </c>
      <c r="E83" s="31" t="inlineStr">
        <is>
          <t>Pondy Oxides &amp; Chemicals Ltd</t>
        </is>
      </c>
      <c r="F83" s="31" t="inlineStr">
        <is>
          <t>Recycling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16</v>
      </c>
      <c r="K83" s="31" t="n">
        <v>8</v>
      </c>
    </row>
  </sheetData>
  <autoFilter ref="A1:K83"/>
  <conditionalFormatting sqref="G2:G8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5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IF(B2=0,"",RANK(B2,$B$2:$B$251,0))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 - medium / small</t>
        </is>
      </c>
      <c r="G2" s="31" t="inlineStr">
        <is>
          <t>midcap</t>
        </is>
      </c>
      <c r="H2" s="32" t="n">
        <v>6752.33</v>
      </c>
      <c r="I2" s="32" t="n">
        <v>28.19</v>
      </c>
      <c r="J2" s="32" t="n">
        <v>-2.96</v>
      </c>
      <c r="K2" s="32" t="n">
        <v>11844783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73.68000000000001</v>
      </c>
      <c r="P2" s="32" t="n">
        <v>40.32</v>
      </c>
      <c r="Q2" s="32" t="n">
        <v>21.39</v>
      </c>
      <c r="R2" s="31" t="inlineStr">
        <is>
          <t>Near 52W High Breakout</t>
        </is>
      </c>
      <c r="S2" s="31" t="inlineStr">
        <is>
          <t>Nifty 50</t>
        </is>
      </c>
      <c r="T2" s="32" t="n">
        <v>-5.04</v>
      </c>
      <c r="U2" s="32" t="n">
        <v>80.94</v>
      </c>
      <c r="V2" s="32" t="n">
        <v>90.54000000000001</v>
      </c>
      <c r="W2" s="32" t="n">
        <v>48.79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IF(B3=0,"",RANK(B3,$B$2:$B$251,0))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IOLCP</t>
        </is>
      </c>
      <c r="D3" s="31" t="inlineStr">
        <is>
          <t>Iol Chemicals And Pharmaceuticals Limited</t>
        </is>
      </c>
      <c r="E3" s="31" t="inlineStr">
        <is>
          <t>healthcare</t>
        </is>
      </c>
      <c r="F3" s="31" t="inlineStr">
        <is>
          <t>pharmaceuticals - indian - bulk drugs &amp; formln</t>
        </is>
      </c>
      <c r="G3" s="31" t="inlineStr">
        <is>
          <t>smallcap</t>
        </is>
      </c>
      <c r="H3" s="32" t="n">
        <v>4844.38</v>
      </c>
      <c r="I3" s="32" t="n">
        <v>167.11</v>
      </c>
      <c r="J3" s="32" t="n">
        <v>1.25</v>
      </c>
      <c r="K3" s="32" t="n">
        <v>33183238</v>
      </c>
      <c r="L3" s="31" t="n">
        <v>93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85.81999999999999</v>
      </c>
      <c r="P3" s="32" t="n">
        <v>58.71</v>
      </c>
      <c r="Q3" s="32" t="n">
        <v>126.85</v>
      </c>
      <c r="R3" s="31" t="inlineStr">
        <is>
          <t>Volume Spike &amp; Near 52W High Breakout</t>
        </is>
      </c>
      <c r="S3" s="31" t="inlineStr">
        <is>
          <t>Nifty Pharma</t>
        </is>
      </c>
      <c r="T3" s="32" t="n">
        <v>14.42</v>
      </c>
      <c r="U3" s="32" t="n">
        <v>85.76000000000001</v>
      </c>
      <c r="V3" s="32" t="n">
        <v>62.36</v>
      </c>
      <c r="W3" s="32" t="n">
        <v>40.38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IF(B4=0,"",RANK(B4,$B$2:$B$251,0))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BAJAJCON</t>
        </is>
      </c>
      <c r="D4" s="31" t="inlineStr">
        <is>
          <t>Bajaj Consumer Care Ltd</t>
        </is>
      </c>
      <c r="E4" s="31" t="inlineStr">
        <is>
          <t>fmcg</t>
        </is>
      </c>
      <c r="F4" s="31" t="inlineStr">
        <is>
          <t>personal care - indian</t>
        </is>
      </c>
      <c r="G4" s="31" t="inlineStr">
        <is>
          <t>midcap</t>
        </is>
      </c>
      <c r="H4" s="32" t="n">
        <v>8101.6</v>
      </c>
      <c r="I4" s="32" t="n">
        <v>613.9</v>
      </c>
      <c r="J4" s="32" t="n">
        <v>-1.02</v>
      </c>
      <c r="K4" s="32" t="n">
        <v>528408</v>
      </c>
      <c r="L4" s="31" t="n">
        <v>87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71.93000000000001</v>
      </c>
      <c r="P4" s="32" t="n">
        <v>63.61</v>
      </c>
      <c r="Q4" s="32" t="n">
        <v>491.56</v>
      </c>
      <c r="R4" s="31" t="inlineStr">
        <is>
          <t>Near 52W High Breakout</t>
        </is>
      </c>
      <c r="S4" s="31" t="inlineStr">
        <is>
          <t>Nifty FMCG</t>
        </is>
      </c>
      <c r="T4" s="32" t="n">
        <v>-12.4</v>
      </c>
      <c r="U4" s="32" t="n">
        <v>163.31</v>
      </c>
      <c r="V4" s="32" t="n">
        <v>200.58</v>
      </c>
      <c r="W4" s="32" t="n">
        <v>31.57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IF(B5=0,"",RANK(B5,$B$2:$B$251,0))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INDOBORAX</t>
        </is>
      </c>
      <c r="D5" s="31" t="inlineStr">
        <is>
          <t>Indo Borax &amp; Chemicals Ltd</t>
        </is>
      </c>
      <c r="E5" s="31" t="inlineStr">
        <is>
          <t>chemicals</t>
        </is>
      </c>
      <c r="F5" s="31" t="inlineStr">
        <is>
          <t>chemicals</t>
        </is>
      </c>
      <c r="G5" s="31" t="inlineStr">
        <is>
          <t>smallcap</t>
        </is>
      </c>
      <c r="H5" s="32" t="n">
        <v>1314.89</v>
      </c>
      <c r="I5" s="32" t="n">
        <v>415.45</v>
      </c>
      <c r="J5" s="32" t="n">
        <v>1.39</v>
      </c>
      <c r="K5" s="32" t="n">
        <v>305425</v>
      </c>
      <c r="L5" s="31" t="n">
        <v>84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83.75</v>
      </c>
      <c r="P5" s="32" t="n">
        <v>63.62</v>
      </c>
      <c r="Q5" s="32" t="n">
        <v>325.75</v>
      </c>
      <c r="R5" s="31" t="inlineStr">
        <is>
          <t>Near 52W High Breakout</t>
        </is>
      </c>
      <c r="S5" s="31" t="inlineStr">
        <is>
          <t>Nifty 50</t>
        </is>
      </c>
      <c r="T5" s="32" t="n">
        <v>-5.04</v>
      </c>
      <c r="U5" s="32" t="n">
        <v>78.2</v>
      </c>
      <c r="V5" s="32" t="n">
        <v>87.66</v>
      </c>
      <c r="W5" s="32" t="n">
        <v>27.06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IF(B6=0,"",RANK(B6,$B$2:$B$251,0))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MAYURUNIQ</t>
        </is>
      </c>
      <c r="D6" s="31" t="inlineStr">
        <is>
          <t>Mayur Uniquoters Ltd</t>
        </is>
      </c>
      <c r="E6" s="31" t="inlineStr">
        <is>
          <t>consumer discretionary</t>
        </is>
      </c>
      <c r="F6" s="31" t="inlineStr">
        <is>
          <t>leather / leather products</t>
        </is>
      </c>
      <c r="G6" s="31" t="inlineStr">
        <is>
          <t>smallcap</t>
        </is>
      </c>
      <c r="H6" s="32" t="n">
        <v>3716.28</v>
      </c>
      <c r="I6" s="32" t="n">
        <v>853.25</v>
      </c>
      <c r="J6" s="32" t="n">
        <v>-0.23</v>
      </c>
      <c r="K6" s="32" t="n">
        <v>155589</v>
      </c>
      <c r="L6" s="31" t="n">
        <v>78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72.78</v>
      </c>
      <c r="P6" s="32" t="n">
        <v>54.44</v>
      </c>
      <c r="Q6" s="32" t="n">
        <v>691.8200000000001</v>
      </c>
      <c r="R6" s="31" t="inlineStr">
        <is>
          <t>Near 52W High Breakout</t>
        </is>
      </c>
      <c r="S6" s="31" t="inlineStr">
        <is>
          <t>Nifty 50</t>
        </is>
      </c>
      <c r="T6" s="32" t="n">
        <v>-5.04</v>
      </c>
      <c r="U6" s="32" t="n">
        <v>50.83</v>
      </c>
      <c r="V6" s="32" t="n">
        <v>58.83</v>
      </c>
      <c r="W6" s="32" t="n">
        <v>20.97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IF(B7=0,"",RANK(B7,$B$2:$B$251,0))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RADICO</t>
        </is>
      </c>
      <c r="D7" s="31" t="inlineStr">
        <is>
          <t>Radico Khaitan Limited</t>
        </is>
      </c>
      <c r="E7" s="31" t="inlineStr">
        <is>
          <t>fmcg</t>
        </is>
      </c>
      <c r="F7" s="31" t="inlineStr">
        <is>
          <t>breweries &amp; distilleries</t>
        </is>
      </c>
      <c r="G7" s="31" t="inlineStr">
        <is>
          <t>largecap</t>
        </is>
      </c>
      <c r="H7" s="32" t="n">
        <v>54879.41</v>
      </c>
      <c r="I7" s="32" t="n">
        <v>4077.6</v>
      </c>
      <c r="J7" s="32" t="n">
        <v>-0.51</v>
      </c>
      <c r="K7" s="32" t="n">
        <v>312100</v>
      </c>
      <c r="L7" s="31" t="n">
        <v>74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79.61</v>
      </c>
      <c r="P7" s="32" t="n">
        <v>47.36</v>
      </c>
      <c r="Q7" s="32" t="n">
        <v>3424.01</v>
      </c>
      <c r="R7" s="31" t="inlineStr">
        <is>
          <t>Near 52W High Breakout</t>
        </is>
      </c>
      <c r="S7" s="31" t="inlineStr">
        <is>
          <t>Nifty FMCG</t>
        </is>
      </c>
      <c r="T7" s="32" t="n">
        <v>-12.4</v>
      </c>
      <c r="U7" s="32" t="n">
        <v>50.22</v>
      </c>
      <c r="V7" s="32" t="n">
        <v>71.48999999999999</v>
      </c>
      <c r="W7" s="32" t="n">
        <v>19.1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IF(B8=0,"",RANK(B8,$B$2:$B$251,0))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GLAND</t>
        </is>
      </c>
      <c r="D8" s="31" t="inlineStr">
        <is>
          <t>Gland Pharma Ltd</t>
        </is>
      </c>
      <c r="E8" s="31" t="inlineStr">
        <is>
          <t>healthcare</t>
        </is>
      </c>
      <c r="F8" s="31" t="inlineStr">
        <is>
          <t>pharmaceuticals - indian - formulations</t>
        </is>
      </c>
      <c r="G8" s="31" t="inlineStr">
        <is>
          <t>largecap</t>
        </is>
      </c>
      <c r="H8" s="32" t="n">
        <v>42012.89</v>
      </c>
      <c r="I8" s="32" t="n">
        <v>2495.8</v>
      </c>
      <c r="J8" s="32" t="n">
        <v>-2.13</v>
      </c>
      <c r="K8" s="32" t="n">
        <v>1017221</v>
      </c>
      <c r="L8" s="31" t="n">
        <v>69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72.91</v>
      </c>
      <c r="P8" s="32" t="n">
        <v>44.88</v>
      </c>
      <c r="Q8" s="32" t="n">
        <v>2016.6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14.42</v>
      </c>
      <c r="U8" s="32" t="n">
        <v>35.51</v>
      </c>
      <c r="V8" s="32" t="n">
        <v>18.43</v>
      </c>
      <c r="W8" s="32" t="n">
        <v>16.4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Between 50% to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IF(B9=0,"",RANK(B9,$B$2:$B$251,0))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PRECOT</t>
        </is>
      </c>
      <c r="D9" s="31" t="inlineStr">
        <is>
          <t>Precot Meridian Limited</t>
        </is>
      </c>
      <c r="E9" s="31" t="inlineStr">
        <is>
          <t>textiles</t>
        </is>
      </c>
      <c r="F9" s="31" t="inlineStr">
        <is>
          <t>textiles - cotton/blended</t>
        </is>
      </c>
      <c r="G9" s="31" t="inlineStr">
        <is>
          <t>smallcap</t>
        </is>
      </c>
      <c r="H9" s="32" t="n">
        <v>937.62</v>
      </c>
      <c r="I9" s="32" t="n">
        <v>770</v>
      </c>
      <c r="J9" s="32" t="n">
        <v>-1.45</v>
      </c>
      <c r="K9" s="32" t="n">
        <v>3078</v>
      </c>
      <c r="L9" s="31" t="n">
        <v>76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66.97</v>
      </c>
      <c r="P9" s="32" t="n">
        <v>43.01</v>
      </c>
      <c r="Q9" s="32" t="n">
        <v>569.1799999999999</v>
      </c>
      <c r="R9" s="31" t="inlineStr">
        <is>
          <t>Near 52W High Breakout</t>
        </is>
      </c>
      <c r="S9" s="31" t="inlineStr">
        <is>
          <t>Nifty 50</t>
        </is>
      </c>
      <c r="T9" s="32" t="n">
        <v>-5.04</v>
      </c>
      <c r="U9" s="32" t="n">
        <v>35.22</v>
      </c>
      <c r="V9" s="32" t="n">
        <v>42.4</v>
      </c>
      <c r="W9" s="32" t="n">
        <v>19.87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IF(B10=0,"",RANK(B10,$B$2:$B$251,0))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GNA</t>
        </is>
      </c>
      <c r="D10" s="31" t="inlineStr">
        <is>
          <t>Gna Axles Limited</t>
        </is>
      </c>
      <c r="E10" s="31" t="inlineStr">
        <is>
          <t>auto</t>
        </is>
      </c>
      <c r="F10" s="31" t="inlineStr">
        <is>
          <t>auto ancillaries</t>
        </is>
      </c>
      <c r="G10" s="31" t="inlineStr">
        <is>
          <t>smallcap</t>
        </is>
      </c>
      <c r="H10" s="32" t="n">
        <v>2016.67</v>
      </c>
      <c r="I10" s="32" t="n">
        <v>459.4</v>
      </c>
      <c r="J10" s="32" t="n">
        <v>-2.2</v>
      </c>
      <c r="K10" s="32" t="n">
        <v>155776</v>
      </c>
      <c r="L10" s="31" t="n">
        <v>41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64.43000000000001</v>
      </c>
      <c r="P10" s="32" t="n">
        <v>21.93</v>
      </c>
      <c r="Q10" s="32" t="n">
        <v>346.49</v>
      </c>
      <c r="R10" s="31" t="inlineStr">
        <is>
          <t>Near 52W High Breakout</t>
        </is>
      </c>
      <c r="S10" s="31" t="inlineStr">
        <is>
          <t>Nifty Auto</t>
        </is>
      </c>
      <c r="T10" s="32" t="n">
        <v>13.79</v>
      </c>
      <c r="U10" s="32" t="n">
        <v>43.32</v>
      </c>
      <c r="V10" s="32" t="n">
        <v>25.95</v>
      </c>
      <c r="W10" s="32" t="n">
        <v>8.779999999999999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IF(B11=0,"",RANK(B11,$B$2:$B$251,0))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ICIL</t>
        </is>
      </c>
      <c r="D11" s="31" t="inlineStr">
        <is>
          <t>Indo Count Industries Limited</t>
        </is>
      </c>
      <c r="E11" s="31" t="inlineStr">
        <is>
          <t>textiles</t>
        </is>
      </c>
      <c r="F11" s="31" t="inlineStr">
        <is>
          <t>textiles - cotton/blended</t>
        </is>
      </c>
      <c r="G11" s="31" t="inlineStr">
        <is>
          <t>midcap</t>
        </is>
      </c>
      <c r="H11" s="32" t="n">
        <v>8465.83</v>
      </c>
      <c r="I11" s="32" t="n">
        <v>411.2</v>
      </c>
      <c r="J11" s="32" t="n">
        <v>-3.8</v>
      </c>
      <c r="K11" s="32" t="n">
        <v>376690</v>
      </c>
      <c r="L11" s="31" t="n">
        <v>80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70.17</v>
      </c>
      <c r="P11" s="32" t="n">
        <v>41.98</v>
      </c>
      <c r="Q11" s="32" t="n">
        <v>313.24</v>
      </c>
      <c r="R11" s="31" t="inlineStr">
        <is>
          <t>Near 52W High Breakout</t>
        </is>
      </c>
      <c r="S11" s="31" t="inlineStr">
        <is>
          <t>Nifty 50</t>
        </is>
      </c>
      <c r="T11" s="32" t="n">
        <v>-5.04</v>
      </c>
      <c r="U11" s="32" t="n">
        <v>44.82</v>
      </c>
      <c r="V11" s="32" t="n">
        <v>52.5</v>
      </c>
      <c r="W11" s="32" t="n">
        <v>23.57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IF(B12=0,"",RANK(B12,$B$2:$B$251,0))</f>
        <v/>
      </c>
      <c r="B12" s="32">
        <f>SUM(N12,Y12,AA12,AC12,AE12,AG12,AI12,AK12,AM12,AO12,AQ12,AS12,AU12,AW12,AY12,BA12,BC12,BE12,BG12,BI12,BK12,BM12,BO12,BQ12,BS12,BU12,BW12,BY12,CA12,CC12,CE12)</f>
        <v/>
      </c>
      <c r="C12" s="33" t="inlineStr">
        <is>
          <t>MARKSANS</t>
        </is>
      </c>
      <c r="D12" s="33" t="inlineStr">
        <is>
          <t>Marksans Pharma Limited</t>
        </is>
      </c>
      <c r="E12" s="31" t="inlineStr">
        <is>
          <t>healthcare</t>
        </is>
      </c>
      <c r="F12" s="31" t="inlineStr">
        <is>
          <t>pharmaceuticals - indian - formulations</t>
        </is>
      </c>
      <c r="G12" s="31" t="inlineStr">
        <is>
          <t>midcap</t>
        </is>
      </c>
      <c r="H12" s="32" t="n">
        <v>11836.64</v>
      </c>
      <c r="I12" s="32" t="n">
        <v>263.45</v>
      </c>
      <c r="J12" s="32" t="n">
        <v>0.86</v>
      </c>
      <c r="K12" s="32" t="n">
        <v>3791392</v>
      </c>
      <c r="L12" s="31" t="n">
        <v>60</v>
      </c>
      <c r="M12" s="31" t="inlineStr">
        <is>
          <t>Underperforming</t>
        </is>
      </c>
      <c r="N12" s="32">
        <f>IF(M12="Underperforming",-5,IF(L12&gt;=95,15,IF(L12&gt;=90,10,IF(L12&gt;=80,5,0))))</f>
        <v/>
      </c>
      <c r="O12" s="32" t="n">
        <v>72.59999999999999</v>
      </c>
      <c r="P12" s="32" t="n">
        <v>42.58</v>
      </c>
      <c r="Q12" s="32" t="n">
        <v>205.25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14.42</v>
      </c>
      <c r="U12" s="32" t="n">
        <v>3.86</v>
      </c>
      <c r="V12" s="32" t="n">
        <v>-9.220000000000001</v>
      </c>
      <c r="W12" s="32" t="n">
        <v>13.04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IF(B13=0,"",RANK(B13,$B$2:$B$251,0))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BLISSGVS</t>
        </is>
      </c>
      <c r="D13" s="31" t="inlineStr">
        <is>
          <t>Bliss Gvs Pharma Limited</t>
        </is>
      </c>
      <c r="E13" s="31" t="inlineStr">
        <is>
          <t>healthcare</t>
        </is>
      </c>
      <c r="F13" s="31" t="inlineStr">
        <is>
          <t>pharmaceuticals - indian - formulations</t>
        </is>
      </c>
      <c r="G13" s="31" t="inlineStr">
        <is>
          <t>midcap</t>
        </is>
      </c>
      <c r="H13" s="32" t="n">
        <v>5414.28</v>
      </c>
      <c r="I13" s="32" t="n">
        <v>512.95</v>
      </c>
      <c r="J13" s="32" t="n">
        <v>0.22</v>
      </c>
      <c r="K13" s="32" t="n">
        <v>514840</v>
      </c>
      <c r="L13" s="31" t="n">
        <v>97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91.29000000000001</v>
      </c>
      <c r="P13" s="32" t="n">
        <v>73.15000000000001</v>
      </c>
      <c r="Q13" s="32" t="n">
        <v>391.16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14.42</v>
      </c>
      <c r="U13" s="32" t="n">
        <v>235.92</v>
      </c>
      <c r="V13" s="32" t="n">
        <v>193.6</v>
      </c>
      <c r="W13" s="32" t="n">
        <v>51.79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IF(B14=0,"",RANK(B14,$B$2:$B$251,0))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SUVEN</t>
        </is>
      </c>
      <c r="D14" s="31" t="inlineStr">
        <is>
          <t>Suven Life Sciences Limited</t>
        </is>
      </c>
      <c r="E14" s="31" t="inlineStr">
        <is>
          <t>healthcare</t>
        </is>
      </c>
      <c r="F14" s="31" t="inlineStr">
        <is>
          <t>miscellaneous</t>
        </is>
      </c>
      <c r="G14" s="31" t="inlineStr">
        <is>
          <t>midcap</t>
        </is>
      </c>
      <c r="H14" s="32" t="n">
        <v>8421.92</v>
      </c>
      <c r="I14" s="32" t="n">
        <v>317.1</v>
      </c>
      <c r="J14" s="32" t="n">
        <v>-0.7</v>
      </c>
      <c r="K14" s="32" t="n">
        <v>1444509</v>
      </c>
      <c r="L14" s="31" t="n">
        <v>76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71.06</v>
      </c>
      <c r="P14" s="32" t="n">
        <v>42.66</v>
      </c>
      <c r="Q14" s="32" t="n">
        <v>234.83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14.42</v>
      </c>
      <c r="U14" s="32" t="n">
        <v>14.63</v>
      </c>
      <c r="V14" s="32" t="n">
        <v>0.19</v>
      </c>
      <c r="W14" s="32" t="n">
        <v>19.75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IF(B15=0,"",RANK(B15,$B$2:$B$251,0))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CCL</t>
        </is>
      </c>
      <c r="D15" s="31" t="inlineStr">
        <is>
          <t>Ccl Products (india) Limited</t>
        </is>
      </c>
      <c r="E15" s="31" t="inlineStr">
        <is>
          <t>fmcg</t>
        </is>
      </c>
      <c r="F15" s="31" t="inlineStr">
        <is>
          <t>tea</t>
        </is>
      </c>
      <c r="G15" s="31" t="inlineStr">
        <is>
          <t>midcap</t>
        </is>
      </c>
      <c r="H15" s="32" t="n">
        <v>15919.2</v>
      </c>
      <c r="I15" s="32" t="n">
        <v>1181.2</v>
      </c>
      <c r="J15" s="32" t="n">
        <v>-0.92</v>
      </c>
      <c r="K15" s="32" t="n">
        <v>129377</v>
      </c>
      <c r="L15" s="31" t="n">
        <v>39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68.17</v>
      </c>
      <c r="P15" s="32" t="n">
        <v>45.69</v>
      </c>
      <c r="Q15" s="32" t="n">
        <v>948.3200000000001</v>
      </c>
      <c r="R15" s="31" t="inlineStr">
        <is>
          <t>Near 52W High Breakout</t>
        </is>
      </c>
      <c r="S15" s="31" t="inlineStr">
        <is>
          <t>Nifty FMCG</t>
        </is>
      </c>
      <c r="T15" s="32" t="n">
        <v>-12.4</v>
      </c>
      <c r="U15" s="32" t="n">
        <v>34.15</v>
      </c>
      <c r="V15" s="32" t="n">
        <v>53.14</v>
      </c>
      <c r="W15" s="32" t="n">
        <v>8.27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Between 12 to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IF(B16=0,"",RANK(B16,$B$2:$B$251,0))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CUPID</t>
        </is>
      </c>
      <c r="D16" s="31" t="inlineStr">
        <is>
          <t>Cupid Limited</t>
        </is>
      </c>
      <c r="E16" s="31" t="inlineStr">
        <is>
          <t>fmcg</t>
        </is>
      </c>
      <c r="F16" s="31" t="inlineStr">
        <is>
          <t>personal care - indian</t>
        </is>
      </c>
      <c r="G16" s="31" t="inlineStr">
        <is>
          <t>largecap</t>
        </is>
      </c>
      <c r="H16" s="32" t="n">
        <v>29731.79</v>
      </c>
      <c r="I16" s="32" t="n">
        <v>196.98</v>
      </c>
      <c r="J16" s="32" t="n">
        <v>-10.91</v>
      </c>
      <c r="K16" s="32" t="n">
        <v>77637002</v>
      </c>
      <c r="L16" s="31" t="n">
        <v>98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85.77</v>
      </c>
      <c r="P16" s="32" t="n">
        <v>59.99</v>
      </c>
      <c r="Q16" s="32" t="n">
        <v>152.11</v>
      </c>
      <c r="R16" s="31" t="inlineStr">
        <is>
          <t>Volume Spike &amp; Near 52W High Breakout</t>
        </is>
      </c>
      <c r="S16" s="31" t="inlineStr">
        <is>
          <t>Nifty FMCG</t>
        </is>
      </c>
      <c r="T16" s="32" t="n">
        <v>-12.4</v>
      </c>
      <c r="U16" s="32" t="n">
        <v>731</v>
      </c>
      <c r="V16" s="32" t="n">
        <v>848.63</v>
      </c>
      <c r="W16" s="32" t="n">
        <v>82.17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IF(B17=0,"",RANK(B17,$B$2:$B$251,0))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THANGAMAYL</t>
        </is>
      </c>
      <c r="D17" s="31" t="inlineStr">
        <is>
          <t>Thangamayil Jewellery Limited</t>
        </is>
      </c>
      <c r="E17" s="31" t="inlineStr">
        <is>
          <t>consumer discretionary</t>
        </is>
      </c>
      <c r="F17" s="31" t="inlineStr">
        <is>
          <t>diamond cutting / jewellery</t>
        </is>
      </c>
      <c r="G17" s="31" t="inlineStr">
        <is>
          <t>midcap</t>
        </is>
      </c>
      <c r="H17" s="32" t="n">
        <v>19808.57</v>
      </c>
      <c r="I17" s="32" t="n">
        <v>6806</v>
      </c>
      <c r="J17" s="32" t="n">
        <v>6.79</v>
      </c>
      <c r="K17" s="32" t="n">
        <v>594451</v>
      </c>
      <c r="L17" s="31" t="n">
        <v>95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79.19</v>
      </c>
      <c r="P17" s="32" t="n">
        <v>45.89</v>
      </c>
      <c r="Q17" s="32" t="n">
        <v>5173.09</v>
      </c>
      <c r="R17" s="31" t="inlineStr">
        <is>
          <t>Near 52W High Breakout</t>
        </is>
      </c>
      <c r="S17" s="31" t="inlineStr">
        <is>
          <t>Nifty 50</t>
        </is>
      </c>
      <c r="T17" s="32" t="n">
        <v>-5.04</v>
      </c>
      <c r="U17" s="32" t="n">
        <v>256.17</v>
      </c>
      <c r="V17" s="32" t="n">
        <v>275.08</v>
      </c>
      <c r="W17" s="32" t="n">
        <v>45.62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IF(B18=0,"",RANK(B18,$B$2:$B$251,0))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SIS</t>
        </is>
      </c>
      <c r="D18" s="31" t="inlineStr">
        <is>
          <t>Security &amp; Intelligence Services India</t>
        </is>
      </c>
      <c r="E18" s="31" t="inlineStr">
        <is>
          <t>miscellaneous</t>
        </is>
      </c>
      <c r="F18" s="31" t="inlineStr">
        <is>
          <t>miscellaneous</t>
        </is>
      </c>
      <c r="G18" s="31" t="inlineStr">
        <is>
          <t>midcap</t>
        </is>
      </c>
      <c r="H18" s="32" t="n">
        <v>6045.74</v>
      </c>
      <c r="I18" s="32" t="n">
        <v>430.05</v>
      </c>
      <c r="J18" s="32" t="n">
        <v>0.49</v>
      </c>
      <c r="K18" s="32" t="n">
        <v>148720</v>
      </c>
      <c r="L18" s="31" t="n">
        <v>62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73.31999999999999</v>
      </c>
      <c r="P18" s="32" t="n">
        <v>48.95</v>
      </c>
      <c r="Q18" s="32" t="n">
        <v>344.12</v>
      </c>
      <c r="R18" s="31" t="inlineStr">
        <is>
          <t>Near 52W High Breakout</t>
        </is>
      </c>
      <c r="S18" s="31" t="inlineStr">
        <is>
          <t>Nifty 50</t>
        </is>
      </c>
      <c r="T18" s="32" t="n">
        <v>-5.04</v>
      </c>
      <c r="U18" s="32" t="n">
        <v>18.55</v>
      </c>
      <c r="V18" s="32" t="n">
        <v>24.84</v>
      </c>
      <c r="W18" s="32" t="n">
        <v>13.41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Between 0.7 to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IF(B19=0,"",RANK(B19,$B$2:$B$251,0))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SJS</t>
        </is>
      </c>
      <c r="D19" s="31" t="inlineStr">
        <is>
          <t>S J S Enterprises Ltd</t>
        </is>
      </c>
      <c r="E19" s="31" t="inlineStr">
        <is>
          <t>auto</t>
        </is>
      </c>
      <c r="F19" s="31" t="inlineStr">
        <is>
          <t>plastics products</t>
        </is>
      </c>
      <c r="G19" s="31" t="inlineStr">
        <is>
          <t>midcap</t>
        </is>
      </c>
      <c r="H19" s="32" t="n">
        <v>7065.85</v>
      </c>
      <c r="I19" s="32" t="n">
        <v>2218</v>
      </c>
      <c r="J19" s="32" t="n">
        <v>0.44</v>
      </c>
      <c r="K19" s="32" t="n">
        <v>134710</v>
      </c>
      <c r="L19" s="31" t="n">
        <v>72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65.27</v>
      </c>
      <c r="P19" s="32" t="n">
        <v>32.94</v>
      </c>
      <c r="Q19" s="32" t="n">
        <v>1753.34</v>
      </c>
      <c r="R19" s="31" t="inlineStr">
        <is>
          <t>Near 52W High Breakout</t>
        </is>
      </c>
      <c r="S19" s="31" t="inlineStr">
        <is>
          <t>Nifty Auto</t>
        </is>
      </c>
      <c r="T19" s="32" t="n">
        <v>13.79</v>
      </c>
      <c r="U19" s="32" t="n">
        <v>82.70999999999999</v>
      </c>
      <c r="V19" s="32" t="n">
        <v>60.57</v>
      </c>
      <c r="W19" s="32" t="n">
        <v>17.97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IF(B20=0,"",RANK(B20,$B$2:$B$251,0))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SANSERA</t>
        </is>
      </c>
      <c r="D20" s="31" t="inlineStr">
        <is>
          <t>Sansera Engineering Ltd</t>
        </is>
      </c>
      <c r="E20" s="31" t="inlineStr">
        <is>
          <t>auto</t>
        </is>
      </c>
      <c r="F20" s="31" t="inlineStr">
        <is>
          <t>auto ancillaries</t>
        </is>
      </c>
      <c r="G20" s="31" t="inlineStr">
        <is>
          <t>midcap</t>
        </is>
      </c>
      <c r="H20" s="32" t="n">
        <v>19643.94</v>
      </c>
      <c r="I20" s="32" t="n">
        <v>3102</v>
      </c>
      <c r="J20" s="32" t="n">
        <v>-1.57</v>
      </c>
      <c r="K20" s="32" t="n">
        <v>304929</v>
      </c>
      <c r="L20" s="31" t="n">
        <v>82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70.95</v>
      </c>
      <c r="P20" s="32" t="n">
        <v>48.18</v>
      </c>
      <c r="Q20" s="32" t="n">
        <v>2572.09</v>
      </c>
      <c r="R20" s="31" t="inlineStr">
        <is>
          <t>Near 52W High Breakout</t>
        </is>
      </c>
      <c r="S20" s="31" t="inlineStr">
        <is>
          <t>Nifty Auto</t>
        </is>
      </c>
      <c r="T20" s="32" t="n">
        <v>13.79</v>
      </c>
      <c r="U20" s="32" t="n">
        <v>129.09</v>
      </c>
      <c r="V20" s="32" t="n">
        <v>101.33</v>
      </c>
      <c r="W20" s="32" t="n">
        <v>25.26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IF(B21=0,"",RANK(B21,$B$2:$B$251,0))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GRWRHITECH</t>
        </is>
      </c>
      <c r="D21" s="31" t="inlineStr">
        <is>
          <t>Garware Hi Tech Films Ltd</t>
        </is>
      </c>
      <c r="E21" s="31" t="inlineStr">
        <is>
          <t>industrials</t>
        </is>
      </c>
      <c r="F21" s="31" t="inlineStr">
        <is>
          <t>packaging</t>
        </is>
      </c>
      <c r="G21" s="31" t="inlineStr">
        <is>
          <t>midcap</t>
        </is>
      </c>
      <c r="H21" s="32" t="n">
        <v>16180.2</v>
      </c>
      <c r="I21" s="32" t="n">
        <v>6841.5</v>
      </c>
      <c r="J21" s="32" t="n">
        <v>-1.77</v>
      </c>
      <c r="K21" s="32" t="n">
        <v>75148</v>
      </c>
      <c r="L21" s="31" t="n">
        <v>91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76.09</v>
      </c>
      <c r="P21" s="32" t="n">
        <v>43.99</v>
      </c>
      <c r="Q21" s="32" t="n">
        <v>5227.9</v>
      </c>
      <c r="R21" s="31" t="inlineStr">
        <is>
          <t>Near 52W High Breakout</t>
        </is>
      </c>
      <c r="S21" s="31" t="inlineStr">
        <is>
          <t>Nifty 50</t>
        </is>
      </c>
      <c r="T21" s="32" t="n">
        <v>-5.04</v>
      </c>
      <c r="U21" s="32" t="n">
        <v>89.95</v>
      </c>
      <c r="V21" s="32" t="n">
        <v>100.03</v>
      </c>
      <c r="W21" s="32" t="n">
        <v>34.74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IF(B22=0,"",RANK(B22,$B$2:$B$251,0))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SANGHVIMOV</t>
        </is>
      </c>
      <c r="D22" s="31" t="inlineStr">
        <is>
          <t>Sanghvi Movers Limited</t>
        </is>
      </c>
      <c r="E22" s="31" t="inlineStr">
        <is>
          <t>miscellaneous</t>
        </is>
      </c>
      <c r="F22" s="31" t="inlineStr">
        <is>
          <t>miscellaneous</t>
        </is>
      </c>
      <c r="G22" s="31" t="inlineStr">
        <is>
          <t>smallcap</t>
        </is>
      </c>
      <c r="H22" s="32" t="n">
        <v>3891.16</v>
      </c>
      <c r="I22" s="32" t="n">
        <v>441.25</v>
      </c>
      <c r="J22" s="32" t="n">
        <v>-1.82</v>
      </c>
      <c r="K22" s="32" t="n">
        <v>403999</v>
      </c>
      <c r="L22" s="31" t="n">
        <v>80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67.42</v>
      </c>
      <c r="P22" s="32" t="n">
        <v>29.8</v>
      </c>
      <c r="Q22" s="32" t="n">
        <v>347.51</v>
      </c>
      <c r="R22" s="31" t="inlineStr">
        <is>
          <t>Near 52W High Breakout</t>
        </is>
      </c>
      <c r="S22" s="31" t="inlineStr">
        <is>
          <t>Nifty 50</t>
        </is>
      </c>
      <c r="T22" s="32" t="n">
        <v>-5.04</v>
      </c>
      <c r="U22" s="32" t="n">
        <v>61.79</v>
      </c>
      <c r="V22" s="32" t="n">
        <v>70.38</v>
      </c>
      <c r="W22" s="32" t="n">
        <v>22.88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IF(B23=0,"",RANK(B23,$B$2:$B$251,0))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QUESS</t>
        </is>
      </c>
      <c r="D23" s="31" t="inlineStr">
        <is>
          <t>Quess Corp Limited</t>
        </is>
      </c>
      <c r="E23" s="31" t="inlineStr">
        <is>
          <t>miscellaneous</t>
        </is>
      </c>
      <c r="F23" s="31" t="inlineStr">
        <is>
          <t>diversified - large</t>
        </is>
      </c>
      <c r="G23" s="31" t="inlineStr">
        <is>
          <t>smallcap</t>
        </is>
      </c>
      <c r="H23" s="32" t="n">
        <v>4468.74</v>
      </c>
      <c r="I23" s="32" t="n">
        <v>290.5</v>
      </c>
      <c r="J23" s="32" t="n">
        <v>-2.92</v>
      </c>
      <c r="K23" s="32" t="n">
        <v>686021</v>
      </c>
      <c r="L23" s="31" t="n">
        <v>60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72.89</v>
      </c>
      <c r="P23" s="32" t="n">
        <v>32.11</v>
      </c>
      <c r="Q23" s="32" t="n">
        <v>228.88</v>
      </c>
      <c r="R23" s="31" t="inlineStr">
        <is>
          <t>Near 52W High Breakout</t>
        </is>
      </c>
      <c r="S23" s="31" t="inlineStr">
        <is>
          <t>Nifty 50</t>
        </is>
      </c>
      <c r="T23" s="32" t="n">
        <v>-5.04</v>
      </c>
      <c r="U23" s="32" t="n">
        <v>-0.89</v>
      </c>
      <c r="V23" s="32" t="n">
        <v>4.38</v>
      </c>
      <c r="W23" s="32" t="n">
        <v>13.02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IF(B24=0,"",RANK(B24,$B$2:$B$251,0))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BUTTERFLY</t>
        </is>
      </c>
      <c r="D24" s="31" t="inlineStr">
        <is>
          <t>Butterfly Gandhimathi Appliances Limited</t>
        </is>
      </c>
      <c r="E24" s="31" t="inlineStr">
        <is>
          <t>consumer discretionary</t>
        </is>
      </c>
      <c r="F24" s="31" t="inlineStr">
        <is>
          <t>domestic appliances</t>
        </is>
      </c>
      <c r="G24" s="31" t="inlineStr">
        <is>
          <t>smallcap</t>
        </is>
      </c>
      <c r="H24" s="32" t="n">
        <v>1325.32</v>
      </c>
      <c r="I24" s="32" t="n">
        <v>717.1</v>
      </c>
      <c r="J24" s="32" t="n">
        <v>-3.26</v>
      </c>
      <c r="K24" s="32" t="n">
        <v>125392</v>
      </c>
      <c r="L24" s="31" t="n">
        <v>18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61.28</v>
      </c>
      <c r="P24" s="32" t="n">
        <v>36.15</v>
      </c>
      <c r="Q24" s="32" t="n">
        <v>546.61</v>
      </c>
      <c r="R24" s="31" t="inlineStr">
        <is>
          <t>Near 52W High Breakout</t>
        </is>
      </c>
      <c r="S24" s="31" t="inlineStr">
        <is>
          <t>Nifty 50</t>
        </is>
      </c>
      <c r="T24" s="32" t="n">
        <v>-5.04</v>
      </c>
      <c r="U24" s="32" t="n">
        <v>0.9</v>
      </c>
      <c r="V24" s="32" t="n">
        <v>6.26</v>
      </c>
      <c r="W24" s="32" t="n">
        <v>3.7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IF(B25=0,"",RANK(B25,$B$2:$B$251,0))</f>
        <v/>
      </c>
      <c r="B25" s="32">
        <f>SUM(N25,Y25,AA25,AC25,AE25,AG25,AI25,AK25,AM25,AO25,AQ25,AS25,AU25,AW25,AY25,BA25,BC25,BE25,BG25,BI25,BK25,BM25,BO25,BQ25,BS25,BU25,BW25,BY25,CA25,CC25,CE25)</f>
        <v/>
      </c>
      <c r="C25" s="33" t="inlineStr">
        <is>
          <t>INNOVACAP</t>
        </is>
      </c>
      <c r="D25" s="33" t="inlineStr">
        <is>
          <t>Innova Captab Ltd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midcap</t>
        </is>
      </c>
      <c r="H25" s="32" t="n">
        <v>5539.95</v>
      </c>
      <c r="I25" s="32" t="n">
        <v>989</v>
      </c>
      <c r="J25" s="32" t="n">
        <v>2.16</v>
      </c>
      <c r="K25" s="32" t="n">
        <v>159050</v>
      </c>
      <c r="L25" s="31" t="n">
        <v>58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73.76000000000001</v>
      </c>
      <c r="P25" s="32" t="n">
        <v>45.4</v>
      </c>
      <c r="Q25" s="32" t="n">
        <v>770.51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14.42</v>
      </c>
      <c r="U25" s="32" t="n">
        <v>12.61</v>
      </c>
      <c r="V25" s="32" t="n">
        <v>-1.58</v>
      </c>
      <c r="W25" s="32" t="n">
        <v>12.62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IF(B26=0,"",RANK(B26,$B$2:$B$251,0))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NINSYS</t>
        </is>
      </c>
      <c r="D26" s="31" t="inlineStr">
        <is>
          <t>NINtec Systems Ltd</t>
        </is>
      </c>
      <c r="E26" s="31" t="inlineStr">
        <is>
          <t>i.t</t>
        </is>
      </c>
      <c r="F26" s="31" t="inlineStr">
        <is>
          <t>computers - software - medium / small</t>
        </is>
      </c>
      <c r="G26" s="31" t="inlineStr">
        <is>
          <t>smallcap</t>
        </is>
      </c>
      <c r="H26" s="32" t="n">
        <v>1673.33</v>
      </c>
      <c r="I26" s="32" t="n">
        <v>906.95</v>
      </c>
      <c r="J26" s="32" t="n">
        <v>0.68</v>
      </c>
      <c r="K26" s="32" t="n">
        <v>4334</v>
      </c>
      <c r="L26" s="31" t="n">
        <v>95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87.06</v>
      </c>
      <c r="P26" s="32" t="n">
        <v>63.17</v>
      </c>
      <c r="Q26" s="32" t="n">
        <v>695.8099999999999</v>
      </c>
      <c r="R26" s="31" t="inlineStr">
        <is>
          <t>Near 52W High Breakout</t>
        </is>
      </c>
      <c r="S26" s="31" t="inlineStr">
        <is>
          <t>Nifty IT</t>
        </is>
      </c>
      <c r="T26" s="32" t="n">
        <v>-26.9</v>
      </c>
      <c r="U26" s="32" t="n">
        <v>101.23</v>
      </c>
      <c r="V26" s="32" t="n">
        <v>175.26</v>
      </c>
      <c r="W26" s="32" t="n">
        <v>45.42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Between 12 to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IF(B27=0,"",RANK(B27,$B$2:$B$251,0))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GRANULES</t>
        </is>
      </c>
      <c r="D27" s="31" t="inlineStr">
        <is>
          <t>Granules India Limited</t>
        </is>
      </c>
      <c r="E27" s="31" t="inlineStr">
        <is>
          <t>healthcare</t>
        </is>
      </c>
      <c r="F27" s="31" t="inlineStr">
        <is>
          <t>pharmaceuticals - indian - bulk drugs &amp; formln</t>
        </is>
      </c>
      <c r="G27" s="31" t="inlineStr">
        <is>
          <t>largecap</t>
        </is>
      </c>
      <c r="H27" s="32" t="n">
        <v>21398.5</v>
      </c>
      <c r="I27" s="32" t="n">
        <v>859.55</v>
      </c>
      <c r="J27" s="32" t="n">
        <v>-0.46</v>
      </c>
      <c r="K27" s="32" t="n">
        <v>1594260</v>
      </c>
      <c r="L27" s="31" t="n">
        <v>77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76.34</v>
      </c>
      <c r="P27" s="32" t="n">
        <v>44.29</v>
      </c>
      <c r="Q27" s="32" t="n">
        <v>719.8099999999999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14.42</v>
      </c>
      <c r="U27" s="32" t="n">
        <v>83.83</v>
      </c>
      <c r="V27" s="32" t="n">
        <v>60.67</v>
      </c>
      <c r="W27" s="32" t="n">
        <v>20.9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IF(B28=0,"",RANK(B28,$B$2:$B$251,0))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ADFFOODS</t>
        </is>
      </c>
      <c r="D28" s="31" t="inlineStr">
        <is>
          <t>Adf Foods Limited</t>
        </is>
      </c>
      <c r="E28" s="31" t="inlineStr">
        <is>
          <t>fmcg</t>
        </is>
      </c>
      <c r="F28" s="31" t="inlineStr">
        <is>
          <t>food - processing - indian</t>
        </is>
      </c>
      <c r="G28" s="31" t="inlineStr">
        <is>
          <t>smallcap</t>
        </is>
      </c>
      <c r="H28" s="32" t="n">
        <v>3410.17</v>
      </c>
      <c r="I28" s="32" t="n">
        <v>308.45</v>
      </c>
      <c r="J28" s="32" t="n">
        <v>-0.63</v>
      </c>
      <c r="K28" s="32" t="n">
        <v>305173</v>
      </c>
      <c r="L28" s="31" t="n">
        <v>73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65.3</v>
      </c>
      <c r="P28" s="32" t="n">
        <v>37.93</v>
      </c>
      <c r="Q28" s="32" t="n">
        <v>235.93</v>
      </c>
      <c r="R28" s="31" t="inlineStr">
        <is>
          <t>Near 52W High Breakout</t>
        </is>
      </c>
      <c r="S28" s="31" t="inlineStr">
        <is>
          <t>Nifty FMCG</t>
        </is>
      </c>
      <c r="T28" s="32" t="n">
        <v>-12.4</v>
      </c>
      <c r="U28" s="32" t="n">
        <v>17.39</v>
      </c>
      <c r="V28" s="32" t="n">
        <v>34.01</v>
      </c>
      <c r="W28" s="32" t="n">
        <v>18.62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IF(B29=0,"",RANK(B29,$B$2:$B$251,0))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NESTLEIND</t>
        </is>
      </c>
      <c r="D29" s="31" t="inlineStr">
        <is>
          <t>Nestle India Limited</t>
        </is>
      </c>
      <c r="E29" s="31" t="inlineStr">
        <is>
          <t>fmcg</t>
        </is>
      </c>
      <c r="F29" s="31" t="inlineStr">
        <is>
          <t>food - processing - mnc</t>
        </is>
      </c>
      <c r="G29" s="31" t="inlineStr">
        <is>
          <t>largecap</t>
        </is>
      </c>
      <c r="H29" s="32" t="n">
        <v>283809.3</v>
      </c>
      <c r="I29" s="32" t="n">
        <v>1450.5</v>
      </c>
      <c r="J29" s="32" t="n">
        <v>-1.45</v>
      </c>
      <c r="K29" s="32" t="n">
        <v>1855873</v>
      </c>
      <c r="L29" s="31" t="n">
        <v>34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63.89</v>
      </c>
      <c r="P29" s="32" t="n">
        <v>32.97</v>
      </c>
      <c r="Q29" s="32" t="n">
        <v>1304.75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-12.4</v>
      </c>
      <c r="U29" s="32" t="n">
        <v>21.35</v>
      </c>
      <c r="V29" s="32" t="n">
        <v>38.53</v>
      </c>
      <c r="W29" s="32" t="n">
        <v>7.4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IF(B30=0,"",RANK(B30,$B$2:$B$251,0))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ATHERENERG</t>
        </is>
      </c>
      <c r="D30" s="31" t="inlineStr">
        <is>
          <t>Ather Energy Ltd</t>
        </is>
      </c>
      <c r="E30" s="31" t="inlineStr">
        <is>
          <t>auto</t>
        </is>
      </c>
      <c r="F30" s="31" t="inlineStr">
        <is>
          <t>automobiles - scooters and 3 - wheelers</t>
        </is>
      </c>
      <c r="G30" s="31" t="inlineStr">
        <is>
          <t>largecap</t>
        </is>
      </c>
      <c r="H30" s="32" t="n">
        <v>43647.7</v>
      </c>
      <c r="I30" s="32" t="n">
        <v>1200</v>
      </c>
      <c r="J30" s="32" t="n">
        <v>5.21</v>
      </c>
      <c r="K30" s="32" t="n">
        <v>8881733</v>
      </c>
      <c r="L30" s="31" t="n">
        <v>93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76.81999999999999</v>
      </c>
      <c r="P30" s="32" t="n">
        <v>53.01</v>
      </c>
      <c r="Q30" s="32" t="n">
        <v>928.6900000000001</v>
      </c>
      <c r="R30" s="31" t="inlineStr">
        <is>
          <t>Near 52W High Breakout</t>
        </is>
      </c>
      <c r="S30" s="31" t="inlineStr">
        <is>
          <t>Nifty Auto</t>
        </is>
      </c>
      <c r="T30" s="32" t="n">
        <v>13.79</v>
      </c>
      <c r="U30" s="32" t="n">
        <v>261.01</v>
      </c>
      <c r="V30" s="32" t="n">
        <v>217.26</v>
      </c>
      <c r="W30" s="32" t="n">
        <v>39.96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Negative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IF(B31=0,"",RANK(B31,$B$2:$B$251,0))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RISHABH</t>
        </is>
      </c>
      <c r="D31" s="31" t="inlineStr">
        <is>
          <t>Rishabh Instruments Ltd</t>
        </is>
      </c>
      <c r="E31" s="31" t="inlineStr">
        <is>
          <t>industrials</t>
        </is>
      </c>
      <c r="F31" s="31" t="inlineStr">
        <is>
          <t>electric equipment</t>
        </is>
      </c>
      <c r="G31" s="31" t="inlineStr">
        <is>
          <t>smallcap</t>
        </is>
      </c>
      <c r="H31" s="32" t="n">
        <v>2426.86</v>
      </c>
      <c r="I31" s="32" t="n">
        <v>650.8</v>
      </c>
      <c r="J31" s="32" t="n">
        <v>3.37</v>
      </c>
      <c r="K31" s="32" t="n">
        <v>793398</v>
      </c>
      <c r="L31" s="31" t="n">
        <v>85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72.23999999999999</v>
      </c>
      <c r="P31" s="32" t="n">
        <v>39.45</v>
      </c>
      <c r="Q31" s="32" t="n">
        <v>471.58</v>
      </c>
      <c r="R31" s="31" t="inlineStr">
        <is>
          <t>Near 52W High Breakout</t>
        </is>
      </c>
      <c r="S31" s="31" t="inlineStr">
        <is>
          <t>Nifty Infra</t>
        </is>
      </c>
      <c r="T31" s="32" t="n">
        <v>-0.07000000000000001</v>
      </c>
      <c r="U31" s="32" t="n">
        <v>119.83</v>
      </c>
      <c r="V31" s="32" t="n">
        <v>119.99</v>
      </c>
      <c r="W31" s="32" t="n">
        <v>28.25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IF(B32=0,"",RANK(B32,$B$2:$B$251,0))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RUBYMILLS</t>
        </is>
      </c>
      <c r="D32" s="31" t="inlineStr">
        <is>
          <t>The Ruby Mills Limited</t>
        </is>
      </c>
      <c r="E32" s="31" t="inlineStr">
        <is>
          <t>textiles</t>
        </is>
      </c>
      <c r="F32" s="31" t="inlineStr">
        <is>
          <t>textiles - composite</t>
        </is>
      </c>
      <c r="G32" s="31" t="inlineStr">
        <is>
          <t>smallcap</t>
        </is>
      </c>
      <c r="H32" s="32" t="n">
        <v>1146.16</v>
      </c>
      <c r="I32" s="32" t="n">
        <v>351</v>
      </c>
      <c r="J32" s="32" t="n">
        <v>2.41</v>
      </c>
      <c r="K32" s="32" t="n">
        <v>39326</v>
      </c>
      <c r="L32" s="31" t="n">
        <v>75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74.84999999999999</v>
      </c>
      <c r="P32" s="32" t="n">
        <v>47.98</v>
      </c>
      <c r="Q32" s="32" t="n">
        <v>262.2</v>
      </c>
      <c r="R32" s="31" t="inlineStr">
        <is>
          <t>Near 52W High Breakout</t>
        </is>
      </c>
      <c r="S32" s="31" t="inlineStr">
        <is>
          <t>Nifty 50</t>
        </is>
      </c>
      <c r="T32" s="32" t="n">
        <v>-5.04</v>
      </c>
      <c r="U32" s="32" t="n">
        <v>46.1</v>
      </c>
      <c r="V32" s="32" t="n">
        <v>53.86</v>
      </c>
      <c r="W32" s="32" t="n">
        <v>19.43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Less than 12%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IF(B33=0,"",RANK(B33,$B$2:$B$251,0))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HAPPYFORGE</t>
        </is>
      </c>
      <c r="D33" s="31" t="inlineStr">
        <is>
          <t>Happy Forgings Ltd</t>
        </is>
      </c>
      <c r="E33" s="31" t="inlineStr">
        <is>
          <t>industrials</t>
        </is>
      </c>
      <c r="F33" s="31" t="inlineStr">
        <is>
          <t>castings &amp; forgings</t>
        </is>
      </c>
      <c r="G33" s="31" t="inlineStr">
        <is>
          <t>midcap</t>
        </is>
      </c>
      <c r="H33" s="32" t="n">
        <v>14112</v>
      </c>
      <c r="I33" s="32" t="n">
        <v>1520.8</v>
      </c>
      <c r="J33" s="32" t="n">
        <v>1.68</v>
      </c>
      <c r="K33" s="32" t="n">
        <v>90408</v>
      </c>
      <c r="L33" s="31" t="n">
        <v>65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68.12</v>
      </c>
      <c r="P33" s="32" t="n">
        <v>41.12</v>
      </c>
      <c r="Q33" s="32" t="n">
        <v>1208.25</v>
      </c>
      <c r="R33" s="31" t="inlineStr">
        <is>
          <t>Near 52W High Breakout</t>
        </is>
      </c>
      <c r="S33" s="31" t="inlineStr">
        <is>
          <t>Nifty Infra</t>
        </is>
      </c>
      <c r="T33" s="32" t="n">
        <v>-0.07000000000000001</v>
      </c>
      <c r="U33" s="32" t="n">
        <v>63.33</v>
      </c>
      <c r="V33" s="32" t="n">
        <v>63.45</v>
      </c>
      <c r="W33" s="32" t="n">
        <v>14.15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IF(B34=0,"",RANK(B34,$B$2:$B$251,0))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WSTCSTPAPR</t>
        </is>
      </c>
      <c r="D34" s="31" t="inlineStr">
        <is>
          <t>West Coast Paper Mills Limited</t>
        </is>
      </c>
      <c r="E34" s="31" t="inlineStr">
        <is>
          <t>building materials</t>
        </is>
      </c>
      <c r="F34" s="31" t="inlineStr">
        <is>
          <t>paper</t>
        </is>
      </c>
      <c r="G34" s="31" t="inlineStr">
        <is>
          <t>smallcap</t>
        </is>
      </c>
      <c r="H34" s="32" t="n">
        <v>3522.39</v>
      </c>
      <c r="I34" s="32" t="n">
        <v>541.95</v>
      </c>
      <c r="J34" s="32" t="n">
        <v>1.62</v>
      </c>
      <c r="K34" s="32" t="n">
        <v>960062</v>
      </c>
      <c r="L34" s="31" t="n">
        <v>23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62.59</v>
      </c>
      <c r="P34" s="32" t="n">
        <v>35.63</v>
      </c>
      <c r="Q34" s="32" t="n">
        <v>420.48</v>
      </c>
      <c r="R34" s="31" t="inlineStr">
        <is>
          <t>Volume Spike &amp; Near 52W High Breakout</t>
        </is>
      </c>
      <c r="S34" s="31" t="inlineStr">
        <is>
          <t>Nifty Infra</t>
        </is>
      </c>
      <c r="T34" s="32" t="n">
        <v>-0.07000000000000001</v>
      </c>
      <c r="U34" s="32" t="n">
        <v>2.29</v>
      </c>
      <c r="V34" s="32" t="n">
        <v>2.37</v>
      </c>
      <c r="W34" s="32" t="n">
        <v>4.87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Between 12 to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IF(B35=0,"",RANK(B35,$B$2:$B$251,0))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INDOTECH</t>
        </is>
      </c>
      <c r="D35" s="31" t="inlineStr">
        <is>
          <t>Indo Tech Transformers Limited</t>
        </is>
      </c>
      <c r="E35" s="31" t="inlineStr">
        <is>
          <t>industrials</t>
        </is>
      </c>
      <c r="F35" s="31" t="inlineStr">
        <is>
          <t>electric equipment</t>
        </is>
      </c>
      <c r="G35" s="31" t="inlineStr">
        <is>
          <t>smallcap</t>
        </is>
      </c>
      <c r="H35" s="32" t="n">
        <v>3238.14</v>
      </c>
      <c r="I35" s="32" t="n">
        <v>3088.2</v>
      </c>
      <c r="J35" s="32" t="n">
        <v>1.28</v>
      </c>
      <c r="K35" s="32" t="n">
        <v>23219</v>
      </c>
      <c r="L35" s="31" t="n">
        <v>96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70.66</v>
      </c>
      <c r="P35" s="32" t="n">
        <v>43.96</v>
      </c>
      <c r="Q35" s="32" t="n">
        <v>2248.79</v>
      </c>
      <c r="R35" s="31" t="inlineStr">
        <is>
          <t>Near 52W High Breakout</t>
        </is>
      </c>
      <c r="S35" s="31" t="inlineStr">
        <is>
          <t>Nifty Infra</t>
        </is>
      </c>
      <c r="T35" s="32" t="n">
        <v>-0.07000000000000001</v>
      </c>
      <c r="U35" s="32" t="n">
        <v>64.26000000000001</v>
      </c>
      <c r="V35" s="32" t="n">
        <v>64.38</v>
      </c>
      <c r="W35" s="32" t="n">
        <v>46.58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Between 12 to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IF(B36=0,"",RANK(B36,$B$2:$B$251,0))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TALBROAUTO</t>
        </is>
      </c>
      <c r="D36" s="31" t="inlineStr">
        <is>
          <t>Talbros Automotive Components Limited</t>
        </is>
      </c>
      <c r="E36" s="31" t="inlineStr">
        <is>
          <t>auto</t>
        </is>
      </c>
      <c r="F36" s="31" t="inlineStr">
        <is>
          <t>auto ancillaries</t>
        </is>
      </c>
      <c r="G36" s="31" t="inlineStr">
        <is>
          <t>smallcap</t>
        </is>
      </c>
      <c r="H36" s="32" t="n">
        <v>2481.16</v>
      </c>
      <c r="I36" s="32" t="n">
        <v>406.75</v>
      </c>
      <c r="J36" s="32" t="n">
        <v>1.19</v>
      </c>
      <c r="K36" s="32" t="n">
        <v>310609</v>
      </c>
      <c r="L36" s="31" t="n">
        <v>75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74.43000000000001</v>
      </c>
      <c r="P36" s="32" t="n">
        <v>35.35</v>
      </c>
      <c r="Q36" s="32" t="n">
        <v>311.7</v>
      </c>
      <c r="R36" s="31" t="inlineStr">
        <is>
          <t>Near 52W High Breakout</t>
        </is>
      </c>
      <c r="S36" s="31" t="inlineStr">
        <is>
          <t>Nifty Auto</t>
        </is>
      </c>
      <c r="T36" s="32" t="n">
        <v>13.79</v>
      </c>
      <c r="U36" s="32" t="n">
        <v>39.04</v>
      </c>
      <c r="V36" s="32" t="n">
        <v>22.19</v>
      </c>
      <c r="W36" s="32" t="n">
        <v>19.37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Between 12 to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Between 50% to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IF(B37=0,"",RANK(B37,$B$2:$B$251,0))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CEMPRO</t>
        </is>
      </c>
      <c r="D37" s="31" t="inlineStr">
        <is>
          <t>Cemindia Projects Ltd</t>
        </is>
      </c>
      <c r="E37" s="31" t="inlineStr">
        <is>
          <t>realty</t>
        </is>
      </c>
      <c r="F37" s="31" t="inlineStr">
        <is>
          <t>construction</t>
        </is>
      </c>
      <c r="G37" s="31" t="inlineStr">
        <is>
          <t>largecap</t>
        </is>
      </c>
      <c r="H37" s="32" t="n">
        <v>25665.07</v>
      </c>
      <c r="I37" s="32" t="n">
        <v>1490</v>
      </c>
      <c r="J37" s="32" t="n">
        <v>-0.27</v>
      </c>
      <c r="K37" s="32" t="n">
        <v>978952</v>
      </c>
      <c r="L37" s="31" t="n">
        <v>96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82.29000000000001</v>
      </c>
      <c r="P37" s="32" t="n">
        <v>46.24</v>
      </c>
      <c r="Q37" s="32" t="n">
        <v>1150.9</v>
      </c>
      <c r="R37" s="31" t="inlineStr">
        <is>
          <t>Near 52W High Breakout</t>
        </is>
      </c>
      <c r="S37" s="31" t="inlineStr">
        <is>
          <t>Nifty Realty</t>
        </is>
      </c>
      <c r="T37" s="32" t="n">
        <v>-9.029999999999999</v>
      </c>
      <c r="U37" s="32" t="n">
        <v>71.89</v>
      </c>
      <c r="V37" s="32" t="n">
        <v>88.95999999999999</v>
      </c>
      <c r="W37" s="32" t="n">
        <v>48.73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IF(B38=0,"",RANK(B38,$B$2:$B$251,0))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HITECHCORP</t>
        </is>
      </c>
      <c r="D38" s="31" t="inlineStr">
        <is>
          <t>Hitech Corporation</t>
        </is>
      </c>
      <c r="E38" s="31" t="inlineStr">
        <is>
          <t>industrials</t>
        </is>
      </c>
      <c r="F38" s="31" t="inlineStr">
        <is>
          <t>packaging</t>
        </is>
      </c>
      <c r="G38" s="31" t="inlineStr">
        <is>
          <t>smallcap</t>
        </is>
      </c>
      <c r="H38" s="32" t="n">
        <v>541.03</v>
      </c>
      <c r="I38" s="32" t="n">
        <v>313</v>
      </c>
      <c r="J38" s="32" t="n">
        <v>-0.63</v>
      </c>
      <c r="K38" s="32" t="n">
        <v>25218</v>
      </c>
      <c r="L38" s="31" t="n">
        <v>94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77.86</v>
      </c>
      <c r="P38" s="32" t="n">
        <v>41.92</v>
      </c>
      <c r="Q38" s="32" t="n">
        <v>246.62</v>
      </c>
      <c r="R38" s="31" t="inlineStr">
        <is>
          <t>Near 52W High Breakout</t>
        </is>
      </c>
      <c r="S38" s="31" t="inlineStr">
        <is>
          <t>Nifty 50</t>
        </is>
      </c>
      <c r="T38" s="32" t="n">
        <v>-5.04</v>
      </c>
      <c r="U38" s="32" t="n">
        <v>55.07</v>
      </c>
      <c r="V38" s="32" t="n">
        <v>63.3</v>
      </c>
      <c r="W38" s="32" t="n">
        <v>40.42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IF(B39=0,"",RANK(B39,$B$2:$B$251,0))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SANGAMIND</t>
        </is>
      </c>
      <c r="D39" s="31" t="inlineStr">
        <is>
          <t>Sangam (india) Limited</t>
        </is>
      </c>
      <c r="E39" s="31" t="inlineStr">
        <is>
          <t>textiles</t>
        </is>
      </c>
      <c r="F39" s="31" t="inlineStr">
        <is>
          <t>textiles - spinning - synthetic / blended</t>
        </is>
      </c>
      <c r="G39" s="31" t="inlineStr">
        <is>
          <t>smallcap</t>
        </is>
      </c>
      <c r="H39" s="32" t="n">
        <v>2774.36</v>
      </c>
      <c r="I39" s="32" t="n">
        <v>548.65</v>
      </c>
      <c r="J39" s="32" t="n">
        <v>-0.63</v>
      </c>
      <c r="K39" s="32" t="n">
        <v>156553</v>
      </c>
      <c r="L39" s="31" t="n">
        <v>43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66.98</v>
      </c>
      <c r="P39" s="32" t="n">
        <v>40.77</v>
      </c>
      <c r="Q39" s="32" t="n">
        <v>431.12</v>
      </c>
      <c r="R39" s="31" t="inlineStr">
        <is>
          <t>Near 52W High Breakout</t>
        </is>
      </c>
      <c r="S39" s="31" t="inlineStr">
        <is>
          <t>Nifty 50</t>
        </is>
      </c>
      <c r="T39" s="32" t="n">
        <v>-5.04</v>
      </c>
      <c r="U39" s="32" t="n">
        <v>22.67</v>
      </c>
      <c r="V39" s="32" t="n">
        <v>29.19</v>
      </c>
      <c r="W39" s="32" t="n">
        <v>8.970000000000001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IF(B40=0,"",RANK(B40,$B$2:$B$251,0))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PGIL</t>
        </is>
      </c>
      <c r="D40" s="31" t="inlineStr">
        <is>
          <t>Pearl Global Industries Limited</t>
        </is>
      </c>
      <c r="E40" s="31" t="inlineStr">
        <is>
          <t>consumer discretionary</t>
        </is>
      </c>
      <c r="F40" s="31" t="inlineStr">
        <is>
          <t>textiles - products</t>
        </is>
      </c>
      <c r="G40" s="31" t="inlineStr">
        <is>
          <t>midcap</t>
        </is>
      </c>
      <c r="H40" s="32" t="n">
        <v>9094</v>
      </c>
      <c r="I40" s="32" t="n">
        <v>1951.7</v>
      </c>
      <c r="J40" s="32" t="n">
        <v>-0.96</v>
      </c>
      <c r="K40" s="32" t="n">
        <v>54886</v>
      </c>
      <c r="L40" s="31" t="n">
        <v>55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63.43</v>
      </c>
      <c r="P40" s="32" t="n">
        <v>41.25</v>
      </c>
      <c r="Q40" s="32" t="n">
        <v>1572.08</v>
      </c>
      <c r="R40" s="31" t="inlineStr">
        <is>
          <t>Earnings / Momentum Support</t>
        </is>
      </c>
      <c r="S40" s="31" t="inlineStr">
        <is>
          <t>Nifty 50</t>
        </is>
      </c>
      <c r="T40" s="32" t="n">
        <v>-5.04</v>
      </c>
      <c r="U40" s="32" t="n">
        <v>30.4</v>
      </c>
      <c r="V40" s="32" t="n">
        <v>37.32</v>
      </c>
      <c r="W40" s="32" t="n">
        <v>11.97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IF(B41=0,"",RANK(B41,$B$2:$B$251,0))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ADOR</t>
        </is>
      </c>
      <c r="D41" s="31" t="inlineStr">
        <is>
          <t>Ador Welding Ltd</t>
        </is>
      </c>
      <c r="E41" s="31" t="inlineStr">
        <is>
          <t>industrials</t>
        </is>
      </c>
      <c r="F41" s="31" t="inlineStr">
        <is>
          <t>electrodes - welding equipment</t>
        </is>
      </c>
      <c r="G41" s="31" t="inlineStr">
        <is>
          <t>smallcap</t>
        </is>
      </c>
      <c r="H41" s="32" t="n">
        <v>2268.81</v>
      </c>
      <c r="I41" s="32" t="n">
        <v>1285.1</v>
      </c>
      <c r="J41" s="32" t="n">
        <v>-1.43</v>
      </c>
      <c r="K41" s="32" t="n">
        <v>27995</v>
      </c>
      <c r="L41" s="31" t="n">
        <v>63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68.90000000000001</v>
      </c>
      <c r="P41" s="32" t="n">
        <v>30.4</v>
      </c>
      <c r="Q41" s="32" t="n">
        <v>1055.35</v>
      </c>
      <c r="R41" s="31" t="inlineStr">
        <is>
          <t>Near 52W High Breakout</t>
        </is>
      </c>
      <c r="S41" s="31" t="inlineStr">
        <is>
          <t>Nifty Infra</t>
        </is>
      </c>
      <c r="T41" s="32" t="n">
        <v>-0.07000000000000001</v>
      </c>
      <c r="U41" s="32" t="n">
        <v>16.48</v>
      </c>
      <c r="V41" s="32" t="n">
        <v>16.56</v>
      </c>
      <c r="W41" s="32" t="n">
        <v>13.65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IF(B42=0,"",RANK(B42,$B$2:$B$251,0))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INDNIPPON</t>
        </is>
      </c>
      <c r="D42" s="31" t="inlineStr">
        <is>
          <t>India Nippon Electricals Limited</t>
        </is>
      </c>
      <c r="E42" s="31" t="inlineStr">
        <is>
          <t>auto</t>
        </is>
      </c>
      <c r="F42" s="31" t="inlineStr">
        <is>
          <t>auto ancillaries</t>
        </is>
      </c>
      <c r="G42" s="31" t="inlineStr">
        <is>
          <t>smallcap</t>
        </is>
      </c>
      <c r="H42" s="32" t="n">
        <v>2326.84</v>
      </c>
      <c r="I42" s="32" t="n">
        <v>1007.4</v>
      </c>
      <c r="J42" s="32" t="n">
        <v>-2.06</v>
      </c>
      <c r="K42" s="32" t="n">
        <v>63029</v>
      </c>
      <c r="L42" s="31" t="n">
        <v>62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67.93000000000001</v>
      </c>
      <c r="P42" s="32" t="n">
        <v>22.8</v>
      </c>
      <c r="Q42" s="32" t="n">
        <v>805.24</v>
      </c>
      <c r="R42" s="31" t="inlineStr">
        <is>
          <t>Near 52W High Breakout</t>
        </is>
      </c>
      <c r="S42" s="31" t="inlineStr">
        <is>
          <t>Nifty Auto</t>
        </is>
      </c>
      <c r="T42" s="32" t="n">
        <v>13.79</v>
      </c>
      <c r="U42" s="32" t="n">
        <v>31.39</v>
      </c>
      <c r="V42" s="32" t="n">
        <v>15.47</v>
      </c>
      <c r="W42" s="32" t="n">
        <v>13.44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IF(B43=0,"",RANK(B43,$B$2:$B$251,0))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BHARATSE</t>
        </is>
      </c>
      <c r="D43" s="31" t="inlineStr">
        <is>
          <t>Bharat Seats Ltd</t>
        </is>
      </c>
      <c r="E43" s="31" t="inlineStr">
        <is>
          <t>auto</t>
        </is>
      </c>
      <c r="F43" s="31" t="inlineStr">
        <is>
          <t>auto ancillaries</t>
        </is>
      </c>
      <c r="G43" s="31" t="inlineStr">
        <is>
          <t>smallcap</t>
        </is>
      </c>
      <c r="H43" s="32" t="n">
        <v>1474.61</v>
      </c>
      <c r="I43" s="32" t="n">
        <v>229.69</v>
      </c>
      <c r="J43" s="32" t="n">
        <v>-2.18</v>
      </c>
      <c r="K43" s="32" t="n">
        <v>554299</v>
      </c>
      <c r="L43" s="31" t="n">
        <v>86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63.8</v>
      </c>
      <c r="P43" s="32" t="n">
        <v>25.76</v>
      </c>
      <c r="Q43" s="32" t="n">
        <v>168.43</v>
      </c>
      <c r="R43" s="31" t="inlineStr">
        <is>
          <t>Near 52W High Breakout</t>
        </is>
      </c>
      <c r="S43" s="31" t="inlineStr">
        <is>
          <t>Nifty Auto</t>
        </is>
      </c>
      <c r="T43" s="32" t="n">
        <v>13.79</v>
      </c>
      <c r="U43" s="32" t="n">
        <v>119.97</v>
      </c>
      <c r="V43" s="32" t="n">
        <v>93.31</v>
      </c>
      <c r="W43" s="32" t="n">
        <v>30.2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Between 12 to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IF(B44=0,"",RANK(B44,$B$2:$B$251,0))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LAURUSLABS</t>
        </is>
      </c>
      <c r="D44" s="31" t="inlineStr">
        <is>
          <t>Laurus Labs Limited</t>
        </is>
      </c>
      <c r="E44" s="31" t="inlineStr">
        <is>
          <t>healthcare</t>
        </is>
      </c>
      <c r="F44" s="31" t="inlineStr">
        <is>
          <t>pharmaceuticals - indian - bulk drugs &amp; formln</t>
        </is>
      </c>
      <c r="G44" s="31" t="inlineStr">
        <is>
          <t>largecap</t>
        </is>
      </c>
      <c r="H44" s="32" t="n">
        <v>79758.41</v>
      </c>
      <c r="I44" s="32" t="n">
        <v>1469.2</v>
      </c>
      <c r="J44" s="32" t="n">
        <v>-0.5600000000000001</v>
      </c>
      <c r="K44" s="32" t="n">
        <v>1918556</v>
      </c>
      <c r="L44" s="31" t="n">
        <v>77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70.29000000000001</v>
      </c>
      <c r="P44" s="32" t="n">
        <v>48.66</v>
      </c>
      <c r="Q44" s="32" t="n">
        <v>1303.37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14.42</v>
      </c>
      <c r="U44" s="32" t="n">
        <v>86.27</v>
      </c>
      <c r="V44" s="32" t="n">
        <v>62.8</v>
      </c>
      <c r="W44" s="32" t="n">
        <v>20.76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Between 12 to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IF(B45=0,"",RANK(B45,$B$2:$B$251,0))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MARICO</t>
        </is>
      </c>
      <c r="D45" s="31" t="inlineStr">
        <is>
          <t>Marico Limited</t>
        </is>
      </c>
      <c r="E45" s="31" t="inlineStr">
        <is>
          <t>fmcg</t>
        </is>
      </c>
      <c r="F45" s="31" t="inlineStr">
        <is>
          <t>solvent extraction</t>
        </is>
      </c>
      <c r="G45" s="31" t="inlineStr">
        <is>
          <t>largecap</t>
        </is>
      </c>
      <c r="H45" s="32" t="n">
        <v>110037.59</v>
      </c>
      <c r="I45" s="32" t="n">
        <v>840.1</v>
      </c>
      <c r="J45" s="32" t="n">
        <v>-0.89</v>
      </c>
      <c r="K45" s="32" t="n">
        <v>2190111</v>
      </c>
      <c r="L45" s="31" t="n">
        <v>25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65.79000000000001</v>
      </c>
      <c r="P45" s="32" t="n">
        <v>23.55</v>
      </c>
      <c r="Q45" s="32" t="n">
        <v>744.41</v>
      </c>
      <c r="R45" s="31" t="inlineStr">
        <is>
          <t>Near 52W High Breakout</t>
        </is>
      </c>
      <c r="S45" s="31" t="inlineStr">
        <is>
          <t>Nifty FMCG</t>
        </is>
      </c>
      <c r="T45" s="32" t="n">
        <v>-12.4</v>
      </c>
      <c r="U45" s="32" t="n">
        <v>16.93</v>
      </c>
      <c r="V45" s="32" t="n">
        <v>33.48</v>
      </c>
      <c r="W45" s="32" t="n">
        <v>5.27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Between 12 to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IF(B46=0,"",RANK(B46,$B$2:$B$251,0))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AUROPHARMA</t>
        </is>
      </c>
      <c r="D46" s="31" t="inlineStr">
        <is>
          <t>Aurobindo Pharma Limited</t>
        </is>
      </c>
      <c r="E46" s="31" t="inlineStr">
        <is>
          <t>healthcare</t>
        </is>
      </c>
      <c r="F46" s="31" t="inlineStr">
        <is>
          <t>pharmaceuticals - indian - bulk drugs &amp; formln</t>
        </is>
      </c>
      <c r="G46" s="31" t="inlineStr">
        <is>
          <t>largecap</t>
        </is>
      </c>
      <c r="H46" s="32" t="n">
        <v>91946.7</v>
      </c>
      <c r="I46" s="32" t="n">
        <v>1557.4</v>
      </c>
      <c r="J46" s="32" t="n">
        <v>-1.62</v>
      </c>
      <c r="K46" s="32" t="n">
        <v>1106072</v>
      </c>
      <c r="L46" s="31" t="n">
        <v>48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67.02</v>
      </c>
      <c r="P46" s="32" t="n">
        <v>46.12</v>
      </c>
      <c r="Q46" s="32" t="n">
        <v>1378.82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14.42</v>
      </c>
      <c r="U46" s="32" t="n">
        <v>38.98</v>
      </c>
      <c r="V46" s="32" t="n">
        <v>21.47</v>
      </c>
      <c r="W46" s="32" t="n">
        <v>10.06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Less than 12%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IF(B47=0,"",RANK(B47,$B$2:$B$251,0))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VADILALIND</t>
        </is>
      </c>
      <c r="D47" s="31" t="inlineStr">
        <is>
          <t>Vadilal Industries Limited</t>
        </is>
      </c>
      <c r="E47" s="31" t="inlineStr">
        <is>
          <t>fmcg</t>
        </is>
      </c>
      <c r="F47" s="31" t="inlineStr">
        <is>
          <t>food - processing - indian</t>
        </is>
      </c>
      <c r="G47" s="31" t="inlineStr">
        <is>
          <t>smallcap</t>
        </is>
      </c>
      <c r="H47" s="32" t="n">
        <v>4666.34</v>
      </c>
      <c r="I47" s="32" t="n">
        <v>6324.5</v>
      </c>
      <c r="J47" s="32" t="n">
        <v>-2.58</v>
      </c>
      <c r="K47" s="32" t="n">
        <v>17028</v>
      </c>
      <c r="L47" s="31" t="n">
        <v>60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67.69</v>
      </c>
      <c r="P47" s="32" t="n">
        <v>22.6</v>
      </c>
      <c r="Q47" s="32" t="n">
        <v>5026.21</v>
      </c>
      <c r="R47" s="31" t="inlineStr">
        <is>
          <t>Near 52W High Breakout</t>
        </is>
      </c>
      <c r="S47" s="31" t="inlineStr">
        <is>
          <t>Nifty FMCG</t>
        </is>
      </c>
      <c r="T47" s="32" t="n">
        <v>-12.4</v>
      </c>
      <c r="U47" s="32" t="n">
        <v>20.44</v>
      </c>
      <c r="V47" s="32" t="n">
        <v>37.49</v>
      </c>
      <c r="W47" s="32" t="n">
        <v>13.09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IF(B48=0,"",RANK(B48,$B$2:$B$251,0))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RAMCOSYS</t>
        </is>
      </c>
      <c r="D48" s="31" t="inlineStr">
        <is>
          <t>Ramco Systems Limited</t>
        </is>
      </c>
      <c r="E48" s="31" t="inlineStr">
        <is>
          <t>i.t</t>
        </is>
      </c>
      <c r="F48" s="31" t="inlineStr">
        <is>
          <t>computers - software - medium / small</t>
        </is>
      </c>
      <c r="G48" s="31" t="inlineStr">
        <is>
          <t>smallcap</t>
        </is>
      </c>
      <c r="H48" s="32" t="n">
        <v>3292.44</v>
      </c>
      <c r="I48" s="32" t="n">
        <v>856.45</v>
      </c>
      <c r="J48" s="32" t="n">
        <v>-2.68</v>
      </c>
      <c r="K48" s="32" t="n">
        <v>3547843</v>
      </c>
      <c r="L48" s="31" t="n">
        <v>94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78.03</v>
      </c>
      <c r="P48" s="32" t="n">
        <v>23.08</v>
      </c>
      <c r="Q48" s="32" t="n">
        <v>607.04</v>
      </c>
      <c r="R48" s="31" t="inlineStr">
        <is>
          <t>Near 52W High Breakout</t>
        </is>
      </c>
      <c r="S48" s="31" t="inlineStr">
        <is>
          <t>Nifty IT</t>
        </is>
      </c>
      <c r="T48" s="32" t="n">
        <v>-26.9</v>
      </c>
      <c r="U48" s="32" t="n">
        <v>121.42</v>
      </c>
      <c r="V48" s="32" t="n">
        <v>202.88</v>
      </c>
      <c r="W48" s="32" t="n">
        <v>43.74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IF(B49=0,"",RANK(B49,$B$2:$B$251,0))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RATEGAIN</t>
        </is>
      </c>
      <c r="D49" s="31" t="inlineStr">
        <is>
          <t>Rategain Travel Technologies Ltd</t>
        </is>
      </c>
      <c r="E49" s="31" t="inlineStr">
        <is>
          <t>i.t</t>
        </is>
      </c>
      <c r="F49" s="31" t="inlineStr">
        <is>
          <t>computers - software - medium / small</t>
        </is>
      </c>
      <c r="G49" s="31" t="inlineStr">
        <is>
          <t>midcap</t>
        </is>
      </c>
      <c r="H49" s="32" t="n">
        <v>11207.99</v>
      </c>
      <c r="I49" s="32" t="n">
        <v>916.85</v>
      </c>
      <c r="J49" s="32" t="n">
        <v>-3.34</v>
      </c>
      <c r="K49" s="32" t="n">
        <v>511929</v>
      </c>
      <c r="L49" s="31" t="n">
        <v>87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74.43000000000001</v>
      </c>
      <c r="P49" s="32" t="n">
        <v>30.63</v>
      </c>
      <c r="Q49" s="32" t="n">
        <v>734.86</v>
      </c>
      <c r="R49" s="31" t="inlineStr">
        <is>
          <t>Near 52W High Breakout</t>
        </is>
      </c>
      <c r="S49" s="31" t="inlineStr">
        <is>
          <t>Nifty IT</t>
        </is>
      </c>
      <c r="T49" s="32" t="n">
        <v>-26.9</v>
      </c>
      <c r="U49" s="32" t="n">
        <v>94.73999999999999</v>
      </c>
      <c r="V49" s="32" t="n">
        <v>166.39</v>
      </c>
      <c r="W49" s="32" t="n">
        <v>30.6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IF(B50=0,"",RANK(B50,$B$2:$B$251,0))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SIGNPOST</t>
        </is>
      </c>
      <c r="D50" s="31" t="inlineStr">
        <is>
          <t>Signpost India Ltd</t>
        </is>
      </c>
      <c r="E50" s="31" t="inlineStr">
        <is>
          <t>miscellaneous</t>
        </is>
      </c>
      <c r="F50" s="31" t="inlineStr">
        <is>
          <t>miscellaneous</t>
        </is>
      </c>
      <c r="G50" s="31" t="inlineStr">
        <is>
          <t>smallcap</t>
        </is>
      </c>
      <c r="H50" s="32" t="n">
        <v>1590.14</v>
      </c>
      <c r="I50" s="32" t="n">
        <v>310.15</v>
      </c>
      <c r="J50" s="32" t="n">
        <v>4.25</v>
      </c>
      <c r="K50" s="32" t="n">
        <v>1440951</v>
      </c>
      <c r="L50" s="31" t="n">
        <v>48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64.43000000000001</v>
      </c>
      <c r="P50" s="32" t="n">
        <v>30.34</v>
      </c>
      <c r="Q50" s="32" t="n">
        <v>211.88</v>
      </c>
      <c r="R50" s="31" t="inlineStr">
        <is>
          <t>Near 52W High Breakout</t>
        </is>
      </c>
      <c r="S50" s="31" t="inlineStr">
        <is>
          <t>Nifty 50</t>
        </is>
      </c>
      <c r="T50" s="32" t="n">
        <v>-5.04</v>
      </c>
      <c r="U50" s="32" t="n">
        <v>18.19</v>
      </c>
      <c r="V50" s="32" t="n">
        <v>24.47</v>
      </c>
      <c r="W50" s="32" t="n">
        <v>10.21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Less than 50%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IF(B51=0,"",RANK(B51,$B$2:$B$251,0))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ASTRAMICRO</t>
        </is>
      </c>
      <c r="D51" s="31" t="inlineStr">
        <is>
          <t>Astra Microwave Products Limited</t>
        </is>
      </c>
      <c r="E51" s="31" t="inlineStr">
        <is>
          <t>aerospace &amp; defence</t>
        </is>
      </c>
      <c r="F51" s="31" t="inlineStr">
        <is>
          <t>telecommunications - equipment</t>
        </is>
      </c>
      <c r="G51" s="31" t="inlineStr">
        <is>
          <t>midcap</t>
        </is>
      </c>
      <c r="H51" s="32" t="n">
        <v>16921.1</v>
      </c>
      <c r="I51" s="32" t="n">
        <v>1809.3</v>
      </c>
      <c r="J51" s="32" t="n">
        <v>1.52</v>
      </c>
      <c r="K51" s="32" t="n">
        <v>818869</v>
      </c>
      <c r="L51" s="31" t="n">
        <v>88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81.94</v>
      </c>
      <c r="P51" s="32" t="n">
        <v>48.38</v>
      </c>
      <c r="Q51" s="32" t="n">
        <v>1485.34</v>
      </c>
      <c r="R51" s="31" t="inlineStr">
        <is>
          <t>Near 52W High Breakout</t>
        </is>
      </c>
      <c r="S51" s="31" t="inlineStr">
        <is>
          <t>Nifty 50</t>
        </is>
      </c>
      <c r="T51" s="32" t="n">
        <v>-5.04</v>
      </c>
      <c r="U51" s="32" t="n">
        <v>82.48</v>
      </c>
      <c r="V51" s="32" t="n">
        <v>92.16</v>
      </c>
      <c r="W51" s="32" t="n">
        <v>31.94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Oligopoly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IF(B52=0,"",RANK(B52,$B$2:$B$251,0))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SYRMA</t>
        </is>
      </c>
      <c r="D52" s="31" t="inlineStr">
        <is>
          <t>Syrma SGS Technology Ltd</t>
        </is>
      </c>
      <c r="E52" s="31" t="inlineStr">
        <is>
          <t>consumer discretionary</t>
        </is>
      </c>
      <c r="F52" s="31" t="inlineStr">
        <is>
          <t>electronics - components</t>
        </is>
      </c>
      <c r="G52" s="31" t="inlineStr">
        <is>
          <t>largecap</t>
        </is>
      </c>
      <c r="H52" s="32" t="n">
        <v>26147.81</v>
      </c>
      <c r="I52" s="32" t="n">
        <v>1366.2</v>
      </c>
      <c r="J52" s="32" t="n">
        <v>0.75</v>
      </c>
      <c r="K52" s="32" t="n">
        <v>952782</v>
      </c>
      <c r="L52" s="31" t="n">
        <v>86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72.53</v>
      </c>
      <c r="P52" s="32" t="n">
        <v>51.88</v>
      </c>
      <c r="Q52" s="32" t="n">
        <v>1138.93</v>
      </c>
      <c r="R52" s="31" t="inlineStr">
        <is>
          <t>Earnings / Momentum Support</t>
        </is>
      </c>
      <c r="S52" s="31" t="inlineStr">
        <is>
          <t>Nifty 50</t>
        </is>
      </c>
      <c r="T52" s="32" t="n">
        <v>-5.04</v>
      </c>
      <c r="U52" s="32" t="n">
        <v>101.74</v>
      </c>
      <c r="V52" s="32" t="n">
        <v>112.45</v>
      </c>
      <c r="W52" s="32" t="n">
        <v>29.08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Between 50% to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IF(B53=0,"",RANK(B53,$B$2:$B$251,0))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MINDACORP</t>
        </is>
      </c>
      <c r="D53" s="31" t="inlineStr">
        <is>
          <t>Minda Corporation Limited</t>
        </is>
      </c>
      <c r="E53" s="31" t="inlineStr">
        <is>
          <t>auto</t>
        </is>
      </c>
      <c r="F53" s="31" t="inlineStr">
        <is>
          <t>auto ancillaries</t>
        </is>
      </c>
      <c r="G53" s="31" t="inlineStr">
        <is>
          <t>midcap</t>
        </is>
      </c>
      <c r="H53" s="32" t="n">
        <v>16406.83</v>
      </c>
      <c r="I53" s="32" t="n">
        <v>683.35</v>
      </c>
      <c r="J53" s="32" t="n">
        <v>-0.42</v>
      </c>
      <c r="K53" s="32" t="n">
        <v>362007</v>
      </c>
      <c r="L53" s="31" t="n">
        <v>64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66.90000000000001</v>
      </c>
      <c r="P53" s="32" t="n">
        <v>23.85</v>
      </c>
      <c r="Q53" s="32" t="n">
        <v>574.24</v>
      </c>
      <c r="R53" s="31" t="inlineStr">
        <is>
          <t>Near 52W High Breakout</t>
        </is>
      </c>
      <c r="S53" s="31" t="inlineStr">
        <is>
          <t>Nifty Auto</t>
        </is>
      </c>
      <c r="T53" s="32" t="n">
        <v>13.79</v>
      </c>
      <c r="U53" s="32" t="n">
        <v>36.15</v>
      </c>
      <c r="V53" s="32" t="n">
        <v>19.65</v>
      </c>
      <c r="W53" s="32" t="n">
        <v>14.03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IF(B54=0,"",RANK(B54,$B$2:$B$251,0))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NRL</t>
        </is>
      </c>
      <c r="D54" s="31" t="inlineStr">
        <is>
          <t>Nupur Recyclers Ltd</t>
        </is>
      </c>
      <c r="E54" s="31" t="inlineStr">
        <is>
          <t>services</t>
        </is>
      </c>
      <c r="F54" s="31" t="inlineStr">
        <is>
          <t>trading</t>
        </is>
      </c>
      <c r="G54" s="31" t="inlineStr">
        <is>
          <t>smallcap</t>
        </is>
      </c>
      <c r="H54" s="32" t="n">
        <v>673.84</v>
      </c>
      <c r="I54" s="32" t="n">
        <v>96.28</v>
      </c>
      <c r="J54" s="32" t="n">
        <v>-1.31</v>
      </c>
      <c r="K54" s="32" t="n">
        <v>195078</v>
      </c>
      <c r="L54" s="31" t="n">
        <v>84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81.92</v>
      </c>
      <c r="P54" s="32" t="n">
        <v>33.58</v>
      </c>
      <c r="Q54" s="32" t="n">
        <v>76.2</v>
      </c>
      <c r="R54" s="31" t="inlineStr">
        <is>
          <t>Near 52W High Breakout</t>
        </is>
      </c>
      <c r="S54" s="31" t="inlineStr">
        <is>
          <t>Nifty 50</t>
        </is>
      </c>
      <c r="T54" s="32" t="n">
        <v>-5.04</v>
      </c>
      <c r="U54" s="32" t="n">
        <v>22.71</v>
      </c>
      <c r="V54" s="32" t="n">
        <v>29.23</v>
      </c>
      <c r="W54" s="32" t="n">
        <v>27.18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IF(B55=0,"",RANK(B55,$B$2:$B$251,0))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RPTECH</t>
        </is>
      </c>
      <c r="D55" s="31" t="inlineStr">
        <is>
          <t>Rashi Peripherals Ltd</t>
        </is>
      </c>
      <c r="E55" s="31" t="inlineStr">
        <is>
          <t>services</t>
        </is>
      </c>
      <c r="F55" s="31" t="inlineStr">
        <is>
          <t>trading</t>
        </is>
      </c>
      <c r="G55" s="31" t="inlineStr">
        <is>
          <t>smallcap</t>
        </is>
      </c>
      <c r="H55" s="32" t="n">
        <v>4959.28</v>
      </c>
      <c r="I55" s="32" t="n">
        <v>740.45</v>
      </c>
      <c r="J55" s="32" t="n">
        <v>-1.61</v>
      </c>
      <c r="K55" s="32" t="n">
        <v>404260</v>
      </c>
      <c r="L55" s="31" t="n">
        <v>93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80.48999999999999</v>
      </c>
      <c r="P55" s="32" t="n">
        <v>68.39</v>
      </c>
      <c r="Q55" s="32" t="n">
        <v>607.49</v>
      </c>
      <c r="R55" s="31" t="inlineStr">
        <is>
          <t>Earnings / Momentum Support</t>
        </is>
      </c>
      <c r="S55" s="31" t="inlineStr">
        <is>
          <t>Nifty 50</t>
        </is>
      </c>
      <c r="T55" s="32" t="n">
        <v>-5.04</v>
      </c>
      <c r="U55" s="32" t="n">
        <v>148.18</v>
      </c>
      <c r="V55" s="32" t="n">
        <v>161.35</v>
      </c>
      <c r="W55" s="32" t="n">
        <v>39.66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IF(B56=0,"",RANK(B56,$B$2:$B$251,0))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PRIVISCL</t>
        </is>
      </c>
      <c r="D56" s="31" t="inlineStr">
        <is>
          <t>Privi Speciality Chemicals Ltd</t>
        </is>
      </c>
      <c r="E56" s="31" t="inlineStr">
        <is>
          <t>chemicals</t>
        </is>
      </c>
      <c r="F56" s="31" t="inlineStr">
        <is>
          <t>chemicals</t>
        </is>
      </c>
      <c r="G56" s="31" t="inlineStr">
        <is>
          <t>midcap</t>
        </is>
      </c>
      <c r="H56" s="32" t="n">
        <v>14216.09</v>
      </c>
      <c r="I56" s="32" t="n">
        <v>3575</v>
      </c>
      <c r="J56" s="32" t="n">
        <v>-1.77</v>
      </c>
      <c r="K56" s="32" t="n">
        <v>55113</v>
      </c>
      <c r="L56" s="31" t="n">
        <v>59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61.56</v>
      </c>
      <c r="P56" s="32" t="n">
        <v>25.02</v>
      </c>
      <c r="Q56" s="32" t="n">
        <v>3024.21</v>
      </c>
      <c r="R56" s="31" t="inlineStr">
        <is>
          <t>Near 52W High Breakout</t>
        </is>
      </c>
      <c r="S56" s="31" t="inlineStr">
        <is>
          <t>Nifty 50</t>
        </is>
      </c>
      <c r="T56" s="32" t="n">
        <v>-5.04</v>
      </c>
      <c r="U56" s="32" t="n">
        <v>47</v>
      </c>
      <c r="V56" s="32" t="n">
        <v>54.8</v>
      </c>
      <c r="W56" s="32" t="n">
        <v>12.73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IF(B57=0,"",RANK(B57,$B$2:$B$251,0))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UFBL</t>
        </is>
      </c>
      <c r="D57" s="31" t="inlineStr">
        <is>
          <t>United Foodbrands Ltd</t>
        </is>
      </c>
      <c r="E57" s="31" t="inlineStr">
        <is>
          <t>consumer discretionary</t>
        </is>
      </c>
      <c r="F57" s="31" t="inlineStr">
        <is>
          <t>hotels</t>
        </is>
      </c>
      <c r="G57" s="31" t="inlineStr">
        <is>
          <t>smallcap</t>
        </is>
      </c>
      <c r="H57" s="32" t="n">
        <v>2769.27</v>
      </c>
      <c r="I57" s="32" t="n">
        <v>692.4</v>
      </c>
      <c r="J57" s="32" t="n">
        <v>-2.27</v>
      </c>
      <c r="K57" s="32" t="n">
        <v>90220</v>
      </c>
      <c r="L57" s="31" t="n">
        <v>97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82.97</v>
      </c>
      <c r="P57" s="32" t="n">
        <v>51.03</v>
      </c>
      <c r="Q57" s="32" t="n">
        <v>526.17</v>
      </c>
      <c r="R57" s="31" t="inlineStr">
        <is>
          <t>Near 52W High Breakout</t>
        </is>
      </c>
      <c r="S57" s="31" t="inlineStr">
        <is>
          <t>Nifty 50</t>
        </is>
      </c>
      <c r="T57" s="32" t="n">
        <v>-5.04</v>
      </c>
      <c r="U57" s="32" t="n">
        <v>126.13</v>
      </c>
      <c r="V57" s="32" t="n">
        <v>138.13</v>
      </c>
      <c r="W57" s="32" t="n">
        <v>58.4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More than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IF(B58=0,"",RANK(B58,$B$2:$B$251,0))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PSPPROJECT</t>
        </is>
      </c>
      <c r="D58" s="31" t="inlineStr">
        <is>
          <t>PSP Projects Ltd</t>
        </is>
      </c>
      <c r="E58" s="31" t="inlineStr">
        <is>
          <t>realty</t>
        </is>
      </c>
      <c r="F58" s="31" t="inlineStr">
        <is>
          <t>construction</t>
        </is>
      </c>
      <c r="G58" s="31" t="inlineStr">
        <is>
          <t>smallcap</t>
        </is>
      </c>
      <c r="H58" s="32" t="n">
        <v>4246.83</v>
      </c>
      <c r="I58" s="32" t="n">
        <v>1039.3</v>
      </c>
      <c r="J58" s="32" t="n">
        <v>-2.99</v>
      </c>
      <c r="K58" s="32" t="n">
        <v>149260</v>
      </c>
      <c r="L58" s="31" t="n">
        <v>73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71.09</v>
      </c>
      <c r="P58" s="32" t="n">
        <v>25.76</v>
      </c>
      <c r="Q58" s="32" t="n">
        <v>786.7</v>
      </c>
      <c r="R58" s="31" t="inlineStr">
        <is>
          <t>Volume Spike &amp; Near 52W High Breakout</t>
        </is>
      </c>
      <c r="S58" s="31" t="inlineStr">
        <is>
          <t>Nifty Realty</t>
        </is>
      </c>
      <c r="T58" s="32" t="n">
        <v>-9.029999999999999</v>
      </c>
      <c r="U58" s="32" t="n">
        <v>37.11</v>
      </c>
      <c r="V58" s="32" t="n">
        <v>50.72</v>
      </c>
      <c r="W58" s="32" t="n">
        <v>18.58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IF(B59=0,"",RANK(B59,$B$2:$B$251,0))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GHCLTEXTIL</t>
        </is>
      </c>
      <c r="D59" s="31" t="inlineStr">
        <is>
          <t>GHCL Textiles Ltd</t>
        </is>
      </c>
      <c r="E59" s="31" t="inlineStr">
        <is>
          <t>textiles</t>
        </is>
      </c>
      <c r="F59" s="31" t="inlineStr">
        <is>
          <t>textiles - spinning - synthetic / blended</t>
        </is>
      </c>
      <c r="G59" s="31" t="inlineStr">
        <is>
          <t>smallcap</t>
        </is>
      </c>
      <c r="H59" s="32" t="n">
        <v>1058.33</v>
      </c>
      <c r="I59" s="32" t="n">
        <v>105.34</v>
      </c>
      <c r="J59" s="32" t="n">
        <v>-4.86</v>
      </c>
      <c r="K59" s="32" t="n">
        <v>852614</v>
      </c>
      <c r="L59" s="31" t="n">
        <v>44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65.67</v>
      </c>
      <c r="P59" s="32" t="n">
        <v>22.06</v>
      </c>
      <c r="Q59" s="32" t="n">
        <v>80.63</v>
      </c>
      <c r="R59" s="31" t="inlineStr">
        <is>
          <t>Near 52W High Breakout</t>
        </is>
      </c>
      <c r="S59" s="31" t="inlineStr">
        <is>
          <t>Nifty 50</t>
        </is>
      </c>
      <c r="T59" s="32" t="n">
        <v>-5.04</v>
      </c>
      <c r="U59" s="32" t="n">
        <v>17.31</v>
      </c>
      <c r="V59" s="32" t="n">
        <v>23.53</v>
      </c>
      <c r="W59" s="32" t="n">
        <v>9.109999999999999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Less than 50%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IF(B60=0,"",RANK(B60,$B$2:$B$251,0))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ORCHPHARMA</t>
        </is>
      </c>
      <c r="D60" s="31" t="inlineStr">
        <is>
          <t>Orchid Pharma Ltd</t>
        </is>
      </c>
      <c r="E60" s="31" t="inlineStr">
        <is>
          <t>healthcare</t>
        </is>
      </c>
      <c r="F60" s="31" t="inlineStr">
        <is>
          <t>pharmaceuticals - indian - bulk drugs &amp; formln</t>
        </is>
      </c>
      <c r="G60" s="31" t="inlineStr">
        <is>
          <t>smallcap</t>
        </is>
      </c>
      <c r="H60" s="32" t="n">
        <v>4689.74</v>
      </c>
      <c r="I60" s="32" t="n">
        <v>1002.25</v>
      </c>
      <c r="J60" s="32" t="n">
        <v>8.390000000000001</v>
      </c>
      <c r="K60" s="32" t="n">
        <v>3259827</v>
      </c>
      <c r="L60" s="31" t="n">
        <v>84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74.08</v>
      </c>
      <c r="P60" s="32" t="n">
        <v>36.99</v>
      </c>
      <c r="Q60" s="32" t="n">
        <v>745.39</v>
      </c>
      <c r="R60" s="31" t="inlineStr">
        <is>
          <t>Volume Spike &amp; Near 52W High Breakout</t>
        </is>
      </c>
      <c r="S60" s="31" t="inlineStr">
        <is>
          <t>Nifty Pharma</t>
        </is>
      </c>
      <c r="T60" s="32" t="n">
        <v>14.42</v>
      </c>
      <c r="U60" s="32" t="n">
        <v>39.53</v>
      </c>
      <c r="V60" s="32" t="n">
        <v>21.95</v>
      </c>
      <c r="W60" s="32" t="n">
        <v>27.4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IF(B61=0,"",RANK(B61,$B$2:$B$251,0))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NGLFINE</t>
        </is>
      </c>
      <c r="D61" s="31" t="inlineStr">
        <is>
          <t>NGL Fine Chem Ltd</t>
        </is>
      </c>
      <c r="E61" s="31" t="inlineStr">
        <is>
          <t>healthcare</t>
        </is>
      </c>
      <c r="F61" s="31" t="inlineStr">
        <is>
          <t>pharmaceuticals - indian - bulk drugs</t>
        </is>
      </c>
      <c r="G61" s="31" t="inlineStr">
        <is>
          <t>smallcap</t>
        </is>
      </c>
      <c r="H61" s="32" t="n">
        <v>1910.43</v>
      </c>
      <c r="I61" s="32" t="n">
        <v>3224.6</v>
      </c>
      <c r="J61" s="32" t="n">
        <v>4.28</v>
      </c>
      <c r="K61" s="32" t="n">
        <v>15518</v>
      </c>
      <c r="L61" s="31" t="n">
        <v>87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79.62</v>
      </c>
      <c r="P61" s="32" t="n">
        <v>67.73</v>
      </c>
      <c r="Q61" s="32" t="n">
        <v>2211.29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14.42</v>
      </c>
      <c r="U61" s="32" t="n">
        <v>147.85</v>
      </c>
      <c r="V61" s="32" t="n">
        <v>116.62</v>
      </c>
      <c r="W61" s="32" t="n">
        <v>30.28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IF(B62=0,"",RANK(B62,$B$2:$B$251,0))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SENORES</t>
        </is>
      </c>
      <c r="D62" s="31" t="inlineStr">
        <is>
          <t>Senores Pharmaceuticals Ltd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midcap</t>
        </is>
      </c>
      <c r="H62" s="32" t="n">
        <v>6257.76</v>
      </c>
      <c r="I62" s="32" t="n">
        <v>1409.8</v>
      </c>
      <c r="J62" s="32" t="n">
        <v>3.75</v>
      </c>
      <c r="K62" s="32" t="n">
        <v>615649</v>
      </c>
      <c r="L62" s="31" t="n">
        <v>91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77.98</v>
      </c>
      <c r="P62" s="32" t="n">
        <v>57.2</v>
      </c>
      <c r="Q62" s="32" t="n">
        <v>1098.15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14.42</v>
      </c>
      <c r="U62" s="32" t="n">
        <v>130.55</v>
      </c>
      <c r="V62" s="32" t="n">
        <v>101.5</v>
      </c>
      <c r="W62" s="32" t="n">
        <v>35.01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Less than 50%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IF(B63=0,"",RANK(B63,$B$2:$B$251,0))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ACUTAAS</t>
        </is>
      </c>
      <c r="D63" s="31" t="inlineStr">
        <is>
          <t>Acutaas Chemicals Ltd</t>
        </is>
      </c>
      <c r="E63" s="31" t="inlineStr">
        <is>
          <t>healthcare</t>
        </is>
      </c>
      <c r="F63" s="31" t="inlineStr">
        <is>
          <t>pharmaceuticals - indian - bulk drugs</t>
        </is>
      </c>
      <c r="G63" s="31" t="inlineStr">
        <is>
          <t>largecap</t>
        </is>
      </c>
      <c r="H63" s="32" t="n">
        <v>27762.5</v>
      </c>
      <c r="I63" s="32" t="n">
        <v>3454.5</v>
      </c>
      <c r="J63" s="32" t="n">
        <v>1.87</v>
      </c>
      <c r="K63" s="32" t="n">
        <v>503473</v>
      </c>
      <c r="L63" s="31" t="n">
        <v>92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70.19</v>
      </c>
      <c r="P63" s="32" t="n">
        <v>66.61</v>
      </c>
      <c r="Q63" s="32" t="n">
        <v>2875.02</v>
      </c>
      <c r="R63" s="31" t="inlineStr">
        <is>
          <t>Earnings / Momentum Support</t>
        </is>
      </c>
      <c r="S63" s="31" t="inlineStr">
        <is>
          <t>Nifty Pharma</t>
        </is>
      </c>
      <c r="T63" s="32" t="n">
        <v>14.42</v>
      </c>
      <c r="U63" s="32" t="n">
        <v>201.64</v>
      </c>
      <c r="V63" s="32" t="n">
        <v>163.64</v>
      </c>
      <c r="W63" s="32" t="n">
        <v>35.13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IF(B64=0,"",RANK(B64,$B$2:$B$251,0))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SPARC</t>
        </is>
      </c>
      <c r="D64" s="31" t="inlineStr">
        <is>
          <t>Sun Pharma Advanced Research Company Limited</t>
        </is>
      </c>
      <c r="E64" s="31" t="inlineStr">
        <is>
          <t>healthcare</t>
        </is>
      </c>
      <c r="F64" s="31" t="inlineStr">
        <is>
          <t>miscellaneous</t>
        </is>
      </c>
      <c r="G64" s="31" t="inlineStr">
        <is>
          <t>midcap</t>
        </is>
      </c>
      <c r="H64" s="32" t="n">
        <v>8643.309999999999</v>
      </c>
      <c r="I64" s="32" t="n">
        <v>269.98</v>
      </c>
      <c r="J64" s="32" t="n">
        <v>1.37</v>
      </c>
      <c r="K64" s="32" t="n">
        <v>8322511</v>
      </c>
      <c r="L64" s="31" t="n">
        <v>88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78.98</v>
      </c>
      <c r="P64" s="32" t="n">
        <v>61.89</v>
      </c>
      <c r="Q64" s="32" t="n">
        <v>194.15</v>
      </c>
      <c r="R64" s="31" t="inlineStr">
        <is>
          <t>Near 52W High Breakout</t>
        </is>
      </c>
      <c r="S64" s="31" t="inlineStr">
        <is>
          <t>Nifty Pharma</t>
        </is>
      </c>
      <c r="T64" s="32" t="n">
        <v>14.42</v>
      </c>
      <c r="U64" s="32" t="n">
        <v>69.44</v>
      </c>
      <c r="V64" s="32" t="n">
        <v>48.09</v>
      </c>
      <c r="W64" s="32" t="n">
        <v>31.79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IF(B65=0,"",RANK(B65,$B$2:$B$251,0))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NEULANDLAB</t>
        </is>
      </c>
      <c r="D65" s="31" t="inlineStr">
        <is>
          <t>Neuland Laboratories Limited</t>
        </is>
      </c>
      <c r="E65" s="31" t="inlineStr">
        <is>
          <t>healthcare</t>
        </is>
      </c>
      <c r="F65" s="31" t="inlineStr">
        <is>
          <t>pharmaceuticals - indian - bulk drugs</t>
        </is>
      </c>
      <c r="G65" s="31" t="inlineStr">
        <is>
          <t>largecap</t>
        </is>
      </c>
      <c r="H65" s="32" t="n">
        <v>24248.49</v>
      </c>
      <c r="I65" s="32" t="n">
        <v>19000</v>
      </c>
      <c r="J65" s="32" t="n">
        <v>0.53</v>
      </c>
      <c r="K65" s="32" t="n">
        <v>42476</v>
      </c>
      <c r="L65" s="31" t="n">
        <v>67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68.69</v>
      </c>
      <c r="P65" s="32" t="n">
        <v>38.15</v>
      </c>
      <c r="Q65" s="32" t="n">
        <v>15152.01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14.42</v>
      </c>
      <c r="U65" s="32" t="n">
        <v>53.68</v>
      </c>
      <c r="V65" s="32" t="n">
        <v>34.32</v>
      </c>
      <c r="W65" s="32" t="n">
        <v>15.44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IF(B66=0,"",RANK(B66,$B$2:$B$251,0))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PIXTRANS</t>
        </is>
      </c>
      <c r="D66" s="31" t="inlineStr">
        <is>
          <t>Pix Transmission Ltd</t>
        </is>
      </c>
      <c r="E66" s="31" t="inlineStr">
        <is>
          <t>fmcg</t>
        </is>
      </c>
      <c r="F66" s="31" t="inlineStr">
        <is>
          <t>miscellaneous</t>
        </is>
      </c>
      <c r="G66" s="31" t="inlineStr">
        <is>
          <t>smallcap</t>
        </is>
      </c>
      <c r="H66" s="32" t="n">
        <v>2378.28</v>
      </c>
      <c r="I66" s="32" t="n">
        <v>1751</v>
      </c>
      <c r="J66" s="32" t="n">
        <v>0.32</v>
      </c>
      <c r="K66" s="32" t="n">
        <v>28002</v>
      </c>
      <c r="L66" s="31" t="n">
        <v>33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64.18000000000001</v>
      </c>
      <c r="P66" s="32" t="n">
        <v>35.36</v>
      </c>
      <c r="Q66" s="32" t="n">
        <v>1463.77</v>
      </c>
      <c r="R66" s="31" t="inlineStr">
        <is>
          <t>Near 52W High Breakout</t>
        </is>
      </c>
      <c r="S66" s="31" t="inlineStr">
        <is>
          <t>Nifty FMCG</t>
        </is>
      </c>
      <c r="T66" s="32" t="n">
        <v>-12.4</v>
      </c>
      <c r="U66" s="32" t="n">
        <v>13.51</v>
      </c>
      <c r="V66" s="32" t="n">
        <v>29.58</v>
      </c>
      <c r="W66" s="32" t="n">
        <v>7.12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IF(B67=0,"",RANK(B67,$B$2:$B$251,0))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AKUMS</t>
        </is>
      </c>
      <c r="D67" s="31" t="inlineStr">
        <is>
          <t>Akums Drugs &amp; Pharmaceuticals Ltd</t>
        </is>
      </c>
      <c r="E67" s="31" t="inlineStr">
        <is>
          <t>healthcare</t>
        </is>
      </c>
      <c r="F67" s="31" t="inlineStr">
        <is>
          <t>pharmaceuticals - indian - bulk drugs &amp; formln</t>
        </is>
      </c>
      <c r="G67" s="31" t="inlineStr">
        <is>
          <t>midcap</t>
        </is>
      </c>
      <c r="H67" s="32" t="n">
        <v>10228.25</v>
      </c>
      <c r="I67" s="32" t="n">
        <v>647.35</v>
      </c>
      <c r="J67" s="32" t="n">
        <v>-0.38</v>
      </c>
      <c r="K67" s="32" t="n">
        <v>727066</v>
      </c>
      <c r="L67" s="31" t="n">
        <v>46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72.44</v>
      </c>
      <c r="P67" s="32" t="n">
        <v>44.93</v>
      </c>
      <c r="Q67" s="32" t="n">
        <v>521.1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14.42</v>
      </c>
      <c r="U67" s="32" t="n">
        <v>16.57</v>
      </c>
      <c r="V67" s="32" t="n">
        <v>1.88</v>
      </c>
      <c r="W67" s="32" t="n">
        <v>9.56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IF(B68=0,"",RANK(B68,$B$2:$B$251,0))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SHILPAMED</t>
        </is>
      </c>
      <c r="D68" s="31" t="inlineStr">
        <is>
          <t>Shilpa Medicare Limited</t>
        </is>
      </c>
      <c r="E68" s="31" t="inlineStr">
        <is>
          <t>healthcare</t>
        </is>
      </c>
      <c r="F68" s="31" t="inlineStr">
        <is>
          <t>pharmaceuticals - indian - formulations</t>
        </is>
      </c>
      <c r="G68" s="31" t="inlineStr">
        <is>
          <t>midcap</t>
        </is>
      </c>
      <c r="H68" s="32" t="n">
        <v>11731</v>
      </c>
      <c r="I68" s="32" t="n">
        <v>595.35</v>
      </c>
      <c r="J68" s="32" t="n">
        <v>-0.74</v>
      </c>
      <c r="K68" s="32" t="n">
        <v>702134</v>
      </c>
      <c r="L68" s="31" t="n">
        <v>70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79.75</v>
      </c>
      <c r="P68" s="32" t="n">
        <v>62.38</v>
      </c>
      <c r="Q68" s="32" t="n">
        <v>479.61</v>
      </c>
      <c r="R68" s="31" t="inlineStr">
        <is>
          <t>Near 52W High Breakout</t>
        </is>
      </c>
      <c r="S68" s="31" t="inlineStr">
        <is>
          <t>Nifty Pharma</t>
        </is>
      </c>
      <c r="T68" s="32" t="n">
        <v>14.42</v>
      </c>
      <c r="U68" s="32" t="n">
        <v>32.94</v>
      </c>
      <c r="V68" s="32" t="n">
        <v>16.19</v>
      </c>
      <c r="W68" s="32" t="n">
        <v>17.37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IF(B69=0,"",RANK(B69,$B$2:$B$251,0))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LUPIN</t>
        </is>
      </c>
      <c r="D69" s="31" t="inlineStr">
        <is>
          <t>Lupin Limited</t>
        </is>
      </c>
      <c r="E69" s="31" t="inlineStr">
        <is>
          <t>healthcare</t>
        </is>
      </c>
      <c r="F69" s="31" t="inlineStr">
        <is>
          <t>pharmaceuticals - indian - bulk drugs &amp; formln</t>
        </is>
      </c>
      <c r="G69" s="31" t="inlineStr">
        <is>
          <t>largecap</t>
        </is>
      </c>
      <c r="H69" s="32" t="n">
        <v>113846.74</v>
      </c>
      <c r="I69" s="32" t="n">
        <v>2459</v>
      </c>
      <c r="J69" s="32" t="n">
        <v>-1.25</v>
      </c>
      <c r="K69" s="32" t="n">
        <v>1199850</v>
      </c>
      <c r="L69" s="31" t="n">
        <v>30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67.84</v>
      </c>
      <c r="P69" s="32" t="n">
        <v>13.58</v>
      </c>
      <c r="Q69" s="32" t="n">
        <v>2179.82</v>
      </c>
      <c r="R69" s="31" t="inlineStr">
        <is>
          <t>Near 52W High Breakout</t>
        </is>
      </c>
      <c r="S69" s="31" t="inlineStr">
        <is>
          <t>Nifty Pharma</t>
        </is>
      </c>
      <c r="T69" s="32" t="n">
        <v>14.42</v>
      </c>
      <c r="U69" s="32" t="n">
        <v>30.59</v>
      </c>
      <c r="V69" s="32" t="n">
        <v>14.14</v>
      </c>
      <c r="W69" s="32" t="n">
        <v>6.62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IF(B70=0,"",RANK(B70,$B$2:$B$251,0))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DIAMONDYD</t>
        </is>
      </c>
      <c r="D70" s="31" t="inlineStr">
        <is>
          <t>Prataap Snacks Ltd</t>
        </is>
      </c>
      <c r="E70" s="31" t="inlineStr">
        <is>
          <t>fmcg</t>
        </is>
      </c>
      <c r="F70" s="31" t="inlineStr">
        <is>
          <t>food - processing - indian</t>
        </is>
      </c>
      <c r="G70" s="31" t="inlineStr">
        <is>
          <t>smallcap</t>
        </is>
      </c>
      <c r="H70" s="32" t="n">
        <v>2928.42</v>
      </c>
      <c r="I70" s="32" t="n">
        <v>1195</v>
      </c>
      <c r="J70" s="32" t="n">
        <v>-2.46</v>
      </c>
      <c r="K70" s="32" t="n">
        <v>30769</v>
      </c>
      <c r="L70" s="31" t="n">
        <v>32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63.76</v>
      </c>
      <c r="P70" s="32" t="n">
        <v>22.07</v>
      </c>
      <c r="Q70" s="32" t="n">
        <v>967.64</v>
      </c>
      <c r="R70" s="31" t="inlineStr">
        <is>
          <t>Near 52W High Breakout</t>
        </is>
      </c>
      <c r="S70" s="31" t="inlineStr">
        <is>
          <t>Nifty FMCG</t>
        </is>
      </c>
      <c r="T70" s="32" t="n">
        <v>-12.4</v>
      </c>
      <c r="U70" s="32" t="n">
        <v>11.26</v>
      </c>
      <c r="V70" s="32" t="n">
        <v>27.01</v>
      </c>
      <c r="W70" s="32" t="n">
        <v>6.9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IF(B71=0,"",RANK(B71,$B$2:$B$251,0))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IPCALAB</t>
        </is>
      </c>
      <c r="D71" s="31" t="inlineStr">
        <is>
          <t>Ipca Laboratories Limited</t>
        </is>
      </c>
      <c r="E71" s="31" t="inlineStr">
        <is>
          <t>healthcare</t>
        </is>
      </c>
      <c r="F71" s="31" t="inlineStr">
        <is>
          <t>pharmaceuticals - indian - bulk drugs &amp; formln</t>
        </is>
      </c>
      <c r="G71" s="31" t="inlineStr">
        <is>
          <t>largecap</t>
        </is>
      </c>
      <c r="H71" s="32" t="n">
        <v>45491.7</v>
      </c>
      <c r="I71" s="32" t="n">
        <v>1747</v>
      </c>
      <c r="J71" s="32" t="n">
        <v>-2.57</v>
      </c>
      <c r="K71" s="32" t="n">
        <v>166408</v>
      </c>
      <c r="L71" s="31" t="n">
        <v>42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64.73999999999999</v>
      </c>
      <c r="P71" s="32" t="n">
        <v>31.39</v>
      </c>
      <c r="Q71" s="32" t="n">
        <v>1454.58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14.42</v>
      </c>
      <c r="U71" s="32" t="n">
        <v>21.75</v>
      </c>
      <c r="V71" s="32" t="n">
        <v>6.41</v>
      </c>
      <c r="W71" s="32" t="n">
        <v>8.94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IF(B72=0,"",RANK(B72,$B$2:$B$251,0))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SHREEPUSHK</t>
        </is>
      </c>
      <c r="D72" s="31" t="inlineStr">
        <is>
          <t>Shree Pushkar Chemicals &amp; Fertilisers Limited</t>
        </is>
      </c>
      <c r="E72" s="31" t="inlineStr">
        <is>
          <t>chemicals</t>
        </is>
      </c>
      <c r="F72" s="31" t="inlineStr">
        <is>
          <t>dyes and pigments</t>
        </is>
      </c>
      <c r="G72" s="31" t="inlineStr">
        <is>
          <t>smallcap</t>
        </is>
      </c>
      <c r="H72" s="32" t="n">
        <v>1363.03</v>
      </c>
      <c r="I72" s="32" t="n">
        <v>424.65</v>
      </c>
      <c r="J72" s="32" t="n">
        <v>0.75</v>
      </c>
      <c r="K72" s="32" t="n">
        <v>111167</v>
      </c>
      <c r="L72" s="31" t="n">
        <v>49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63.05</v>
      </c>
      <c r="P72" s="32" t="n">
        <v>32.58</v>
      </c>
      <c r="Q72" s="32" t="n">
        <v>311.58</v>
      </c>
      <c r="R72" s="31" t="inlineStr">
        <is>
          <t>Near 52W High Breakout</t>
        </is>
      </c>
      <c r="S72" s="31" t="inlineStr">
        <is>
          <t>Nifty 50</t>
        </is>
      </c>
      <c r="T72" s="32" t="n">
        <v>-5.04</v>
      </c>
      <c r="U72" s="32" t="n">
        <v>21.37</v>
      </c>
      <c r="V72" s="32" t="n">
        <v>27.81</v>
      </c>
      <c r="W72" s="32" t="n">
        <v>10.25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IF(B73=0,"",RANK(B73,$B$2:$B$251,0))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PANSARI</t>
        </is>
      </c>
      <c r="D73" s="31" t="inlineStr">
        <is>
          <t>Pansari Developers Ltd</t>
        </is>
      </c>
      <c r="E73" s="31" t="inlineStr">
        <is>
          <t>realty</t>
        </is>
      </c>
      <c r="F73" s="31" t="inlineStr">
        <is>
          <t>construction</t>
        </is>
      </c>
      <c r="G73" s="31" t="inlineStr">
        <is>
          <t>smallcap</t>
        </is>
      </c>
      <c r="H73" s="32" t="n">
        <v>619.45</v>
      </c>
      <c r="I73" s="32" t="n">
        <v>356.4</v>
      </c>
      <c r="J73" s="32" t="n">
        <v>0.38</v>
      </c>
      <c r="K73" s="32" t="n">
        <v>96036</v>
      </c>
      <c r="L73" s="31" t="n">
        <v>64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62.78</v>
      </c>
      <c r="P73" s="32" t="n">
        <v>26.86</v>
      </c>
      <c r="Q73" s="32" t="n">
        <v>236.92</v>
      </c>
      <c r="R73" s="31" t="inlineStr">
        <is>
          <t>Volume Spike &amp; Near 52W High Breakout</t>
        </is>
      </c>
      <c r="S73" s="31" t="inlineStr">
        <is>
          <t>Nifty Realty</t>
        </is>
      </c>
      <c r="T73" s="32" t="n">
        <v>-9.029999999999999</v>
      </c>
      <c r="U73" s="32" t="n">
        <v>37.61</v>
      </c>
      <c r="V73" s="32" t="n">
        <v>51.27</v>
      </c>
      <c r="W73" s="32" t="n">
        <v>13.8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IF(B74=0,"",RANK(B74,$B$2:$B$251,0))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CARTRADE</t>
        </is>
      </c>
      <c r="D74" s="31" t="inlineStr">
        <is>
          <t>Cartrade Tech Ltd</t>
        </is>
      </c>
      <c r="E74" s="31" t="inlineStr">
        <is>
          <t>consumer discretionary</t>
        </is>
      </c>
      <c r="F74" s="31" t="inlineStr">
        <is>
          <t>miscellaneous</t>
        </is>
      </c>
      <c r="G74" s="31" t="inlineStr">
        <is>
          <t>midcap</t>
        </is>
      </c>
      <c r="H74" s="32" t="n">
        <v>13326.37</v>
      </c>
      <c r="I74" s="32" t="n">
        <v>2775.9</v>
      </c>
      <c r="J74" s="32" t="n">
        <v>-0.27</v>
      </c>
      <c r="K74" s="32" t="n">
        <v>699381</v>
      </c>
      <c r="L74" s="31" t="n">
        <v>78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66.38</v>
      </c>
      <c r="P74" s="32" t="n">
        <v>24.83</v>
      </c>
      <c r="Q74" s="32" t="n">
        <v>1997.85</v>
      </c>
      <c r="R74" s="31" t="inlineStr">
        <is>
          <t>Earnings / Momentum Support</t>
        </is>
      </c>
      <c r="S74" s="31" t="inlineStr">
        <is>
          <t>Nifty 50</t>
        </is>
      </c>
      <c r="T74" s="32" t="n">
        <v>-5.04</v>
      </c>
      <c r="U74" s="32" t="n">
        <v>46.12</v>
      </c>
      <c r="V74" s="32" t="n">
        <v>53.88</v>
      </c>
      <c r="W74" s="32" t="n">
        <v>21.72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IF(B75=0,"",RANK(B75,$B$2:$B$251,0))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WELCORP</t>
        </is>
      </c>
      <c r="D75" s="31" t="inlineStr">
        <is>
          <t>Welspun Corp Limited</t>
        </is>
      </c>
      <c r="E75" s="31" t="inlineStr">
        <is>
          <t>industrials</t>
        </is>
      </c>
      <c r="F75" s="31" t="inlineStr">
        <is>
          <t>steel - large</t>
        </is>
      </c>
      <c r="G75" s="31" t="inlineStr">
        <is>
          <t>largecap</t>
        </is>
      </c>
      <c r="H75" s="32" t="n">
        <v>40650.14</v>
      </c>
      <c r="I75" s="32" t="n">
        <v>1529.2</v>
      </c>
      <c r="J75" s="32" t="n">
        <v>-0.77</v>
      </c>
      <c r="K75" s="32" t="n">
        <v>1280583</v>
      </c>
      <c r="L75" s="31" t="n">
        <v>83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84.83</v>
      </c>
      <c r="P75" s="32" t="n">
        <v>64.06</v>
      </c>
      <c r="Q75" s="32" t="n">
        <v>1256.73</v>
      </c>
      <c r="R75" s="31" t="inlineStr">
        <is>
          <t>Volume Spike &amp; Near 52W High Breakout</t>
        </is>
      </c>
      <c r="S75" s="31" t="inlineStr">
        <is>
          <t>Nifty Metal</t>
        </is>
      </c>
      <c r="T75" s="32" t="n">
        <v>32.89</v>
      </c>
      <c r="U75" s="32" t="n">
        <v>69.33</v>
      </c>
      <c r="V75" s="32" t="n">
        <v>27.43</v>
      </c>
      <c r="W75" s="32" t="n">
        <v>25.83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IF(B76=0,"",RANK(B76,$B$2:$B$251,0))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SFL</t>
        </is>
      </c>
      <c r="D76" s="31" t="inlineStr">
        <is>
          <t>Sheela Foam Limited</t>
        </is>
      </c>
      <c r="E76" s="31" t="inlineStr">
        <is>
          <t>consumer discretionary</t>
        </is>
      </c>
      <c r="F76" s="31" t="inlineStr">
        <is>
          <t>miscellaneous</t>
        </is>
      </c>
      <c r="G76" s="31" t="inlineStr">
        <is>
          <t>midcap</t>
        </is>
      </c>
      <c r="H76" s="32" t="n">
        <v>8137</v>
      </c>
      <c r="I76" s="32" t="n">
        <v>740.4</v>
      </c>
      <c r="J76" s="32" t="n">
        <v>-1.08</v>
      </c>
      <c r="K76" s="32" t="n">
        <v>495358</v>
      </c>
      <c r="L76" s="31" t="n">
        <v>53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66.39</v>
      </c>
      <c r="P76" s="32" t="n">
        <v>25.9</v>
      </c>
      <c r="Q76" s="32" t="n">
        <v>606.49</v>
      </c>
      <c r="R76" s="31" t="inlineStr">
        <is>
          <t>Near 52W High Breakout</t>
        </is>
      </c>
      <c r="S76" s="31" t="inlineStr">
        <is>
          <t>Nifty 50</t>
        </is>
      </c>
      <c r="T76" s="32" t="n">
        <v>-5.04</v>
      </c>
      <c r="U76" s="32" t="n">
        <v>9.300000000000001</v>
      </c>
      <c r="V76" s="32" t="n">
        <v>15.1</v>
      </c>
      <c r="W76" s="32" t="n">
        <v>11.43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IF(B77=0,"",RANK(B77,$B$2:$B$251,0))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RAIN</t>
        </is>
      </c>
      <c r="D77" s="31" t="inlineStr">
        <is>
          <t>Rain Industries Limited</t>
        </is>
      </c>
      <c r="E77" s="31" t="inlineStr">
        <is>
          <t>miscellaneous</t>
        </is>
      </c>
      <c r="F77" s="31" t="inlineStr">
        <is>
          <t>miscellaneous</t>
        </is>
      </c>
      <c r="G77" s="31" t="inlineStr">
        <is>
          <t>midcap</t>
        </is>
      </c>
      <c r="H77" s="32" t="n">
        <v>6757.52</v>
      </c>
      <c r="I77" s="32" t="n">
        <v>198.72</v>
      </c>
      <c r="J77" s="32" t="n">
        <v>-1.09</v>
      </c>
      <c r="K77" s="32" t="n">
        <v>11216193</v>
      </c>
      <c r="L77" s="31" t="n">
        <v>79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69.45</v>
      </c>
      <c r="P77" s="32" t="n">
        <v>33.06</v>
      </c>
      <c r="Q77" s="32" t="n">
        <v>146.28</v>
      </c>
      <c r="R77" s="31" t="inlineStr">
        <is>
          <t>Near 52W High Breakout</t>
        </is>
      </c>
      <c r="S77" s="31" t="inlineStr">
        <is>
          <t>Nifty 50</t>
        </is>
      </c>
      <c r="T77" s="32" t="n">
        <v>-5.04</v>
      </c>
      <c r="U77" s="32" t="n">
        <v>36.98</v>
      </c>
      <c r="V77" s="32" t="n">
        <v>44.25</v>
      </c>
      <c r="W77" s="32" t="n">
        <v>21.81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IF(B78=0,"",RANK(B78,$B$2:$B$251,0))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PARAS</t>
        </is>
      </c>
      <c r="D78" s="31" t="inlineStr">
        <is>
          <t>Paras Defence and Space Technologies Ltd</t>
        </is>
      </c>
      <c r="E78" s="31" t="inlineStr">
        <is>
          <t>aerospace &amp; defence</t>
        </is>
      </c>
      <c r="F78" s="31" t="inlineStr">
        <is>
          <t>engineering</t>
        </is>
      </c>
      <c r="G78" s="31" t="inlineStr">
        <is>
          <t>midcap</t>
        </is>
      </c>
      <c r="H78" s="32" t="n">
        <v>10432.03</v>
      </c>
      <c r="I78" s="32" t="n">
        <v>1276.4</v>
      </c>
      <c r="J78" s="32" t="n">
        <v>-1.4</v>
      </c>
      <c r="K78" s="32" t="n">
        <v>2994874</v>
      </c>
      <c r="L78" s="31" t="n">
        <v>88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69.06</v>
      </c>
      <c r="P78" s="32" t="n">
        <v>52.6</v>
      </c>
      <c r="Q78" s="32" t="n">
        <v>1026.55</v>
      </c>
      <c r="R78" s="31" t="inlineStr">
        <is>
          <t>Earnings / Momentum Support</t>
        </is>
      </c>
      <c r="S78" s="31" t="inlineStr">
        <is>
          <t>Nifty 50</t>
        </is>
      </c>
      <c r="T78" s="32" t="n">
        <v>-5.04</v>
      </c>
      <c r="U78" s="32" t="n">
        <v>57.08</v>
      </c>
      <c r="V78" s="32" t="n">
        <v>65.42</v>
      </c>
      <c r="W78" s="32" t="n">
        <v>31.59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IF(B79=0,"",RANK(B79,$B$2:$B$251,0))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KANORICHEM</t>
        </is>
      </c>
      <c r="D79" s="31" t="inlineStr">
        <is>
          <t>Kanoria Chemicals &amp; Industries Limited</t>
        </is>
      </c>
      <c r="E79" s="31" t="inlineStr">
        <is>
          <t>chemicals</t>
        </is>
      </c>
      <c r="F79" s="31" t="inlineStr">
        <is>
          <t>chemicals</t>
        </is>
      </c>
      <c r="G79" s="31" t="inlineStr">
        <is>
          <t>smallcap</t>
        </is>
      </c>
      <c r="H79" s="32" t="n">
        <v>568.8</v>
      </c>
      <c r="I79" s="32" t="n">
        <v>128.3</v>
      </c>
      <c r="J79" s="32" t="n">
        <v>-1.44</v>
      </c>
      <c r="K79" s="32" t="n">
        <v>24980</v>
      </c>
      <c r="L79" s="31" t="n">
        <v>83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69.19</v>
      </c>
      <c r="P79" s="32" t="n">
        <v>38.58</v>
      </c>
      <c r="Q79" s="32" t="n">
        <v>101</v>
      </c>
      <c r="R79" s="31" t="inlineStr">
        <is>
          <t>Earnings / Momentum Support</t>
        </is>
      </c>
      <c r="S79" s="31" t="inlineStr">
        <is>
          <t>Nifty 50</t>
        </is>
      </c>
      <c r="T79" s="32" t="n">
        <v>-5.04</v>
      </c>
      <c r="U79" s="32" t="n">
        <v>37.32</v>
      </c>
      <c r="V79" s="32" t="n">
        <v>44.61</v>
      </c>
      <c r="W79" s="32" t="n">
        <v>26.07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IF(B80=0,"",RANK(B80,$B$2:$B$251,0))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THELEELA</t>
        </is>
      </c>
      <c r="D80" s="31" t="inlineStr">
        <is>
          <t>Leela Palaces Hotels &amp; Resorts Ltd</t>
        </is>
      </c>
      <c r="E80" s="31" t="inlineStr">
        <is>
          <t>services</t>
        </is>
      </c>
      <c r="F80" s="31" t="inlineStr">
        <is>
          <t>hotels</t>
        </is>
      </c>
      <c r="G80" s="31" t="inlineStr">
        <is>
          <t>midcap</t>
        </is>
      </c>
      <c r="H80" s="32" t="n">
        <v>16285.46</v>
      </c>
      <c r="I80" s="32" t="n">
        <v>480.6</v>
      </c>
      <c r="J80" s="32" t="n">
        <v>-1.45</v>
      </c>
      <c r="K80" s="32" t="n">
        <v>401942</v>
      </c>
      <c r="L80" s="31" t="n">
        <v>22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61.1</v>
      </c>
      <c r="P80" s="32" t="n">
        <v>15.92</v>
      </c>
      <c r="Q80" s="32" t="n">
        <v>401.37</v>
      </c>
      <c r="R80" s="31" t="inlineStr">
        <is>
          <t>Near 52W High Breakout</t>
        </is>
      </c>
      <c r="S80" s="31" t="inlineStr">
        <is>
          <t>Nifty 50</t>
        </is>
      </c>
      <c r="T80" s="32" t="n">
        <v>-5.04</v>
      </c>
      <c r="U80" s="32" t="n">
        <v>10.52</v>
      </c>
      <c r="V80" s="32" t="n">
        <v>16.39</v>
      </c>
      <c r="W80" s="32" t="n">
        <v>4.55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Between 1.5 to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IF(B81=0,"",RANK(B81,$B$2:$B$251,0))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GREENPLY</t>
        </is>
      </c>
      <c r="D81" s="31" t="inlineStr">
        <is>
          <t>Greenply Industries Limited</t>
        </is>
      </c>
      <c r="E81" s="31" t="inlineStr">
        <is>
          <t>building materials</t>
        </is>
      </c>
      <c r="F81" s="31" t="inlineStr">
        <is>
          <t>miscellaneous</t>
        </is>
      </c>
      <c r="G81" s="31" t="inlineStr">
        <is>
          <t>smallcap</t>
        </is>
      </c>
      <c r="H81" s="32" t="n">
        <v>3999.99</v>
      </c>
      <c r="I81" s="32" t="n">
        <v>315</v>
      </c>
      <c r="J81" s="32" t="n">
        <v>-1.64</v>
      </c>
      <c r="K81" s="32" t="n">
        <v>209265</v>
      </c>
      <c r="L81" s="31" t="n">
        <v>55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66.92</v>
      </c>
      <c r="P81" s="32" t="n">
        <v>26.56</v>
      </c>
      <c r="Q81" s="32" t="n">
        <v>243.16</v>
      </c>
      <c r="R81" s="31" t="inlineStr">
        <is>
          <t>Earnings / Momentum Support</t>
        </is>
      </c>
      <c r="S81" s="31" t="inlineStr">
        <is>
          <t>Nifty Infra</t>
        </is>
      </c>
      <c r="T81" s="32" t="n">
        <v>-0.07000000000000001</v>
      </c>
      <c r="U81" s="32" t="n">
        <v>3.93</v>
      </c>
      <c r="V81" s="32" t="n">
        <v>4.01</v>
      </c>
      <c r="W81" s="32" t="n">
        <v>11.91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IF(B82=0,"",RANK(B82,$B$2:$B$251,0))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SIGMAADV</t>
        </is>
      </c>
      <c r="D82" s="31" t="inlineStr">
        <is>
          <t>Sigma Advanced System Ltd</t>
        </is>
      </c>
      <c r="E82" s="31" t="inlineStr">
        <is>
          <t>aerospace &amp; defence</t>
        </is>
      </c>
      <c r="F82" s="31" t="inlineStr">
        <is>
          <t>electronics - components</t>
        </is>
      </c>
      <c r="G82" s="31" t="inlineStr">
        <is>
          <t>midcap</t>
        </is>
      </c>
      <c r="H82" s="32" t="n">
        <v>9540.74</v>
      </c>
      <c r="I82" s="32" t="n">
        <v>531.5</v>
      </c>
      <c r="J82" s="32" t="n">
        <v>-1.82</v>
      </c>
      <c r="K82" s="32" t="n">
        <v>609737</v>
      </c>
      <c r="L82" s="31" t="n">
        <v>99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74.22</v>
      </c>
      <c r="P82" s="32" t="n">
        <v>59.31</v>
      </c>
      <c r="Q82" s="32" t="n">
        <v>463.59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-5.04</v>
      </c>
      <c r="U82" s="32" t="n">
        <v>445.24</v>
      </c>
      <c r="V82" s="32" t="n">
        <v>474.18</v>
      </c>
      <c r="W82" s="32" t="n">
        <v>93.95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IF(B83=0,"",RANK(B83,$B$2:$B$251,0))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KMEW</t>
        </is>
      </c>
      <c r="D83" s="31" t="inlineStr">
        <is>
          <t>Knowledge Marine &amp; Engineering Works Ltd</t>
        </is>
      </c>
      <c r="E83" s="31" t="inlineStr">
        <is>
          <t>transportation</t>
        </is>
      </c>
      <c r="F83" s="31" t="inlineStr">
        <is>
          <t>miscellaneous</t>
        </is>
      </c>
      <c r="G83" s="31" t="inlineStr">
        <is>
          <t>midcap</t>
        </is>
      </c>
      <c r="H83" s="32" t="n">
        <v>5584.26</v>
      </c>
      <c r="I83" s="32" t="n">
        <v>2236.9</v>
      </c>
      <c r="J83" s="32" t="n">
        <v>-2.08</v>
      </c>
      <c r="K83" s="32" t="n">
        <v>178083</v>
      </c>
      <c r="L83" s="31" t="n">
        <v>85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66.26000000000001</v>
      </c>
      <c r="P83" s="32" t="n">
        <v>41.89</v>
      </c>
      <c r="Q83" s="32" t="n">
        <v>1560.82</v>
      </c>
      <c r="R83" s="31" t="inlineStr">
        <is>
          <t>Near 52W High Breakout</t>
        </is>
      </c>
      <c r="S83" s="31" t="inlineStr">
        <is>
          <t>Nifty 50</t>
        </is>
      </c>
      <c r="T83" s="32" t="n">
        <v>-5.04</v>
      </c>
      <c r="U83" s="32" t="n">
        <v>172.59</v>
      </c>
      <c r="V83" s="32" t="n">
        <v>187.06</v>
      </c>
      <c r="W83" s="32" t="n">
        <v>28.76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IF(B84=0,"",RANK(B84,$B$2:$B$251,0))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PHOENIXLTD</t>
        </is>
      </c>
      <c r="D84" s="31" t="inlineStr">
        <is>
          <t>The Phoenix Mills Limited</t>
        </is>
      </c>
      <c r="E84" s="31" t="inlineStr">
        <is>
          <t>realty</t>
        </is>
      </c>
      <c r="F84" s="31" t="inlineStr">
        <is>
          <t>construction</t>
        </is>
      </c>
      <c r="G84" s="31" t="inlineStr">
        <is>
          <t>largecap</t>
        </is>
      </c>
      <c r="H84" s="32" t="n">
        <v>74212.75999999999</v>
      </c>
      <c r="I84" s="32" t="n">
        <v>2021</v>
      </c>
      <c r="J84" s="32" t="n">
        <v>-2.61</v>
      </c>
      <c r="K84" s="32" t="n">
        <v>480025</v>
      </c>
      <c r="L84" s="31" t="n">
        <v>47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67.02</v>
      </c>
      <c r="P84" s="32" t="n">
        <v>11.86</v>
      </c>
      <c r="Q84" s="32" t="n">
        <v>1703.32</v>
      </c>
      <c r="R84" s="31" t="inlineStr">
        <is>
          <t>Volume Spike &amp; Near 52W High Breakout</t>
        </is>
      </c>
      <c r="S84" s="31" t="inlineStr">
        <is>
          <t>Nifty Realty</t>
        </is>
      </c>
      <c r="T84" s="32" t="n">
        <v>-9.029999999999999</v>
      </c>
      <c r="U84" s="32" t="n">
        <v>36.06</v>
      </c>
      <c r="V84" s="32" t="n">
        <v>49.56</v>
      </c>
      <c r="W84" s="32" t="n">
        <v>9.73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IF(B85=0,"",RANK(B85,$B$2:$B$251,0))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SHRIPISTON</t>
        </is>
      </c>
      <c r="D85" s="31" t="inlineStr">
        <is>
          <t>Shriram Pistons &amp; Rings Limited</t>
        </is>
      </c>
      <c r="E85" s="31" t="inlineStr">
        <is>
          <t>auto</t>
        </is>
      </c>
      <c r="F85" s="31" t="inlineStr">
        <is>
          <t>auto ancillaries</t>
        </is>
      </c>
      <c r="G85" s="31" t="inlineStr">
        <is>
          <t>midcap</t>
        </is>
      </c>
      <c r="H85" s="32" t="n">
        <v>18805.31</v>
      </c>
      <c r="I85" s="32" t="n">
        <v>4116.8</v>
      </c>
      <c r="J85" s="32" t="n">
        <v>-3.57</v>
      </c>
      <c r="K85" s="32" t="n">
        <v>43535</v>
      </c>
      <c r="L85" s="31" t="n">
        <v>65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67.73</v>
      </c>
      <c r="P85" s="32" t="n">
        <v>35.94</v>
      </c>
      <c r="Q85" s="32" t="n">
        <v>3324.75</v>
      </c>
      <c r="R85" s="31" t="inlineStr">
        <is>
          <t>Near 52W High Breakout</t>
        </is>
      </c>
      <c r="S85" s="31" t="inlineStr">
        <is>
          <t>Nifty Auto</t>
        </is>
      </c>
      <c r="T85" s="32" t="n">
        <v>13.79</v>
      </c>
      <c r="U85" s="32" t="n">
        <v>71.63</v>
      </c>
      <c r="V85" s="32" t="n">
        <v>50.83</v>
      </c>
      <c r="W85" s="32" t="n">
        <v>14.42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IF(B86=0,"",RANK(B86,$B$2:$B$251,0))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WABAG</t>
        </is>
      </c>
      <c r="D86" s="31" t="inlineStr">
        <is>
          <t>Va Tech Wabag Limited</t>
        </is>
      </c>
      <c r="E86" s="31" t="inlineStr">
        <is>
          <t>realty</t>
        </is>
      </c>
      <c r="F86" s="31" t="inlineStr">
        <is>
          <t>engineering - turnkey services</t>
        </is>
      </c>
      <c r="G86" s="31" t="inlineStr">
        <is>
          <t>midcap</t>
        </is>
      </c>
      <c r="H86" s="32" t="n">
        <v>13728.05</v>
      </c>
      <c r="I86" s="32" t="n">
        <v>2081.4</v>
      </c>
      <c r="J86" s="32" t="n">
        <v>-5.53</v>
      </c>
      <c r="K86" s="32" t="n">
        <v>1069469</v>
      </c>
      <c r="L86" s="31" t="n">
        <v>77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77.78</v>
      </c>
      <c r="P86" s="32" t="n">
        <v>24.31</v>
      </c>
      <c r="Q86" s="32" t="n">
        <v>1656.16</v>
      </c>
      <c r="R86" s="31" t="inlineStr">
        <is>
          <t>Near 52W High Breakout</t>
        </is>
      </c>
      <c r="S86" s="31" t="inlineStr">
        <is>
          <t>Nifty Realty</t>
        </is>
      </c>
      <c r="T86" s="32" t="n">
        <v>-9.029999999999999</v>
      </c>
      <c r="U86" s="32" t="n">
        <v>40.76</v>
      </c>
      <c r="V86" s="32" t="n">
        <v>54.73</v>
      </c>
      <c r="W86" s="32" t="n">
        <v>20.13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IF(B87=0,"",RANK(B87,$B$2:$B$251,0))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AEGISLOG</t>
        </is>
      </c>
      <c r="D87" s="31" t="inlineStr">
        <is>
          <t>Aegis Logistics Ltd</t>
        </is>
      </c>
      <c r="E87" s="31" t="inlineStr">
        <is>
          <t>services</t>
        </is>
      </c>
      <c r="F87" s="31" t="inlineStr">
        <is>
          <t>trading</t>
        </is>
      </c>
      <c r="G87" s="31" t="inlineStr">
        <is>
          <t>largecap</t>
        </is>
      </c>
      <c r="H87" s="32" t="n">
        <v>48567.87</v>
      </c>
      <c r="I87" s="32" t="n">
        <v>1245.4</v>
      </c>
      <c r="J87" s="32" t="n">
        <v>-9.99</v>
      </c>
      <c r="K87" s="32" t="n">
        <v>2831844</v>
      </c>
      <c r="L87" s="31" t="n">
        <v>92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76.68000000000001</v>
      </c>
      <c r="P87" s="32" t="n">
        <v>35.82</v>
      </c>
      <c r="Q87" s="32" t="n">
        <v>1029.21</v>
      </c>
      <c r="R87" s="31" t="inlineStr">
        <is>
          <t>Earnings / Momentum Support</t>
        </is>
      </c>
      <c r="S87" s="31" t="inlineStr">
        <is>
          <t>Nifty 50</t>
        </is>
      </c>
      <c r="T87" s="32" t="n">
        <v>-5.04</v>
      </c>
      <c r="U87" s="32" t="n">
        <v>69.93000000000001</v>
      </c>
      <c r="V87" s="32" t="n">
        <v>78.95</v>
      </c>
      <c r="W87" s="32" t="n">
        <v>36.25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IF(B88=0,"",RANK(B88,$B$2:$B$251,0))</f>
        <v/>
      </c>
      <c r="B88" s="32">
        <f>SUM(N88,Y88,AA88,AC88,AE88,AG88,AI88,AK88,AM88,AO88,AQ88,AS88,AU88,AW88,AY88,BA88,BC88,BE88,BG88,BI88,BK88,BM88,BO88,BQ88,BS88,BU88,BW88,BY88,CA88,CC88,CE88)</f>
        <v/>
      </c>
      <c r="C88" s="33" t="inlineStr">
        <is>
          <t>ALIVUS</t>
        </is>
      </c>
      <c r="D88" s="33" t="inlineStr">
        <is>
          <t>Alivus Life Sciences Ltd</t>
        </is>
      </c>
      <c r="E88" s="31" t="inlineStr">
        <is>
          <t>healthcare</t>
        </is>
      </c>
      <c r="F88" s="31" t="inlineStr">
        <is>
          <t>pharmaceuticals - indian - bulk drugs &amp; formln</t>
        </is>
      </c>
      <c r="G88" s="31" t="inlineStr">
        <is>
          <t>midcap</t>
        </is>
      </c>
      <c r="H88" s="32" t="n">
        <v>14049.63</v>
      </c>
      <c r="I88" s="32" t="n">
        <v>1130.1</v>
      </c>
      <c r="J88" s="32" t="n">
        <v>-1.28</v>
      </c>
      <c r="K88" s="32" t="n">
        <v>162049</v>
      </c>
      <c r="L88" s="31" t="n">
        <v>21</v>
      </c>
      <c r="M88" s="31" t="inlineStr">
        <is>
          <t>Underperforming</t>
        </is>
      </c>
      <c r="N88" s="32">
        <f>IF(M88="Underperforming",-5,IF(L88&gt;=95,15,IF(L88&gt;=90,10,IF(L88&gt;=80,5,0))))</f>
        <v/>
      </c>
      <c r="O88" s="32" t="n">
        <v>64.47</v>
      </c>
      <c r="P88" s="32" t="n">
        <v>33.9</v>
      </c>
      <c r="Q88" s="32" t="n">
        <v>937.64</v>
      </c>
      <c r="R88" s="31" t="inlineStr">
        <is>
          <t>Near 52W High Breakout</t>
        </is>
      </c>
      <c r="S88" s="31" t="inlineStr">
        <is>
          <t>Nifty Pharma</t>
        </is>
      </c>
      <c r="T88" s="32" t="n">
        <v>14.42</v>
      </c>
      <c r="U88" s="32" t="n">
        <v>11.98</v>
      </c>
      <c r="V88" s="32" t="n">
        <v>-2.13</v>
      </c>
      <c r="W88" s="32" t="n">
        <v>4.34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Between 12 to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Between 1.5 to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IF(B89=0,"",RANK(B89,$B$2:$B$251,0))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ABDL</t>
        </is>
      </c>
      <c r="D89" s="31" t="inlineStr">
        <is>
          <t>Allied Blenders &amp; Distillers Ltd</t>
        </is>
      </c>
      <c r="E89" s="31" t="inlineStr">
        <is>
          <t>fmcg</t>
        </is>
      </c>
      <c r="F89" s="31" t="inlineStr">
        <is>
          <t>breweries &amp; distilleries</t>
        </is>
      </c>
      <c r="G89" s="31" t="inlineStr">
        <is>
          <t>midcap</t>
        </is>
      </c>
      <c r="H89" s="32" t="n">
        <v>19188.12</v>
      </c>
      <c r="I89" s="32" t="n">
        <v>674.8</v>
      </c>
      <c r="J89" s="32" t="n">
        <v>-1.63</v>
      </c>
      <c r="K89" s="32" t="n">
        <v>432530</v>
      </c>
      <c r="L89" s="31" t="n">
        <v>69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65.70999999999999</v>
      </c>
      <c r="P89" s="32" t="n">
        <v>22.39</v>
      </c>
      <c r="Q89" s="32" t="n">
        <v>522.4</v>
      </c>
      <c r="R89" s="31" t="inlineStr">
        <is>
          <t>Volume Spike &amp; Near 52W High Breakout</t>
        </is>
      </c>
      <c r="S89" s="31" t="inlineStr">
        <is>
          <t>Nifty FMCG</t>
        </is>
      </c>
      <c r="T89" s="32" t="n">
        <v>-12.4</v>
      </c>
      <c r="U89" s="32" t="n">
        <v>52.18</v>
      </c>
      <c r="V89" s="32" t="n">
        <v>73.73</v>
      </c>
      <c r="W89" s="32" t="n">
        <v>16.54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IF(B90=0,"",RANK(B90,$B$2:$B$251,0))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INDIAGLYCO</t>
        </is>
      </c>
      <c r="D90" s="31" t="inlineStr">
        <is>
          <t>India Glycols Limited</t>
        </is>
      </c>
      <c r="E90" s="31" t="inlineStr">
        <is>
          <t>fmcg</t>
        </is>
      </c>
      <c r="F90" s="31" t="inlineStr">
        <is>
          <t>breweries &amp; distilleries</t>
        </is>
      </c>
      <c r="G90" s="31" t="inlineStr">
        <is>
          <t>midcap</t>
        </is>
      </c>
      <c r="H90" s="32" t="n">
        <v>7225.49</v>
      </c>
      <c r="I90" s="32" t="n">
        <v>1037.95</v>
      </c>
      <c r="J90" s="32" t="n">
        <v>-3.72</v>
      </c>
      <c r="K90" s="32" t="n">
        <v>111559</v>
      </c>
      <c r="L90" s="31" t="n">
        <v>15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56.09</v>
      </c>
      <c r="P90" s="32" t="n">
        <v>18.98</v>
      </c>
      <c r="Q90" s="32" t="n">
        <v>906.55</v>
      </c>
      <c r="R90" s="31" t="inlineStr">
        <is>
          <t>Earnings / Momentum Support</t>
        </is>
      </c>
      <c r="S90" s="31" t="inlineStr">
        <is>
          <t>Nifty FMCG</t>
        </is>
      </c>
      <c r="T90" s="32" t="n">
        <v>-12.4</v>
      </c>
      <c r="U90" s="32" t="n">
        <v>2.56</v>
      </c>
      <c r="V90" s="32" t="n">
        <v>17.08</v>
      </c>
      <c r="W90" s="32" t="n">
        <v>3.13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B2C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IF(B91=0,"",RANK(B91,$B$2:$B$251,0))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SKMEGGPROD</t>
        </is>
      </c>
      <c r="D91" s="31" t="inlineStr">
        <is>
          <t>Skm Egg Products Export (india) Limited</t>
        </is>
      </c>
      <c r="E91" s="31" t="inlineStr">
        <is>
          <t>fmcg</t>
        </is>
      </c>
      <c r="F91" s="31" t="inlineStr">
        <is>
          <t>food - processing - indian</t>
        </is>
      </c>
      <c r="G91" s="31" t="inlineStr">
        <is>
          <t>smallcap</t>
        </is>
      </c>
      <c r="H91" s="32" t="n">
        <v>1635.36</v>
      </c>
      <c r="I91" s="32" t="n">
        <v>296.25</v>
      </c>
      <c r="J91" s="32" t="n">
        <v>-4.6</v>
      </c>
      <c r="K91" s="32" t="n">
        <v>415738</v>
      </c>
      <c r="L91" s="31" t="n">
        <v>88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72.40000000000001</v>
      </c>
      <c r="P91" s="32" t="n">
        <v>35.24</v>
      </c>
      <c r="Q91" s="32" t="n">
        <v>228.92</v>
      </c>
      <c r="R91" s="31" t="inlineStr">
        <is>
          <t>Earnings / Momentum Support</t>
        </is>
      </c>
      <c r="S91" s="31" t="inlineStr">
        <is>
          <t>Nifty FMCG</t>
        </is>
      </c>
      <c r="T91" s="32" t="n">
        <v>-12.4</v>
      </c>
      <c r="U91" s="32" t="n">
        <v>104.77</v>
      </c>
      <c r="V91" s="32" t="n">
        <v>133.75</v>
      </c>
      <c r="W91" s="32" t="n">
        <v>31.89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B2C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IF(B92=0,"",RANK(B92,$B$2:$B$251,0))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AETHER</t>
        </is>
      </c>
      <c r="D92" s="31" t="inlineStr">
        <is>
          <t>Aether Industries Ltd</t>
        </is>
      </c>
      <c r="E92" s="31" t="inlineStr">
        <is>
          <t>chemicals</t>
        </is>
      </c>
      <c r="F92" s="31" t="inlineStr">
        <is>
          <t>chemicals</t>
        </is>
      </c>
      <c r="G92" s="31" t="inlineStr">
        <is>
          <t>midcap</t>
        </is>
      </c>
      <c r="H92" s="32" t="n">
        <v>17646.42</v>
      </c>
      <c r="I92" s="32" t="n">
        <v>1413.4</v>
      </c>
      <c r="J92" s="32" t="n">
        <v>6.27</v>
      </c>
      <c r="K92" s="32" t="n">
        <v>908343</v>
      </c>
      <c r="L92" s="31" t="n">
        <v>70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72.95999999999999</v>
      </c>
      <c r="P92" s="32" t="n">
        <v>46.04</v>
      </c>
      <c r="Q92" s="32" t="n">
        <v>1110.67</v>
      </c>
      <c r="R92" s="31" t="inlineStr">
        <is>
          <t>Near 52W High Breakout</t>
        </is>
      </c>
      <c r="S92" s="31" t="inlineStr">
        <is>
          <t>Nifty 50</t>
        </is>
      </c>
      <c r="T92" s="32" t="n">
        <v>-5.04</v>
      </c>
      <c r="U92" s="32" t="n">
        <v>81.54000000000001</v>
      </c>
      <c r="V92" s="32" t="n">
        <v>91.18000000000001</v>
      </c>
      <c r="W92" s="32" t="n">
        <v>17.19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Less than 50%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IF(B93=0,"",RANK(B93,$B$2:$B$251,0))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SKYGOLD</t>
        </is>
      </c>
      <c r="D93" s="31" t="inlineStr">
        <is>
          <t>Sky Gold Ltd</t>
        </is>
      </c>
      <c r="E93" s="31" t="inlineStr">
        <is>
          <t>consumer discretionary</t>
        </is>
      </c>
      <c r="F93" s="31" t="inlineStr">
        <is>
          <t>diamond cutting / jewellery</t>
        </is>
      </c>
      <c r="G93" s="31" t="inlineStr">
        <is>
          <t>midcap</t>
        </is>
      </c>
      <c r="H93" s="32" t="n">
        <v>8899.83</v>
      </c>
      <c r="I93" s="32" t="n">
        <v>585.5</v>
      </c>
      <c r="J93" s="32" t="n">
        <v>1.89</v>
      </c>
      <c r="K93" s="32" t="n">
        <v>2631994</v>
      </c>
      <c r="L93" s="31" t="n">
        <v>81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70.02</v>
      </c>
      <c r="P93" s="32" t="n">
        <v>50.17</v>
      </c>
      <c r="Q93" s="32" t="n">
        <v>423.5</v>
      </c>
      <c r="R93" s="31" t="inlineStr">
        <is>
          <t>Near 52W High Breakout</t>
        </is>
      </c>
      <c r="S93" s="31" t="inlineStr">
        <is>
          <t>Nifty 50</t>
        </is>
      </c>
      <c r="T93" s="32" t="n">
        <v>-5.04</v>
      </c>
      <c r="U93" s="32" t="n">
        <v>84.76000000000001</v>
      </c>
      <c r="V93" s="32" t="n">
        <v>94.56999999999999</v>
      </c>
      <c r="W93" s="32" t="n">
        <v>24.55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Negative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IF(B94=0,"",RANK(B94,$B$2:$B$251,0))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YASHO</t>
        </is>
      </c>
      <c r="D94" s="31" t="inlineStr">
        <is>
          <t>Yasho Industries Ltd</t>
        </is>
      </c>
      <c r="E94" s="31" t="inlineStr">
        <is>
          <t>chemicals</t>
        </is>
      </c>
      <c r="F94" s="31" t="inlineStr">
        <is>
          <t>chemicals</t>
        </is>
      </c>
      <c r="G94" s="31" t="inlineStr">
        <is>
          <t>smallcap</t>
        </is>
      </c>
      <c r="H94" s="32" t="n">
        <v>3449.53</v>
      </c>
      <c r="I94" s="32" t="n">
        <v>2914.1</v>
      </c>
      <c r="J94" s="32" t="n">
        <v>1.86</v>
      </c>
      <c r="K94" s="32" t="n">
        <v>18472</v>
      </c>
      <c r="L94" s="31" t="n">
        <v>90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81</v>
      </c>
      <c r="P94" s="32" t="n">
        <v>40.49</v>
      </c>
      <c r="Q94" s="32" t="n">
        <v>2213.12</v>
      </c>
      <c r="R94" s="31" t="inlineStr">
        <is>
          <t>Near 52W High Breakout</t>
        </is>
      </c>
      <c r="S94" s="31" t="inlineStr">
        <is>
          <t>Nifty 50</t>
        </is>
      </c>
      <c r="T94" s="32" t="n">
        <v>-5.04</v>
      </c>
      <c r="U94" s="32" t="n">
        <v>46.26</v>
      </c>
      <c r="V94" s="32" t="n">
        <v>54.03</v>
      </c>
      <c r="W94" s="32" t="n">
        <v>33.95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More than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IF(B95=0,"",RANK(B95,$B$2:$B$251,0))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GREAVESCOT</t>
        </is>
      </c>
      <c r="D95" s="31" t="inlineStr">
        <is>
          <t>Greaves Cotton Limited</t>
        </is>
      </c>
      <c r="E95" s="31" t="inlineStr">
        <is>
          <t>industrials</t>
        </is>
      </c>
      <c r="F95" s="31" t="inlineStr">
        <is>
          <t>engines</t>
        </is>
      </c>
      <c r="G95" s="31" t="inlineStr">
        <is>
          <t>midcap</t>
        </is>
      </c>
      <c r="H95" s="32" t="n">
        <v>5169.35</v>
      </c>
      <c r="I95" s="32" t="n">
        <v>224.57</v>
      </c>
      <c r="J95" s="32" t="n">
        <v>1.18</v>
      </c>
      <c r="K95" s="32" t="n">
        <v>4061965</v>
      </c>
      <c r="L95" s="31" t="n">
        <v>65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68.42</v>
      </c>
      <c r="P95" s="32" t="n">
        <v>20.75</v>
      </c>
      <c r="Q95" s="32" t="n">
        <v>175.26</v>
      </c>
      <c r="R95" s="31" t="inlineStr">
        <is>
          <t>Near 52W High Breakout</t>
        </is>
      </c>
      <c r="S95" s="31" t="inlineStr">
        <is>
          <t>Nifty 50</t>
        </is>
      </c>
      <c r="T95" s="32" t="n">
        <v>-5.04</v>
      </c>
      <c r="U95" s="32" t="n">
        <v>12.65</v>
      </c>
      <c r="V95" s="32" t="n">
        <v>18.63</v>
      </c>
      <c r="W95" s="32" t="n">
        <v>14.49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IF(B96=0,"",RANK(B96,$B$2:$B$251,0))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NYKAA</t>
        </is>
      </c>
      <c r="D96" s="31" t="inlineStr">
        <is>
          <t>FSN E-Commerce Ventures Ltd</t>
        </is>
      </c>
      <c r="E96" s="31" t="inlineStr">
        <is>
          <t>i.t</t>
        </is>
      </c>
      <c r="F96" s="31" t="inlineStr">
        <is>
          <t>trading</t>
        </is>
      </c>
      <c r="G96" s="31" t="inlineStr">
        <is>
          <t>largecap</t>
        </is>
      </c>
      <c r="H96" s="32" t="n">
        <v>90248.92999999999</v>
      </c>
      <c r="I96" s="32" t="n">
        <v>317.95</v>
      </c>
      <c r="J96" s="32" t="n">
        <v>0.87</v>
      </c>
      <c r="K96" s="32" t="n">
        <v>10701340</v>
      </c>
      <c r="L96" s="31" t="n">
        <v>60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71.33</v>
      </c>
      <c r="P96" s="32" t="n">
        <v>29.85</v>
      </c>
      <c r="Q96" s="32" t="n">
        <v>267.2</v>
      </c>
      <c r="R96" s="31" t="inlineStr">
        <is>
          <t>Near 52W High Breakout</t>
        </is>
      </c>
      <c r="S96" s="31" t="inlineStr">
        <is>
          <t>Nifty IT</t>
        </is>
      </c>
      <c r="T96" s="32" t="n">
        <v>-26.9</v>
      </c>
      <c r="U96" s="32" t="n">
        <v>46.37</v>
      </c>
      <c r="V96" s="32" t="n">
        <v>100.22</v>
      </c>
      <c r="W96" s="32" t="n">
        <v>13.02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IF(B97=0,"",RANK(B97,$B$2:$B$251,0))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FILATEX</t>
        </is>
      </c>
      <c r="D97" s="31" t="inlineStr">
        <is>
          <t>Filatex India Limited</t>
        </is>
      </c>
      <c r="E97" s="31" t="inlineStr">
        <is>
          <t>textiles</t>
        </is>
      </c>
      <c r="F97" s="31" t="inlineStr">
        <is>
          <t>textiles - manmade</t>
        </is>
      </c>
      <c r="G97" s="31" t="inlineStr">
        <is>
          <t>smallcap</t>
        </is>
      </c>
      <c r="H97" s="32" t="n">
        <v>2559.55</v>
      </c>
      <c r="I97" s="32" t="n">
        <v>58.05</v>
      </c>
      <c r="J97" s="32" t="n">
        <v>0.71</v>
      </c>
      <c r="K97" s="32" t="n">
        <v>4714945</v>
      </c>
      <c r="L97" s="31" t="n">
        <v>30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65.12</v>
      </c>
      <c r="P97" s="32" t="n">
        <v>17.94</v>
      </c>
      <c r="Q97" s="32" t="n">
        <v>43.52</v>
      </c>
      <c r="R97" s="31" t="inlineStr">
        <is>
          <t>Volume Spike / Accumulation</t>
        </is>
      </c>
      <c r="S97" s="31" t="inlineStr">
        <is>
          <t>Nifty 50</t>
        </is>
      </c>
      <c r="T97" s="32" t="n">
        <v>-5.04</v>
      </c>
      <c r="U97" s="32" t="n">
        <v>-1.78</v>
      </c>
      <c r="V97" s="32" t="n">
        <v>3.44</v>
      </c>
      <c r="W97" s="32" t="n">
        <v>6.45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0 to 20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Between 12 to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IF(B98=0,"",RANK(B98,$B$2:$B$251,0))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HONASA</t>
        </is>
      </c>
      <c r="D98" s="31" t="inlineStr">
        <is>
          <t>Honasa Consumer Ltd</t>
        </is>
      </c>
      <c r="E98" s="31" t="inlineStr">
        <is>
          <t>services</t>
        </is>
      </c>
      <c r="F98" s="31" t="inlineStr">
        <is>
          <t>trading</t>
        </is>
      </c>
      <c r="G98" s="31" t="inlineStr">
        <is>
          <t>midcap</t>
        </is>
      </c>
      <c r="H98" s="32" t="n">
        <v>15124.81</v>
      </c>
      <c r="I98" s="32" t="n">
        <v>467.6</v>
      </c>
      <c r="J98" s="32" t="n">
        <v>0.59</v>
      </c>
      <c r="K98" s="32" t="n">
        <v>1359620</v>
      </c>
      <c r="L98" s="31" t="n">
        <v>71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82.31</v>
      </c>
      <c r="P98" s="32" t="n">
        <v>46.85</v>
      </c>
      <c r="Q98" s="32" t="n">
        <v>380.83</v>
      </c>
      <c r="R98" s="31" t="inlineStr">
        <is>
          <t>Near 52W High Breakout</t>
        </is>
      </c>
      <c r="S98" s="31" t="inlineStr">
        <is>
          <t>Nifty 50</t>
        </is>
      </c>
      <c r="T98" s="32" t="n">
        <v>-5.04</v>
      </c>
      <c r="U98" s="32" t="n">
        <v>58.91</v>
      </c>
      <c r="V98" s="32" t="n">
        <v>67.34999999999999</v>
      </c>
      <c r="W98" s="32" t="n">
        <v>17.73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Between 50% to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IF(B99=0,"",RANK(B99,$B$2:$B$251,0))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COMSYN</t>
        </is>
      </c>
      <c r="D99" s="31" t="inlineStr">
        <is>
          <t>Commercial Syn Bags Ltd</t>
        </is>
      </c>
      <c r="E99" s="31" t="inlineStr">
        <is>
          <t>industrials</t>
        </is>
      </c>
      <c r="F99" s="31" t="inlineStr">
        <is>
          <t>packaging</t>
        </is>
      </c>
      <c r="G99" s="31" t="inlineStr">
        <is>
          <t>smallcap</t>
        </is>
      </c>
      <c r="H99" s="32" t="n">
        <v>773.95</v>
      </c>
      <c r="I99" s="32" t="n">
        <v>191.61</v>
      </c>
      <c r="J99" s="32" t="n">
        <v>-0.13</v>
      </c>
      <c r="K99" s="32" t="n">
        <v>709325</v>
      </c>
      <c r="L99" s="31" t="n">
        <v>62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66.40000000000001</v>
      </c>
      <c r="P99" s="32" t="n">
        <v>41.95</v>
      </c>
      <c r="Q99" s="32" t="n">
        <v>155.38</v>
      </c>
      <c r="R99" s="31" t="inlineStr">
        <is>
          <t>Volume Spike &amp; Near 52W High Breakout</t>
        </is>
      </c>
      <c r="S99" s="31" t="inlineStr">
        <is>
          <t>Nifty 50</t>
        </is>
      </c>
      <c r="T99" s="32" t="n">
        <v>-5.04</v>
      </c>
      <c r="U99" s="32" t="n">
        <v>45.81</v>
      </c>
      <c r="V99" s="32" t="n">
        <v>53.55</v>
      </c>
      <c r="W99" s="32" t="n">
        <v>13.54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Between 0.7 to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IF(B100=0,"",RANK(B100,$B$2:$B$251,0))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BOSCHLTD</t>
        </is>
      </c>
      <c r="D100" s="31" t="inlineStr">
        <is>
          <t>Bosch Limited</t>
        </is>
      </c>
      <c r="E100" s="31" t="inlineStr">
        <is>
          <t>auto</t>
        </is>
      </c>
      <c r="F100" s="31" t="inlineStr">
        <is>
          <t>auto ancillaries</t>
        </is>
      </c>
      <c r="G100" s="31" t="inlineStr">
        <is>
          <t>largecap</t>
        </is>
      </c>
      <c r="H100" s="32" t="n">
        <v>123681.58</v>
      </c>
      <c r="I100" s="32" t="n">
        <v>41780</v>
      </c>
      <c r="J100" s="32" t="n">
        <v>-0.37</v>
      </c>
      <c r="K100" s="32" t="n">
        <v>64657</v>
      </c>
      <c r="L100" s="31" t="n">
        <v>26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64.31999999999999</v>
      </c>
      <c r="P100" s="32" t="n">
        <v>24.5</v>
      </c>
      <c r="Q100" s="32" t="n">
        <v>35127.31</v>
      </c>
      <c r="R100" s="31" t="inlineStr">
        <is>
          <t>Near 52W High Breakout</t>
        </is>
      </c>
      <c r="S100" s="31" t="inlineStr">
        <is>
          <t>Nifty Auto</t>
        </is>
      </c>
      <c r="T100" s="32" t="n">
        <v>13.79</v>
      </c>
      <c r="U100" s="32" t="n">
        <v>15.47</v>
      </c>
      <c r="V100" s="32" t="n">
        <v>1.48</v>
      </c>
      <c r="W100" s="32" t="n">
        <v>5.35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IF(B101=0,"",RANK(B101,$B$2:$B$251,0))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RPEL</t>
        </is>
      </c>
      <c r="D101" s="31" t="inlineStr">
        <is>
          <t>Raghav Productivity Enhancers Ltd</t>
        </is>
      </c>
      <c r="E101" s="31" t="inlineStr">
        <is>
          <t>building materials</t>
        </is>
      </c>
      <c r="F101" s="31" t="inlineStr">
        <is>
          <t>refractories / intermediates</t>
        </is>
      </c>
      <c r="G101" s="31" t="inlineStr">
        <is>
          <t>midcap</t>
        </is>
      </c>
      <c r="H101" s="32" t="n">
        <v>5998.33</v>
      </c>
      <c r="I101" s="32" t="n">
        <v>1300</v>
      </c>
      <c r="J101" s="32" t="n">
        <v>-0.47</v>
      </c>
      <c r="K101" s="32" t="n">
        <v>156309</v>
      </c>
      <c r="L101" s="31" t="n">
        <v>92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78.48</v>
      </c>
      <c r="P101" s="32" t="n">
        <v>36.58</v>
      </c>
      <c r="Q101" s="32" t="n">
        <v>1002.74</v>
      </c>
      <c r="R101" s="31" t="inlineStr">
        <is>
          <t>Near 52W High Breakout</t>
        </is>
      </c>
      <c r="S101" s="31" t="inlineStr">
        <is>
          <t>Nifty Infra</t>
        </is>
      </c>
      <c r="T101" s="32" t="n">
        <v>-0.07000000000000001</v>
      </c>
      <c r="U101" s="32" t="n">
        <v>87.95999999999999</v>
      </c>
      <c r="V101" s="32" t="n">
        <v>88.09999999999999</v>
      </c>
      <c r="W101" s="32" t="n">
        <v>35.13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Less than 50%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IF(B102=0,"",RANK(B102,$B$2:$B$251,0))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KAJARIACER</t>
        </is>
      </c>
      <c r="D102" s="31" t="inlineStr">
        <is>
          <t>Kajaria Ceramics Limited</t>
        </is>
      </c>
      <c r="E102" s="31" t="inlineStr">
        <is>
          <t>building materials</t>
        </is>
      </c>
      <c r="F102" s="31" t="inlineStr">
        <is>
          <t>ceramics - tiles / sanitaryware</t>
        </is>
      </c>
      <c r="G102" s="31" t="inlineStr">
        <is>
          <t>midcap</t>
        </is>
      </c>
      <c r="H102" s="32" t="n">
        <v>19291.06</v>
      </c>
      <c r="I102" s="32" t="n">
        <v>1193.4</v>
      </c>
      <c r="J102" s="32" t="n">
        <v>-1.47</v>
      </c>
      <c r="K102" s="32" t="n">
        <v>108231</v>
      </c>
      <c r="L102" s="31" t="n">
        <v>11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62.17</v>
      </c>
      <c r="P102" s="32" t="n">
        <v>21.76</v>
      </c>
      <c r="Q102" s="32" t="n">
        <v>998.36</v>
      </c>
      <c r="R102" s="31" t="inlineStr">
        <is>
          <t>Earnings / Momentum Support</t>
        </is>
      </c>
      <c r="S102" s="31" t="inlineStr">
        <is>
          <t>Nifty Infra</t>
        </is>
      </c>
      <c r="T102" s="32" t="n">
        <v>-0.07000000000000001</v>
      </c>
      <c r="U102" s="32" t="n">
        <v>2.19</v>
      </c>
      <c r="V102" s="32" t="n">
        <v>2.27</v>
      </c>
      <c r="W102" s="32" t="n">
        <v>2.38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IF(B103=0,"",RANK(B103,$B$2:$B$251,0))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STEELCAS</t>
        </is>
      </c>
      <c r="D103" s="31" t="inlineStr">
        <is>
          <t>Steelcast Ltd</t>
        </is>
      </c>
      <c r="E103" s="31" t="inlineStr">
        <is>
          <t>industrials</t>
        </is>
      </c>
      <c r="F103" s="31" t="inlineStr">
        <is>
          <t>castings &amp; forgings</t>
        </is>
      </c>
      <c r="G103" s="31" t="inlineStr">
        <is>
          <t>smallcap</t>
        </is>
      </c>
      <c r="H103" s="32" t="n">
        <v>3160.98</v>
      </c>
      <c r="I103" s="32" t="n">
        <v>305.9</v>
      </c>
      <c r="J103" s="32" t="n">
        <v>-2.07</v>
      </c>
      <c r="K103" s="32" t="n">
        <v>72073</v>
      </c>
      <c r="L103" s="31" t="n">
        <v>37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70.62</v>
      </c>
      <c r="P103" s="32" t="n">
        <v>39.14</v>
      </c>
      <c r="Q103" s="32" t="n">
        <v>228.52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-5.04</v>
      </c>
      <c r="U103" s="32" t="n">
        <v>29.66</v>
      </c>
      <c r="V103" s="32" t="n">
        <v>36.55</v>
      </c>
      <c r="W103" s="32" t="n">
        <v>8.029999999999999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IF(B104=0,"",RANK(B104,$B$2:$B$251,0))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3" t="inlineStr">
        <is>
          <t>VARROC</t>
        </is>
      </c>
      <c r="D104" s="33" t="inlineStr">
        <is>
          <t>Varroc Engineering Ltd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midcap</t>
        </is>
      </c>
      <c r="H104" s="32" t="n">
        <v>9948.690000000001</v>
      </c>
      <c r="I104" s="32" t="n">
        <v>636.75</v>
      </c>
      <c r="J104" s="32" t="n">
        <v>-2.21</v>
      </c>
      <c r="K104" s="32" t="n">
        <v>173011</v>
      </c>
      <c r="L104" s="31" t="n">
        <v>34</v>
      </c>
      <c r="M104" s="31" t="inlineStr">
        <is>
          <t>Underperforming</t>
        </is>
      </c>
      <c r="N104" s="32">
        <f>IF(M104="Underperforming",-5,IF(L104&gt;=95,15,IF(L104&gt;=90,10,IF(L104&gt;=80,5,0))))</f>
        <v/>
      </c>
      <c r="O104" s="32" t="n">
        <v>61.65</v>
      </c>
      <c r="P104" s="32" t="n">
        <v>21.8</v>
      </c>
      <c r="Q104" s="32" t="n">
        <v>536.22</v>
      </c>
      <c r="R104" s="31" t="inlineStr">
        <is>
          <t>Near 52W High Breakout</t>
        </is>
      </c>
      <c r="S104" s="31" t="inlineStr">
        <is>
          <t>Nifty Auto</t>
        </is>
      </c>
      <c r="T104" s="32" t="n">
        <v>13.79</v>
      </c>
      <c r="U104" s="32" t="n">
        <v>13.71</v>
      </c>
      <c r="V104" s="32" t="n">
        <v>-0.07000000000000001</v>
      </c>
      <c r="W104" s="32" t="n">
        <v>7.33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Between 50% to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IF(B105=0,"",RANK(B105,$B$2:$B$251,0))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GABRIEL</t>
        </is>
      </c>
      <c r="D105" s="31" t="inlineStr">
        <is>
          <t>Gabriel India Limited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largecap</t>
        </is>
      </c>
      <c r="H105" s="32" t="n">
        <v>22444.41</v>
      </c>
      <c r="I105" s="32" t="n">
        <v>1231</v>
      </c>
      <c r="J105" s="32" t="n">
        <v>-2.8</v>
      </c>
      <c r="K105" s="32" t="n">
        <v>269500</v>
      </c>
      <c r="L105" s="31" t="n">
        <v>51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63.25</v>
      </c>
      <c r="P105" s="32" t="n">
        <v>22.76</v>
      </c>
      <c r="Q105" s="32" t="n">
        <v>949.34</v>
      </c>
      <c r="R105" s="31" t="inlineStr">
        <is>
          <t>Near 52W High Breakout</t>
        </is>
      </c>
      <c r="S105" s="31" t="inlineStr">
        <is>
          <t>Nifty Auto</t>
        </is>
      </c>
      <c r="T105" s="32" t="n">
        <v>13.79</v>
      </c>
      <c r="U105" s="32" t="n">
        <v>14.12</v>
      </c>
      <c r="V105" s="32" t="n">
        <v>0.29</v>
      </c>
      <c r="W105" s="32" t="n">
        <v>10.79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IF(B106=0,"",RANK(B106,$B$2:$B$251,0))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RAMCOIND</t>
        </is>
      </c>
      <c r="D106" s="31" t="inlineStr">
        <is>
          <t>Ramco Industries Limited</t>
        </is>
      </c>
      <c r="E106" s="31" t="inlineStr">
        <is>
          <t>building materials</t>
        </is>
      </c>
      <c r="F106" s="31" t="inlineStr">
        <is>
          <t>cement products</t>
        </is>
      </c>
      <c r="G106" s="31" t="inlineStr">
        <is>
          <t>smallcap</t>
        </is>
      </c>
      <c r="H106" s="32" t="n">
        <v>3090.26</v>
      </c>
      <c r="I106" s="32" t="n">
        <v>344.35</v>
      </c>
      <c r="J106" s="32" t="n">
        <v>-3.23</v>
      </c>
      <c r="K106" s="32" t="n">
        <v>675882</v>
      </c>
      <c r="L106" s="31" t="n">
        <v>52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63.49</v>
      </c>
      <c r="P106" s="32" t="n">
        <v>23.35</v>
      </c>
      <c r="Q106" s="32" t="n">
        <v>259.26</v>
      </c>
      <c r="R106" s="31" t="inlineStr">
        <is>
          <t>Earnings / Momentum Support</t>
        </is>
      </c>
      <c r="S106" s="31" t="inlineStr">
        <is>
          <t>Nifty Infra</t>
        </is>
      </c>
      <c r="T106" s="32" t="n">
        <v>-0.07000000000000001</v>
      </c>
      <c r="U106" s="32" t="n">
        <v>21.09</v>
      </c>
      <c r="V106" s="32" t="n">
        <v>21.18</v>
      </c>
      <c r="W106" s="32" t="n">
        <v>11.23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IF(B107=0,"",RANK(B107,$B$2:$B$251,0))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SPECTRUM</t>
        </is>
      </c>
      <c r="D107" s="31" t="inlineStr">
        <is>
          <t>Spectrum Electrical Industries Ltd</t>
        </is>
      </c>
      <c r="E107" s="31" t="inlineStr">
        <is>
          <t>industrials</t>
        </is>
      </c>
      <c r="F107" s="31" t="inlineStr">
        <is>
          <t>electric equipment</t>
        </is>
      </c>
      <c r="G107" s="31" t="inlineStr">
        <is>
          <t>smallcap</t>
        </is>
      </c>
      <c r="H107" s="32" t="n">
        <v>3059.01</v>
      </c>
      <c r="I107" s="32" t="n">
        <v>1880</v>
      </c>
      <c r="J107" s="32" t="n">
        <v>-3.43</v>
      </c>
      <c r="K107" s="32" t="n">
        <v>38629</v>
      </c>
      <c r="L107" s="31" t="n">
        <v>70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65.62</v>
      </c>
      <c r="P107" s="32" t="n">
        <v>33.8</v>
      </c>
      <c r="Q107" s="32" t="n">
        <v>1252.85</v>
      </c>
      <c r="R107" s="31" t="inlineStr">
        <is>
          <t>Volume Spike &amp; Near 52W High Breakout</t>
        </is>
      </c>
      <c r="S107" s="31" t="inlineStr">
        <is>
          <t>Nifty 50</t>
        </is>
      </c>
      <c r="T107" s="32" t="n">
        <v>-5.04</v>
      </c>
      <c r="U107" s="32" t="n">
        <v>20.02</v>
      </c>
      <c r="V107" s="32" t="n">
        <v>26.39</v>
      </c>
      <c r="W107" s="32" t="n">
        <v>17.24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Between 0.7 to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IF(B108=0,"",RANK(B108,$B$2:$B$251,0))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JAYBARMARU</t>
        </is>
      </c>
      <c r="D108" s="31" t="inlineStr">
        <is>
          <t>Jay Bharat Maruti Limited</t>
        </is>
      </c>
      <c r="E108" s="31" t="inlineStr">
        <is>
          <t>auto</t>
        </is>
      </c>
      <c r="F108" s="31" t="inlineStr">
        <is>
          <t>auto ancillaries</t>
        </is>
      </c>
      <c r="G108" s="31" t="inlineStr">
        <is>
          <t>smallcap</t>
        </is>
      </c>
      <c r="H108" s="32" t="n">
        <v>2030.77</v>
      </c>
      <c r="I108" s="32" t="n">
        <v>178.22</v>
      </c>
      <c r="J108" s="32" t="n">
        <v>-5</v>
      </c>
      <c r="K108" s="32" t="n">
        <v>1310670</v>
      </c>
      <c r="L108" s="31" t="n">
        <v>94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76.53</v>
      </c>
      <c r="P108" s="32" t="n">
        <v>33.72</v>
      </c>
      <c r="Q108" s="32" t="n">
        <v>132.68</v>
      </c>
      <c r="R108" s="31" t="inlineStr">
        <is>
          <t>Near 52W High Breakout</t>
        </is>
      </c>
      <c r="S108" s="31" t="inlineStr">
        <is>
          <t>Nifty Auto</t>
        </is>
      </c>
      <c r="T108" s="32" t="n">
        <v>13.79</v>
      </c>
      <c r="U108" s="32" t="n">
        <v>137.21</v>
      </c>
      <c r="V108" s="32" t="n">
        <v>108.47</v>
      </c>
      <c r="W108" s="32" t="n">
        <v>43.67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Between 50% to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IF(B109=0,"",RANK(B109,$B$2:$B$251,0))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HFCL</t>
        </is>
      </c>
      <c r="D109" s="31" t="inlineStr">
        <is>
          <t>HFCL Ltd</t>
        </is>
      </c>
      <c r="E109" s="31" t="inlineStr">
        <is>
          <t>telecom</t>
        </is>
      </c>
      <c r="F109" s="31" t="inlineStr">
        <is>
          <t>cables - telephone</t>
        </is>
      </c>
      <c r="G109" s="31" t="inlineStr">
        <is>
          <t>largecap</t>
        </is>
      </c>
      <c r="H109" s="32" t="n">
        <v>34597.74</v>
      </c>
      <c r="I109" s="32" t="n">
        <v>214.74</v>
      </c>
      <c r="J109" s="32" t="n">
        <v>-5</v>
      </c>
      <c r="K109" s="32" t="n">
        <v>16300122</v>
      </c>
      <c r="L109" s="31" t="n">
        <v>98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85.03</v>
      </c>
      <c r="P109" s="32" t="n">
        <v>66.19</v>
      </c>
      <c r="Q109" s="32" t="n">
        <v>161.75</v>
      </c>
      <c r="R109" s="31" t="inlineStr">
        <is>
          <t>Near 52W High Breakout</t>
        </is>
      </c>
      <c r="S109" s="31" t="inlineStr">
        <is>
          <t>Nifty Infra</t>
        </is>
      </c>
      <c r="T109" s="32" t="n">
        <v>-0.07000000000000001</v>
      </c>
      <c r="U109" s="32" t="n">
        <v>164.8</v>
      </c>
      <c r="V109" s="32" t="n">
        <v>165</v>
      </c>
      <c r="W109" s="32" t="n">
        <v>63.61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Oligopoly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Negative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IF(B110=0,"",RANK(B110,$B$2:$B$251,0))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RAINBOW</t>
        </is>
      </c>
      <c r="D110" s="33" t="inlineStr">
        <is>
          <t>Rainbow Childrens Medicare Ltd</t>
        </is>
      </c>
      <c r="E110" s="31" t="inlineStr">
        <is>
          <t>healthcare</t>
        </is>
      </c>
      <c r="F110" s="31" t="inlineStr">
        <is>
          <t>healthcare</t>
        </is>
      </c>
      <c r="G110" s="31" t="inlineStr">
        <is>
          <t>midcap</t>
        </is>
      </c>
      <c r="H110" s="32" t="n">
        <v>14441.71</v>
      </c>
      <c r="I110" s="32" t="n">
        <v>1431.1</v>
      </c>
      <c r="J110" s="32" t="n">
        <v>0.64</v>
      </c>
      <c r="K110" s="32" t="n">
        <v>113576</v>
      </c>
      <c r="L110" s="31" t="n">
        <v>8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62.53</v>
      </c>
      <c r="P110" s="32" t="n">
        <v>27.74</v>
      </c>
      <c r="Q110" s="32" t="n">
        <v>1242</v>
      </c>
      <c r="R110" s="31" t="inlineStr">
        <is>
          <t>Earnings / Momentum Support</t>
        </is>
      </c>
      <c r="S110" s="31" t="inlineStr">
        <is>
          <t>Nifty Pharma</t>
        </is>
      </c>
      <c r="T110" s="32" t="n">
        <v>14.42</v>
      </c>
      <c r="U110" s="32" t="n">
        <v>-6.29</v>
      </c>
      <c r="V110" s="32" t="n">
        <v>-18.1</v>
      </c>
      <c r="W110" s="32" t="n">
        <v>1.98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IF(B111=0,"",RANK(B111,$B$2:$B$251,0))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PGHL</t>
        </is>
      </c>
      <c r="D111" s="33" t="inlineStr">
        <is>
          <t>Procter &amp; Gamble Health Ltd</t>
        </is>
      </c>
      <c r="E111" s="31" t="inlineStr">
        <is>
          <t>healthcare</t>
        </is>
      </c>
      <c r="F111" s="31" t="inlineStr">
        <is>
          <t>pharmaceuticals - multinational</t>
        </is>
      </c>
      <c r="G111" s="31" t="inlineStr">
        <is>
          <t>midcap</t>
        </is>
      </c>
      <c r="H111" s="32" t="n">
        <v>10375.44</v>
      </c>
      <c r="I111" s="32" t="n">
        <v>6274</v>
      </c>
      <c r="J111" s="32" t="n">
        <v>0.38</v>
      </c>
      <c r="K111" s="32" t="n">
        <v>35050</v>
      </c>
      <c r="L111" s="31" t="n">
        <v>41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71.58</v>
      </c>
      <c r="P111" s="32" t="n">
        <v>56.1</v>
      </c>
      <c r="Q111" s="32" t="n">
        <v>5447.81</v>
      </c>
      <c r="R111" s="31" t="inlineStr">
        <is>
          <t>Near 52W High Breakout</t>
        </is>
      </c>
      <c r="S111" s="31" t="inlineStr">
        <is>
          <t>Nifty Pharma</t>
        </is>
      </c>
      <c r="T111" s="32" t="n">
        <v>14.42</v>
      </c>
      <c r="U111" s="32" t="n">
        <v>12.88</v>
      </c>
      <c r="V111" s="32" t="n">
        <v>-1.34</v>
      </c>
      <c r="W111" s="32" t="n">
        <v>8.630000000000001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IF(B112=0,"",RANK(B112,$B$2:$B$251,0))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VSTIND</t>
        </is>
      </c>
      <c r="D112" s="31" t="inlineStr">
        <is>
          <t>Vst Industries Limited</t>
        </is>
      </c>
      <c r="E112" s="31" t="inlineStr">
        <is>
          <t>fmcg</t>
        </is>
      </c>
      <c r="F112" s="31" t="inlineStr">
        <is>
          <t>cigarettes</t>
        </is>
      </c>
      <c r="G112" s="31" t="inlineStr">
        <is>
          <t>smallcap</t>
        </is>
      </c>
      <c r="H112" s="32" t="n">
        <v>4543.79</v>
      </c>
      <c r="I112" s="32" t="n">
        <v>265.65</v>
      </c>
      <c r="J112" s="32" t="n">
        <v>-0.6899999999999999</v>
      </c>
      <c r="K112" s="32" t="n">
        <v>871136</v>
      </c>
      <c r="L112" s="31" t="n">
        <v>6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59.54</v>
      </c>
      <c r="P112" s="32" t="n">
        <v>20.94</v>
      </c>
      <c r="Q112" s="32" t="n">
        <v>228.53</v>
      </c>
      <c r="R112" s="31" t="inlineStr">
        <is>
          <t>Earnings / Momentum Support</t>
        </is>
      </c>
      <c r="S112" s="31" t="inlineStr">
        <is>
          <t>Nifty FMCG</t>
        </is>
      </c>
      <c r="T112" s="32" t="n">
        <v>-12.4</v>
      </c>
      <c r="U112" s="32" t="n">
        <v>-10.93</v>
      </c>
      <c r="V112" s="32" t="n">
        <v>1.68</v>
      </c>
      <c r="W112" s="32" t="n">
        <v>1.42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B2C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Less than 50%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IF(B113=0,"",RANK(B113,$B$2:$B$251,0))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SUNPHARMA</t>
        </is>
      </c>
      <c r="D113" s="33" t="inlineStr">
        <is>
          <t>Sun Pharmaceuticals Industries Limited</t>
        </is>
      </c>
      <c r="E113" s="31" t="inlineStr">
        <is>
          <t>healthcare</t>
        </is>
      </c>
      <c r="F113" s="31" t="inlineStr">
        <is>
          <t>pharmaceuticals - indian - bulk drugs &amp; formln</t>
        </is>
      </c>
      <c r="G113" s="31" t="inlineStr">
        <is>
          <t>largecap</t>
        </is>
      </c>
      <c r="H113" s="32" t="n">
        <v>456689.42</v>
      </c>
      <c r="I113" s="32" t="n">
        <v>1888.2</v>
      </c>
      <c r="J113" s="32" t="n">
        <v>-0.8</v>
      </c>
      <c r="K113" s="32" t="n">
        <v>2786000</v>
      </c>
      <c r="L113" s="31" t="n">
        <v>27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61.37</v>
      </c>
      <c r="P113" s="32" t="n">
        <v>16.51</v>
      </c>
      <c r="Q113" s="32" t="n">
        <v>1671.94</v>
      </c>
      <c r="R113" s="31" t="inlineStr">
        <is>
          <t>Near 52W High Breakout</t>
        </is>
      </c>
      <c r="S113" s="31" t="inlineStr">
        <is>
          <t>Nifty Pharma</t>
        </is>
      </c>
      <c r="T113" s="32" t="n">
        <v>14.42</v>
      </c>
      <c r="U113" s="32" t="n">
        <v>13.96</v>
      </c>
      <c r="V113" s="32" t="n">
        <v>-0.4</v>
      </c>
      <c r="W113" s="32" t="n">
        <v>5.71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0 to 20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Between 1.5 to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IF(B114=0,"",RANK(B114,$B$2:$B$251,0))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AJANTPHARM</t>
        </is>
      </c>
      <c r="D114" s="31" t="inlineStr">
        <is>
          <t>Ajanta Pharma Limited</t>
        </is>
      </c>
      <c r="E114" s="31" t="inlineStr">
        <is>
          <t>healthcare</t>
        </is>
      </c>
      <c r="F114" s="31" t="inlineStr">
        <is>
          <t>pharmaceuticals - indian - formulations</t>
        </is>
      </c>
      <c r="G114" s="31" t="inlineStr">
        <is>
          <t>largecap</t>
        </is>
      </c>
      <c r="H114" s="32" t="n">
        <v>41409.91</v>
      </c>
      <c r="I114" s="32" t="n">
        <v>3278.8</v>
      </c>
      <c r="J114" s="32" t="n">
        <v>-1.08</v>
      </c>
      <c r="K114" s="32" t="n">
        <v>122540</v>
      </c>
      <c r="L114" s="31" t="n">
        <v>41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64.11</v>
      </c>
      <c r="P114" s="32" t="n">
        <v>37.24</v>
      </c>
      <c r="Q114" s="32" t="n">
        <v>2735.96</v>
      </c>
      <c r="R114" s="31" t="inlineStr">
        <is>
          <t>Near 52W High Breakout</t>
        </is>
      </c>
      <c r="S114" s="31" t="inlineStr">
        <is>
          <t>Nifty Pharma</t>
        </is>
      </c>
      <c r="T114" s="32" t="n">
        <v>14.42</v>
      </c>
      <c r="U114" s="32" t="n">
        <v>26.24</v>
      </c>
      <c r="V114" s="32" t="n">
        <v>10.33</v>
      </c>
      <c r="W114" s="32" t="n">
        <v>8.539999999999999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Between 12 to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Less than 50%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IF(B115=0,"",RANK(B115,$B$2:$B$251,0))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CAPLIPOINT</t>
        </is>
      </c>
      <c r="D115" s="31" t="inlineStr">
        <is>
          <t>Caplin Point Laboratories Limited</t>
        </is>
      </c>
      <c r="E115" s="31" t="inlineStr">
        <is>
          <t>healthcare</t>
        </is>
      </c>
      <c r="F115" s="31" t="inlineStr">
        <is>
          <t>pharmaceuticals - indian - formulations</t>
        </is>
      </c>
      <c r="G115" s="31" t="inlineStr">
        <is>
          <t>midcap</t>
        </is>
      </c>
      <c r="H115" s="32" t="n">
        <v>19510.68</v>
      </c>
      <c r="I115" s="32" t="n">
        <v>2528.4</v>
      </c>
      <c r="J115" s="32" t="n">
        <v>-1.5</v>
      </c>
      <c r="K115" s="32" t="n">
        <v>111713</v>
      </c>
      <c r="L115" s="31" t="n">
        <v>68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78.62</v>
      </c>
      <c r="P115" s="32" t="n">
        <v>30.16</v>
      </c>
      <c r="Q115" s="32" t="n">
        <v>2082.94</v>
      </c>
      <c r="R115" s="31" t="inlineStr">
        <is>
          <t>Near 52W High Breakout</t>
        </is>
      </c>
      <c r="S115" s="31" t="inlineStr">
        <is>
          <t>Nifty Pharma</t>
        </is>
      </c>
      <c r="T115" s="32" t="n">
        <v>14.42</v>
      </c>
      <c r="U115" s="32" t="n">
        <v>25.38</v>
      </c>
      <c r="V115" s="32" t="n">
        <v>9.58</v>
      </c>
      <c r="W115" s="32" t="n">
        <v>16.15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Between 12 to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Between 1.5 to 2</t>
        </is>
      </c>
      <c r="BU115" s="31">
        <f>IF(BT115="Above 2",0,IF(BT115="Between 1.5 to 2",5,IF(BT115="Less than 1.5",10,0)))</f>
        <v/>
      </c>
      <c r="BV115" s="31" t="inlineStr">
        <is>
          <t>Between 50% to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IF(B116=0,"",RANK(B116,$B$2:$B$251,0))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BLSE</t>
        </is>
      </c>
      <c r="D116" s="31" t="inlineStr">
        <is>
          <t>BLS E-Services Ltd</t>
        </is>
      </c>
      <c r="E116" s="31" t="inlineStr">
        <is>
          <t>i.t</t>
        </is>
      </c>
      <c r="F116" s="31" t="inlineStr">
        <is>
          <t>computers - software - medium / small</t>
        </is>
      </c>
      <c r="G116" s="31" t="inlineStr">
        <is>
          <t>smallcap</t>
        </is>
      </c>
      <c r="H116" s="32" t="n">
        <v>2427.05</v>
      </c>
      <c r="I116" s="32" t="n">
        <v>261.4</v>
      </c>
      <c r="J116" s="32" t="n">
        <v>-2.15</v>
      </c>
      <c r="K116" s="32" t="n">
        <v>683342</v>
      </c>
      <c r="L116" s="31" t="n">
        <v>79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74</v>
      </c>
      <c r="P116" s="32" t="n">
        <v>26.79</v>
      </c>
      <c r="Q116" s="32" t="n">
        <v>204.94</v>
      </c>
      <c r="R116" s="31" t="inlineStr">
        <is>
          <t>Volume Spike &amp; Near 52W High Breakout</t>
        </is>
      </c>
      <c r="S116" s="31" t="inlineStr">
        <is>
          <t>Nifty IT</t>
        </is>
      </c>
      <c r="T116" s="32" t="n">
        <v>-26.9</v>
      </c>
      <c r="U116" s="32" t="n">
        <v>41.47</v>
      </c>
      <c r="V116" s="32" t="n">
        <v>93.52</v>
      </c>
      <c r="W116" s="32" t="n">
        <v>22.01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Between 50% to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IF(B117=0,"",RANK(B117,$B$2:$B$251,0))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TRIVENI</t>
        </is>
      </c>
      <c r="D117" s="31" t="inlineStr">
        <is>
          <t>Triveni Engineering &amp; Industries Limited</t>
        </is>
      </c>
      <c r="E117" s="31" t="inlineStr">
        <is>
          <t>fmcg</t>
        </is>
      </c>
      <c r="F117" s="31" t="inlineStr">
        <is>
          <t>sugar</t>
        </is>
      </c>
      <c r="G117" s="31" t="inlineStr">
        <is>
          <t>midcap</t>
        </is>
      </c>
      <c r="H117" s="32" t="n">
        <v>10049.61</v>
      </c>
      <c r="I117" s="32" t="n">
        <v>449.1</v>
      </c>
      <c r="J117" s="32" t="n">
        <v>-2.18</v>
      </c>
      <c r="K117" s="32" t="n">
        <v>562396</v>
      </c>
      <c r="L117" s="31" t="n">
        <v>38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64.87</v>
      </c>
      <c r="P117" s="32" t="n">
        <v>21.34</v>
      </c>
      <c r="Q117" s="32" t="n">
        <v>364.79</v>
      </c>
      <c r="R117" s="31" t="inlineStr">
        <is>
          <t>Near 52W High Breakout</t>
        </is>
      </c>
      <c r="S117" s="31" t="inlineStr">
        <is>
          <t>Nifty FMCG</t>
        </is>
      </c>
      <c r="T117" s="32" t="n">
        <v>-12.4</v>
      </c>
      <c r="U117" s="32" t="n">
        <v>23.96</v>
      </c>
      <c r="V117" s="32" t="n">
        <v>41.51</v>
      </c>
      <c r="W117" s="32" t="n">
        <v>8.08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B2C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Less than 50%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IF(B118=0,"",RANK(B118,$B$2:$B$251,0))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IKS</t>
        </is>
      </c>
      <c r="D118" s="31" t="inlineStr">
        <is>
          <t>Inventurus Knowledge Solutions Ltd</t>
        </is>
      </c>
      <c r="E118" s="31" t="inlineStr">
        <is>
          <t>i.t</t>
        </is>
      </c>
      <c r="F118" s="31" t="inlineStr">
        <is>
          <t>computers - software - medium / small</t>
        </is>
      </c>
      <c r="G118" s="31" t="inlineStr">
        <is>
          <t>largecap</t>
        </is>
      </c>
      <c r="H118" s="32" t="n">
        <v>32435.91</v>
      </c>
      <c r="I118" s="32" t="n">
        <v>1831.9</v>
      </c>
      <c r="J118" s="32" t="n">
        <v>-3.1</v>
      </c>
      <c r="K118" s="32" t="n">
        <v>343116</v>
      </c>
      <c r="L118" s="31" t="n">
        <v>33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63.75</v>
      </c>
      <c r="P118" s="32" t="n">
        <v>9.17</v>
      </c>
      <c r="Q118" s="32" t="n">
        <v>1481.19</v>
      </c>
      <c r="R118" s="31" t="inlineStr">
        <is>
          <t>Near 52W High Breakout</t>
        </is>
      </c>
      <c r="S118" s="31" t="inlineStr">
        <is>
          <t>Nifty IT</t>
        </is>
      </c>
      <c r="T118" s="32" t="n">
        <v>-26.9</v>
      </c>
      <c r="U118" s="32" t="n">
        <v>15.56</v>
      </c>
      <c r="V118" s="32" t="n">
        <v>58.08</v>
      </c>
      <c r="W118" s="32" t="n">
        <v>7.14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0 to 20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Between 50% to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IF(B119=0,"",RANK(B119,$B$2:$B$251,0))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HMVL</t>
        </is>
      </c>
      <c r="D119" s="31" t="inlineStr">
        <is>
          <t>Hindustan Media Ventures Limited</t>
        </is>
      </c>
      <c r="E119" s="31" t="inlineStr">
        <is>
          <t>media</t>
        </is>
      </c>
      <c r="F119" s="31" t="inlineStr">
        <is>
          <t>entertainment / electronic media software</t>
        </is>
      </c>
      <c r="G119" s="31" t="inlineStr">
        <is>
          <t>smallcap</t>
        </is>
      </c>
      <c r="H119" s="32" t="n">
        <v>672.33</v>
      </c>
      <c r="I119" s="32" t="n">
        <v>86.27</v>
      </c>
      <c r="J119" s="32" t="n">
        <v>-5.47</v>
      </c>
      <c r="K119" s="32" t="n">
        <v>64066</v>
      </c>
      <c r="L119" s="31" t="n">
        <v>32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66.40000000000001</v>
      </c>
      <c r="P119" s="32" t="n">
        <v>27.25</v>
      </c>
      <c r="Q119" s="32" t="n">
        <v>68.77</v>
      </c>
      <c r="R119" s="31" t="inlineStr">
        <is>
          <t>Near 52W High Breakout</t>
        </is>
      </c>
      <c r="S119" s="31" t="inlineStr">
        <is>
          <t>Nifty IT</t>
        </is>
      </c>
      <c r="T119" s="32" t="n">
        <v>-26.9</v>
      </c>
      <c r="U119" s="32" t="n">
        <v>-0.47</v>
      </c>
      <c r="V119" s="32" t="n">
        <v>36.15</v>
      </c>
      <c r="W119" s="32" t="n">
        <v>7.09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Between 50% to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IF(B120=0,"",RANK(B120,$B$2:$B$251,0))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ITDC</t>
        </is>
      </c>
      <c r="D120" s="31" t="inlineStr">
        <is>
          <t>India Tourism Development Corporation Ltd</t>
        </is>
      </c>
      <c r="E120" s="31" t="inlineStr">
        <is>
          <t>services</t>
        </is>
      </c>
      <c r="F120" s="31" t="inlineStr">
        <is>
          <t>hotels</t>
        </is>
      </c>
      <c r="G120" s="31" t="inlineStr">
        <is>
          <t>midcap</t>
        </is>
      </c>
      <c r="H120" s="32" t="n">
        <v>6027.87</v>
      </c>
      <c r="I120" s="32" t="n">
        <v>723.4</v>
      </c>
      <c r="J120" s="32" t="n">
        <v>2.93</v>
      </c>
      <c r="K120" s="32" t="n">
        <v>32758491</v>
      </c>
      <c r="L120" s="31" t="n">
        <v>38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63.57</v>
      </c>
      <c r="P120" s="32" t="n">
        <v>31.5</v>
      </c>
      <c r="Q120" s="32" t="n">
        <v>503.73</v>
      </c>
      <c r="R120" s="31" t="inlineStr">
        <is>
          <t>Volume Spike &amp; Near 52W High Breakout</t>
        </is>
      </c>
      <c r="S120" s="31" t="inlineStr">
        <is>
          <t>Nifty 50</t>
        </is>
      </c>
      <c r="T120" s="32" t="n">
        <v>-5.04</v>
      </c>
      <c r="U120" s="32" t="n">
        <v>21.07</v>
      </c>
      <c r="V120" s="32" t="n">
        <v>27.49</v>
      </c>
      <c r="W120" s="32" t="n">
        <v>8.039999999999999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IF(B121=0,"",RANK(B121,$B$2:$B$251,0))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VAIBHAVGBL</t>
        </is>
      </c>
      <c r="D121" s="31" t="inlineStr">
        <is>
          <t>Vaibhav Global Limited</t>
        </is>
      </c>
      <c r="E121" s="31" t="inlineStr">
        <is>
          <t>consumer discretionary</t>
        </is>
      </c>
      <c r="F121" s="31" t="inlineStr">
        <is>
          <t>diamond cutting / jewellery</t>
        </is>
      </c>
      <c r="G121" s="31" t="inlineStr">
        <is>
          <t>smallcap</t>
        </is>
      </c>
      <c r="H121" s="32" t="n">
        <v>3959.84</v>
      </c>
      <c r="I121" s="32" t="n">
        <v>242.77</v>
      </c>
      <c r="J121" s="32" t="n">
        <v>2.43</v>
      </c>
      <c r="K121" s="32" t="n">
        <v>3259330</v>
      </c>
      <c r="L121" s="31" t="n">
        <v>17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57.3</v>
      </c>
      <c r="P121" s="32" t="n">
        <v>15.04</v>
      </c>
      <c r="Q121" s="32" t="n">
        <v>179.8</v>
      </c>
      <c r="R121" s="31" t="inlineStr">
        <is>
          <t>Volume Spike / Accumulation</t>
        </is>
      </c>
      <c r="S121" s="31" t="inlineStr">
        <is>
          <t>Nifty 50</t>
        </is>
      </c>
      <c r="T121" s="32" t="n">
        <v>-5.04</v>
      </c>
      <c r="U121" s="32" t="n">
        <v>5.18</v>
      </c>
      <c r="V121" s="32" t="n">
        <v>10.76</v>
      </c>
      <c r="W121" s="32" t="n">
        <v>3.64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0 to 20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IF(B122=0,"",RANK(B122,$B$2:$B$251,0))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BHAGCHEM</t>
        </is>
      </c>
      <c r="D122" s="31" t="inlineStr">
        <is>
          <t>Bhagiradha Chemicals &amp; Industries Ltd</t>
        </is>
      </c>
      <c r="E122" s="31" t="inlineStr">
        <is>
          <t>chemicals</t>
        </is>
      </c>
      <c r="F122" s="31" t="inlineStr">
        <is>
          <t>pesticides / agrochemicals - indian</t>
        </is>
      </c>
      <c r="G122" s="31" t="inlineStr">
        <is>
          <t>smallcap</t>
        </is>
      </c>
      <c r="H122" s="32" t="n">
        <v>3694.27</v>
      </c>
      <c r="I122" s="32" t="n">
        <v>291.1</v>
      </c>
      <c r="J122" s="32" t="n">
        <v>2.18</v>
      </c>
      <c r="K122" s="32" t="n">
        <v>588229</v>
      </c>
      <c r="L122" s="31" t="n">
        <v>34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68.03</v>
      </c>
      <c r="P122" s="32" t="n">
        <v>22.92</v>
      </c>
      <c r="Q122" s="32" t="n">
        <v>218.6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-5.04</v>
      </c>
      <c r="U122" s="32" t="n">
        <v>-1.47</v>
      </c>
      <c r="V122" s="32" t="n">
        <v>3.76</v>
      </c>
      <c r="W122" s="32" t="n">
        <v>7.31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Less than 50%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IF(B123=0,"",RANK(B123,$B$2:$B$251,0))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XPROINDIA</t>
        </is>
      </c>
      <c r="D123" s="31" t="inlineStr">
        <is>
          <t>Xpro India Limited</t>
        </is>
      </c>
      <c r="E123" s="31" t="inlineStr">
        <is>
          <t>industrials</t>
        </is>
      </c>
      <c r="F123" s="31" t="inlineStr">
        <is>
          <t>packaging</t>
        </is>
      </c>
      <c r="G123" s="31" t="inlineStr">
        <is>
          <t>smallcap</t>
        </is>
      </c>
      <c r="H123" s="32" t="n">
        <v>3305.34</v>
      </c>
      <c r="I123" s="32" t="n">
        <v>1433.5</v>
      </c>
      <c r="J123" s="32" t="n">
        <v>1.79</v>
      </c>
      <c r="K123" s="32" t="n">
        <v>83810</v>
      </c>
      <c r="L123" s="31" t="n">
        <v>52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67.06999999999999</v>
      </c>
      <c r="P123" s="32" t="n">
        <v>34.74</v>
      </c>
      <c r="Q123" s="32" t="n">
        <v>1113.21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-5.04</v>
      </c>
      <c r="U123" s="32" t="n">
        <v>20.47</v>
      </c>
      <c r="V123" s="32" t="n">
        <v>26.86</v>
      </c>
      <c r="W123" s="32" t="n">
        <v>11.38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Between 1.5 to 2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IF(B124=0,"",RANK(B124,$B$2:$B$251,0))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EXIDEIND</t>
        </is>
      </c>
      <c r="D124" s="33" t="inlineStr">
        <is>
          <t>Exide Industries Limited</t>
        </is>
      </c>
      <c r="E124" s="31" t="inlineStr">
        <is>
          <t>auto</t>
        </is>
      </c>
      <c r="F124" s="31" t="inlineStr">
        <is>
          <t>auto ancillaries</t>
        </is>
      </c>
      <c r="G124" s="31" t="inlineStr">
        <is>
          <t>largecap</t>
        </is>
      </c>
      <c r="H124" s="32" t="n">
        <v>35232.5</v>
      </c>
      <c r="I124" s="32" t="n">
        <v>421.35</v>
      </c>
      <c r="J124" s="32" t="n">
        <v>1.65</v>
      </c>
      <c r="K124" s="32" t="n">
        <v>6891443</v>
      </c>
      <c r="L124" s="31" t="n">
        <v>45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67.81</v>
      </c>
      <c r="P124" s="32" t="n">
        <v>28.78</v>
      </c>
      <c r="Q124" s="32" t="n">
        <v>346.43</v>
      </c>
      <c r="R124" s="31" t="inlineStr">
        <is>
          <t>Near 52W High Breakout</t>
        </is>
      </c>
      <c r="S124" s="31" t="inlineStr">
        <is>
          <t>Nifty Auto</t>
        </is>
      </c>
      <c r="T124" s="32" t="n">
        <v>13.79</v>
      </c>
      <c r="U124" s="32" t="n">
        <v>11.81</v>
      </c>
      <c r="V124" s="32" t="n">
        <v>-1.74</v>
      </c>
      <c r="W124" s="32" t="n">
        <v>9.380000000000001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Between 12 to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IF(B125=0,"",RANK(B125,$B$2:$B$251,0))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3" t="inlineStr">
        <is>
          <t>SUPRAJIT</t>
        </is>
      </c>
      <c r="D125" s="33" t="inlineStr">
        <is>
          <t>Suprajit Engineering Limited</t>
        </is>
      </c>
      <c r="E125" s="31" t="inlineStr">
        <is>
          <t>auto</t>
        </is>
      </c>
      <c r="F125" s="31" t="inlineStr">
        <is>
          <t>auto ancillaries</t>
        </is>
      </c>
      <c r="G125" s="31" t="inlineStr">
        <is>
          <t>midcap</t>
        </is>
      </c>
      <c r="H125" s="32" t="n">
        <v>6682.98</v>
      </c>
      <c r="I125" s="32" t="n">
        <v>492.65</v>
      </c>
      <c r="J125" s="32" t="n">
        <v>1.12</v>
      </c>
      <c r="K125" s="32" t="n">
        <v>793957</v>
      </c>
      <c r="L125" s="31" t="n">
        <v>22</v>
      </c>
      <c r="M125" s="31" t="inlineStr">
        <is>
          <t>Underperforming</t>
        </is>
      </c>
      <c r="N125" s="32">
        <f>IF(M125="Underperforming",-5,IF(L125&gt;=95,15,IF(L125&gt;=90,10,IF(L125&gt;=80,5,0))))</f>
        <v/>
      </c>
      <c r="O125" s="32" t="n">
        <v>61.27</v>
      </c>
      <c r="P125" s="32" t="n">
        <v>30.9</v>
      </c>
      <c r="Q125" s="32" t="n">
        <v>392.75</v>
      </c>
      <c r="R125" s="31" t="inlineStr">
        <is>
          <t>Near 52W High Breakout</t>
        </is>
      </c>
      <c r="S125" s="31" t="inlineStr">
        <is>
          <t>Nifty Auto</t>
        </is>
      </c>
      <c r="T125" s="32" t="n">
        <v>13.79</v>
      </c>
      <c r="U125" s="32" t="n">
        <v>10.64</v>
      </c>
      <c r="V125" s="32" t="n">
        <v>-2.77</v>
      </c>
      <c r="W125" s="32" t="n">
        <v>4.74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Less than 50%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IF(B126=0,"",RANK(B126,$B$2:$B$251,0))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SPAL</t>
        </is>
      </c>
      <c r="D126" s="31" t="inlineStr">
        <is>
          <t>S. P. Apparels Limited</t>
        </is>
      </c>
      <c r="E126" s="31" t="inlineStr">
        <is>
          <t>consumer discretionary</t>
        </is>
      </c>
      <c r="F126" s="31" t="inlineStr">
        <is>
          <t>textiles - products</t>
        </is>
      </c>
      <c r="G126" s="31" t="inlineStr">
        <is>
          <t>smallcap</t>
        </is>
      </c>
      <c r="H126" s="32" t="n">
        <v>2894.74</v>
      </c>
      <c r="I126" s="32" t="n">
        <v>1161</v>
      </c>
      <c r="J126" s="32" t="n">
        <v>0.83</v>
      </c>
      <c r="K126" s="32" t="n">
        <v>421935</v>
      </c>
      <c r="L126" s="31" t="n">
        <v>75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81.90000000000001</v>
      </c>
      <c r="P126" s="32" t="n">
        <v>36.51</v>
      </c>
      <c r="Q126" s="32" t="n">
        <v>869.46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-5.04</v>
      </c>
      <c r="U126" s="32" t="n">
        <v>38.26</v>
      </c>
      <c r="V126" s="32" t="n">
        <v>45.6</v>
      </c>
      <c r="W126" s="32" t="n">
        <v>19.37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IF(B127=0,"",RANK(B127,$B$2:$B$251,0))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ADANIENSOL</t>
        </is>
      </c>
      <c r="D127" s="31" t="inlineStr">
        <is>
          <t>Adani Energy Solutions Ltd</t>
        </is>
      </c>
      <c r="E127" s="31" t="inlineStr">
        <is>
          <t>power &amp; utilities</t>
        </is>
      </c>
      <c r="F127" s="31" t="inlineStr">
        <is>
          <t>power generation and supply</t>
        </is>
      </c>
      <c r="G127" s="31" t="inlineStr">
        <is>
          <t>largecap</t>
        </is>
      </c>
      <c r="H127" s="32" t="n">
        <v>198331.76</v>
      </c>
      <c r="I127" s="32" t="n">
        <v>1655.5</v>
      </c>
      <c r="J127" s="32" t="n">
        <v>0.27</v>
      </c>
      <c r="K127" s="32" t="n">
        <v>4413897</v>
      </c>
      <c r="L127" s="31" t="n">
        <v>80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73.84999999999999</v>
      </c>
      <c r="P127" s="32" t="n">
        <v>49.1</v>
      </c>
      <c r="Q127" s="32" t="n">
        <v>1310.44</v>
      </c>
      <c r="R127" s="31" t="inlineStr">
        <is>
          <t>Near 52W High Breakout</t>
        </is>
      </c>
      <c r="S127" s="31" t="inlineStr">
        <is>
          <t>Nifty IT</t>
        </is>
      </c>
      <c r="T127" s="32" t="n">
        <v>-26.9</v>
      </c>
      <c r="U127" s="32" t="n">
        <v>89.41</v>
      </c>
      <c r="V127" s="32" t="n">
        <v>159.09</v>
      </c>
      <c r="W127" s="32" t="n">
        <v>23.23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More than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IF(B128=0,"",RANK(B128,$B$2:$B$251,0))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SCHNEIDER</t>
        </is>
      </c>
      <c r="D128" s="31" t="inlineStr">
        <is>
          <t>Schneider Electric Infrastructure Limited</t>
        </is>
      </c>
      <c r="E128" s="31" t="inlineStr">
        <is>
          <t>industrials</t>
        </is>
      </c>
      <c r="F128" s="31" t="inlineStr">
        <is>
          <t>electric equipment</t>
        </is>
      </c>
      <c r="G128" s="31" t="inlineStr">
        <is>
          <t>largecap</t>
        </is>
      </c>
      <c r="H128" s="32" t="n">
        <v>35688.67</v>
      </c>
      <c r="I128" s="32" t="n">
        <v>1496.6</v>
      </c>
      <c r="J128" s="32" t="n">
        <v>0.27</v>
      </c>
      <c r="K128" s="32" t="n">
        <v>634379</v>
      </c>
      <c r="L128" s="31" t="n">
        <v>82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72.33</v>
      </c>
      <c r="P128" s="32" t="n">
        <v>43.74</v>
      </c>
      <c r="Q128" s="32" t="n">
        <v>1129.08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-5.04</v>
      </c>
      <c r="U128" s="32" t="n">
        <v>75.14</v>
      </c>
      <c r="V128" s="32" t="n">
        <v>84.44</v>
      </c>
      <c r="W128" s="32" t="n">
        <v>25.57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Between 50% to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IF(B129=0,"",RANK(B129,$B$2:$B$251,0))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STOVEKRAFT</t>
        </is>
      </c>
      <c r="D129" s="31" t="inlineStr">
        <is>
          <t>Stove Kraft Ltd</t>
        </is>
      </c>
      <c r="E129" s="31" t="inlineStr">
        <is>
          <t>consumer discretionary</t>
        </is>
      </c>
      <c r="F129" s="31" t="inlineStr">
        <is>
          <t>domestic appliances</t>
        </is>
      </c>
      <c r="G129" s="31" t="inlineStr">
        <is>
          <t>smallcap</t>
        </is>
      </c>
      <c r="H129" s="32" t="n">
        <v>2588.33</v>
      </c>
      <c r="I129" s="32" t="n">
        <v>782.45</v>
      </c>
      <c r="J129" s="32" t="n">
        <v>0.08</v>
      </c>
      <c r="K129" s="32" t="n">
        <v>285383</v>
      </c>
      <c r="L129" s="31" t="n">
        <v>67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76.25</v>
      </c>
      <c r="P129" s="32" t="n">
        <v>37.66</v>
      </c>
      <c r="Q129" s="32" t="n">
        <v>612.89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-5.04</v>
      </c>
      <c r="U129" s="32" t="n">
        <v>34.89</v>
      </c>
      <c r="V129" s="32" t="n">
        <v>42.05</v>
      </c>
      <c r="W129" s="32" t="n">
        <v>15.61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IF(B130=0,"",RANK(B130,$B$2:$B$251,0))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ASKAUTOLTD</t>
        </is>
      </c>
      <c r="D130" s="33" t="inlineStr">
        <is>
          <t>ASK Automotive Ltd</t>
        </is>
      </c>
      <c r="E130" s="31" t="inlineStr">
        <is>
          <t>auto</t>
        </is>
      </c>
      <c r="F130" s="31" t="inlineStr">
        <is>
          <t>auto ancillaries</t>
        </is>
      </c>
      <c r="G130" s="31" t="inlineStr">
        <is>
          <t>midcap</t>
        </is>
      </c>
      <c r="H130" s="32" t="n">
        <v>9225.290000000001</v>
      </c>
      <c r="I130" s="32" t="n">
        <v>465.5</v>
      </c>
      <c r="J130" s="32" t="n">
        <v>-0.52</v>
      </c>
      <c r="K130" s="32" t="n">
        <v>448298</v>
      </c>
      <c r="L130" s="31" t="n">
        <v>1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54.32</v>
      </c>
      <c r="P130" s="32" t="n">
        <v>7.4</v>
      </c>
      <c r="Q130" s="32" t="n">
        <v>376.93</v>
      </c>
      <c r="R130" s="31" t="inlineStr">
        <is>
          <t>Volume Spike / Accumulation</t>
        </is>
      </c>
      <c r="S130" s="31" t="inlineStr">
        <is>
          <t>Nifty Auto</t>
        </is>
      </c>
      <c r="T130" s="32" t="n">
        <v>13.79</v>
      </c>
      <c r="U130" s="32" t="n">
        <v>-13.93</v>
      </c>
      <c r="V130" s="32" t="n">
        <v>-24.36</v>
      </c>
      <c r="W130" s="32" t="n">
        <v>-1.67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0 to 20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Between 50% to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IF(B131=0,"",RANK(B131,$B$2:$B$251,0))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SONACOMS</t>
        </is>
      </c>
      <c r="D131" s="31" t="inlineStr">
        <is>
          <t>Sona BLW Precision Forgings Ltd</t>
        </is>
      </c>
      <c r="E131" s="31" t="inlineStr">
        <is>
          <t>auto</t>
        </is>
      </c>
      <c r="F131" s="31" t="inlineStr">
        <is>
          <t>auto ancillaries</t>
        </is>
      </c>
      <c r="G131" s="31" t="inlineStr">
        <is>
          <t>largecap</t>
        </is>
      </c>
      <c r="H131" s="32" t="n">
        <v>41738.36</v>
      </c>
      <c r="I131" s="32" t="n">
        <v>662.05</v>
      </c>
      <c r="J131" s="32" t="n">
        <v>-1.36</v>
      </c>
      <c r="K131" s="32" t="n">
        <v>3230617</v>
      </c>
      <c r="L131" s="31" t="n">
        <v>58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70.16</v>
      </c>
      <c r="P131" s="32" t="n">
        <v>36.22</v>
      </c>
      <c r="Q131" s="32" t="n">
        <v>553.14</v>
      </c>
      <c r="R131" s="31" t="inlineStr">
        <is>
          <t>Near 52W High Breakout</t>
        </is>
      </c>
      <c r="S131" s="31" t="inlineStr">
        <is>
          <t>Nifty Auto</t>
        </is>
      </c>
      <c r="T131" s="32" t="n">
        <v>13.79</v>
      </c>
      <c r="U131" s="32" t="n">
        <v>48.97</v>
      </c>
      <c r="V131" s="32" t="n">
        <v>30.92</v>
      </c>
      <c r="W131" s="32" t="n">
        <v>12.71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Between 12 to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Between 50% to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IF(B132=0,"",RANK(B132,$B$2:$B$251,0))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AVL</t>
        </is>
      </c>
      <c r="D132" s="31" t="inlineStr">
        <is>
          <t>Aditya Vision Ltd</t>
        </is>
      </c>
      <c r="E132" s="31" t="inlineStr">
        <is>
          <t>consumer discretionary</t>
        </is>
      </c>
      <c r="F132" s="31" t="inlineStr">
        <is>
          <t>trading</t>
        </is>
      </c>
      <c r="G132" s="31" t="inlineStr">
        <is>
          <t>midcap</t>
        </is>
      </c>
      <c r="H132" s="32" t="n">
        <v>8410.120000000001</v>
      </c>
      <c r="I132" s="32" t="n">
        <v>642.4</v>
      </c>
      <c r="J132" s="32" t="n">
        <v>-1.36</v>
      </c>
      <c r="K132" s="32" t="n">
        <v>97407</v>
      </c>
      <c r="L132" s="31" t="n">
        <v>79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67.22</v>
      </c>
      <c r="P132" s="32" t="n">
        <v>34.65</v>
      </c>
      <c r="Q132" s="32" t="n">
        <v>521.1799999999999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-5.04</v>
      </c>
      <c r="U132" s="32" t="n">
        <v>80.34999999999999</v>
      </c>
      <c r="V132" s="32" t="n">
        <v>89.92</v>
      </c>
      <c r="W132" s="32" t="n">
        <v>21.98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Between 1.5 to 2</t>
        </is>
      </c>
      <c r="BU132" s="31">
        <f>IF(BT132="Above 2",0,IF(BT132="Between 1.5 to 2",5,IF(BT132="Less than 1.5",10,0)))</f>
        <v/>
      </c>
      <c r="BV132" s="31" t="inlineStr">
        <is>
          <t>Less than 50%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IF(B133=0,"",RANK(B133,$B$2:$B$251,0))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WELENT</t>
        </is>
      </c>
      <c r="D133" s="31" t="inlineStr">
        <is>
          <t>Welspun Enterprises Limited</t>
        </is>
      </c>
      <c r="E133" s="31" t="inlineStr">
        <is>
          <t>realty</t>
        </is>
      </c>
      <c r="F133" s="31" t="inlineStr">
        <is>
          <t>construction</t>
        </is>
      </c>
      <c r="G133" s="31" t="inlineStr">
        <is>
          <t>midcap</t>
        </is>
      </c>
      <c r="H133" s="32" t="n">
        <v>8448.780000000001</v>
      </c>
      <c r="I133" s="32" t="n">
        <v>601.5</v>
      </c>
      <c r="J133" s="32" t="n">
        <v>-1.46</v>
      </c>
      <c r="K133" s="32" t="n">
        <v>229517</v>
      </c>
      <c r="L133" s="31" t="n">
        <v>54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70.34</v>
      </c>
      <c r="P133" s="32" t="n">
        <v>16.5</v>
      </c>
      <c r="Q133" s="32" t="n">
        <v>482.49</v>
      </c>
      <c r="R133" s="31" t="inlineStr">
        <is>
          <t>Near 52W High Breakout</t>
        </is>
      </c>
      <c r="S133" s="31" t="inlineStr">
        <is>
          <t>Nifty Realty</t>
        </is>
      </c>
      <c r="T133" s="32" t="n">
        <v>-9.029999999999999</v>
      </c>
      <c r="U133" s="32" t="n">
        <v>17.81</v>
      </c>
      <c r="V133" s="32" t="n">
        <v>29.51</v>
      </c>
      <c r="W133" s="32" t="n">
        <v>11.79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0 to 20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Less than 50%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IF(B134=0,"",RANK(B134,$B$2:$B$251,0))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OBEROIRLTY</t>
        </is>
      </c>
      <c r="D134" s="31" t="inlineStr">
        <is>
          <t>Oberoi Realty Limited</t>
        </is>
      </c>
      <c r="E134" s="31" t="inlineStr">
        <is>
          <t>realty</t>
        </is>
      </c>
      <c r="F134" s="31" t="inlineStr">
        <is>
          <t>construction</t>
        </is>
      </c>
      <c r="G134" s="31" t="inlineStr">
        <is>
          <t>largecap</t>
        </is>
      </c>
      <c r="H134" s="32" t="n">
        <v>69317.13</v>
      </c>
      <c r="I134" s="32" t="n">
        <v>1870.1</v>
      </c>
      <c r="J134" s="32" t="n">
        <v>-1.9</v>
      </c>
      <c r="K134" s="32" t="n">
        <v>564485</v>
      </c>
      <c r="L134" s="31" t="n">
        <v>15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63.36</v>
      </c>
      <c r="P134" s="32" t="n">
        <v>14.7</v>
      </c>
      <c r="Q134" s="32" t="n">
        <v>1614.66</v>
      </c>
      <c r="R134" s="31" t="inlineStr">
        <is>
          <t>Near 52W High Breakout</t>
        </is>
      </c>
      <c r="S134" s="31" t="inlineStr">
        <is>
          <t>Nifty Realty</t>
        </is>
      </c>
      <c r="T134" s="32" t="n">
        <v>-9.029999999999999</v>
      </c>
      <c r="U134" s="32" t="n">
        <v>2.39</v>
      </c>
      <c r="V134" s="32" t="n">
        <v>12.55</v>
      </c>
      <c r="W134" s="32" t="n">
        <v>3.22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IF(B135=0,"",RANK(B135,$B$2:$B$251,0))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BORORENEW</t>
        </is>
      </c>
      <c r="D135" s="31" t="inlineStr">
        <is>
          <t>Borosil Renewables Ltd</t>
        </is>
      </c>
      <c r="E135" s="31" t="inlineStr">
        <is>
          <t>building materials</t>
        </is>
      </c>
      <c r="F135" s="31" t="inlineStr">
        <is>
          <t>glass &amp; glass products</t>
        </is>
      </c>
      <c r="G135" s="31" t="inlineStr">
        <is>
          <t>midcap</t>
        </is>
      </c>
      <c r="H135" s="32" t="n">
        <v>8535.4</v>
      </c>
      <c r="I135" s="32" t="n">
        <v>594.6</v>
      </c>
      <c r="J135" s="32" t="n">
        <v>-2.34</v>
      </c>
      <c r="K135" s="32" t="n">
        <v>512383</v>
      </c>
      <c r="L135" s="31" t="n">
        <v>39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59.48</v>
      </c>
      <c r="P135" s="32" t="n">
        <v>22.5</v>
      </c>
      <c r="Q135" s="32" t="n">
        <v>481.97</v>
      </c>
      <c r="R135" s="31" t="inlineStr">
        <is>
          <t>Earnings / Momentum Support</t>
        </is>
      </c>
      <c r="S135" s="31" t="inlineStr">
        <is>
          <t>Nifty Infra</t>
        </is>
      </c>
      <c r="T135" s="32" t="n">
        <v>-0.07000000000000001</v>
      </c>
      <c r="U135" s="32" t="n">
        <v>6.58</v>
      </c>
      <c r="V135" s="32" t="n">
        <v>6.66</v>
      </c>
      <c r="W135" s="32" t="n">
        <v>8.18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IF(B136=0,"",RANK(B136,$B$2:$B$251,0))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SWANDEF</t>
        </is>
      </c>
      <c r="D136" s="31" t="inlineStr">
        <is>
          <t>Swan Defence and Heavy Industries Ltd</t>
        </is>
      </c>
      <c r="E136" s="31" t="inlineStr">
        <is>
          <t>transportation</t>
        </is>
      </c>
      <c r="F136" s="31" t="inlineStr">
        <is>
          <t>miscellaneous</t>
        </is>
      </c>
      <c r="G136" s="31" t="inlineStr">
        <is>
          <t>midcap</t>
        </is>
      </c>
      <c r="H136" s="32" t="n">
        <v>12135.33</v>
      </c>
      <c r="I136" s="32" t="n">
        <v>2231.9</v>
      </c>
      <c r="J136" s="32" t="n">
        <v>-3.11</v>
      </c>
      <c r="K136" s="32" t="n">
        <v>8989</v>
      </c>
      <c r="L136" s="31" t="n">
        <v>98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64.73</v>
      </c>
      <c r="P136" s="32" t="n">
        <v>44.76</v>
      </c>
      <c r="Q136" s="32" t="n">
        <v>1796.52</v>
      </c>
      <c r="R136" s="31" t="inlineStr">
        <is>
          <t>Earnings / Momentum Support</t>
        </is>
      </c>
      <c r="S136" s="31" t="inlineStr">
        <is>
          <t>Nifty 50</t>
        </is>
      </c>
      <c r="T136" s="32" t="n">
        <v>-5.04</v>
      </c>
      <c r="U136" s="32" t="n">
        <v>703.45</v>
      </c>
      <c r="V136" s="32" t="n">
        <v>746.1</v>
      </c>
      <c r="W136" s="32" t="n">
        <v>72.41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Negative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More than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IF(B137=0,"",RANK(B137,$B$2:$B$251,0))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GMRAIRPORT</t>
        </is>
      </c>
      <c r="D137" s="31" t="inlineStr">
        <is>
          <t>GMR Airports Ltd</t>
        </is>
      </c>
      <c r="E137" s="31" t="inlineStr">
        <is>
          <t>miscellaneous</t>
        </is>
      </c>
      <c r="F137" s="31" t="inlineStr">
        <is>
          <t>miscellaneous</t>
        </is>
      </c>
      <c r="G137" s="31" t="inlineStr">
        <is>
          <t>largecap</t>
        </is>
      </c>
      <c r="H137" s="32" t="n">
        <v>121407.11</v>
      </c>
      <c r="I137" s="32" t="n">
        <v>111.01</v>
      </c>
      <c r="J137" s="32" t="n">
        <v>-3.45</v>
      </c>
      <c r="K137" s="32" t="n">
        <v>31233729</v>
      </c>
      <c r="L137" s="31" t="n">
        <v>37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64.03</v>
      </c>
      <c r="P137" s="32" t="n">
        <v>18.05</v>
      </c>
      <c r="Q137" s="32" t="n">
        <v>93.81999999999999</v>
      </c>
      <c r="R137" s="31" t="inlineStr">
        <is>
          <t>Near 52W High Breakout</t>
        </is>
      </c>
      <c r="S137" s="31" t="inlineStr">
        <is>
          <t>Nifty 50</t>
        </is>
      </c>
      <c r="T137" s="32" t="n">
        <v>-5.04</v>
      </c>
      <c r="U137" s="32" t="n">
        <v>22.51</v>
      </c>
      <c r="V137" s="32" t="n">
        <v>29.02</v>
      </c>
      <c r="W137" s="32" t="n">
        <v>7.74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IF(B138=0,"",RANK(B138,$B$2:$B$251,0))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3" t="inlineStr">
        <is>
          <t>KABRAEXTRU</t>
        </is>
      </c>
      <c r="D138" s="33" t="inlineStr">
        <is>
          <t>Kabra Extrusion Technik Limited</t>
        </is>
      </c>
      <c r="E138" s="31" t="inlineStr">
        <is>
          <t>industrials</t>
        </is>
      </c>
      <c r="F138" s="31" t="inlineStr">
        <is>
          <t>engineering</t>
        </is>
      </c>
      <c r="G138" s="31" t="inlineStr">
        <is>
          <t>smallcap</t>
        </is>
      </c>
      <c r="H138" s="32" t="n">
        <v>1024.53</v>
      </c>
      <c r="I138" s="32" t="n">
        <v>281</v>
      </c>
      <c r="J138" s="32" t="n">
        <v>-4.08</v>
      </c>
      <c r="K138" s="32" t="n">
        <v>104709</v>
      </c>
      <c r="L138" s="31" t="n">
        <v>15</v>
      </c>
      <c r="M138" s="31" t="inlineStr">
        <is>
          <t>Underperforming</t>
        </is>
      </c>
      <c r="N138" s="32">
        <f>IF(M138="Underperforming",-5,IF(L138&gt;=95,15,IF(L138&gt;=90,10,IF(L138&gt;=80,5,0))))</f>
        <v/>
      </c>
      <c r="O138" s="32" t="n">
        <v>62.72</v>
      </c>
      <c r="P138" s="32" t="n">
        <v>13.25</v>
      </c>
      <c r="Q138" s="32" t="n">
        <v>201.67</v>
      </c>
      <c r="R138" s="31" t="inlineStr">
        <is>
          <t>Volume Spike / Accumulation</t>
        </is>
      </c>
      <c r="S138" s="31" t="inlineStr">
        <is>
          <t>Nifty Infra</t>
        </is>
      </c>
      <c r="T138" s="32" t="n">
        <v>-0.07000000000000001</v>
      </c>
      <c r="U138" s="32" t="n">
        <v>-13.36</v>
      </c>
      <c r="V138" s="32" t="n">
        <v>-13.3</v>
      </c>
      <c r="W138" s="32" t="n">
        <v>3.22</v>
      </c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IF(B139=0,"",RANK(B139,$B$2:$B$251,0))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WELSPUNLIV</t>
        </is>
      </c>
      <c r="D139" s="31" t="inlineStr">
        <is>
          <t>Welspun Living Ltd</t>
        </is>
      </c>
      <c r="E139" s="31" t="inlineStr">
        <is>
          <t>textiles</t>
        </is>
      </c>
      <c r="F139" s="31" t="inlineStr">
        <is>
          <t>textiles - products</t>
        </is>
      </c>
      <c r="G139" s="31" t="inlineStr">
        <is>
          <t>midcap</t>
        </is>
      </c>
      <c r="H139" s="32" t="n">
        <v>16346.84</v>
      </c>
      <c r="I139" s="32" t="n">
        <v>162.93</v>
      </c>
      <c r="J139" s="32" t="n">
        <v>-4.4</v>
      </c>
      <c r="K139" s="32" t="n">
        <v>3347810</v>
      </c>
      <c r="L139" s="31" t="n">
        <v>49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65.34</v>
      </c>
      <c r="P139" s="32" t="n">
        <v>24.78</v>
      </c>
      <c r="Q139" s="32" t="n">
        <v>134.75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-5.04</v>
      </c>
      <c r="U139" s="32" t="n">
        <v>16.04</v>
      </c>
      <c r="V139" s="32" t="n">
        <v>22.2</v>
      </c>
      <c r="W139" s="32" t="n">
        <v>10.49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IF(B140=0,"",RANK(B140,$B$2:$B$251,0))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JBCHEPHARM</t>
        </is>
      </c>
      <c r="D140" s="31" t="inlineStr">
        <is>
          <t>Jb Chemicals &amp; Pharmaceuticals Limited</t>
        </is>
      </c>
      <c r="E140" s="31" t="inlineStr">
        <is>
          <t>healthcare</t>
        </is>
      </c>
      <c r="F140" s="31" t="inlineStr">
        <is>
          <t>pharmaceuticals - indian - bulk drugs &amp; formln</t>
        </is>
      </c>
      <c r="G140" s="31" t="inlineStr">
        <is>
          <t>largecap</t>
        </is>
      </c>
      <c r="H140" s="32" t="n">
        <v>38887.32</v>
      </c>
      <c r="I140" s="32" t="n">
        <v>2435.8</v>
      </c>
      <c r="J140" s="32" t="n">
        <v>0.57</v>
      </c>
      <c r="K140" s="32" t="n">
        <v>1169387</v>
      </c>
      <c r="L140" s="31" t="n">
        <v>62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76.06</v>
      </c>
      <c r="P140" s="32" t="n">
        <v>41.03</v>
      </c>
      <c r="Q140" s="32" t="n">
        <v>2101.69</v>
      </c>
      <c r="R140" s="31" t="inlineStr">
        <is>
          <t>Near 52W High Breakout</t>
        </is>
      </c>
      <c r="S140" s="31" t="inlineStr">
        <is>
          <t>Nifty Pharma</t>
        </is>
      </c>
      <c r="T140" s="32" t="n">
        <v>14.42</v>
      </c>
      <c r="U140" s="32" t="n">
        <v>53.67</v>
      </c>
      <c r="V140" s="32" t="n">
        <v>34.31</v>
      </c>
      <c r="W140" s="32" t="n">
        <v>13.63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Yes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Between 50% to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IF(B141=0,"",RANK(B141,$B$2:$B$251,0))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AURUM</t>
        </is>
      </c>
      <c r="D141" s="31" t="inlineStr">
        <is>
          <t>Aurum Proptech Ltd</t>
        </is>
      </c>
      <c r="E141" s="31" t="inlineStr">
        <is>
          <t>i.t</t>
        </is>
      </c>
      <c r="F141" s="31" t="inlineStr">
        <is>
          <t>computers - software - medium / small</t>
        </is>
      </c>
      <c r="G141" s="31" t="inlineStr">
        <is>
          <t>smallcap</t>
        </is>
      </c>
      <c r="H141" s="32" t="n">
        <v>1710.94</v>
      </c>
      <c r="I141" s="32" t="n">
        <v>220.99</v>
      </c>
      <c r="J141" s="32" t="n">
        <v>-0.99</v>
      </c>
      <c r="K141" s="32" t="n">
        <v>99654</v>
      </c>
      <c r="L141" s="31" t="n">
        <v>42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64.18000000000001</v>
      </c>
      <c r="P141" s="32" t="n">
        <v>31.93</v>
      </c>
      <c r="Q141" s="32" t="n">
        <v>183.97</v>
      </c>
      <c r="R141" s="31" t="inlineStr">
        <is>
          <t>Earnings / Momentum Support</t>
        </is>
      </c>
      <c r="S141" s="31" t="inlineStr">
        <is>
          <t>Nifty IT</t>
        </is>
      </c>
      <c r="T141" s="32" t="n">
        <v>-26.9</v>
      </c>
      <c r="U141" s="32" t="n">
        <v>13.72</v>
      </c>
      <c r="V141" s="32" t="n">
        <v>55.55</v>
      </c>
      <c r="W141" s="32" t="n">
        <v>8.9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Between 50% to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IF(B142=0,"",RANK(B142,$B$2:$B$251,0))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UNITDSPR</t>
        </is>
      </c>
      <c r="D142" s="31" t="inlineStr">
        <is>
          <t>United Spirits Ltd</t>
        </is>
      </c>
      <c r="E142" s="31" t="inlineStr">
        <is>
          <t>fmcg</t>
        </is>
      </c>
      <c r="F142" s="31" t="inlineStr">
        <is>
          <t>breweries &amp; distilleries</t>
        </is>
      </c>
      <c r="G142" s="31" t="inlineStr">
        <is>
          <t>largecap</t>
        </is>
      </c>
      <c r="H142" s="32" t="n">
        <v>104694.88</v>
      </c>
      <c r="I142" s="32" t="n">
        <v>1408.8</v>
      </c>
      <c r="J142" s="32" t="n">
        <v>-2.13</v>
      </c>
      <c r="K142" s="32" t="n">
        <v>2405613</v>
      </c>
      <c r="L142" s="31" t="n">
        <v>17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59.36</v>
      </c>
      <c r="P142" s="32" t="n">
        <v>15.1</v>
      </c>
      <c r="Q142" s="32" t="n">
        <v>1196.09</v>
      </c>
      <c r="R142" s="31" t="inlineStr">
        <is>
          <t>Near 52W High Breakout</t>
        </is>
      </c>
      <c r="S142" s="31" t="inlineStr">
        <is>
          <t>Nifty FMCG</t>
        </is>
      </c>
      <c r="T142" s="32" t="n">
        <v>-12.4</v>
      </c>
      <c r="U142" s="32" t="n">
        <v>5.67</v>
      </c>
      <c r="V142" s="32" t="n">
        <v>20.63</v>
      </c>
      <c r="W142" s="32" t="n">
        <v>3.64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B2C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Between 50% to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IF(B143=0,"",RANK(B143,$B$2:$B$251,0))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ZYDUSWELL</t>
        </is>
      </c>
      <c r="D143" s="31" t="inlineStr">
        <is>
          <t>Zydus Wellness Limited</t>
        </is>
      </c>
      <c r="E143" s="31" t="inlineStr">
        <is>
          <t>fmcg</t>
        </is>
      </c>
      <c r="F143" s="31" t="inlineStr">
        <is>
          <t>food - processing - indian</t>
        </is>
      </c>
      <c r="G143" s="31" t="inlineStr">
        <is>
          <t>midcap</t>
        </is>
      </c>
      <c r="H143" s="32" t="n">
        <v>18321.29</v>
      </c>
      <c r="I143" s="32" t="n">
        <v>559.9</v>
      </c>
      <c r="J143" s="32" t="n">
        <v>-2.77</v>
      </c>
      <c r="K143" s="32" t="n">
        <v>805974</v>
      </c>
      <c r="L143" s="31" t="n">
        <v>48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64.47</v>
      </c>
      <c r="P143" s="32" t="n">
        <v>49.29</v>
      </c>
      <c r="Q143" s="32" t="n">
        <v>470.14</v>
      </c>
      <c r="R143" s="31" t="inlineStr">
        <is>
          <t>Earnings / Momentum Support</t>
        </is>
      </c>
      <c r="S143" s="31" t="inlineStr">
        <is>
          <t>Nifty FMCG</t>
        </is>
      </c>
      <c r="T143" s="32" t="n">
        <v>-12.4</v>
      </c>
      <c r="U143" s="32" t="n">
        <v>38.65</v>
      </c>
      <c r="V143" s="32" t="n">
        <v>58.28</v>
      </c>
      <c r="W143" s="32" t="n">
        <v>9.84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B2C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IF(B144=0,"",RANK(B144,$B$2:$B$251,0))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HTMEDIA</t>
        </is>
      </c>
      <c r="D144" s="31" t="inlineStr">
        <is>
          <t>Ht Media Limited</t>
        </is>
      </c>
      <c r="E144" s="31" t="inlineStr">
        <is>
          <t>media</t>
        </is>
      </c>
      <c r="F144" s="31" t="inlineStr">
        <is>
          <t>entertainment / electronic media software</t>
        </is>
      </c>
      <c r="G144" s="31" t="inlineStr">
        <is>
          <t>smallcap</t>
        </is>
      </c>
      <c r="H144" s="32" t="n">
        <v>602.1799999999999</v>
      </c>
      <c r="I144" s="32" t="n">
        <v>24.07</v>
      </c>
      <c r="J144" s="32" t="n">
        <v>-6.96</v>
      </c>
      <c r="K144" s="32" t="n">
        <v>309640</v>
      </c>
      <c r="L144" s="31" t="n">
        <v>23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57.01</v>
      </c>
      <c r="P144" s="32" t="n">
        <v>14.46</v>
      </c>
      <c r="Q144" s="32" t="n">
        <v>17.67</v>
      </c>
      <c r="R144" s="31" t="inlineStr">
        <is>
          <t>Volume Spike / Accumulation</t>
        </is>
      </c>
      <c r="S144" s="31" t="inlineStr">
        <is>
          <t>Nifty IT</t>
        </is>
      </c>
      <c r="T144" s="32" t="n">
        <v>-26.9</v>
      </c>
      <c r="U144" s="32" t="n">
        <v>14.84</v>
      </c>
      <c r="V144" s="32" t="n">
        <v>57.09</v>
      </c>
      <c r="W144" s="32" t="n">
        <v>4.92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IF(B145=0,"",RANK(B145,$B$2:$B$251,0))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3" t="inlineStr">
        <is>
          <t>OAL</t>
        </is>
      </c>
      <c r="D145" s="33" t="inlineStr">
        <is>
          <t>Oriental Aromatics Ltd</t>
        </is>
      </c>
      <c r="E145" s="31" t="inlineStr">
        <is>
          <t>chemicals</t>
        </is>
      </c>
      <c r="F145" s="31" t="inlineStr">
        <is>
          <t>chemicals</t>
        </is>
      </c>
      <c r="G145" s="31" t="inlineStr">
        <is>
          <t>smallcap</t>
        </is>
      </c>
      <c r="H145" s="32" t="n">
        <v>1072.71</v>
      </c>
      <c r="I145" s="32" t="n">
        <v>338.85</v>
      </c>
      <c r="J145" s="32" t="n">
        <v>6.31</v>
      </c>
      <c r="K145" s="32" t="n">
        <v>207480</v>
      </c>
      <c r="L145" s="31" t="n">
        <v>20</v>
      </c>
      <c r="M145" s="31" t="inlineStr">
        <is>
          <t>Underperforming</t>
        </is>
      </c>
      <c r="N145" s="32">
        <f>IF(M145="Underperforming",-5,IF(L145&gt;=95,15,IF(L145&gt;=90,10,IF(L145&gt;=80,5,0))))</f>
        <v/>
      </c>
      <c r="O145" s="32" t="n">
        <v>58.44</v>
      </c>
      <c r="P145" s="32" t="n">
        <v>21.91</v>
      </c>
      <c r="Q145" s="32" t="n">
        <v>251.75</v>
      </c>
      <c r="R145" s="31" t="inlineStr">
        <is>
          <t>Volume Spike / Accumulation</t>
        </is>
      </c>
      <c r="S145" s="31" t="inlineStr">
        <is>
          <t>Nifty 50</t>
        </is>
      </c>
      <c r="T145" s="32" t="n">
        <v>-5.04</v>
      </c>
      <c r="U145" s="32" t="n">
        <v>-9.619999999999999</v>
      </c>
      <c r="V145" s="32" t="n">
        <v>-4.82</v>
      </c>
      <c r="W145" s="32" t="n">
        <v>4.05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Less than 50%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IF(B146=0,"",RANK(B146,$B$2:$B$251,0))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INOXINDIA</t>
        </is>
      </c>
      <c r="D146" s="31" t="inlineStr">
        <is>
          <t>Inox India Ltd</t>
        </is>
      </c>
      <c r="E146" s="31" t="inlineStr">
        <is>
          <t>industrials</t>
        </is>
      </c>
      <c r="F146" s="31" t="inlineStr">
        <is>
          <t>packaging</t>
        </is>
      </c>
      <c r="G146" s="31" t="inlineStr">
        <is>
          <t>midcap</t>
        </is>
      </c>
      <c r="H146" s="32" t="n">
        <v>16395.52</v>
      </c>
      <c r="I146" s="32" t="n">
        <v>1875.9</v>
      </c>
      <c r="J146" s="32" t="n">
        <v>3.85</v>
      </c>
      <c r="K146" s="32" t="n">
        <v>1113856</v>
      </c>
      <c r="L146" s="31" t="n">
        <v>74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79.33</v>
      </c>
      <c r="P146" s="32" t="n">
        <v>64.39</v>
      </c>
      <c r="Q146" s="32" t="n">
        <v>1479.38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-5.04</v>
      </c>
      <c r="U146" s="32" t="n">
        <v>52.39</v>
      </c>
      <c r="V146" s="32" t="n">
        <v>60.48</v>
      </c>
      <c r="W146" s="32" t="n">
        <v>18.98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Between 12 to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Less than 50%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IF(B147=0,"",RANK(B147,$B$2:$B$251,0))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DIACABS</t>
        </is>
      </c>
      <c r="D147" s="31" t="inlineStr">
        <is>
          <t>Diamond Power Infrastructure Ltd</t>
        </is>
      </c>
      <c r="E147" s="31" t="inlineStr">
        <is>
          <t>industrials</t>
        </is>
      </c>
      <c r="F147" s="31" t="inlineStr">
        <is>
          <t>cables - power</t>
        </is>
      </c>
      <c r="G147" s="31" t="inlineStr">
        <is>
          <t>midcap</t>
        </is>
      </c>
      <c r="H147" s="32" t="n">
        <v>11854.21</v>
      </c>
      <c r="I147" s="32" t="n">
        <v>231.33</v>
      </c>
      <c r="J147" s="32" t="n">
        <v>2.84</v>
      </c>
      <c r="K147" s="32" t="n">
        <v>14213234</v>
      </c>
      <c r="L147" s="31" t="n">
        <v>81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77.19</v>
      </c>
      <c r="P147" s="32" t="n">
        <v>45.63</v>
      </c>
      <c r="Q147" s="32" t="n">
        <v>173.93</v>
      </c>
      <c r="R147" s="31" t="inlineStr">
        <is>
          <t>Near 52W High Breakout</t>
        </is>
      </c>
      <c r="S147" s="31" t="inlineStr">
        <is>
          <t>Nifty Energy</t>
        </is>
      </c>
      <c r="T147" s="32" t="n">
        <v>7.2</v>
      </c>
      <c r="U147" s="32" t="n">
        <v>40.29</v>
      </c>
      <c r="V147" s="32" t="n">
        <v>30.88</v>
      </c>
      <c r="W147" s="32" t="n">
        <v>24.05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Negative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IF(B148=0,"",RANK(B148,$B$2:$B$251,0))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RML</t>
        </is>
      </c>
      <c r="D148" s="31" t="inlineStr">
        <is>
          <t>Rane (madras) Limited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smallcap</t>
        </is>
      </c>
      <c r="H148" s="32" t="n">
        <v>3388.31</v>
      </c>
      <c r="I148" s="32" t="n">
        <v>1258</v>
      </c>
      <c r="J148" s="32" t="n">
        <v>2.61</v>
      </c>
      <c r="K148" s="32" t="n">
        <v>136755</v>
      </c>
      <c r="L148" s="31" t="n">
        <v>81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74.03</v>
      </c>
      <c r="P148" s="32" t="n">
        <v>31.72</v>
      </c>
      <c r="Q148" s="32" t="n">
        <v>984.1799999999999</v>
      </c>
      <c r="R148" s="31" t="inlineStr">
        <is>
          <t>Near 52W High Breakout</t>
        </is>
      </c>
      <c r="S148" s="31" t="inlineStr">
        <is>
          <t>Nifty Auto</t>
        </is>
      </c>
      <c r="T148" s="32" t="n">
        <v>13.79</v>
      </c>
      <c r="U148" s="32" t="n">
        <v>44.16</v>
      </c>
      <c r="V148" s="32" t="n">
        <v>26.69</v>
      </c>
      <c r="W148" s="32" t="n">
        <v>24.76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IF(B149=0,"",RANK(B149,$B$2:$B$251,0))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RBZJEWEL</t>
        </is>
      </c>
      <c r="D149" s="31" t="inlineStr">
        <is>
          <t>RBZ Jewellers Ltd</t>
        </is>
      </c>
      <c r="E149" s="31" t="inlineStr">
        <is>
          <t>consumer discretionary</t>
        </is>
      </c>
      <c r="F149" s="31" t="inlineStr">
        <is>
          <t>diamond cutting / jewellery</t>
        </is>
      </c>
      <c r="G149" s="31" t="inlineStr">
        <is>
          <t>smallcap</t>
        </is>
      </c>
      <c r="H149" s="32" t="n">
        <v>562.72</v>
      </c>
      <c r="I149" s="32" t="n">
        <v>143.89</v>
      </c>
      <c r="J149" s="32" t="n">
        <v>2.28</v>
      </c>
      <c r="K149" s="32" t="n">
        <v>149502</v>
      </c>
      <c r="L149" s="31" t="n">
        <v>7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54.84</v>
      </c>
      <c r="P149" s="32" t="n">
        <v>23.57</v>
      </c>
      <c r="Q149" s="32" t="n">
        <v>110.24</v>
      </c>
      <c r="R149" s="31" t="inlineStr">
        <is>
          <t>Earnings / Momentum Support</t>
        </is>
      </c>
      <c r="S149" s="31" t="inlineStr">
        <is>
          <t>Nifty 50</t>
        </is>
      </c>
      <c r="T149" s="32" t="n">
        <v>-5.04</v>
      </c>
      <c r="U149" s="32" t="n">
        <v>3.35</v>
      </c>
      <c r="V149" s="32" t="n">
        <v>8.83</v>
      </c>
      <c r="W149" s="32" t="n">
        <v>1.48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Negative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IF(B150=0,"",RANK(B150,$B$2:$B$251,0))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ORBTEXP</t>
        </is>
      </c>
      <c r="D150" s="31" t="inlineStr">
        <is>
          <t>Orbit Exports Limited</t>
        </is>
      </c>
      <c r="E150" s="31" t="inlineStr">
        <is>
          <t>textiles</t>
        </is>
      </c>
      <c r="F150" s="31" t="inlineStr">
        <is>
          <t>textiles - processing</t>
        </is>
      </c>
      <c r="G150" s="31" t="inlineStr">
        <is>
          <t>smallcap</t>
        </is>
      </c>
      <c r="H150" s="32" t="n">
        <v>601.03</v>
      </c>
      <c r="I150" s="32" t="n">
        <v>229</v>
      </c>
      <c r="J150" s="32" t="n">
        <v>1.01</v>
      </c>
      <c r="K150" s="32" t="n">
        <v>19024</v>
      </c>
      <c r="L150" s="31" t="n">
        <v>46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67.29000000000001</v>
      </c>
      <c r="P150" s="32" t="n">
        <v>25.83</v>
      </c>
      <c r="Q150" s="32" t="n">
        <v>166.59</v>
      </c>
      <c r="R150" s="31" t="inlineStr">
        <is>
          <t>Earnings / Momentum Support</t>
        </is>
      </c>
      <c r="S150" s="31" t="inlineStr">
        <is>
          <t>Nifty 50</t>
        </is>
      </c>
      <c r="T150" s="32" t="n">
        <v>-5.04</v>
      </c>
      <c r="U150" s="32" t="n">
        <v>5.64</v>
      </c>
      <c r="V150" s="32" t="n">
        <v>11.25</v>
      </c>
      <c r="W150" s="32" t="n">
        <v>9.539999999999999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IF(B151=0,"",RANK(B151,$B$2:$B$251,0))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DLINKINDIA</t>
        </is>
      </c>
      <c r="D151" s="31" t="inlineStr">
        <is>
          <t>D-link (india) Limited</t>
        </is>
      </c>
      <c r="E151" s="31" t="inlineStr">
        <is>
          <t>services</t>
        </is>
      </c>
      <c r="F151" s="31" t="inlineStr">
        <is>
          <t>trading</t>
        </is>
      </c>
      <c r="G151" s="31" t="inlineStr">
        <is>
          <t>smallcap</t>
        </is>
      </c>
      <c r="H151" s="32" t="n">
        <v>1893.3</v>
      </c>
      <c r="I151" s="32" t="n">
        <v>538.25</v>
      </c>
      <c r="J151" s="32" t="n">
        <v>0.9399999999999999</v>
      </c>
      <c r="K151" s="32" t="n">
        <v>1108781</v>
      </c>
      <c r="L151" s="31" t="n">
        <v>29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69.83</v>
      </c>
      <c r="P151" s="32" t="n">
        <v>38.64</v>
      </c>
      <c r="Q151" s="32" t="n">
        <v>447.76</v>
      </c>
      <c r="R151" s="31" t="inlineStr">
        <is>
          <t>Volume Spike &amp; Near 52W High Breakout</t>
        </is>
      </c>
      <c r="S151" s="31" t="inlineStr">
        <is>
          <t>Nifty 50</t>
        </is>
      </c>
      <c r="T151" s="32" t="n">
        <v>-5.04</v>
      </c>
      <c r="U151" s="32" t="n">
        <v>-0.26</v>
      </c>
      <c r="V151" s="32" t="n">
        <v>5.04</v>
      </c>
      <c r="W151" s="32" t="n">
        <v>6.38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Less than 50%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IF(B152=0,"",RANK(B152,$B$2:$B$251,0))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3" t="inlineStr">
        <is>
          <t>SUNDRMFAST</t>
        </is>
      </c>
      <c r="D152" s="33" t="inlineStr">
        <is>
          <t>Sundram Fasteners Limited</t>
        </is>
      </c>
      <c r="E152" s="31" t="inlineStr">
        <is>
          <t>auto</t>
        </is>
      </c>
      <c r="F152" s="31" t="inlineStr">
        <is>
          <t>auto ancillaries</t>
        </is>
      </c>
      <c r="G152" s="31" t="inlineStr">
        <is>
          <t>midcap</t>
        </is>
      </c>
      <c r="H152" s="32" t="n">
        <v>19544.04</v>
      </c>
      <c r="I152" s="32" t="n">
        <v>933.95</v>
      </c>
      <c r="J152" s="32" t="n">
        <v>0.41</v>
      </c>
      <c r="K152" s="32" t="n">
        <v>169041</v>
      </c>
      <c r="L152" s="31" t="n">
        <v>9</v>
      </c>
      <c r="M152" s="31" t="inlineStr">
        <is>
          <t>Underperforming</t>
        </is>
      </c>
      <c r="N152" s="32">
        <f>IF(M152="Underperforming",-5,IF(L152&gt;=95,15,IF(L152&gt;=90,10,IF(L152&gt;=80,5,0))))</f>
        <v/>
      </c>
      <c r="O152" s="32" t="n">
        <v>61.32</v>
      </c>
      <c r="P152" s="32" t="n">
        <v>12.34</v>
      </c>
      <c r="Q152" s="32" t="n">
        <v>777.13</v>
      </c>
      <c r="R152" s="31" t="inlineStr">
        <is>
          <t>Earnings / Momentum Support</t>
        </is>
      </c>
      <c r="S152" s="31" t="inlineStr">
        <is>
          <t>Nifty Auto</t>
        </is>
      </c>
      <c r="T152" s="32" t="n">
        <v>13.79</v>
      </c>
      <c r="U152" s="32" t="n">
        <v>-8.529999999999999</v>
      </c>
      <c r="V152" s="32" t="n">
        <v>-19.61</v>
      </c>
      <c r="W152" s="32" t="n">
        <v>2.12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IF(B153=0,"",RANK(B153,$B$2:$B$251,0))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KSB</t>
        </is>
      </c>
      <c r="D153" s="31" t="inlineStr">
        <is>
          <t>KSB Ltd</t>
        </is>
      </c>
      <c r="E153" s="31" t="inlineStr">
        <is>
          <t>industrials</t>
        </is>
      </c>
      <c r="F153" s="31" t="inlineStr">
        <is>
          <t>pumps</t>
        </is>
      </c>
      <c r="G153" s="31" t="inlineStr">
        <is>
          <t>midcap</t>
        </is>
      </c>
      <c r="H153" s="32" t="n">
        <v>16124.73</v>
      </c>
      <c r="I153" s="32" t="n">
        <v>930</v>
      </c>
      <c r="J153" s="32" t="n">
        <v>0.38</v>
      </c>
      <c r="K153" s="32" t="n">
        <v>205443</v>
      </c>
      <c r="L153" s="31" t="n">
        <v>12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61.52</v>
      </c>
      <c r="P153" s="32" t="n">
        <v>27.71</v>
      </c>
      <c r="Q153" s="32" t="n">
        <v>792.5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-5.04</v>
      </c>
      <c r="U153" s="32" t="n">
        <v>5.96</v>
      </c>
      <c r="V153" s="32" t="n">
        <v>11.58</v>
      </c>
      <c r="W153" s="32" t="n">
        <v>2.41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IF(B154=0,"",RANK(B154,$B$2:$B$251,0))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MGEL</t>
        </is>
      </c>
      <c r="D154" s="31" t="inlineStr">
        <is>
          <t>Mangalam Global Enterprise Ltd</t>
        </is>
      </c>
      <c r="E154" s="31" t="inlineStr">
        <is>
          <t>services</t>
        </is>
      </c>
      <c r="F154" s="31" t="inlineStr">
        <is>
          <t>trading</t>
        </is>
      </c>
      <c r="G154" s="31" t="inlineStr">
        <is>
          <t>smallcap</t>
        </is>
      </c>
      <c r="H154" s="32" t="n">
        <v>552.01</v>
      </c>
      <c r="I154" s="32" t="n">
        <v>16.75</v>
      </c>
      <c r="J154" s="32" t="n">
        <v>0</v>
      </c>
      <c r="K154" s="32" t="n">
        <v>233635</v>
      </c>
      <c r="L154" s="31" t="n">
        <v>45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65.28</v>
      </c>
      <c r="P154" s="32" t="n">
        <v>36.3</v>
      </c>
      <c r="Q154" s="32" t="n">
        <v>12.17</v>
      </c>
      <c r="R154" s="31" t="inlineStr">
        <is>
          <t>Earnings / Momentum Support</t>
        </is>
      </c>
      <c r="S154" s="31" t="inlineStr">
        <is>
          <t>Nifty 50</t>
        </is>
      </c>
      <c r="T154" s="32" t="n">
        <v>-5.04</v>
      </c>
      <c r="U154" s="32" t="n">
        <v>-1.59</v>
      </c>
      <c r="V154" s="32" t="n">
        <v>3.64</v>
      </c>
      <c r="W154" s="32" t="n">
        <v>9.48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IF(B155=0,"",RANK(B155,$B$2:$B$251,0))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BHARATFORG</t>
        </is>
      </c>
      <c r="D155" s="31" t="inlineStr">
        <is>
          <t>Bharat Forge Limited</t>
        </is>
      </c>
      <c r="E155" s="31" t="inlineStr">
        <is>
          <t>industrials</t>
        </is>
      </c>
      <c r="F155" s="31" t="inlineStr">
        <is>
          <t>castings &amp; forgings</t>
        </is>
      </c>
      <c r="G155" s="31" t="inlineStr">
        <is>
          <t>largecap</t>
        </is>
      </c>
      <c r="H155" s="32" t="n">
        <v>100953.2</v>
      </c>
      <c r="I155" s="32" t="n">
        <v>2100.5</v>
      </c>
      <c r="J155" s="32" t="n">
        <v>-0.53</v>
      </c>
      <c r="K155" s="32" t="n">
        <v>861242</v>
      </c>
      <c r="L155" s="31" t="n">
        <v>67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68.78</v>
      </c>
      <c r="P155" s="32" t="n">
        <v>40.87</v>
      </c>
      <c r="Q155" s="32" t="n">
        <v>1776.73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-5.04</v>
      </c>
      <c r="U155" s="32" t="n">
        <v>73.63</v>
      </c>
      <c r="V155" s="32" t="n">
        <v>82.84999999999999</v>
      </c>
      <c r="W155" s="32" t="n">
        <v>15.55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Between 50% to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IF(B156=0,"",RANK(B156,$B$2:$B$251,0))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3" t="inlineStr">
        <is>
          <t>UNIMECH</t>
        </is>
      </c>
      <c r="D156" s="33" t="inlineStr">
        <is>
          <t>Unimech Aerospace and Manufacturing Ltd</t>
        </is>
      </c>
      <c r="E156" s="31" t="inlineStr">
        <is>
          <t>aerospace &amp; defence</t>
        </is>
      </c>
      <c r="F156" s="31" t="inlineStr">
        <is>
          <t>engineering</t>
        </is>
      </c>
      <c r="G156" s="31" t="inlineStr">
        <is>
          <t>midcap</t>
        </is>
      </c>
      <c r="H156" s="32" t="n">
        <v>5958.9</v>
      </c>
      <c r="I156" s="32" t="n">
        <v>1163.9</v>
      </c>
      <c r="J156" s="32" t="n">
        <v>-0.67</v>
      </c>
      <c r="K156" s="32" t="n">
        <v>96912</v>
      </c>
      <c r="L156" s="31" t="n">
        <v>35</v>
      </c>
      <c r="M156" s="31" t="inlineStr">
        <is>
          <t>Underperforming</t>
        </is>
      </c>
      <c r="N156" s="32">
        <f>IF(M156="Underperforming",-5,IF(L156&gt;=95,15,IF(L156&gt;=90,10,IF(L156&gt;=80,5,0))))</f>
        <v/>
      </c>
      <c r="O156" s="32" t="n">
        <v>62.39</v>
      </c>
      <c r="P156" s="32" t="n">
        <v>23.71</v>
      </c>
      <c r="Q156" s="32" t="n">
        <v>880.15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-5.04</v>
      </c>
      <c r="U156" s="32" t="n">
        <v>-6.78</v>
      </c>
      <c r="V156" s="32" t="n">
        <v>-1.84</v>
      </c>
      <c r="W156" s="32" t="n">
        <v>7.52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IF(B157=0,"",RANK(B157,$B$2:$B$251,0))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JINDALSAW</t>
        </is>
      </c>
      <c r="D157" s="33" t="inlineStr">
        <is>
          <t>Jindal Saw Limited</t>
        </is>
      </c>
      <c r="E157" s="31" t="inlineStr">
        <is>
          <t>industrials</t>
        </is>
      </c>
      <c r="F157" s="31" t="inlineStr">
        <is>
          <t>steel - large</t>
        </is>
      </c>
      <c r="G157" s="31" t="inlineStr">
        <is>
          <t>midcap</t>
        </is>
      </c>
      <c r="H157" s="32" t="n">
        <v>16726.34</v>
      </c>
      <c r="I157" s="32" t="n">
        <v>259.65</v>
      </c>
      <c r="J157" s="32" t="n">
        <v>-0.73</v>
      </c>
      <c r="K157" s="32" t="n">
        <v>1757327</v>
      </c>
      <c r="L157" s="31" t="n">
        <v>50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64.09999999999999</v>
      </c>
      <c r="P157" s="32" t="n">
        <v>36.17</v>
      </c>
      <c r="Q157" s="32" t="n">
        <v>199.36</v>
      </c>
      <c r="R157" s="31" t="inlineStr">
        <is>
          <t>Near 52W High Breakout</t>
        </is>
      </c>
      <c r="S157" s="31" t="inlineStr">
        <is>
          <t>Nifty Metal</t>
        </is>
      </c>
      <c r="T157" s="32" t="n">
        <v>32.89</v>
      </c>
      <c r="U157" s="32" t="n">
        <v>16.61</v>
      </c>
      <c r="V157" s="32" t="n">
        <v>-12.25</v>
      </c>
      <c r="W157" s="32" t="n">
        <v>10.56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IF(B158=0,"",RANK(B158,$B$2:$B$251,0))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NH</t>
        </is>
      </c>
      <c r="D158" s="33" t="inlineStr">
        <is>
          <t>Narayana Hrudayalaya Ltd.</t>
        </is>
      </c>
      <c r="E158" s="31" t="inlineStr">
        <is>
          <t>healthcare</t>
        </is>
      </c>
      <c r="F158" s="31" t="inlineStr">
        <is>
          <t>healthcare</t>
        </is>
      </c>
      <c r="G158" s="31" t="inlineStr">
        <is>
          <t>largecap</t>
        </is>
      </c>
      <c r="H158" s="32" t="n">
        <v>40923.25</v>
      </c>
      <c r="I158" s="32" t="n">
        <v>1978.6</v>
      </c>
      <c r="J158" s="32" t="n">
        <v>-1.19</v>
      </c>
      <c r="K158" s="32" t="n">
        <v>221806</v>
      </c>
      <c r="L158" s="31" t="n">
        <v>13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59.99</v>
      </c>
      <c r="P158" s="32" t="n">
        <v>22.17</v>
      </c>
      <c r="Q158" s="32" t="n">
        <v>1661</v>
      </c>
      <c r="R158" s="31" t="inlineStr">
        <is>
          <t>Near 52W High Breakout</t>
        </is>
      </c>
      <c r="S158" s="31" t="inlineStr">
        <is>
          <t>Nifty Pharma</t>
        </is>
      </c>
      <c r="T158" s="32" t="n">
        <v>14.42</v>
      </c>
      <c r="U158" s="32" t="n">
        <v>-1.18</v>
      </c>
      <c r="V158" s="32" t="n">
        <v>-13.63</v>
      </c>
      <c r="W158" s="32" t="n">
        <v>2.72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Shallow Cyclical (2 to 3 Years Growth)</t>
        </is>
      </c>
      <c r="AG158" s="31">
        <f>IF(AF158="Structural (10 Years Consistency)",10,IF(AF158="Shallow Cyclical (2 to 3 years growth)",5,0))</f>
        <v/>
      </c>
      <c r="AH158" s="31" t="inlineStr">
        <is>
          <t>Yes due to Product Mix change or Operating Leverage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B2C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Between 12 to 20%</t>
        </is>
      </c>
      <c r="BO158" s="31">
        <f>IF(BN158="More than 20%",10,IF(BN158="Between 12 to 20%",5,IF(BN158="Less than 12%",0,0)))</f>
        <v/>
      </c>
      <c r="BP158" s="31" t="inlineStr">
        <is>
          <t>Yes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IF(B159=0,"",RANK(B159,$B$2:$B$251,0))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DIVGIITTS</t>
        </is>
      </c>
      <c r="D159" s="31" t="inlineStr">
        <is>
          <t>Divgi Torqtransfer Systems Ltd</t>
        </is>
      </c>
      <c r="E159" s="31" t="inlineStr">
        <is>
          <t>auto</t>
        </is>
      </c>
      <c r="F159" s="31" t="inlineStr">
        <is>
          <t>auto ancillaries</t>
        </is>
      </c>
      <c r="G159" s="31" t="inlineStr">
        <is>
          <t>smallcap</t>
        </is>
      </c>
      <c r="H159" s="32" t="n">
        <v>2946.82</v>
      </c>
      <c r="I159" s="32" t="n">
        <v>948</v>
      </c>
      <c r="J159" s="32" t="n">
        <v>-1.61</v>
      </c>
      <c r="K159" s="32" t="n">
        <v>65949</v>
      </c>
      <c r="L159" s="31" t="n">
        <v>72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64.86</v>
      </c>
      <c r="P159" s="32" t="n">
        <v>36.65</v>
      </c>
      <c r="Q159" s="32" t="n">
        <v>763.24</v>
      </c>
      <c r="R159" s="31" t="inlineStr">
        <is>
          <t>Earnings / Momentum Support</t>
        </is>
      </c>
      <c r="S159" s="31" t="inlineStr">
        <is>
          <t>Nifty Auto</t>
        </is>
      </c>
      <c r="T159" s="32" t="n">
        <v>13.79</v>
      </c>
      <c r="U159" s="32" t="n">
        <v>52.59</v>
      </c>
      <c r="V159" s="32" t="n">
        <v>34.1</v>
      </c>
      <c r="W159" s="32" t="n">
        <v>18.13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Between 50% to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IF(B160=0,"",RANK(B160,$B$2:$B$251,0))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AZAD</t>
        </is>
      </c>
      <c r="D160" s="31" t="inlineStr">
        <is>
          <t>Azad Engineering Ltd</t>
        </is>
      </c>
      <c r="E160" s="31" t="inlineStr">
        <is>
          <t>aerospace &amp; defence</t>
        </is>
      </c>
      <c r="F160" s="31" t="inlineStr">
        <is>
          <t>engineering</t>
        </is>
      </c>
      <c r="G160" s="31" t="inlineStr">
        <is>
          <t>midcap</t>
        </is>
      </c>
      <c r="H160" s="32" t="n">
        <v>14694.28</v>
      </c>
      <c r="I160" s="32" t="n">
        <v>2229.4</v>
      </c>
      <c r="J160" s="32" t="n">
        <v>-2.02</v>
      </c>
      <c r="K160" s="32" t="n">
        <v>847942</v>
      </c>
      <c r="L160" s="31" t="n">
        <v>64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63.09</v>
      </c>
      <c r="P160" s="32" t="n">
        <v>26.13</v>
      </c>
      <c r="Q160" s="32" t="n">
        <v>1762.84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-5.04</v>
      </c>
      <c r="U160" s="32" t="n">
        <v>40.36</v>
      </c>
      <c r="V160" s="32" t="n">
        <v>47.82</v>
      </c>
      <c r="W160" s="32" t="n">
        <v>13.85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Negative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IF(B161=0,"",RANK(B161,$B$2:$B$251,0))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3" t="inlineStr">
        <is>
          <t>GUFICBIO</t>
        </is>
      </c>
      <c r="D161" s="33" t="inlineStr">
        <is>
          <t>Gufic Biosciences Limited</t>
        </is>
      </c>
      <c r="E161" s="31" t="inlineStr">
        <is>
          <t>healthcare</t>
        </is>
      </c>
      <c r="F161" s="31" t="inlineStr">
        <is>
          <t>pharmaceuticals - indian - bulk drugs &amp; formln</t>
        </is>
      </c>
      <c r="G161" s="31" t="inlineStr">
        <is>
          <t>smallcap</t>
        </is>
      </c>
      <c r="H161" s="32" t="n">
        <v>3814.75</v>
      </c>
      <c r="I161" s="32" t="n">
        <v>380.05</v>
      </c>
      <c r="J161" s="32" t="n">
        <v>-0.09</v>
      </c>
      <c r="K161" s="32" t="n">
        <v>266564</v>
      </c>
      <c r="L161" s="31" t="n">
        <v>35</v>
      </c>
      <c r="M161" s="31" t="inlineStr">
        <is>
          <t>Underperforming</t>
        </is>
      </c>
      <c r="N161" s="32">
        <f>IF(M161="Underperforming",-5,IF(L161&gt;=95,15,IF(L161&gt;=90,10,IF(L161&gt;=80,5,0))))</f>
        <v/>
      </c>
      <c r="O161" s="32" t="n">
        <v>63.43</v>
      </c>
      <c r="P161" s="32" t="n">
        <v>30.83</v>
      </c>
      <c r="Q161" s="32" t="n">
        <v>294.9</v>
      </c>
      <c r="R161" s="31" t="inlineStr">
        <is>
          <t>Near 52W High Breakout</t>
        </is>
      </c>
      <c r="S161" s="31" t="inlineStr">
        <is>
          <t>Nifty Pharma</t>
        </is>
      </c>
      <c r="T161" s="32" t="n">
        <v>14.42</v>
      </c>
      <c r="U161" s="32" t="n">
        <v>8.91</v>
      </c>
      <c r="V161" s="32" t="n">
        <v>-4.81</v>
      </c>
      <c r="W161" s="32" t="n">
        <v>7.58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Less than 50%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IF(B162=0,"",RANK(B162,$B$2:$B$251,0))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NOVARTIND</t>
        </is>
      </c>
      <c r="D162" s="31" t="inlineStr">
        <is>
          <t>Novartis India Ltd</t>
        </is>
      </c>
      <c r="E162" s="31" t="inlineStr">
        <is>
          <t>healthcare</t>
        </is>
      </c>
      <c r="F162" s="31" t="inlineStr">
        <is>
          <t>pharmaceuticals - multinational</t>
        </is>
      </c>
      <c r="G162" s="31" t="inlineStr">
        <is>
          <t>smallcap</t>
        </is>
      </c>
      <c r="H162" s="32" t="n">
        <v>3599.42</v>
      </c>
      <c r="I162" s="32" t="n">
        <v>1455.9</v>
      </c>
      <c r="J162" s="32" t="n">
        <v>-0.13</v>
      </c>
      <c r="K162" s="32" t="n">
        <v>9978</v>
      </c>
      <c r="L162" s="31" t="n">
        <v>72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67.87</v>
      </c>
      <c r="P162" s="32" t="n">
        <v>67.25</v>
      </c>
      <c r="Q162" s="32" t="n">
        <v>1207.5</v>
      </c>
      <c r="R162" s="31" t="inlineStr">
        <is>
          <t>Earnings / Momentum Support</t>
        </is>
      </c>
      <c r="S162" s="31" t="inlineStr">
        <is>
          <t>Nifty Pharma</t>
        </is>
      </c>
      <c r="T162" s="32" t="n">
        <v>14.42</v>
      </c>
      <c r="U162" s="32" t="n">
        <v>39.46</v>
      </c>
      <c r="V162" s="32" t="n">
        <v>21.89</v>
      </c>
      <c r="W162" s="32" t="n">
        <v>18.17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Less than 50%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IF(B163=0,"",RANK(B163,$B$2:$B$251,0))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DRREDDY</t>
        </is>
      </c>
      <c r="D163" s="33" t="inlineStr">
        <is>
          <t>Dr. Reddy's Laboratories Limited</t>
        </is>
      </c>
      <c r="E163" s="31" t="inlineStr">
        <is>
          <t>healthcare</t>
        </is>
      </c>
      <c r="F163" s="31" t="inlineStr">
        <is>
          <t>pharmaceuticals - indian - bulk drugs &amp; formln</t>
        </is>
      </c>
      <c r="G163" s="31" t="inlineStr">
        <is>
          <t>largecap</t>
        </is>
      </c>
      <c r="H163" s="32" t="n">
        <v>113062.63</v>
      </c>
      <c r="I163" s="32" t="n">
        <v>1349</v>
      </c>
      <c r="J163" s="32" t="n">
        <v>-0.41</v>
      </c>
      <c r="K163" s="32" t="n">
        <v>1561612</v>
      </c>
      <c r="L163" s="31" t="n">
        <v>16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58.21</v>
      </c>
      <c r="P163" s="32" t="n">
        <v>13.6</v>
      </c>
      <c r="Q163" s="32" t="n">
        <v>1179.54</v>
      </c>
      <c r="R163" s="31" t="inlineStr">
        <is>
          <t>Near 52W High Breakout</t>
        </is>
      </c>
      <c r="S163" s="31" t="inlineStr">
        <is>
          <t>Nifty Pharma</t>
        </is>
      </c>
      <c r="T163" s="32" t="n">
        <v>14.42</v>
      </c>
      <c r="U163" s="32" t="n">
        <v>7.52</v>
      </c>
      <c r="V163" s="32" t="n">
        <v>-6.03</v>
      </c>
      <c r="W163" s="32" t="n">
        <v>3.45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Yes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Between 1.5 to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IF(B164=0,"",RANK(B164,$B$2:$B$251,0))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ZYDUSLIFE</t>
        </is>
      </c>
      <c r="D164" s="31" t="inlineStr">
        <is>
          <t>Zydus Lifesciences Ltd</t>
        </is>
      </c>
      <c r="E164" s="31" t="inlineStr">
        <is>
          <t>healthcare</t>
        </is>
      </c>
      <c r="F164" s="31" t="inlineStr">
        <is>
          <t>pharmaceuticals - indian - bulk drugs &amp; formln</t>
        </is>
      </c>
      <c r="G164" s="31" t="inlineStr">
        <is>
          <t>largecap</t>
        </is>
      </c>
      <c r="H164" s="32" t="n">
        <v>115012.19</v>
      </c>
      <c r="I164" s="32" t="n">
        <v>1148</v>
      </c>
      <c r="J164" s="32" t="n">
        <v>-0.43</v>
      </c>
      <c r="K164" s="32" t="n">
        <v>2481524</v>
      </c>
      <c r="L164" s="31" t="n">
        <v>44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72.02</v>
      </c>
      <c r="P164" s="32" t="n">
        <v>30.15</v>
      </c>
      <c r="Q164" s="32" t="n">
        <v>983.6799999999999</v>
      </c>
      <c r="R164" s="31" t="inlineStr">
        <is>
          <t>Near 52W High Breakout</t>
        </is>
      </c>
      <c r="S164" s="31" t="inlineStr">
        <is>
          <t>Nifty Pharma</t>
        </is>
      </c>
      <c r="T164" s="32" t="n">
        <v>14.42</v>
      </c>
      <c r="U164" s="32" t="n">
        <v>18.53</v>
      </c>
      <c r="V164" s="32" t="n">
        <v>3.6</v>
      </c>
      <c r="W164" s="32" t="n">
        <v>9.15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Yes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Less than 50%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IF(B165=0,"",RANK(B165,$B$2:$B$251,0))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FDC</t>
        </is>
      </c>
      <c r="D165" s="33" t="inlineStr">
        <is>
          <t>Fdc Limited</t>
        </is>
      </c>
      <c r="E165" s="31" t="inlineStr">
        <is>
          <t>healthcare</t>
        </is>
      </c>
      <c r="F165" s="31" t="inlineStr">
        <is>
          <t>pharmaceuticals - indian - bulk drugs &amp; formln</t>
        </is>
      </c>
      <c r="G165" s="31" t="inlineStr">
        <is>
          <t>midcap</t>
        </is>
      </c>
      <c r="H165" s="32" t="n">
        <v>6938.15</v>
      </c>
      <c r="I165" s="32" t="n">
        <v>423.4</v>
      </c>
      <c r="J165" s="32" t="n">
        <v>-0.65</v>
      </c>
      <c r="K165" s="32" t="n">
        <v>239349</v>
      </c>
      <c r="L165" s="31" t="n">
        <v>8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59.93</v>
      </c>
      <c r="P165" s="32" t="n">
        <v>23.5</v>
      </c>
      <c r="Q165" s="32" t="n">
        <v>348.65</v>
      </c>
      <c r="R165" s="31" t="inlineStr">
        <is>
          <t>Earnings / Momentum Support</t>
        </is>
      </c>
      <c r="S165" s="31" t="inlineStr">
        <is>
          <t>Nifty Pharma</t>
        </is>
      </c>
      <c r="T165" s="32" t="n">
        <v>14.42</v>
      </c>
      <c r="U165" s="32" t="n">
        <v>-14.47</v>
      </c>
      <c r="V165" s="32" t="n">
        <v>-25.25</v>
      </c>
      <c r="W165" s="32" t="n">
        <v>1.71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IF(B166=0,"",RANK(B166,$B$2:$B$251,0))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APOLLOHOSP</t>
        </is>
      </c>
      <c r="D166" s="31" t="inlineStr">
        <is>
          <t>Apollo Hospitals Enterprise Limited</t>
        </is>
      </c>
      <c r="E166" s="31" t="inlineStr">
        <is>
          <t>healthcare</t>
        </is>
      </c>
      <c r="F166" s="31" t="inlineStr">
        <is>
          <t>healthcare</t>
        </is>
      </c>
      <c r="G166" s="31" t="inlineStr">
        <is>
          <t>largecap</t>
        </is>
      </c>
      <c r="H166" s="32" t="n">
        <v>127062.5</v>
      </c>
      <c r="I166" s="32" t="n">
        <v>8753.5</v>
      </c>
      <c r="J166" s="32" t="n">
        <v>-0.9399999999999999</v>
      </c>
      <c r="K166" s="32" t="n">
        <v>275839</v>
      </c>
      <c r="L166" s="31" t="n">
        <v>36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67.68000000000001</v>
      </c>
      <c r="P166" s="32" t="n">
        <v>20.63</v>
      </c>
      <c r="Q166" s="32" t="n">
        <v>7871.48</v>
      </c>
      <c r="R166" s="31" t="inlineStr">
        <is>
          <t>Near 52W High Breakout</t>
        </is>
      </c>
      <c r="S166" s="31" t="inlineStr">
        <is>
          <t>Nifty Pharma</t>
        </is>
      </c>
      <c r="T166" s="32" t="n">
        <v>14.42</v>
      </c>
      <c r="U166" s="32" t="n">
        <v>22.07</v>
      </c>
      <c r="V166" s="32" t="n">
        <v>6.69</v>
      </c>
      <c r="W166" s="32" t="n">
        <v>7.63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Oligopoly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Cyclical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B2C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Fully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Above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Yes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Between 1.5 to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IF(B167=0,"",RANK(B167,$B$2:$B$251,0))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BALRAMCHIN</t>
        </is>
      </c>
      <c r="D167" s="31" t="inlineStr">
        <is>
          <t>Balrampur Chini Mills Limited</t>
        </is>
      </c>
      <c r="E167" s="31" t="inlineStr">
        <is>
          <t>fmcg</t>
        </is>
      </c>
      <c r="F167" s="31" t="inlineStr">
        <is>
          <t>sugar</t>
        </is>
      </c>
      <c r="G167" s="31" t="inlineStr">
        <is>
          <t>midcap</t>
        </is>
      </c>
      <c r="H167" s="32" t="n">
        <v>12077.09</v>
      </c>
      <c r="I167" s="32" t="n">
        <v>560.85</v>
      </c>
      <c r="J167" s="32" t="n">
        <v>-1.89</v>
      </c>
      <c r="K167" s="32" t="n">
        <v>358980</v>
      </c>
      <c r="L167" s="31" t="n">
        <v>14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66.53</v>
      </c>
      <c r="P167" s="32" t="n">
        <v>27.82</v>
      </c>
      <c r="Q167" s="32" t="n">
        <v>458.29</v>
      </c>
      <c r="R167" s="31" t="inlineStr">
        <is>
          <t>Earnings / Momentum Support</t>
        </is>
      </c>
      <c r="S167" s="31" t="inlineStr">
        <is>
          <t>Nifty FMCG</t>
        </is>
      </c>
      <c r="T167" s="32" t="n">
        <v>-12.4</v>
      </c>
      <c r="U167" s="32" t="n">
        <v>-8.279999999999999</v>
      </c>
      <c r="V167" s="32" t="n">
        <v>4.71</v>
      </c>
      <c r="W167" s="32" t="n">
        <v>3.05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B2C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IF(B168=0,"",RANK(B168,$B$2:$B$251,0))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AVADHSUGAR</t>
        </is>
      </c>
      <c r="D168" s="31" t="inlineStr">
        <is>
          <t>Avadh Sugar &amp; Energy</t>
        </is>
      </c>
      <c r="E168" s="31" t="inlineStr">
        <is>
          <t>fmcg</t>
        </is>
      </c>
      <c r="F168" s="31" t="inlineStr">
        <is>
          <t>sugar</t>
        </is>
      </c>
      <c r="G168" s="31" t="inlineStr">
        <is>
          <t>smallcap</t>
        </is>
      </c>
      <c r="H168" s="32" t="n">
        <v>1041.06</v>
      </c>
      <c r="I168" s="32" t="n">
        <v>510</v>
      </c>
      <c r="J168" s="32" t="n">
        <v>-1.93</v>
      </c>
      <c r="K168" s="32" t="n">
        <v>21588</v>
      </c>
      <c r="L168" s="31" t="n">
        <v>15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62.16</v>
      </c>
      <c r="P168" s="32" t="n">
        <v>33.97</v>
      </c>
      <c r="Q168" s="32" t="n">
        <v>384.35</v>
      </c>
      <c r="R168" s="31" t="inlineStr">
        <is>
          <t>Near 52W High Breakout</t>
        </is>
      </c>
      <c r="S168" s="31" t="inlineStr">
        <is>
          <t>Nifty FMCG</t>
        </is>
      </c>
      <c r="T168" s="32" t="n">
        <v>-12.4</v>
      </c>
      <c r="U168" s="32" t="n">
        <v>1.67</v>
      </c>
      <c r="V168" s="32" t="n">
        <v>16.06</v>
      </c>
      <c r="W168" s="32" t="n">
        <v>3.31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B2C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More than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IF(B169=0,"",RANK(B169,$B$2:$B$251,0))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ARROWGREEN</t>
        </is>
      </c>
      <c r="D169" s="31" t="inlineStr">
        <is>
          <t>Arrow Greentech Limited</t>
        </is>
      </c>
      <c r="E169" s="31" t="inlineStr">
        <is>
          <t>plastic products</t>
        </is>
      </c>
      <c r="F169" s="31" t="inlineStr">
        <is>
          <t>plastics products</t>
        </is>
      </c>
      <c r="G169" s="31" t="inlineStr">
        <is>
          <t>smallcap</t>
        </is>
      </c>
      <c r="H169" s="32" t="n">
        <v>1000.93</v>
      </c>
      <c r="I169" s="32" t="n">
        <v>680</v>
      </c>
      <c r="J169" s="32" t="n">
        <v>2.5</v>
      </c>
      <c r="K169" s="32" t="n">
        <v>49405</v>
      </c>
      <c r="L169" s="31" t="n">
        <v>28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66.93000000000001</v>
      </c>
      <c r="P169" s="32" t="n">
        <v>22.96</v>
      </c>
      <c r="Q169" s="32" t="n">
        <v>472.72</v>
      </c>
      <c r="R169" s="31" t="inlineStr">
        <is>
          <t>Earnings / Momentum Support</t>
        </is>
      </c>
      <c r="S169" s="31" t="inlineStr">
        <is>
          <t>Nifty Infra</t>
        </is>
      </c>
      <c r="T169" s="32" t="n">
        <v>-0.07000000000000001</v>
      </c>
      <c r="U169" s="32" t="n">
        <v>4.7</v>
      </c>
      <c r="V169" s="32" t="n">
        <v>4.78</v>
      </c>
      <c r="W169" s="32" t="n">
        <v>5.87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Between 50% to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IF(B170=0,"",RANK(B170,$B$2:$B$251,0))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IRISDOREME</t>
        </is>
      </c>
      <c r="D170" s="31" t="inlineStr">
        <is>
          <t>Iris Clothings Ltd</t>
        </is>
      </c>
      <c r="E170" s="31" t="inlineStr">
        <is>
          <t>consumer discretionary</t>
        </is>
      </c>
      <c r="F170" s="31" t="inlineStr">
        <is>
          <t>textiles - products</t>
        </is>
      </c>
      <c r="G170" s="31" t="inlineStr">
        <is>
          <t>smallcap</t>
        </is>
      </c>
      <c r="H170" s="32" t="n">
        <v>856.87</v>
      </c>
      <c r="I170" s="32" t="n">
        <v>45</v>
      </c>
      <c r="J170" s="32" t="n">
        <v>-0.04</v>
      </c>
      <c r="K170" s="32" t="n">
        <v>459705</v>
      </c>
      <c r="L170" s="31" t="n">
        <v>68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71.51000000000001</v>
      </c>
      <c r="P170" s="32" t="n">
        <v>22.02</v>
      </c>
      <c r="Q170" s="32" t="n">
        <v>32.72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-5.04</v>
      </c>
      <c r="U170" s="32" t="n">
        <v>39.82</v>
      </c>
      <c r="V170" s="32" t="n">
        <v>47.25</v>
      </c>
      <c r="W170" s="32" t="n">
        <v>15.91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Negative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IF(B171=0,"",RANK(B171,$B$2:$B$251,0))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CERA</t>
        </is>
      </c>
      <c r="D171" s="33" t="inlineStr">
        <is>
          <t>Cera Sanitaryware Limited</t>
        </is>
      </c>
      <c r="E171" s="31" t="inlineStr">
        <is>
          <t>building materials</t>
        </is>
      </c>
      <c r="F171" s="31" t="inlineStr">
        <is>
          <t>ceramics - tiles / sanitaryware</t>
        </is>
      </c>
      <c r="G171" s="31" t="inlineStr">
        <is>
          <t>midcap</t>
        </is>
      </c>
      <c r="H171" s="32" t="n">
        <v>8225.41</v>
      </c>
      <c r="I171" s="32" t="n">
        <v>6360</v>
      </c>
      <c r="J171" s="32" t="n">
        <v>-0.27</v>
      </c>
      <c r="K171" s="32" t="n">
        <v>11022</v>
      </c>
      <c r="L171" s="31" t="n">
        <v>22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65.55</v>
      </c>
      <c r="P171" s="32" t="n">
        <v>34.53</v>
      </c>
      <c r="Q171" s="32" t="n">
        <v>5240.07</v>
      </c>
      <c r="R171" s="31" t="inlineStr">
        <is>
          <t>Earnings / Momentum Support</t>
        </is>
      </c>
      <c r="S171" s="31" t="inlineStr">
        <is>
          <t>Nifty Infra</t>
        </is>
      </c>
      <c r="T171" s="32" t="n">
        <v>-0.07000000000000001</v>
      </c>
      <c r="U171" s="32" t="n">
        <v>-4.15</v>
      </c>
      <c r="V171" s="32" t="n">
        <v>-4.08</v>
      </c>
      <c r="W171" s="32" t="n">
        <v>4.77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IF(B172=0,"",RANK(B172,$B$2:$B$251,0))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POLYPLEX</t>
        </is>
      </c>
      <c r="D172" s="33" t="inlineStr">
        <is>
          <t>Polyplex Corporation Limited</t>
        </is>
      </c>
      <c r="E172" s="31" t="inlineStr">
        <is>
          <t>industrials</t>
        </is>
      </c>
      <c r="F172" s="31" t="inlineStr">
        <is>
          <t>packaging</t>
        </is>
      </c>
      <c r="G172" s="31" t="inlineStr">
        <is>
          <t>smallcap</t>
        </is>
      </c>
      <c r="H172" s="32" t="n">
        <v>3217.88</v>
      </c>
      <c r="I172" s="32" t="n">
        <v>1020.9</v>
      </c>
      <c r="J172" s="32" t="n">
        <v>-0.4</v>
      </c>
      <c r="K172" s="32" t="n">
        <v>106608</v>
      </c>
      <c r="L172" s="31" t="n">
        <v>9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62.55</v>
      </c>
      <c r="P172" s="32" t="n">
        <v>36.92</v>
      </c>
      <c r="Q172" s="32" t="n">
        <v>804.62</v>
      </c>
      <c r="R172" s="31" t="inlineStr">
        <is>
          <t>Earnings / Momentum Support</t>
        </is>
      </c>
      <c r="S172" s="31" t="inlineStr">
        <is>
          <t>Nifty Infra</t>
        </is>
      </c>
      <c r="T172" s="32" t="n">
        <v>-0.07000000000000001</v>
      </c>
      <c r="U172" s="32" t="n">
        <v>-10.36</v>
      </c>
      <c r="V172" s="32" t="n">
        <v>-10.29</v>
      </c>
      <c r="W172" s="32" t="n">
        <v>2.12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IF(B173=0,"",RANK(B173,$B$2:$B$251,0))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NRBBEARING</t>
        </is>
      </c>
      <c r="D173" s="31" t="inlineStr">
        <is>
          <t>Nrb Bearing Limited</t>
        </is>
      </c>
      <c r="E173" s="31" t="inlineStr">
        <is>
          <t>industrials</t>
        </is>
      </c>
      <c r="F173" s="31" t="inlineStr">
        <is>
          <t>bearings</t>
        </is>
      </c>
      <c r="G173" s="31" t="inlineStr">
        <is>
          <t>smallcap</t>
        </is>
      </c>
      <c r="H173" s="32" t="n">
        <v>4196.75</v>
      </c>
      <c r="I173" s="32" t="n">
        <v>424.95</v>
      </c>
      <c r="J173" s="32" t="n">
        <v>-1.86</v>
      </c>
      <c r="K173" s="32" t="n">
        <v>600676</v>
      </c>
      <c r="L173" s="31" t="n">
        <v>82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76.7</v>
      </c>
      <c r="P173" s="32" t="n">
        <v>41.18</v>
      </c>
      <c r="Q173" s="32" t="n">
        <v>329.88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-5.04</v>
      </c>
      <c r="U173" s="32" t="n">
        <v>53.07</v>
      </c>
      <c r="V173" s="32" t="n">
        <v>61.2</v>
      </c>
      <c r="W173" s="32" t="n">
        <v>24.87</v>
      </c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IF(B174=0,"",RANK(B174,$B$2:$B$251,0))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TPLPLASTEH</t>
        </is>
      </c>
      <c r="D174" s="31" t="inlineStr">
        <is>
          <t>Tpl Plastech Limited</t>
        </is>
      </c>
      <c r="E174" s="31" t="inlineStr">
        <is>
          <t>industrials</t>
        </is>
      </c>
      <c r="F174" s="31" t="inlineStr">
        <is>
          <t>packaging</t>
        </is>
      </c>
      <c r="G174" s="31" t="inlineStr">
        <is>
          <t>smallcap</t>
        </is>
      </c>
      <c r="H174" s="32" t="n">
        <v>639.47</v>
      </c>
      <c r="I174" s="32" t="n">
        <v>79.98999999999999</v>
      </c>
      <c r="J174" s="32" t="n">
        <v>-2.43</v>
      </c>
      <c r="K174" s="32" t="n">
        <v>297284</v>
      </c>
      <c r="L174" s="31" t="n">
        <v>19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59.23</v>
      </c>
      <c r="P174" s="32" t="n">
        <v>15.68</v>
      </c>
      <c r="Q174" s="32" t="n">
        <v>64.22</v>
      </c>
      <c r="R174" s="31" t="inlineStr">
        <is>
          <t>Earnings / Momentum Support</t>
        </is>
      </c>
      <c r="S174" s="31" t="inlineStr">
        <is>
          <t>Nifty Infra</t>
        </is>
      </c>
      <c r="T174" s="32" t="n">
        <v>-0.07000000000000001</v>
      </c>
      <c r="U174" s="32" t="n">
        <v>2.2</v>
      </c>
      <c r="V174" s="32" t="n">
        <v>2.27</v>
      </c>
      <c r="W174" s="32" t="n">
        <v>3.92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Between 12 to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IF(B175=0,"",RANK(B175,$B$2:$B$251,0))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JSWINFRA</t>
        </is>
      </c>
      <c r="D175" s="31" t="inlineStr">
        <is>
          <t>JSW Infrastructure Ltd</t>
        </is>
      </c>
      <c r="E175" s="31" t="inlineStr">
        <is>
          <t>transportation</t>
        </is>
      </c>
      <c r="F175" s="31" t="inlineStr">
        <is>
          <t>miscellaneous</t>
        </is>
      </c>
      <c r="G175" s="31" t="inlineStr">
        <is>
          <t>largecap</t>
        </is>
      </c>
      <c r="H175" s="32" t="n">
        <v>75130.89999999999</v>
      </c>
      <c r="I175" s="32" t="n">
        <v>314.25</v>
      </c>
      <c r="J175" s="32" t="n">
        <v>-2.54</v>
      </c>
      <c r="K175" s="32" t="n">
        <v>2979834</v>
      </c>
      <c r="L175" s="31" t="n">
        <v>20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62.33</v>
      </c>
      <c r="P175" s="32" t="n">
        <v>28.81</v>
      </c>
      <c r="Q175" s="32" t="n">
        <v>268.54</v>
      </c>
      <c r="R175" s="31" t="inlineStr">
        <is>
          <t>Earnings / Momentum Support</t>
        </is>
      </c>
      <c r="S175" s="31" t="inlineStr">
        <is>
          <t>Nifty 50</t>
        </is>
      </c>
      <c r="T175" s="32" t="n">
        <v>-5.04</v>
      </c>
      <c r="U175" s="32" t="n">
        <v>-0.58</v>
      </c>
      <c r="V175" s="32" t="n">
        <v>4.69</v>
      </c>
      <c r="W175" s="32" t="n">
        <v>4.07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IF(B176=0,"",RANK(B176,$B$2:$B$251,0))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CYIENTDLM</t>
        </is>
      </c>
      <c r="D176" s="31" t="inlineStr">
        <is>
          <t>Cyient DLM Ltd</t>
        </is>
      </c>
      <c r="E176" s="31" t="inlineStr">
        <is>
          <t>consumer discretionary</t>
        </is>
      </c>
      <c r="F176" s="31" t="inlineStr">
        <is>
          <t>electronics - components</t>
        </is>
      </c>
      <c r="G176" s="31" t="inlineStr">
        <is>
          <t>smallcap</t>
        </is>
      </c>
      <c r="H176" s="32" t="n">
        <v>4260.28</v>
      </c>
      <c r="I176" s="32" t="n">
        <v>521.1</v>
      </c>
      <c r="J176" s="32" t="n">
        <v>-2.92</v>
      </c>
      <c r="K176" s="32" t="n">
        <v>1261137</v>
      </c>
      <c r="L176" s="31" t="n">
        <v>73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71.89</v>
      </c>
      <c r="P176" s="32" t="n">
        <v>38.45</v>
      </c>
      <c r="Q176" s="32" t="n">
        <v>398.3</v>
      </c>
      <c r="R176" s="31" t="inlineStr">
        <is>
          <t>Volume Spike &amp; Near 52W High Breakout</t>
        </is>
      </c>
      <c r="S176" s="31" t="inlineStr">
        <is>
          <t>Nifty 50</t>
        </is>
      </c>
      <c r="T176" s="32" t="n">
        <v>-5.04</v>
      </c>
      <c r="U176" s="32" t="n">
        <v>7.96</v>
      </c>
      <c r="V176" s="32" t="n">
        <v>13.69</v>
      </c>
      <c r="W176" s="32" t="n">
        <v>18.53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Less than 50%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IF(B177=0,"",RANK(B177,$B$2:$B$251,0))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DELHIVERY</t>
        </is>
      </c>
      <c r="D177" s="31" t="inlineStr">
        <is>
          <t>Delhivery Ltd</t>
        </is>
      </c>
      <c r="E177" s="31" t="inlineStr">
        <is>
          <t>transportation</t>
        </is>
      </c>
      <c r="F177" s="31" t="inlineStr">
        <is>
          <t>miscellaneous</t>
        </is>
      </c>
      <c r="G177" s="31" t="inlineStr">
        <is>
          <t>largecap</t>
        </is>
      </c>
      <c r="H177" s="32" t="n">
        <v>38770.41</v>
      </c>
      <c r="I177" s="32" t="n">
        <v>501.8</v>
      </c>
      <c r="J177" s="32" t="n">
        <v>-3.11</v>
      </c>
      <c r="K177" s="32" t="n">
        <v>3778616</v>
      </c>
      <c r="L177" s="31" t="n">
        <v>29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64.20999999999999</v>
      </c>
      <c r="P177" s="32" t="n">
        <v>14.59</v>
      </c>
      <c r="Q177" s="32" t="n">
        <v>418.91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-5.04</v>
      </c>
      <c r="U177" s="32" t="n">
        <v>22.02</v>
      </c>
      <c r="V177" s="32" t="n">
        <v>28.5</v>
      </c>
      <c r="W177" s="32" t="n">
        <v>5.93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IF(B178=0,"",RANK(B178,$B$2:$B$251,0))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MANAKSTEEL</t>
        </is>
      </c>
      <c r="D178" s="33" t="inlineStr">
        <is>
          <t>Manaksia Steels Limited</t>
        </is>
      </c>
      <c r="E178" s="31" t="inlineStr">
        <is>
          <t>metals &amp; mining</t>
        </is>
      </c>
      <c r="F178" s="31" t="inlineStr">
        <is>
          <t>steel - medium / small</t>
        </is>
      </c>
      <c r="G178" s="31" t="inlineStr">
        <is>
          <t>smallcap</t>
        </is>
      </c>
      <c r="H178" s="32" t="n">
        <v>541.25</v>
      </c>
      <c r="I178" s="32" t="n">
        <v>79</v>
      </c>
      <c r="J178" s="32" t="n">
        <v>-4.35</v>
      </c>
      <c r="K178" s="32" t="n">
        <v>78254</v>
      </c>
      <c r="L178" s="31" t="n">
        <v>63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65.63</v>
      </c>
      <c r="P178" s="32" t="n">
        <v>37.18</v>
      </c>
      <c r="Q178" s="32" t="n">
        <v>56.78</v>
      </c>
      <c r="R178" s="31" t="inlineStr">
        <is>
          <t>Volume Spike &amp; Near 52W High Breakout</t>
        </is>
      </c>
      <c r="S178" s="31" t="inlineStr">
        <is>
          <t>Nifty Metal</t>
        </is>
      </c>
      <c r="T178" s="32" t="n">
        <v>32.89</v>
      </c>
      <c r="U178" s="32" t="n">
        <v>23.79</v>
      </c>
      <c r="V178" s="32" t="n">
        <v>-6.85</v>
      </c>
      <c r="W178" s="32" t="n">
        <v>13.73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Cyclical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IF(B179=0,"",RANK(B179,$B$2:$B$251,0))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ASIANHOTNR</t>
        </is>
      </c>
      <c r="D179" s="33" t="inlineStr">
        <is>
          <t>Asian Hotels (north) Limited</t>
        </is>
      </c>
      <c r="E179" s="31" t="inlineStr">
        <is>
          <t>services</t>
        </is>
      </c>
      <c r="F179" s="31" t="inlineStr">
        <is>
          <t>hotels</t>
        </is>
      </c>
      <c r="G179" s="31" t="inlineStr">
        <is>
          <t>smallcap</t>
        </is>
      </c>
      <c r="H179" s="32" t="n">
        <v>1444.84</v>
      </c>
      <c r="I179" s="32" t="n">
        <v>322.9</v>
      </c>
      <c r="J179" s="32" t="n">
        <v>-4.72</v>
      </c>
      <c r="K179" s="32" t="n">
        <v>21768</v>
      </c>
      <c r="L179" s="31" t="n">
        <v>3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58.22</v>
      </c>
      <c r="P179" s="32" t="n">
        <v>25.67</v>
      </c>
      <c r="Q179" s="32" t="n">
        <v>232.26</v>
      </c>
      <c r="R179" s="31" t="inlineStr">
        <is>
          <t>Volume Spike / Accumulation</t>
        </is>
      </c>
      <c r="S179" s="31" t="inlineStr">
        <is>
          <t>Nifty 50</t>
        </is>
      </c>
      <c r="T179" s="32" t="n">
        <v>-5.04</v>
      </c>
      <c r="U179" s="32" t="n">
        <v>-11.49</v>
      </c>
      <c r="V179" s="32" t="n">
        <v>-6.79</v>
      </c>
      <c r="W179" s="32" t="n">
        <v>-0.58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Negative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IF(B180=0,"",RANK(B180,$B$2:$B$251,0))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ONMOBILE</t>
        </is>
      </c>
      <c r="D180" s="31" t="inlineStr">
        <is>
          <t>Onmobile Global Limited</t>
        </is>
      </c>
      <c r="E180" s="31" t="inlineStr">
        <is>
          <t>telecom-service</t>
        </is>
      </c>
      <c r="F180" s="31" t="inlineStr">
        <is>
          <t>telecommunications - service provider</t>
        </is>
      </c>
      <c r="G180" s="31" t="inlineStr">
        <is>
          <t>smallcap</t>
        </is>
      </c>
      <c r="H180" s="32" t="n">
        <v>780.61</v>
      </c>
      <c r="I180" s="32" t="n">
        <v>69.75</v>
      </c>
      <c r="J180" s="32" t="n">
        <v>-5</v>
      </c>
      <c r="K180" s="32" t="n">
        <v>137752</v>
      </c>
      <c r="L180" s="31" t="n">
        <v>76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62.48</v>
      </c>
      <c r="P180" s="32" t="n">
        <v>23.55</v>
      </c>
      <c r="Q180" s="32" t="n">
        <v>58.9</v>
      </c>
      <c r="R180" s="31" t="inlineStr">
        <is>
          <t>Earnings / Momentum Support</t>
        </is>
      </c>
      <c r="S180" s="31" t="inlineStr">
        <is>
          <t>Nifty 50</t>
        </is>
      </c>
      <c r="T180" s="32" t="n">
        <v>-5.04</v>
      </c>
      <c r="U180" s="32" t="n">
        <v>33.09</v>
      </c>
      <c r="V180" s="32" t="n">
        <v>40.15</v>
      </c>
      <c r="W180" s="32" t="n">
        <v>19.8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Oligopoly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Negative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IF(B181=0,"",RANK(B181,$B$2:$B$251,0))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TIRUPATIFL</t>
        </is>
      </c>
      <c r="D181" s="31" t="inlineStr">
        <is>
          <t>Tirupati Forge Ltd</t>
        </is>
      </c>
      <c r="E181" s="31" t="inlineStr">
        <is>
          <t>industrials</t>
        </is>
      </c>
      <c r="F181" s="31" t="inlineStr">
        <is>
          <t>castings &amp; forgings</t>
        </is>
      </c>
      <c r="G181" s="31" t="inlineStr">
        <is>
          <t>smallcap</t>
        </is>
      </c>
      <c r="H181" s="32" t="n">
        <v>907.17</v>
      </c>
      <c r="I181" s="32" t="n">
        <v>66.06</v>
      </c>
      <c r="J181" s="32" t="n">
        <v>-5.92</v>
      </c>
      <c r="K181" s="32" t="n">
        <v>1446738</v>
      </c>
      <c r="L181" s="31" t="n">
        <v>78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76.05</v>
      </c>
      <c r="P181" s="32" t="n">
        <v>33.73</v>
      </c>
      <c r="Q181" s="32" t="n">
        <v>47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-5.04</v>
      </c>
      <c r="U181" s="32" t="n">
        <v>51.44</v>
      </c>
      <c r="V181" s="32" t="n">
        <v>59.48</v>
      </c>
      <c r="W181" s="32" t="n">
        <v>21.57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IF(B182=0,"",RANK(B182,$B$2:$B$251,0))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AEGISVOPAK</t>
        </is>
      </c>
      <c r="D182" s="31" t="inlineStr">
        <is>
          <t>Aegis Vopak Terminals Ltd</t>
        </is>
      </c>
      <c r="E182" s="31" t="inlineStr">
        <is>
          <t>transportation</t>
        </is>
      </c>
      <c r="F182" s="31" t="inlineStr">
        <is>
          <t>miscellaneous</t>
        </is>
      </c>
      <c r="G182" s="31" t="inlineStr">
        <is>
          <t>largecap</t>
        </is>
      </c>
      <c r="H182" s="32" t="n">
        <v>32610.41</v>
      </c>
      <c r="I182" s="32" t="n">
        <v>276.61</v>
      </c>
      <c r="J182" s="32" t="n">
        <v>-6.02</v>
      </c>
      <c r="K182" s="32" t="n">
        <v>4613101</v>
      </c>
      <c r="L182" s="31" t="n">
        <v>58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63.98</v>
      </c>
      <c r="P182" s="32" t="n">
        <v>18.65</v>
      </c>
      <c r="Q182" s="32" t="n">
        <v>200.1</v>
      </c>
      <c r="R182" s="31" t="inlineStr">
        <is>
          <t>Volume Spike &amp; Near 52W High Breakout</t>
        </is>
      </c>
      <c r="S182" s="31" t="inlineStr">
        <is>
          <t>Nifty 50</t>
        </is>
      </c>
      <c r="T182" s="32" t="n">
        <v>-5.04</v>
      </c>
      <c r="U182" s="32" t="n">
        <v>6.35</v>
      </c>
      <c r="V182" s="32" t="n">
        <v>11.99</v>
      </c>
      <c r="W182" s="32" t="n">
        <v>12.66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Between 0.7 to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IF(B183=0,"",RANK(B183,$B$2:$B$251,0))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INDSWFTLAB</t>
        </is>
      </c>
      <c r="D183" s="31" t="inlineStr">
        <is>
          <t>Ind-swift Laboratories Limited</t>
        </is>
      </c>
      <c r="E183" s="31" t="inlineStr">
        <is>
          <t>healthcare</t>
        </is>
      </c>
      <c r="F183" s="31" t="inlineStr">
        <is>
          <t>pharmaceuticals - indian - bulk drugs &amp; formln</t>
        </is>
      </c>
      <c r="G183" s="31" t="inlineStr">
        <is>
          <t>smallcap</t>
        </is>
      </c>
      <c r="H183" s="32" t="n">
        <v>1868.29</v>
      </c>
      <c r="I183" s="32" t="n">
        <v>225.47</v>
      </c>
      <c r="J183" s="32" t="n">
        <v>4.8</v>
      </c>
      <c r="K183" s="32" t="n">
        <v>4930370</v>
      </c>
      <c r="L183" s="31" t="n">
        <v>89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86.62</v>
      </c>
      <c r="P183" s="32" t="n">
        <v>44.25</v>
      </c>
      <c r="Q183" s="32" t="n">
        <v>173.2</v>
      </c>
      <c r="R183" s="31" t="inlineStr">
        <is>
          <t>Near 52W High Breakout</t>
        </is>
      </c>
      <c r="S183" s="31" t="inlineStr">
        <is>
          <t>Nifty Pharma</t>
        </is>
      </c>
      <c r="T183" s="32" t="n">
        <v>14.42</v>
      </c>
      <c r="U183" s="32" t="n">
        <v>115.47</v>
      </c>
      <c r="V183" s="32" t="n">
        <v>88.31999999999999</v>
      </c>
      <c r="W183" s="32" t="n">
        <v>32.54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Above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Negative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IF(B184=0,"",RANK(B184,$B$2:$B$251,0))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RPGLIFE</t>
        </is>
      </c>
      <c r="D184" s="33" t="inlineStr">
        <is>
          <t>Rpg Life Sciences Limited</t>
        </is>
      </c>
      <c r="E184" s="31" t="inlineStr">
        <is>
          <t>healthcare</t>
        </is>
      </c>
      <c r="F184" s="31" t="inlineStr">
        <is>
          <t>pharmaceuticals - indian - bulk drugs &amp; formln</t>
        </is>
      </c>
      <c r="G184" s="31" t="inlineStr">
        <is>
          <t>smallcap</t>
        </is>
      </c>
      <c r="H184" s="32" t="n">
        <v>4036.02</v>
      </c>
      <c r="I184" s="32" t="n">
        <v>2452.3</v>
      </c>
      <c r="J184" s="32" t="n">
        <v>0.49</v>
      </c>
      <c r="K184" s="32" t="n">
        <v>81686</v>
      </c>
      <c r="L184" s="31" t="n">
        <v>31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63.85</v>
      </c>
      <c r="P184" s="32" t="n">
        <v>21.48</v>
      </c>
      <c r="Q184" s="32" t="n">
        <v>1955.77</v>
      </c>
      <c r="R184" s="31" t="inlineStr">
        <is>
          <t>Near 52W High Breakout</t>
        </is>
      </c>
      <c r="S184" s="31" t="inlineStr">
        <is>
          <t>Nifty Pharma</t>
        </is>
      </c>
      <c r="T184" s="32" t="n">
        <v>14.42</v>
      </c>
      <c r="U184" s="32" t="n">
        <v>-2.93</v>
      </c>
      <c r="V184" s="32" t="n">
        <v>-15.16</v>
      </c>
      <c r="W184" s="32" t="n">
        <v>6.77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Less than 50%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IF(B185=0,"",RANK(B185,$B$2:$B$251,0))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TORNTPHARM</t>
        </is>
      </c>
      <c r="D185" s="31" t="inlineStr">
        <is>
          <t>Torrent Pharmaceuticals Limited</t>
        </is>
      </c>
      <c r="E185" s="31" t="inlineStr">
        <is>
          <t>healthcare</t>
        </is>
      </c>
      <c r="F185" s="31" t="inlineStr">
        <is>
          <t>pharmaceuticals - indian - formulations</t>
        </is>
      </c>
      <c r="G185" s="31" t="inlineStr">
        <is>
          <t>largecap</t>
        </is>
      </c>
      <c r="H185" s="32" t="n">
        <v>164372.8</v>
      </c>
      <c r="I185" s="32" t="n">
        <v>4866.4</v>
      </c>
      <c r="J185" s="32" t="n">
        <v>0.2</v>
      </c>
      <c r="K185" s="32" t="n">
        <v>1025037</v>
      </c>
      <c r="L185" s="31" t="n">
        <v>55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72.42</v>
      </c>
      <c r="P185" s="32" t="n">
        <v>31.77</v>
      </c>
      <c r="Q185" s="32" t="n">
        <v>4199.07</v>
      </c>
      <c r="R185" s="31" t="inlineStr">
        <is>
          <t>Near 52W High Breakout</t>
        </is>
      </c>
      <c r="S185" s="31" t="inlineStr">
        <is>
          <t>Nifty Pharma</t>
        </is>
      </c>
      <c r="T185" s="32" t="n">
        <v>14.42</v>
      </c>
      <c r="U185" s="32" t="n">
        <v>48.14</v>
      </c>
      <c r="V185" s="32" t="n">
        <v>29.47</v>
      </c>
      <c r="W185" s="32" t="n">
        <v>11.81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Between 50% to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Between 0.7 to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IF(B186=0,"",RANK(B186,$B$2:$B$251,0))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DALMIASUG</t>
        </is>
      </c>
      <c r="D186" s="31" t="inlineStr">
        <is>
          <t>Dalmia Bharat Sugar And Industries Limited</t>
        </is>
      </c>
      <c r="E186" s="31" t="inlineStr">
        <is>
          <t>fmcg</t>
        </is>
      </c>
      <c r="F186" s="31" t="inlineStr">
        <is>
          <t>sugar</t>
        </is>
      </c>
      <c r="G186" s="31" t="inlineStr">
        <is>
          <t>smallcap</t>
        </is>
      </c>
      <c r="H186" s="32" t="n">
        <v>2930</v>
      </c>
      <c r="I186" s="32" t="n">
        <v>355</v>
      </c>
      <c r="J186" s="32" t="n">
        <v>-1.93</v>
      </c>
      <c r="K186" s="32" t="n">
        <v>153919</v>
      </c>
      <c r="L186" s="31" t="n">
        <v>1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55.03</v>
      </c>
      <c r="P186" s="32" t="n">
        <v>24.96</v>
      </c>
      <c r="Q186" s="32" t="n">
        <v>301.77</v>
      </c>
      <c r="R186" s="31" t="inlineStr">
        <is>
          <t>Volume Spike / Accumulation</t>
        </is>
      </c>
      <c r="S186" s="31" t="inlineStr">
        <is>
          <t>Nifty FMCG</t>
        </is>
      </c>
      <c r="T186" s="32" t="n">
        <v>-12.4</v>
      </c>
      <c r="U186" s="32" t="n">
        <v>-10.17</v>
      </c>
      <c r="V186" s="32" t="n">
        <v>2.54</v>
      </c>
      <c r="W186" s="32" t="n">
        <v>-1.32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B2C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1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IF(B187=0,"",RANK(B187,$B$2:$B$251,0))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MOSCHIP</t>
        </is>
      </c>
      <c r="D187" s="31" t="inlineStr">
        <is>
          <t>Moschip Technologies Ltd</t>
        </is>
      </c>
      <c r="E187" s="31" t="inlineStr">
        <is>
          <t>i.t</t>
        </is>
      </c>
      <c r="F187" s="31" t="inlineStr">
        <is>
          <t>computers - hardware</t>
        </is>
      </c>
      <c r="G187" s="31" t="inlineStr">
        <is>
          <t>smallcap</t>
        </is>
      </c>
      <c r="H187" s="32" t="n">
        <v>4379.45</v>
      </c>
      <c r="I187" s="32" t="n">
        <v>231.29</v>
      </c>
      <c r="J187" s="32" t="n">
        <v>2.39</v>
      </c>
      <c r="K187" s="32" t="n">
        <v>15702565</v>
      </c>
      <c r="L187" s="31" t="n">
        <v>68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59.35</v>
      </c>
      <c r="P187" s="32" t="n">
        <v>17.2</v>
      </c>
      <c r="Q187" s="32" t="n">
        <v>166.49</v>
      </c>
      <c r="R187" s="31" t="inlineStr">
        <is>
          <t>Volume Spike / Accumulation</t>
        </is>
      </c>
      <c r="S187" s="31" t="inlineStr">
        <is>
          <t>Nifty IT</t>
        </is>
      </c>
      <c r="T187" s="32" t="n">
        <v>-26.9</v>
      </c>
      <c r="U187" s="32" t="n">
        <v>32.7</v>
      </c>
      <c r="V187" s="32" t="n">
        <v>81.53</v>
      </c>
      <c r="W187" s="32" t="n">
        <v>16.06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IF(B188=0,"",RANK(B188,$B$2:$B$251,0))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SETL</t>
        </is>
      </c>
      <c r="D188" s="31" t="inlineStr">
        <is>
          <t>Standard Enginnering Technology Ltd</t>
        </is>
      </c>
      <c r="E188" s="31" t="inlineStr">
        <is>
          <t>industrials</t>
        </is>
      </c>
      <c r="F188" s="31" t="inlineStr">
        <is>
          <t>engineering</t>
        </is>
      </c>
      <c r="G188" s="31" t="inlineStr">
        <is>
          <t>midcap</t>
        </is>
      </c>
      <c r="H188" s="32" t="n">
        <v>5207.73</v>
      </c>
      <c r="I188" s="32" t="n">
        <v>265.6</v>
      </c>
      <c r="J188" s="32" t="n">
        <v>1.74</v>
      </c>
      <c r="K188" s="32" t="n">
        <v>1316961</v>
      </c>
      <c r="L188" s="31" t="n">
        <v>91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78.53</v>
      </c>
      <c r="P188" s="32" t="n">
        <v>23.98</v>
      </c>
      <c r="Q188" s="32" t="n">
        <v>212.24</v>
      </c>
      <c r="R188" s="31" t="inlineStr">
        <is>
          <t>Earnings / Momentum Support</t>
        </is>
      </c>
      <c r="S188" s="31" t="inlineStr">
        <is>
          <t>Nifty Infra</t>
        </is>
      </c>
      <c r="T188" s="32" t="n">
        <v>-0.07000000000000001</v>
      </c>
      <c r="U188" s="32" t="n">
        <v>46.99</v>
      </c>
      <c r="V188" s="32" t="n">
        <v>47.1</v>
      </c>
      <c r="W188" s="32" t="n">
        <v>34.37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Less than 50%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IF(B189=0,"",RANK(B189,$B$2:$B$251,0))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RATNAVEER</t>
        </is>
      </c>
      <c r="D189" s="33" t="inlineStr">
        <is>
          <t>Ratnaveer Precision Engineering Ltd</t>
        </is>
      </c>
      <c r="E189" s="31" t="inlineStr">
        <is>
          <t>metals &amp; mining</t>
        </is>
      </c>
      <c r="F189" s="31" t="inlineStr">
        <is>
          <t>steel - medium / small</t>
        </is>
      </c>
      <c r="G189" s="31" t="inlineStr">
        <is>
          <t>smallcap</t>
        </is>
      </c>
      <c r="H189" s="32" t="n">
        <v>1271.25</v>
      </c>
      <c r="I189" s="32" t="n">
        <v>180.69</v>
      </c>
      <c r="J189" s="32" t="n">
        <v>1.52</v>
      </c>
      <c r="K189" s="32" t="n">
        <v>5111846</v>
      </c>
      <c r="L189" s="31" t="n">
        <v>46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57.81</v>
      </c>
      <c r="P189" s="32" t="n">
        <v>48.64</v>
      </c>
      <c r="Q189" s="32" t="n">
        <v>132.8</v>
      </c>
      <c r="R189" s="31" t="inlineStr">
        <is>
          <t>Near 52W High Breakout</t>
        </is>
      </c>
      <c r="S189" s="31" t="inlineStr">
        <is>
          <t>Nifty Metal</t>
        </is>
      </c>
      <c r="T189" s="32" t="n">
        <v>32.89</v>
      </c>
      <c r="U189" s="32" t="n">
        <v>23.59</v>
      </c>
      <c r="V189" s="32" t="n">
        <v>-7</v>
      </c>
      <c r="W189" s="32" t="n">
        <v>9.58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Cyclical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Volatile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Negative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IF(B190=0,"",RANK(B190,$B$2:$B$251,0))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TBZ</t>
        </is>
      </c>
      <c r="D190" s="31" t="inlineStr">
        <is>
          <t>Tribhovandas Bhimji Zaveri Limited</t>
        </is>
      </c>
      <c r="E190" s="31" t="inlineStr">
        <is>
          <t>consumer discretionary</t>
        </is>
      </c>
      <c r="F190" s="31" t="inlineStr">
        <is>
          <t>diamond cutting / jewellery</t>
        </is>
      </c>
      <c r="G190" s="31" t="inlineStr">
        <is>
          <t>smallcap</t>
        </is>
      </c>
      <c r="H190" s="32" t="n">
        <v>1326</v>
      </c>
      <c r="I190" s="32" t="n">
        <v>201.7</v>
      </c>
      <c r="J190" s="32" t="n">
        <v>1.5</v>
      </c>
      <c r="K190" s="32" t="n">
        <v>5632467</v>
      </c>
      <c r="L190" s="31" t="n">
        <v>54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67.01000000000001</v>
      </c>
      <c r="P190" s="32" t="n">
        <v>19.82</v>
      </c>
      <c r="Q190" s="32" t="n">
        <v>146.9</v>
      </c>
      <c r="R190" s="31" t="inlineStr">
        <is>
          <t>Volume Spike &amp; Near 52W High Breakout</t>
        </is>
      </c>
      <c r="S190" s="31" t="inlineStr">
        <is>
          <t>Nifty 50</t>
        </is>
      </c>
      <c r="T190" s="32" t="n">
        <v>-5.04</v>
      </c>
      <c r="U190" s="32" t="n">
        <v>7.7</v>
      </c>
      <c r="V190" s="32" t="n">
        <v>13.41</v>
      </c>
      <c r="W190" s="32" t="n">
        <v>11.78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Less than 50% and Borrowings are increasing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Between 0.7 to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IF(B191=0,"",RANK(B191,$B$2:$B$251,0))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MMFL</t>
        </is>
      </c>
      <c r="D191" s="31" t="inlineStr">
        <is>
          <t>Mm Forgings Limited</t>
        </is>
      </c>
      <c r="E191" s="31" t="inlineStr">
        <is>
          <t>industrials</t>
        </is>
      </c>
      <c r="F191" s="31" t="inlineStr">
        <is>
          <t>castings &amp; forgings</t>
        </is>
      </c>
      <c r="G191" s="31" t="inlineStr">
        <is>
          <t>smallcap</t>
        </is>
      </c>
      <c r="H191" s="32" t="n">
        <v>2388.01</v>
      </c>
      <c r="I191" s="32" t="n">
        <v>500.1</v>
      </c>
      <c r="J191" s="32" t="n">
        <v>1.11</v>
      </c>
      <c r="K191" s="32" t="n">
        <v>160853</v>
      </c>
      <c r="L191" s="31" t="n">
        <v>52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64.19</v>
      </c>
      <c r="P191" s="32" t="n">
        <v>15.93</v>
      </c>
      <c r="Q191" s="32" t="n">
        <v>376.64</v>
      </c>
      <c r="R191" s="31" t="inlineStr">
        <is>
          <t>Near 52W High Breakout</t>
        </is>
      </c>
      <c r="S191" s="31" t="inlineStr">
        <is>
          <t>Nifty 50</t>
        </is>
      </c>
      <c r="T191" s="32" t="n">
        <v>-5.04</v>
      </c>
      <c r="U191" s="32" t="n">
        <v>40.69</v>
      </c>
      <c r="V191" s="32" t="n">
        <v>48.16</v>
      </c>
      <c r="W191" s="32" t="n">
        <v>11.4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More than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IF(B192=0,"",RANK(B192,$B$2:$B$251,0))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KIRLOSENG</t>
        </is>
      </c>
      <c r="D192" s="31" t="inlineStr">
        <is>
          <t>Kirloskar Oil Engines Limited</t>
        </is>
      </c>
      <c r="E192" s="31" t="inlineStr">
        <is>
          <t>industrials</t>
        </is>
      </c>
      <c r="F192" s="31" t="inlineStr">
        <is>
          <t>engines</t>
        </is>
      </c>
      <c r="G192" s="31" t="inlineStr">
        <is>
          <t>largecap</t>
        </is>
      </c>
      <c r="H192" s="32" t="n">
        <v>32995.09</v>
      </c>
      <c r="I192" s="32" t="n">
        <v>2277</v>
      </c>
      <c r="J192" s="32" t="n">
        <v>0.31</v>
      </c>
      <c r="K192" s="32" t="n">
        <v>1027465</v>
      </c>
      <c r="L192" s="31" t="n">
        <v>89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71.43000000000001</v>
      </c>
      <c r="P192" s="32" t="n">
        <v>47.69</v>
      </c>
      <c r="Q192" s="32" t="n">
        <v>1907.35</v>
      </c>
      <c r="R192" s="31" t="inlineStr">
        <is>
          <t>Earnings / Momentum Support</t>
        </is>
      </c>
      <c r="S192" s="31" t="inlineStr">
        <is>
          <t>Nifty 50</t>
        </is>
      </c>
      <c r="T192" s="32" t="n">
        <v>-5.04</v>
      </c>
      <c r="U192" s="32" t="n">
        <v>150.42</v>
      </c>
      <c r="V192" s="32" t="n">
        <v>163.72</v>
      </c>
      <c r="W192" s="32" t="n">
        <v>32.87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Between 50% to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More than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IF(B193=0,"",RANK(B193,$B$2:$B$251,0))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SBC</t>
        </is>
      </c>
      <c r="D193" s="31" t="inlineStr">
        <is>
          <t>SBC Exports Ltd</t>
        </is>
      </c>
      <c r="E193" s="31" t="inlineStr">
        <is>
          <t>textiles</t>
        </is>
      </c>
      <c r="F193" s="31" t="inlineStr">
        <is>
          <t>textiles - products</t>
        </is>
      </c>
      <c r="G193" s="31" t="inlineStr">
        <is>
          <t>smallcap</t>
        </is>
      </c>
      <c r="H193" s="32" t="n">
        <v>2005.71</v>
      </c>
      <c r="I193" s="32" t="n">
        <v>42.06</v>
      </c>
      <c r="J193" s="32" t="n">
        <v>-0.14</v>
      </c>
      <c r="K193" s="32" t="n">
        <v>7461048</v>
      </c>
      <c r="L193" s="31" t="n">
        <v>84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72.97</v>
      </c>
      <c r="P193" s="32" t="n">
        <v>35.82</v>
      </c>
      <c r="Q193" s="32" t="n">
        <v>36.17</v>
      </c>
      <c r="R193" s="31" t="inlineStr">
        <is>
          <t>Near 52W High Breakout</t>
        </is>
      </c>
      <c r="S193" s="31" t="inlineStr">
        <is>
          <t>Nifty 50</t>
        </is>
      </c>
      <c r="T193" s="32" t="n">
        <v>-5.04</v>
      </c>
      <c r="U193" s="32" t="n">
        <v>160.27</v>
      </c>
      <c r="V193" s="32" t="n">
        <v>174.09</v>
      </c>
      <c r="W193" s="32" t="n">
        <v>27.18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Between 1.5 to 2</t>
        </is>
      </c>
      <c r="BU193" s="31">
        <f>IF(BT193="Above 2",0,IF(BT193="Between 1.5 to 2",5,IF(BT193="Less than 1.5",10,0)))</f>
        <v/>
      </c>
      <c r="BV193" s="31" t="inlineStr">
        <is>
          <t>Negative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More than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IF(B194=0,"",RANK(B194,$B$2:$B$251,0))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CEATLTD</t>
        </is>
      </c>
      <c r="D194" s="33" t="inlineStr">
        <is>
          <t>Ceat Limited</t>
        </is>
      </c>
      <c r="E194" s="31" t="inlineStr">
        <is>
          <t>auto</t>
        </is>
      </c>
      <c r="F194" s="31" t="inlineStr">
        <is>
          <t>tyres</t>
        </is>
      </c>
      <c r="G194" s="31" t="inlineStr">
        <is>
          <t>midcap</t>
        </is>
      </c>
      <c r="H194" s="32" t="n">
        <v>15836.21</v>
      </c>
      <c r="I194" s="32" t="n">
        <v>3858.6</v>
      </c>
      <c r="J194" s="32" t="n">
        <v>-1.44</v>
      </c>
      <c r="K194" s="32" t="n">
        <v>342294</v>
      </c>
      <c r="L194" s="31" t="n">
        <v>10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61.45</v>
      </c>
      <c r="P194" s="32" t="n">
        <v>7.83</v>
      </c>
      <c r="Q194" s="32" t="n">
        <v>3062.81</v>
      </c>
      <c r="R194" s="31" t="inlineStr">
        <is>
          <t>Earnings / Momentum Support</t>
        </is>
      </c>
      <c r="S194" s="31" t="inlineStr">
        <is>
          <t>Nifty Auto</t>
        </is>
      </c>
      <c r="T194" s="32" t="n">
        <v>13.79</v>
      </c>
      <c r="U194" s="32" t="n">
        <v>4.61</v>
      </c>
      <c r="V194" s="32" t="n">
        <v>-8.07</v>
      </c>
      <c r="W194" s="32" t="n">
        <v>2.2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IF(B195=0,"",RANK(B195,$B$2:$B$251,0))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MAHLOG</t>
        </is>
      </c>
      <c r="D195" s="31" t="inlineStr">
        <is>
          <t>Mahindra Logistics Ltd</t>
        </is>
      </c>
      <c r="E195" s="31" t="inlineStr">
        <is>
          <t>transportation</t>
        </is>
      </c>
      <c r="F195" s="31" t="inlineStr">
        <is>
          <t>miscellaneous</t>
        </is>
      </c>
      <c r="G195" s="31" t="inlineStr">
        <is>
          <t>smallcap</t>
        </is>
      </c>
      <c r="H195" s="32" t="n">
        <v>3889.52</v>
      </c>
      <c r="I195" s="32" t="n">
        <v>382.5</v>
      </c>
      <c r="J195" s="32" t="n">
        <v>-2.42</v>
      </c>
      <c r="K195" s="32" t="n">
        <v>165605</v>
      </c>
      <c r="L195" s="31" t="n">
        <v>4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54.11</v>
      </c>
      <c r="P195" s="32" t="n">
        <v>18.66</v>
      </c>
      <c r="Q195" s="32" t="n">
        <v>335.04</v>
      </c>
      <c r="R195" s="31" t="inlineStr">
        <is>
          <t>Earnings / Momentum Support</t>
        </is>
      </c>
      <c r="S195" s="31" t="inlineStr">
        <is>
          <t>Nifty 50</t>
        </is>
      </c>
      <c r="T195" s="32" t="n">
        <v>-5.04</v>
      </c>
      <c r="U195" s="32" t="n">
        <v>0.96</v>
      </c>
      <c r="V195" s="32" t="n">
        <v>6.32</v>
      </c>
      <c r="W195" s="32" t="n">
        <v>0.73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IF(B196=0,"",RANK(B196,$B$2:$B$251,0))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SUYOG</t>
        </is>
      </c>
      <c r="D196" s="31" t="inlineStr">
        <is>
          <t>Suyog Telematics Ltd</t>
        </is>
      </c>
      <c r="E196" s="31" t="inlineStr">
        <is>
          <t>telecom</t>
        </is>
      </c>
      <c r="F196" s="31" t="inlineStr">
        <is>
          <t>transmisson line towers / equipment</t>
        </is>
      </c>
      <c r="G196" s="31" t="inlineStr">
        <is>
          <t>smallcap</t>
        </is>
      </c>
      <c r="H196" s="32" t="n">
        <v>1056.18</v>
      </c>
      <c r="I196" s="32" t="n">
        <v>874.95</v>
      </c>
      <c r="J196" s="32" t="n">
        <v>-2.93</v>
      </c>
      <c r="K196" s="32" t="n">
        <v>60337</v>
      </c>
      <c r="L196" s="31" t="n">
        <v>17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60.53</v>
      </c>
      <c r="P196" s="32" t="n">
        <v>17.32</v>
      </c>
      <c r="Q196" s="32" t="n">
        <v>634.5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-5.04</v>
      </c>
      <c r="U196" s="32" t="n">
        <v>2.3</v>
      </c>
      <c r="V196" s="32" t="n">
        <v>7.73</v>
      </c>
      <c r="W196" s="32" t="n">
        <v>3.55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Oligopoly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Less than 50%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Between 0.7 to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IF(B197=0,"",RANK(B197,$B$2:$B$251,0))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3" t="inlineStr">
        <is>
          <t>GODREJPROP</t>
        </is>
      </c>
      <c r="D197" s="33" t="inlineStr">
        <is>
          <t>Godrej Properties Limited</t>
        </is>
      </c>
      <c r="E197" s="31" t="inlineStr">
        <is>
          <t>realty</t>
        </is>
      </c>
      <c r="F197" s="31" t="inlineStr">
        <is>
          <t>construction</t>
        </is>
      </c>
      <c r="G197" s="31" t="inlineStr">
        <is>
          <t>largecap</t>
        </is>
      </c>
      <c r="H197" s="32" t="n">
        <v>61539.47</v>
      </c>
      <c r="I197" s="32" t="n">
        <v>1979.5</v>
      </c>
      <c r="J197" s="32" t="n">
        <v>-3.11</v>
      </c>
      <c r="K197" s="32" t="n">
        <v>1082521</v>
      </c>
      <c r="L197" s="31" t="n">
        <v>6</v>
      </c>
      <c r="M197" s="31" t="inlineStr">
        <is>
          <t>Underperforming</t>
        </is>
      </c>
      <c r="N197" s="32">
        <f>IF(M197="Underperforming",-5,IF(L197&gt;=95,15,IF(L197&gt;=90,10,IF(L197&gt;=80,5,0))))</f>
        <v/>
      </c>
      <c r="O197" s="32" t="n">
        <v>58.63</v>
      </c>
      <c r="P197" s="32" t="n">
        <v>7.57</v>
      </c>
      <c r="Q197" s="32" t="n">
        <v>1591.24</v>
      </c>
      <c r="R197" s="31" t="inlineStr">
        <is>
          <t>Earnings / Momentum Support</t>
        </is>
      </c>
      <c r="S197" s="31" t="inlineStr">
        <is>
          <t>Nifty Realty</t>
        </is>
      </c>
      <c r="T197" s="32" t="n">
        <v>-9.029999999999999</v>
      </c>
      <c r="U197" s="32" t="n">
        <v>-10.28</v>
      </c>
      <c r="V197" s="32" t="n">
        <v>-1.37</v>
      </c>
      <c r="W197" s="32" t="n">
        <v>1.37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Between 0.7 to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IF(B198=0,"",RANK(B198,$B$2:$B$251,0))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EPL</t>
        </is>
      </c>
      <c r="D198" s="31" t="inlineStr">
        <is>
          <t>EPL Ltd</t>
        </is>
      </c>
      <c r="E198" s="31" t="inlineStr">
        <is>
          <t>industrials</t>
        </is>
      </c>
      <c r="F198" s="31" t="inlineStr">
        <is>
          <t>packaging</t>
        </is>
      </c>
      <c r="G198" s="31" t="inlineStr">
        <is>
          <t>midcap</t>
        </is>
      </c>
      <c r="H198" s="32" t="n">
        <v>7848.95</v>
      </c>
      <c r="I198" s="32" t="n">
        <v>233.85</v>
      </c>
      <c r="J198" s="32" t="n">
        <v>-4.59</v>
      </c>
      <c r="K198" s="32" t="n">
        <v>858604</v>
      </c>
      <c r="L198" s="31" t="n">
        <v>4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57.72</v>
      </c>
      <c r="P198" s="32" t="n">
        <v>8.279999999999999</v>
      </c>
      <c r="Q198" s="32" t="n">
        <v>189.52</v>
      </c>
      <c r="R198" s="31" t="inlineStr">
        <is>
          <t>Near 52W High Breakout</t>
        </is>
      </c>
      <c r="S198" s="31" t="inlineStr">
        <is>
          <t>Nifty 50</t>
        </is>
      </c>
      <c r="T198" s="32" t="n">
        <v>-5.04</v>
      </c>
      <c r="U198" s="32" t="n">
        <v>1.36</v>
      </c>
      <c r="V198" s="32" t="n">
        <v>6.74</v>
      </c>
      <c r="W198" s="32" t="n">
        <v>0.48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IF(B199=0,"",RANK(B199,$B$2:$B$251,0))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MACPOWER</t>
        </is>
      </c>
      <c r="D199" s="31" t="inlineStr">
        <is>
          <t>Macpower CNC Machines Ltd</t>
        </is>
      </c>
      <c r="E199" s="31" t="inlineStr">
        <is>
          <t>industrials</t>
        </is>
      </c>
      <c r="F199" s="31" t="inlineStr">
        <is>
          <t>engineering</t>
        </is>
      </c>
      <c r="G199" s="31" t="inlineStr">
        <is>
          <t>midcap</t>
        </is>
      </c>
      <c r="H199" s="32" t="n">
        <v>11723.87</v>
      </c>
      <c r="I199" s="32" t="n">
        <v>1331.9</v>
      </c>
      <c r="J199" s="32" t="n">
        <v>-4.97</v>
      </c>
      <c r="K199" s="32" t="n">
        <v>27089</v>
      </c>
      <c r="L199" s="31" t="n">
        <v>59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63.12</v>
      </c>
      <c r="P199" s="32" t="n">
        <v>27.12</v>
      </c>
      <c r="Q199" s="32" t="n">
        <v>987.97</v>
      </c>
      <c r="R199" s="31" t="inlineStr">
        <is>
          <t>Earnings / Momentum Support</t>
        </is>
      </c>
      <c r="S199" s="31" t="inlineStr">
        <is>
          <t>Nifty 50</t>
        </is>
      </c>
      <c r="T199" s="32" t="n">
        <v>-5.04</v>
      </c>
      <c r="U199" s="32" t="n">
        <v>30.16</v>
      </c>
      <c r="V199" s="32" t="n">
        <v>37.07</v>
      </c>
      <c r="W199" s="32" t="n">
        <v>12.97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Between 12 to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Less than 50%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IF(B200=0,"",RANK(B200,$B$2:$B$251,0))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GALAPREC</t>
        </is>
      </c>
      <c r="D200" s="31" t="inlineStr">
        <is>
          <t>Gala Precision Engineering Ltd</t>
        </is>
      </c>
      <c r="E200" s="31" t="inlineStr">
        <is>
          <t>industrials</t>
        </is>
      </c>
      <c r="F200" s="31" t="inlineStr">
        <is>
          <t>fasteners</t>
        </is>
      </c>
      <c r="G200" s="31" t="inlineStr">
        <is>
          <t>smallcap</t>
        </is>
      </c>
      <c r="H200" s="32" t="n">
        <v>1543.04</v>
      </c>
      <c r="I200" s="32" t="n">
        <v>1140.4</v>
      </c>
      <c r="J200" s="32" t="n">
        <v>-5.77</v>
      </c>
      <c r="K200" s="32" t="n">
        <v>64399</v>
      </c>
      <c r="L200" s="31" t="n">
        <v>72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73.79000000000001</v>
      </c>
      <c r="P200" s="32" t="n">
        <v>36.69</v>
      </c>
      <c r="Q200" s="32" t="n">
        <v>899.87</v>
      </c>
      <c r="R200" s="31" t="inlineStr">
        <is>
          <t>Near 52W High Breakout</t>
        </is>
      </c>
      <c r="S200" s="31" t="inlineStr">
        <is>
          <t>Nifty 50</t>
        </is>
      </c>
      <c r="T200" s="32" t="n">
        <v>-5.04</v>
      </c>
      <c r="U200" s="32" t="n">
        <v>26.65</v>
      </c>
      <c r="V200" s="32" t="n">
        <v>33.38</v>
      </c>
      <c r="W200" s="32" t="n">
        <v>18.01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Less than 50%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IF(B201=0,"",RANK(B201,$B$2:$B$251,0))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MEDANTA</t>
        </is>
      </c>
      <c r="D201" s="33" t="inlineStr">
        <is>
          <t>Global Health Ltd</t>
        </is>
      </c>
      <c r="E201" s="31" t="inlineStr">
        <is>
          <t>healthcare</t>
        </is>
      </c>
      <c r="F201" s="31" t="inlineStr">
        <is>
          <t>healthcare</t>
        </is>
      </c>
      <c r="G201" s="31" t="inlineStr">
        <is>
          <t>largecap</t>
        </is>
      </c>
      <c r="H201" s="32" t="n">
        <v>35595.91</v>
      </c>
      <c r="I201" s="32" t="n">
        <v>1312</v>
      </c>
      <c r="J201" s="32" t="n">
        <v>-0.93</v>
      </c>
      <c r="K201" s="32" t="n">
        <v>229489</v>
      </c>
      <c r="L201" s="31" t="n">
        <v>25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60.87</v>
      </c>
      <c r="P201" s="32" t="n">
        <v>13.59</v>
      </c>
      <c r="Q201" s="32" t="n">
        <v>1121.38</v>
      </c>
      <c r="R201" s="31" t="inlineStr">
        <is>
          <t>Earnings / Momentum Support</t>
        </is>
      </c>
      <c r="S201" s="31" t="inlineStr">
        <is>
          <t>Nifty Pharma</t>
        </is>
      </c>
      <c r="T201" s="32" t="n">
        <v>14.42</v>
      </c>
      <c r="U201" s="32" t="n">
        <v>0.17</v>
      </c>
      <c r="V201" s="32" t="n">
        <v>-12.45</v>
      </c>
      <c r="W201" s="32" t="n">
        <v>5.24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Yes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Between 1.5 to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IF(B202=0,"",RANK(B202,$B$2:$B$251,0))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KOVAI</t>
        </is>
      </c>
      <c r="D202" s="33" t="inlineStr">
        <is>
          <t>Kovai Medical Center &amp; Hospital Ltd</t>
        </is>
      </c>
      <c r="E202" s="31" t="inlineStr">
        <is>
          <t>healthcare</t>
        </is>
      </c>
      <c r="F202" s="31" t="inlineStr">
        <is>
          <t>healthcare</t>
        </is>
      </c>
      <c r="G202" s="31" t="inlineStr">
        <is>
          <t>midcap</t>
        </is>
      </c>
      <c r="H202" s="32" t="n">
        <v>6605.3</v>
      </c>
      <c r="I202" s="32" t="n">
        <v>5968.5</v>
      </c>
      <c r="J202" s="32" t="n">
        <v>-1.13</v>
      </c>
      <c r="K202" s="32" t="n">
        <v>1755</v>
      </c>
      <c r="L202" s="31" t="n">
        <v>8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61.16</v>
      </c>
      <c r="P202" s="32" t="n">
        <v>18.5</v>
      </c>
      <c r="Q202" s="32" t="n">
        <v>5073.09</v>
      </c>
      <c r="R202" s="31" t="inlineStr">
        <is>
          <t>Earnings / Momentum Support</t>
        </is>
      </c>
      <c r="S202" s="31" t="inlineStr">
        <is>
          <t>Nifty Pharma</t>
        </is>
      </c>
      <c r="T202" s="32" t="n">
        <v>14.42</v>
      </c>
      <c r="U202" s="32" t="n">
        <v>-4.37</v>
      </c>
      <c r="V202" s="32" t="n">
        <v>-16.42</v>
      </c>
      <c r="W202" s="32" t="n">
        <v>1.69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Between 12 to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Between 1.5 to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IF(B203=0,"",RANK(B203,$B$2:$B$251,0))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MANGLMCEM</t>
        </is>
      </c>
      <c r="D203" s="31" t="inlineStr">
        <is>
          <t>Mangalam Cement Limited</t>
        </is>
      </c>
      <c r="E203" s="31" t="inlineStr">
        <is>
          <t>building materials</t>
        </is>
      </c>
      <c r="F203" s="31" t="inlineStr">
        <is>
          <t>cement - north india</t>
        </is>
      </c>
      <c r="G203" s="31" t="inlineStr">
        <is>
          <t>smallcap</t>
        </is>
      </c>
      <c r="H203" s="32" t="n">
        <v>2545.42</v>
      </c>
      <c r="I203" s="32" t="n">
        <v>929.95</v>
      </c>
      <c r="J203" s="32" t="n">
        <v>0.46</v>
      </c>
      <c r="K203" s="32" t="n">
        <v>84114</v>
      </c>
      <c r="L203" s="31" t="n">
        <v>29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60.75</v>
      </c>
      <c r="P203" s="32" t="n">
        <v>19.62</v>
      </c>
      <c r="Q203" s="32" t="n">
        <v>756.28</v>
      </c>
      <c r="R203" s="31" t="inlineStr">
        <is>
          <t>Near 52W High Breakout</t>
        </is>
      </c>
      <c r="S203" s="31" t="inlineStr">
        <is>
          <t>Nifty Infra</t>
        </is>
      </c>
      <c r="T203" s="32" t="n">
        <v>-0.07000000000000001</v>
      </c>
      <c r="U203" s="32" t="n">
        <v>25.89</v>
      </c>
      <c r="V203" s="32" t="n">
        <v>25.98</v>
      </c>
      <c r="W203" s="32" t="n">
        <v>6.22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Less than 50%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IF(B204=0,"",RANK(B204,$B$2:$B$251,0))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VMART</t>
        </is>
      </c>
      <c r="D204" s="31" t="inlineStr">
        <is>
          <t>V-mart Retail Limited</t>
        </is>
      </c>
      <c r="E204" s="31" t="inlineStr">
        <is>
          <t>consumer discretionary</t>
        </is>
      </c>
      <c r="F204" s="31" t="inlineStr">
        <is>
          <t>trading</t>
        </is>
      </c>
      <c r="G204" s="31" t="inlineStr">
        <is>
          <t>midcap</t>
        </is>
      </c>
      <c r="H204" s="32" t="n">
        <v>6216.82</v>
      </c>
      <c r="I204" s="32" t="n">
        <v>784.95</v>
      </c>
      <c r="J204" s="32" t="n">
        <v>0.33</v>
      </c>
      <c r="K204" s="32" t="n">
        <v>174151</v>
      </c>
      <c r="L204" s="31" t="n">
        <v>33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63.25</v>
      </c>
      <c r="P204" s="32" t="n">
        <v>20.9</v>
      </c>
      <c r="Q204" s="32" t="n">
        <v>625.38</v>
      </c>
      <c r="R204" s="31" t="inlineStr">
        <is>
          <t>Earnings / Momentum Support</t>
        </is>
      </c>
      <c r="S204" s="31" t="inlineStr">
        <is>
          <t>Nifty 50</t>
        </is>
      </c>
      <c r="T204" s="32" t="n">
        <v>-5.04</v>
      </c>
      <c r="U204" s="32" t="n">
        <v>2.58</v>
      </c>
      <c r="V204" s="32" t="n">
        <v>8.029999999999999</v>
      </c>
      <c r="W204" s="32" t="n">
        <v>7.15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IF(B205=0,"",RANK(B205,$B$2:$B$251,0))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3" t="inlineStr">
        <is>
          <t>ENDURANCE</t>
        </is>
      </c>
      <c r="D205" s="33" t="inlineStr">
        <is>
          <t>Endurance Technologies Limited</t>
        </is>
      </c>
      <c r="E205" s="31" t="inlineStr">
        <is>
          <t>auto</t>
        </is>
      </c>
      <c r="F205" s="31" t="inlineStr">
        <is>
          <t>auto ancillaries</t>
        </is>
      </c>
      <c r="G205" s="31" t="inlineStr">
        <is>
          <t>largecap</t>
        </is>
      </c>
      <c r="H205" s="32" t="n">
        <v>37528.85</v>
      </c>
      <c r="I205" s="32" t="n">
        <v>2669.7</v>
      </c>
      <c r="J205" s="32" t="n">
        <v>0.06</v>
      </c>
      <c r="K205" s="32" t="n">
        <v>150455</v>
      </c>
      <c r="L205" s="31" t="n">
        <v>13</v>
      </c>
      <c r="M205" s="31" t="inlineStr">
        <is>
          <t>Underperforming</t>
        </is>
      </c>
      <c r="N205" s="32">
        <f>IF(M205="Underperforming",-5,IF(L205&gt;=95,15,IF(L205&gt;=90,10,IF(L205&gt;=80,5,0))))</f>
        <v/>
      </c>
      <c r="O205" s="32" t="n">
        <v>55.76</v>
      </c>
      <c r="P205" s="32" t="n">
        <v>12.93</v>
      </c>
      <c r="Q205" s="32" t="n">
        <v>2186.75</v>
      </c>
      <c r="R205" s="31" t="inlineStr">
        <is>
          <t>Earnings / Momentum Support</t>
        </is>
      </c>
      <c r="S205" s="31" t="inlineStr">
        <is>
          <t>Nifty Auto</t>
        </is>
      </c>
      <c r="T205" s="32" t="n">
        <v>13.79</v>
      </c>
      <c r="U205" s="32" t="n">
        <v>2.18</v>
      </c>
      <c r="V205" s="32" t="n">
        <v>-10.2</v>
      </c>
      <c r="W205" s="32" t="n">
        <v>2.72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Between 12 to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IF(B206=0,"",RANK(B206,$B$2:$B$251,0))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POKARNA</t>
        </is>
      </c>
      <c r="D206" s="31" t="inlineStr">
        <is>
          <t>Pokarna Limited</t>
        </is>
      </c>
      <c r="E206" s="31" t="inlineStr">
        <is>
          <t>consumer discretionary</t>
        </is>
      </c>
      <c r="F206" s="31" t="inlineStr">
        <is>
          <t>miscellaneous</t>
        </is>
      </c>
      <c r="G206" s="31" t="inlineStr">
        <is>
          <t>smallcap</t>
        </is>
      </c>
      <c r="H206" s="32" t="n">
        <v>3068.78</v>
      </c>
      <c r="I206" s="32" t="n">
        <v>990.1</v>
      </c>
      <c r="J206" s="32" t="n">
        <v>0.03</v>
      </c>
      <c r="K206" s="32" t="n">
        <v>67126</v>
      </c>
      <c r="L206" s="31" t="n">
        <v>14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56.54</v>
      </c>
      <c r="P206" s="32" t="n">
        <v>16.53</v>
      </c>
      <c r="Q206" s="32" t="n">
        <v>796.22</v>
      </c>
      <c r="R206" s="31" t="inlineStr">
        <is>
          <t>Earnings / Momentum Support</t>
        </is>
      </c>
      <c r="S206" s="31" t="inlineStr">
        <is>
          <t>Nifty 50</t>
        </is>
      </c>
      <c r="T206" s="32" t="n">
        <v>-5.04</v>
      </c>
      <c r="U206" s="32" t="n">
        <v>-2.34</v>
      </c>
      <c r="V206" s="32" t="n">
        <v>2.85</v>
      </c>
      <c r="W206" s="32" t="n">
        <v>3.05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IF(B207=0,"",RANK(B207,$B$2:$B$251,0))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TITAN</t>
        </is>
      </c>
      <c r="D207" s="31" t="inlineStr">
        <is>
          <t>Titan Company Limited</t>
        </is>
      </c>
      <c r="E207" s="31" t="inlineStr">
        <is>
          <t>consumer discretionary</t>
        </is>
      </c>
      <c r="F207" s="31" t="inlineStr">
        <is>
          <t>diamond cutting / jewellery</t>
        </is>
      </c>
      <c r="G207" s="31" t="inlineStr">
        <is>
          <t>largecap</t>
        </is>
      </c>
      <c r="H207" s="32" t="n">
        <v>408754.5</v>
      </c>
      <c r="I207" s="32" t="n">
        <v>4586.4</v>
      </c>
      <c r="J207" s="32" t="n">
        <v>-0.39</v>
      </c>
      <c r="K207" s="32" t="n">
        <v>1045714</v>
      </c>
      <c r="L207" s="31" t="n">
        <v>32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61.56</v>
      </c>
      <c r="P207" s="32" t="n">
        <v>15.6</v>
      </c>
      <c r="Q207" s="32" t="n">
        <v>3903.55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-5.04</v>
      </c>
      <c r="U207" s="32" t="n">
        <v>36.44</v>
      </c>
      <c r="V207" s="32" t="n">
        <v>43.68</v>
      </c>
      <c r="W207" s="32" t="n">
        <v>6.97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More than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IF(B208=0,"",RANK(B208,$B$2:$B$251,0))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ACMESOLAR</t>
        </is>
      </c>
      <c r="D208" s="31" t="inlineStr">
        <is>
          <t>ACME Solar Holdings Ltd</t>
        </is>
      </c>
      <c r="E208" s="31" t="inlineStr">
        <is>
          <t>realty</t>
        </is>
      </c>
      <c r="F208" s="31" t="inlineStr">
        <is>
          <t>engineering - turnkey services</t>
        </is>
      </c>
      <c r="G208" s="31" t="inlineStr">
        <is>
          <t>largecap</t>
        </is>
      </c>
      <c r="H208" s="32" t="n">
        <v>25926.32</v>
      </c>
      <c r="I208" s="32" t="n">
        <v>365.25</v>
      </c>
      <c r="J208" s="32" t="n">
        <v>-0.52</v>
      </c>
      <c r="K208" s="32" t="n">
        <v>1121558</v>
      </c>
      <c r="L208" s="31" t="n">
        <v>61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66.40000000000001</v>
      </c>
      <c r="P208" s="32" t="n">
        <v>30.68</v>
      </c>
      <c r="Q208" s="32" t="n">
        <v>298.3</v>
      </c>
      <c r="R208" s="31" t="inlineStr">
        <is>
          <t>Near 52W High Breakout</t>
        </is>
      </c>
      <c r="S208" s="31" t="inlineStr">
        <is>
          <t>Nifty Realty</t>
        </is>
      </c>
      <c r="T208" s="32" t="n">
        <v>-9.029999999999999</v>
      </c>
      <c r="U208" s="32" t="n">
        <v>23.76</v>
      </c>
      <c r="V208" s="32" t="n">
        <v>36.04</v>
      </c>
      <c r="W208" s="32" t="n">
        <v>13.32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Between 50% to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More than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IF(B209=0,"",RANK(B209,$B$2:$B$251,0))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TEXINFRA</t>
        </is>
      </c>
      <c r="D209" s="31" t="inlineStr">
        <is>
          <t>Texmaco Infrastructure &amp; Holdings Limited</t>
        </is>
      </c>
      <c r="E209" s="31" t="inlineStr">
        <is>
          <t>realty</t>
        </is>
      </c>
      <c r="F209" s="31" t="inlineStr">
        <is>
          <t>construction</t>
        </is>
      </c>
      <c r="G209" s="31" t="inlineStr">
        <is>
          <t>smallcap</t>
        </is>
      </c>
      <c r="H209" s="32" t="n">
        <v>1467.7</v>
      </c>
      <c r="I209" s="32" t="n">
        <v>114.06</v>
      </c>
      <c r="J209" s="32" t="n">
        <v>-0.97</v>
      </c>
      <c r="K209" s="32" t="n">
        <v>113964</v>
      </c>
      <c r="L209" s="31" t="n">
        <v>27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67.16</v>
      </c>
      <c r="P209" s="32" t="n">
        <v>24.9</v>
      </c>
      <c r="Q209" s="32" t="n">
        <v>91.37</v>
      </c>
      <c r="R209" s="31" t="inlineStr">
        <is>
          <t>Near 52W High Breakout</t>
        </is>
      </c>
      <c r="S209" s="31" t="inlineStr">
        <is>
          <t>Nifty Realty</t>
        </is>
      </c>
      <c r="T209" s="32" t="n">
        <v>-9.029999999999999</v>
      </c>
      <c r="U209" s="32" t="n">
        <v>11.79</v>
      </c>
      <c r="V209" s="32" t="n">
        <v>22.89</v>
      </c>
      <c r="W209" s="32" t="n">
        <v>5.46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Negative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IF(B210=0,"",RANK(B210,$B$2:$B$251,0))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GANDHAR</t>
        </is>
      </c>
      <c r="D210" s="31" t="inlineStr">
        <is>
          <t>Gandhar Oil Refinery (India) Ltd</t>
        </is>
      </c>
      <c r="E210" s="31" t="inlineStr">
        <is>
          <t>energy</t>
        </is>
      </c>
      <c r="F210" s="31" t="inlineStr">
        <is>
          <t>refineries</t>
        </is>
      </c>
      <c r="G210" s="31" t="inlineStr">
        <is>
          <t>smallcap</t>
        </is>
      </c>
      <c r="H210" s="32" t="n">
        <v>1885.65</v>
      </c>
      <c r="I210" s="32" t="n">
        <v>190.45</v>
      </c>
      <c r="J210" s="32" t="n">
        <v>-1.14</v>
      </c>
      <c r="K210" s="32" t="n">
        <v>1179224</v>
      </c>
      <c r="L210" s="31" t="n">
        <v>55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67.8</v>
      </c>
      <c r="P210" s="32" t="n">
        <v>37.89</v>
      </c>
      <c r="Q210" s="32" t="n">
        <v>144.8</v>
      </c>
      <c r="R210" s="31" t="inlineStr">
        <is>
          <t>Near 52W High Breakout</t>
        </is>
      </c>
      <c r="S210" s="31" t="inlineStr">
        <is>
          <t>Nifty Energy</t>
        </is>
      </c>
      <c r="T210" s="32" t="n">
        <v>7.2</v>
      </c>
      <c r="U210" s="32" t="n">
        <v>12.84</v>
      </c>
      <c r="V210" s="32" t="n">
        <v>5.26</v>
      </c>
      <c r="W210" s="32" t="n">
        <v>11.84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Oligopoly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Between 50% to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IF(B211=0,"",RANK(B211,$B$2:$B$251,0))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SSWL</t>
        </is>
      </c>
      <c r="D211" s="33" t="inlineStr">
        <is>
          <t>Steel Strips Wheels Limited</t>
        </is>
      </c>
      <c r="E211" s="31" t="inlineStr">
        <is>
          <t>auto</t>
        </is>
      </c>
      <c r="F211" s="31" t="inlineStr">
        <is>
          <t>auto ancillaries</t>
        </is>
      </c>
      <c r="G211" s="31" t="inlineStr">
        <is>
          <t>smallcap</t>
        </is>
      </c>
      <c r="H211" s="32" t="n">
        <v>3804.4</v>
      </c>
      <c r="I211" s="32" t="n">
        <v>237.47</v>
      </c>
      <c r="J211" s="32" t="n">
        <v>-1.89</v>
      </c>
      <c r="K211" s="32" t="n">
        <v>464118</v>
      </c>
      <c r="L211" s="31" t="n">
        <v>11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58.46</v>
      </c>
      <c r="P211" s="32" t="n">
        <v>10.56</v>
      </c>
      <c r="Q211" s="32" t="n">
        <v>194.58</v>
      </c>
      <c r="R211" s="31" t="inlineStr">
        <is>
          <t>Earnings / Momentum Support</t>
        </is>
      </c>
      <c r="S211" s="31" t="inlineStr">
        <is>
          <t>Nifty Auto</t>
        </is>
      </c>
      <c r="T211" s="32" t="n">
        <v>13.79</v>
      </c>
      <c r="U211" s="32" t="n">
        <v>-3.82</v>
      </c>
      <c r="V211" s="32" t="n">
        <v>-15.48</v>
      </c>
      <c r="W211" s="32" t="n">
        <v>2.23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Between 50% to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IF(B212=0,"",RANK(B212,$B$2:$B$251,0))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GOODLUCK</t>
        </is>
      </c>
      <c r="D212" s="33" t="inlineStr">
        <is>
          <t>Goodluck India Limited</t>
        </is>
      </c>
      <c r="E212" s="31" t="inlineStr">
        <is>
          <t>metals &amp; mining</t>
        </is>
      </c>
      <c r="F212" s="31" t="inlineStr">
        <is>
          <t>steel - medium / small</t>
        </is>
      </c>
      <c r="G212" s="31" t="inlineStr">
        <is>
          <t>smallcap</t>
        </is>
      </c>
      <c r="H212" s="32" t="n">
        <v>4926.28</v>
      </c>
      <c r="I212" s="32" t="n">
        <v>1453.6</v>
      </c>
      <c r="J212" s="32" t="n">
        <v>-1.92</v>
      </c>
      <c r="K212" s="32" t="n">
        <v>193478</v>
      </c>
      <c r="L212" s="31" t="n">
        <v>59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60.92</v>
      </c>
      <c r="P212" s="32" t="n">
        <v>31.16</v>
      </c>
      <c r="Q212" s="32" t="n">
        <v>1123.02</v>
      </c>
      <c r="R212" s="31" t="inlineStr">
        <is>
          <t>Near 52W High Breakout</t>
        </is>
      </c>
      <c r="S212" s="31" t="inlineStr">
        <is>
          <t>Nifty Metal</t>
        </is>
      </c>
      <c r="T212" s="32" t="n">
        <v>32.89</v>
      </c>
      <c r="U212" s="32" t="n">
        <v>31.65</v>
      </c>
      <c r="V212" s="32" t="n">
        <v>-0.93</v>
      </c>
      <c r="W212" s="32" t="n">
        <v>12.76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Cyclical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Volatile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Less than 50%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Between 0.7 to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IF(B213=0,"",RANK(B213,$B$2:$B$251,0))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INDHOTEL</t>
        </is>
      </c>
      <c r="D213" s="31" t="inlineStr">
        <is>
          <t>The Indian Hotels Company Limited</t>
        </is>
      </c>
      <c r="E213" s="31" t="inlineStr">
        <is>
          <t>services</t>
        </is>
      </c>
      <c r="F213" s="31" t="inlineStr">
        <is>
          <t>hotels</t>
        </is>
      </c>
      <c r="G213" s="31" t="inlineStr">
        <is>
          <t>largecap</t>
        </is>
      </c>
      <c r="H213" s="32" t="n">
        <v>106180.93</v>
      </c>
      <c r="I213" s="32" t="n">
        <v>722.9</v>
      </c>
      <c r="J213" s="32" t="n">
        <v>-3.09</v>
      </c>
      <c r="K213" s="32" t="n">
        <v>1478462</v>
      </c>
      <c r="L213" s="31" t="n">
        <v>12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59.96</v>
      </c>
      <c r="P213" s="32" t="n">
        <v>12.09</v>
      </c>
      <c r="Q213" s="32" t="n">
        <v>617.28</v>
      </c>
      <c r="R213" s="31" t="inlineStr">
        <is>
          <t>Earnings / Momentum Support</t>
        </is>
      </c>
      <c r="S213" s="31" t="inlineStr">
        <is>
          <t>Nifty 500</t>
        </is>
      </c>
      <c r="T213" s="32" t="n">
        <v>-1.61</v>
      </c>
      <c r="U213" s="32" t="n">
        <v>-1.24</v>
      </c>
      <c r="V213" s="32" t="n">
        <v>0.38</v>
      </c>
      <c r="W213" s="32" t="n">
        <v>2.64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Between 12 to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IF(B214=0,"",RANK(B214,$B$2:$B$251,0))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RESPONIND</t>
        </is>
      </c>
      <c r="D214" s="33" t="inlineStr">
        <is>
          <t>Responsive Industries Limited</t>
        </is>
      </c>
      <c r="E214" s="31" t="inlineStr">
        <is>
          <t>plastic products</t>
        </is>
      </c>
      <c r="F214" s="31" t="inlineStr">
        <is>
          <t>plastics products</t>
        </is>
      </c>
      <c r="G214" s="31" t="inlineStr">
        <is>
          <t>midcap</t>
        </is>
      </c>
      <c r="H214" s="32" t="n">
        <v>5652.9</v>
      </c>
      <c r="I214" s="32" t="n">
        <v>203</v>
      </c>
      <c r="J214" s="32" t="n">
        <v>-4.26</v>
      </c>
      <c r="K214" s="32" t="n">
        <v>99652</v>
      </c>
      <c r="L214" s="31" t="n">
        <v>39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58.23</v>
      </c>
      <c r="P214" s="32" t="n">
        <v>21.74</v>
      </c>
      <c r="Q214" s="32" t="n">
        <v>145.87</v>
      </c>
      <c r="R214" s="31" t="inlineStr">
        <is>
          <t>Earnings / Momentum Support</t>
        </is>
      </c>
      <c r="S214" s="31" t="inlineStr">
        <is>
          <t>Nifty 50</t>
        </is>
      </c>
      <c r="T214" s="32" t="n">
        <v>-5.04</v>
      </c>
      <c r="U214" s="32" t="n">
        <v>-16.47</v>
      </c>
      <c r="V214" s="32" t="n">
        <v>-12.04</v>
      </c>
      <c r="W214" s="32" t="n">
        <v>8.359999999999999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Less than 50%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IF(B215=0,"",RANK(B215,$B$2:$B$251,0))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UNICHEMLAB</t>
        </is>
      </c>
      <c r="D215" s="33" t="inlineStr">
        <is>
          <t>Unichem Laboratories Limited</t>
        </is>
      </c>
      <c r="E215" s="31" t="inlineStr">
        <is>
          <t>healthcare</t>
        </is>
      </c>
      <c r="F215" s="31" t="inlineStr">
        <is>
          <t>pharmaceuticals - indian - bulk drugs &amp; formln</t>
        </is>
      </c>
      <c r="G215" s="31" t="inlineStr">
        <is>
          <t>smallcap</t>
        </is>
      </c>
      <c r="H215" s="32" t="n">
        <v>3360.11</v>
      </c>
      <c r="I215" s="32" t="n">
        <v>572.7</v>
      </c>
      <c r="J215" s="32" t="n">
        <v>20</v>
      </c>
      <c r="K215" s="32" t="n">
        <v>3535394</v>
      </c>
      <c r="L215" s="31" t="n">
        <v>71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73.81999999999999</v>
      </c>
      <c r="P215" s="32" t="n">
        <v>20.67</v>
      </c>
      <c r="Q215" s="32" t="n">
        <v>422.74</v>
      </c>
      <c r="R215" s="31" t="inlineStr">
        <is>
          <t>Earnings / Momentum Support</t>
        </is>
      </c>
      <c r="S215" s="31" t="inlineStr">
        <is>
          <t>Nifty Pharma</t>
        </is>
      </c>
      <c r="T215" s="32" t="n">
        <v>14.42</v>
      </c>
      <c r="U215" s="32" t="n">
        <v>-3.07</v>
      </c>
      <c r="V215" s="32" t="n">
        <v>-15.28</v>
      </c>
      <c r="W215" s="32" t="n">
        <v>17.95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Less than 50%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IF(B216=0,"",RANK(B216,$B$2:$B$251,0))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ZOTA</t>
        </is>
      </c>
      <c r="D216" s="31" t="inlineStr">
        <is>
          <t>Zota Health Care Ltd</t>
        </is>
      </c>
      <c r="E216" s="31" t="inlineStr">
        <is>
          <t>healthcare</t>
        </is>
      </c>
      <c r="F216" s="31" t="inlineStr">
        <is>
          <t>pharmaceuticals - indian - bulk drugs &amp; formln</t>
        </is>
      </c>
      <c r="G216" s="31" t="inlineStr">
        <is>
          <t>smallcap</t>
        </is>
      </c>
      <c r="H216" s="32" t="n">
        <v>4854.45</v>
      </c>
      <c r="I216" s="32" t="n">
        <v>1413</v>
      </c>
      <c r="J216" s="32" t="n">
        <v>0.8100000000000001</v>
      </c>
      <c r="K216" s="32" t="n">
        <v>79750</v>
      </c>
      <c r="L216" s="31" t="n">
        <v>24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57.33</v>
      </c>
      <c r="P216" s="32" t="n">
        <v>10.14</v>
      </c>
      <c r="Q216" s="32" t="n">
        <v>1103.15</v>
      </c>
      <c r="R216" s="31" t="inlineStr">
        <is>
          <t>Earnings / Momentum Support</t>
        </is>
      </c>
      <c r="S216" s="31" t="inlineStr">
        <is>
          <t>Nifty Pharma</t>
        </is>
      </c>
      <c r="T216" s="32" t="n">
        <v>14.42</v>
      </c>
      <c r="U216" s="32" t="n">
        <v>17.49</v>
      </c>
      <c r="V216" s="32" t="n">
        <v>2.69</v>
      </c>
      <c r="W216" s="32" t="n">
        <v>5.12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Yes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Negative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IF(B217=0,"",RANK(B217,$B$2:$B$251,0))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PRICOLLTD</t>
        </is>
      </c>
      <c r="D217" s="31" t="inlineStr">
        <is>
          <t>Pricol Ltd.</t>
        </is>
      </c>
      <c r="E217" s="31" t="inlineStr">
        <is>
          <t>auto</t>
        </is>
      </c>
      <c r="F217" s="31" t="inlineStr">
        <is>
          <t>auto ancillaries</t>
        </is>
      </c>
      <c r="G217" s="31" t="inlineStr">
        <is>
          <t>midcap</t>
        </is>
      </c>
      <c r="H217" s="32" t="n">
        <v>7589.56</v>
      </c>
      <c r="I217" s="32" t="n">
        <v>608.8</v>
      </c>
      <c r="J217" s="32" t="n">
        <v>-2.23</v>
      </c>
      <c r="K217" s="32" t="n">
        <v>448490</v>
      </c>
      <c r="L217" s="31" t="n">
        <v>34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55.71</v>
      </c>
      <c r="P217" s="32" t="n">
        <v>18.05</v>
      </c>
      <c r="Q217" s="32" t="n">
        <v>485.63</v>
      </c>
      <c r="R217" s="31" t="inlineStr">
        <is>
          <t>Earnings / Momentum Support</t>
        </is>
      </c>
      <c r="S217" s="31" t="inlineStr">
        <is>
          <t>Nifty Auto</t>
        </is>
      </c>
      <c r="T217" s="32" t="n">
        <v>13.79</v>
      </c>
      <c r="U217" s="32" t="n">
        <v>33.2</v>
      </c>
      <c r="V217" s="32" t="n">
        <v>17.06</v>
      </c>
      <c r="W217" s="32" t="n">
        <v>7.2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Oligopoly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Shallow Cyclical (2 to 3 Years Growth)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Fully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Allocated capital in Non-core Areas</t>
        </is>
      </c>
      <c r="AU217" s="31">
        <f>IF(AT217="Good",10,0)</f>
        <v/>
      </c>
      <c r="AV217" s="31" t="inlineStr">
        <is>
          <t>Yes only for next 1 to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Between 12 to 20%</t>
        </is>
      </c>
      <c r="BO217" s="31">
        <f>IF(BN217="More than 20%",10,IF(BN217="Between 12 to 20%",5,IF(BN217="Less than 12%",0,0)))</f>
        <v/>
      </c>
      <c r="BP217" s="31" t="inlineStr">
        <is>
          <t>Yes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Between 1.5 to 2</t>
        </is>
      </c>
      <c r="BU217" s="31">
        <f>IF(BT217="Above 2",0,IF(BT217="Between 1.5 to 2",5,IF(BT217="Less than 1.5",10,0)))</f>
        <v/>
      </c>
      <c r="BV217" s="31" t="inlineStr">
        <is>
          <t>Between 50% to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IF(B218=0,"",RANK(B218,$B$2:$B$251,0))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MOREPENLAB</t>
        </is>
      </c>
      <c r="D218" s="33" t="inlineStr">
        <is>
          <t>Morepen Laboratories Limited</t>
        </is>
      </c>
      <c r="E218" s="31" t="inlineStr">
        <is>
          <t>healthcare</t>
        </is>
      </c>
      <c r="F218" s="31" t="inlineStr">
        <is>
          <t>pharmaceuticals - indian - bulk drugs &amp; formln</t>
        </is>
      </c>
      <c r="G218" s="31" t="inlineStr">
        <is>
          <t>smallcap</t>
        </is>
      </c>
      <c r="H218" s="32" t="n">
        <v>3352.93</v>
      </c>
      <c r="I218" s="32" t="n">
        <v>58.96</v>
      </c>
      <c r="J218" s="32" t="n">
        <v>-3.64</v>
      </c>
      <c r="K218" s="32" t="n">
        <v>11516018</v>
      </c>
      <c r="L218" s="31" t="n">
        <v>51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72.7</v>
      </c>
      <c r="P218" s="32" t="n">
        <v>20.06</v>
      </c>
      <c r="Q218" s="32" t="n">
        <v>43.85</v>
      </c>
      <c r="R218" s="31" t="inlineStr">
        <is>
          <t>Earnings / Momentum Support</t>
        </is>
      </c>
      <c r="S218" s="31" t="inlineStr">
        <is>
          <t>Nifty Pharma</t>
        </is>
      </c>
      <c r="T218" s="32" t="n">
        <v>14.42</v>
      </c>
      <c r="U218" s="32" t="n">
        <v>-5.52</v>
      </c>
      <c r="V218" s="32" t="n">
        <v>-17.42</v>
      </c>
      <c r="W218" s="32" t="n">
        <v>10.94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Less than 50%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IF(B219=0,"",RANK(B219,$B$2:$B$251,0))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SALSTEEL</t>
        </is>
      </c>
      <c r="D219" s="31" t="inlineStr">
        <is>
          <t>SAL Steel</t>
        </is>
      </c>
      <c r="E219" s="31" t="inlineStr">
        <is>
          <t>metals &amp; mining</t>
        </is>
      </c>
      <c r="F219" s="31" t="inlineStr">
        <is>
          <t>steel - sponge iron</t>
        </is>
      </c>
      <c r="G219" s="31" t="inlineStr">
        <is>
          <t>smallcap</t>
        </is>
      </c>
      <c r="H219" s="32" t="n">
        <v>840.8099999999999</v>
      </c>
      <c r="I219" s="32" t="n">
        <v>59.4</v>
      </c>
      <c r="J219" s="32" t="n">
        <v>2.27</v>
      </c>
      <c r="K219" s="32" t="n">
        <v>126476</v>
      </c>
      <c r="L219" s="31" t="n">
        <v>92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63.31</v>
      </c>
      <c r="P219" s="32" t="n">
        <v>29.92</v>
      </c>
      <c r="Q219" s="32" t="n">
        <v>42.29</v>
      </c>
      <c r="R219" s="31" t="inlineStr">
        <is>
          <t>Near 52W High Breakout</t>
        </is>
      </c>
      <c r="S219" s="31" t="inlineStr">
        <is>
          <t>Nifty Metal</t>
        </is>
      </c>
      <c r="T219" s="32" t="n">
        <v>32.89</v>
      </c>
      <c r="U219" s="32" t="n">
        <v>246.06</v>
      </c>
      <c r="V219" s="32" t="n">
        <v>160.41</v>
      </c>
      <c r="W219" s="32" t="n">
        <v>36.45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Cyclical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Volatile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Negative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More than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IF(B220=0,"",RANK(B220,$B$2:$B$251,0))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HONAUT</t>
        </is>
      </c>
      <c r="D220" s="33" t="inlineStr">
        <is>
          <t>Honeywell Automation India Limited</t>
        </is>
      </c>
      <c r="E220" s="31" t="inlineStr">
        <is>
          <t>consumer discretionary</t>
        </is>
      </c>
      <c r="F220" s="31" t="inlineStr">
        <is>
          <t>electronics - components</t>
        </is>
      </c>
      <c r="G220" s="31" t="inlineStr">
        <is>
          <t>largecap</t>
        </is>
      </c>
      <c r="H220" s="32" t="n">
        <v>33721.57</v>
      </c>
      <c r="I220" s="32" t="n">
        <v>38100</v>
      </c>
      <c r="J220" s="32" t="n">
        <v>-0.1</v>
      </c>
      <c r="K220" s="32" t="n">
        <v>6524</v>
      </c>
      <c r="L220" s="31" t="n">
        <v>31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61.37</v>
      </c>
      <c r="P220" s="32" t="n">
        <v>20</v>
      </c>
      <c r="Q220" s="32" t="n">
        <v>32653.78</v>
      </c>
      <c r="R220" s="31" t="inlineStr">
        <is>
          <t>Earnings / Momentum Support</t>
        </is>
      </c>
      <c r="S220" s="31" t="inlineStr">
        <is>
          <t>Nifty 50</t>
        </is>
      </c>
      <c r="T220" s="32" t="n">
        <v>-5.04</v>
      </c>
      <c r="U220" s="32" t="n">
        <v>-5.64</v>
      </c>
      <c r="V220" s="32" t="n">
        <v>-0.63</v>
      </c>
      <c r="W220" s="32" t="n">
        <v>6.76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Between 12 to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IF(B221=0,"",RANK(B221,$B$2:$B$251,0))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CENTURYPLY</t>
        </is>
      </c>
      <c r="D221" s="31" t="inlineStr">
        <is>
          <t>Century Plyboards (india) Limited</t>
        </is>
      </c>
      <c r="E221" s="31" t="inlineStr">
        <is>
          <t>building materials</t>
        </is>
      </c>
      <c r="F221" s="31" t="inlineStr">
        <is>
          <t>miscellaneous</t>
        </is>
      </c>
      <c r="G221" s="31" t="inlineStr">
        <is>
          <t>midcap</t>
        </is>
      </c>
      <c r="H221" s="32" t="n">
        <v>17157.31</v>
      </c>
      <c r="I221" s="32" t="n">
        <v>770</v>
      </c>
      <c r="J221" s="32" t="n">
        <v>-0.29</v>
      </c>
      <c r="K221" s="32" t="n">
        <v>36084</v>
      </c>
      <c r="L221" s="31" t="n">
        <v>9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52.32</v>
      </c>
      <c r="P221" s="32" t="n">
        <v>18.27</v>
      </c>
      <c r="Q221" s="32" t="n">
        <v>645.9400000000001</v>
      </c>
      <c r="R221" s="31" t="inlineStr">
        <is>
          <t>Earnings / Momentum Support</t>
        </is>
      </c>
      <c r="S221" s="31" t="inlineStr">
        <is>
          <t>Nifty Infra</t>
        </is>
      </c>
      <c r="T221" s="32" t="n">
        <v>-0.07000000000000001</v>
      </c>
      <c r="U221" s="32" t="n">
        <v>5.55</v>
      </c>
      <c r="V221" s="32" t="n">
        <v>5.62</v>
      </c>
      <c r="W221" s="32" t="n">
        <v>2.14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1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IF(B222=0,"",RANK(B222,$B$2:$B$251,0))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NAVNETEDUL</t>
        </is>
      </c>
      <c r="D222" s="31" t="inlineStr">
        <is>
          <t>Navneet Education Limited</t>
        </is>
      </c>
      <c r="E222" s="31" t="inlineStr">
        <is>
          <t>miscellaneous</t>
        </is>
      </c>
      <c r="F222" s="31" t="inlineStr">
        <is>
          <t>printing &amp; stationery</t>
        </is>
      </c>
      <c r="G222" s="31" t="inlineStr">
        <is>
          <t>smallcap</t>
        </is>
      </c>
      <c r="H222" s="32" t="n">
        <v>3315.76</v>
      </c>
      <c r="I222" s="32" t="n">
        <v>147.42</v>
      </c>
      <c r="J222" s="32" t="n">
        <v>-1.65</v>
      </c>
      <c r="K222" s="32" t="n">
        <v>241218</v>
      </c>
      <c r="L222" s="31" t="n">
        <v>17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54</v>
      </c>
      <c r="P222" s="32" t="n">
        <v>26.28</v>
      </c>
      <c r="Q222" s="32" t="n">
        <v>127.16</v>
      </c>
      <c r="R222" s="31" t="inlineStr">
        <is>
          <t>Earnings / Momentum Support</t>
        </is>
      </c>
      <c r="S222" s="31" t="inlineStr">
        <is>
          <t>Nifty 50</t>
        </is>
      </c>
      <c r="T222" s="32" t="n">
        <v>-5.04</v>
      </c>
      <c r="U222" s="32" t="n">
        <v>5.8</v>
      </c>
      <c r="V222" s="32" t="n">
        <v>11.42</v>
      </c>
      <c r="W222" s="32" t="n">
        <v>3.55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1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IF(B223=0,"",RANK(B223,$B$2:$B$251,0))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RELTD</t>
        </is>
      </c>
      <c r="D223" s="31" t="inlineStr">
        <is>
          <t>Ravindra Energy Ltd</t>
        </is>
      </c>
      <c r="E223" s="31" t="inlineStr">
        <is>
          <t>industrials</t>
        </is>
      </c>
      <c r="F223" s="31" t="inlineStr">
        <is>
          <t>electric equipment</t>
        </is>
      </c>
      <c r="G223" s="31" t="inlineStr">
        <is>
          <t>smallcap</t>
        </is>
      </c>
      <c r="H223" s="32" t="n">
        <v>3635.04</v>
      </c>
      <c r="I223" s="32" t="n">
        <v>179.84</v>
      </c>
      <c r="J223" s="32" t="n">
        <v>-1.77</v>
      </c>
      <c r="K223" s="32" t="n">
        <v>2429653</v>
      </c>
      <c r="L223" s="31" t="n">
        <v>66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65.63</v>
      </c>
      <c r="P223" s="32" t="n">
        <v>15.47</v>
      </c>
      <c r="Q223" s="32" t="n">
        <v>125.04</v>
      </c>
      <c r="R223" s="31" t="inlineStr">
        <is>
          <t>Near 52W High Breakout</t>
        </is>
      </c>
      <c r="S223" s="31" t="inlineStr">
        <is>
          <t>Nifty 50</t>
        </is>
      </c>
      <c r="T223" s="32" t="n">
        <v>-5.04</v>
      </c>
      <c r="U223" s="32" t="n">
        <v>41.14</v>
      </c>
      <c r="V223" s="32" t="n">
        <v>48.63</v>
      </c>
      <c r="W223" s="32" t="n">
        <v>14.54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More than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IF(B224=0,"",RANK(B224,$B$2:$B$251,0))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PRESTIGE</t>
        </is>
      </c>
      <c r="D224" s="31" t="inlineStr">
        <is>
          <t>Prestige Estates Projects Limited</t>
        </is>
      </c>
      <c r="E224" s="31" t="inlineStr">
        <is>
          <t>realty</t>
        </is>
      </c>
      <c r="F224" s="31" t="inlineStr">
        <is>
          <t>construction</t>
        </is>
      </c>
      <c r="G224" s="31" t="inlineStr">
        <is>
          <t>largecap</t>
        </is>
      </c>
      <c r="H224" s="32" t="n">
        <v>72074.09</v>
      </c>
      <c r="I224" s="32" t="n">
        <v>1635.3</v>
      </c>
      <c r="J224" s="32" t="n">
        <v>-2.27</v>
      </c>
      <c r="K224" s="32" t="n">
        <v>1043090</v>
      </c>
      <c r="L224" s="31" t="n">
        <v>23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61.06</v>
      </c>
      <c r="P224" s="32" t="n">
        <v>12.2</v>
      </c>
      <c r="Q224" s="32" t="n">
        <v>1327.43</v>
      </c>
      <c r="R224" s="31" t="inlineStr">
        <is>
          <t>Earnings / Momentum Support</t>
        </is>
      </c>
      <c r="S224" s="31" t="inlineStr">
        <is>
          <t>Nifty Realty</t>
        </is>
      </c>
      <c r="T224" s="32" t="n">
        <v>-9.029999999999999</v>
      </c>
      <c r="U224" s="32" t="n">
        <v>-3.41</v>
      </c>
      <c r="V224" s="32" t="n">
        <v>6.18</v>
      </c>
      <c r="W224" s="32" t="n">
        <v>4.82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Between 0.7 to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IF(B225=0,"",RANK(B225,$B$2:$B$251,0))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MENONBE</t>
        </is>
      </c>
      <c r="D225" s="31" t="inlineStr">
        <is>
          <t>Menon Bearings Limited</t>
        </is>
      </c>
      <c r="E225" s="31" t="inlineStr">
        <is>
          <t>auto</t>
        </is>
      </c>
      <c r="F225" s="31" t="inlineStr">
        <is>
          <t>auto ancillaries</t>
        </is>
      </c>
      <c r="G225" s="31" t="inlineStr">
        <is>
          <t>smallcap</t>
        </is>
      </c>
      <c r="H225" s="32" t="n">
        <v>953.52</v>
      </c>
      <c r="I225" s="32" t="n">
        <v>166.15</v>
      </c>
      <c r="J225" s="32" t="n">
        <v>-2.35</v>
      </c>
      <c r="K225" s="32" t="n">
        <v>83495</v>
      </c>
      <c r="L225" s="31" t="n">
        <v>66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64.5</v>
      </c>
      <c r="P225" s="32" t="n">
        <v>39.62</v>
      </c>
      <c r="Q225" s="32" t="n">
        <v>128.45</v>
      </c>
      <c r="R225" s="31" t="inlineStr">
        <is>
          <t>Earnings / Momentum Support</t>
        </is>
      </c>
      <c r="S225" s="31" t="inlineStr">
        <is>
          <t>Nifty Auto</t>
        </is>
      </c>
      <c r="T225" s="32" t="n">
        <v>13.79</v>
      </c>
      <c r="U225" s="32" t="n">
        <v>34.92</v>
      </c>
      <c r="V225" s="32" t="n">
        <v>18.57</v>
      </c>
      <c r="W225" s="32" t="n">
        <v>14.83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Less than 50%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IF(B226=0,"",RANK(B226,$B$2:$B$251,0))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TVSSCS</t>
        </is>
      </c>
      <c r="D226" s="31" t="inlineStr">
        <is>
          <t>TVS Supply Chain Solutions Ltd</t>
        </is>
      </c>
      <c r="E226" s="31" t="inlineStr">
        <is>
          <t>transportation</t>
        </is>
      </c>
      <c r="F226" s="31" t="inlineStr">
        <is>
          <t>miscellaneous</t>
        </is>
      </c>
      <c r="G226" s="31" t="inlineStr">
        <is>
          <t>midcap</t>
        </is>
      </c>
      <c r="H226" s="32" t="n">
        <v>6144.76</v>
      </c>
      <c r="I226" s="32" t="n">
        <v>134.87</v>
      </c>
      <c r="J226" s="32" t="n">
        <v>-3.17</v>
      </c>
      <c r="K226" s="32" t="n">
        <v>556197</v>
      </c>
      <c r="L226" s="31" t="n">
        <v>24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58.28</v>
      </c>
      <c r="P226" s="32" t="n">
        <v>12.98</v>
      </c>
      <c r="Q226" s="32" t="n">
        <v>105.92</v>
      </c>
      <c r="R226" s="31" t="inlineStr">
        <is>
          <t>Near 52W High Breakout</t>
        </is>
      </c>
      <c r="S226" s="31" t="inlineStr">
        <is>
          <t>Nifty 50</t>
        </is>
      </c>
      <c r="T226" s="32" t="n">
        <v>-5.04</v>
      </c>
      <c r="U226" s="32" t="n">
        <v>0.8</v>
      </c>
      <c r="V226" s="32" t="n">
        <v>6.15</v>
      </c>
      <c r="W226" s="32" t="n">
        <v>5.14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More than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IF(B227=0,"",RANK(B227,$B$2:$B$251,0))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3" t="inlineStr">
        <is>
          <t>JLHL</t>
        </is>
      </c>
      <c r="D227" s="33" t="inlineStr">
        <is>
          <t>Jupiter Life Line Hospitals Ltd</t>
        </is>
      </c>
      <c r="E227" s="31" t="inlineStr">
        <is>
          <t>healthcare</t>
        </is>
      </c>
      <c r="F227" s="31" t="inlineStr">
        <is>
          <t>healthcare</t>
        </is>
      </c>
      <c r="G227" s="31" t="inlineStr">
        <is>
          <t>midcap</t>
        </is>
      </c>
      <c r="H227" s="32" t="n">
        <v>9579.200000000001</v>
      </c>
      <c r="I227" s="32" t="n">
        <v>1464.2</v>
      </c>
      <c r="J227" s="32" t="n">
        <v>0.22</v>
      </c>
      <c r="K227" s="32" t="n">
        <v>16820</v>
      </c>
      <c r="L227" s="31" t="n">
        <v>13</v>
      </c>
      <c r="M227" s="31" t="inlineStr">
        <is>
          <t>Underperforming</t>
        </is>
      </c>
      <c r="N227" s="32">
        <f>IF(M227="Underperforming",-5,IF(L227&gt;=95,15,IF(L227&gt;=90,10,IF(L227&gt;=80,5,0))))</f>
        <v/>
      </c>
      <c r="O227" s="32" t="n">
        <v>62.72</v>
      </c>
      <c r="P227" s="32" t="n">
        <v>19.93</v>
      </c>
      <c r="Q227" s="32" t="n">
        <v>1225.25</v>
      </c>
      <c r="R227" s="31" t="inlineStr">
        <is>
          <t>Earnings / Momentum Support</t>
        </is>
      </c>
      <c r="S227" s="31" t="inlineStr">
        <is>
          <t>Nifty Pharma</t>
        </is>
      </c>
      <c r="T227" s="32" t="n">
        <v>14.42</v>
      </c>
      <c r="U227" s="32" t="n">
        <v>-3.5</v>
      </c>
      <c r="V227" s="32" t="n">
        <v>-15.66</v>
      </c>
      <c r="W227" s="32" t="n">
        <v>2.74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Between 12 to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IF(B228=0,"",RANK(B228,$B$2:$B$251,0))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MAHLIFE</t>
        </is>
      </c>
      <c r="D228" s="31" t="inlineStr">
        <is>
          <t>Mahindra Lifespace Developers Limited</t>
        </is>
      </c>
      <c r="E228" s="31" t="inlineStr">
        <is>
          <t>realty</t>
        </is>
      </c>
      <c r="F228" s="31" t="inlineStr">
        <is>
          <t>construction</t>
        </is>
      </c>
      <c r="G228" s="31" t="inlineStr">
        <is>
          <t>midcap</t>
        </is>
      </c>
      <c r="H228" s="32" t="n">
        <v>7912.88</v>
      </c>
      <c r="I228" s="32" t="n">
        <v>361.85</v>
      </c>
      <c r="J228" s="32" t="n">
        <v>-2.44</v>
      </c>
      <c r="K228" s="32" t="n">
        <v>240228</v>
      </c>
      <c r="L228" s="31" t="n">
        <v>6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53.71</v>
      </c>
      <c r="P228" s="32" t="n">
        <v>11.33</v>
      </c>
      <c r="Q228" s="32" t="n">
        <v>298.69</v>
      </c>
      <c r="R228" s="31" t="inlineStr">
        <is>
          <t>Earnings / Momentum Support</t>
        </is>
      </c>
      <c r="S228" s="31" t="inlineStr">
        <is>
          <t>Nifty Realty</t>
        </is>
      </c>
      <c r="T228" s="32" t="n">
        <v>-9.029999999999999</v>
      </c>
      <c r="U228" s="32" t="n">
        <v>1.45</v>
      </c>
      <c r="V228" s="32" t="n">
        <v>11.52</v>
      </c>
      <c r="W228" s="32" t="n">
        <v>1.45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IF(B229=0,"",RANK(B229,$B$2:$B$251,0))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3MINDIA</t>
        </is>
      </c>
      <c r="D229" s="31" t="inlineStr">
        <is>
          <t>3m India Limited</t>
        </is>
      </c>
      <c r="E229" s="31" t="inlineStr">
        <is>
          <t>miscellaneous</t>
        </is>
      </c>
      <c r="F229" s="31" t="inlineStr">
        <is>
          <t>diversified - large</t>
        </is>
      </c>
      <c r="G229" s="31" t="inlineStr">
        <is>
          <t>largecap</t>
        </is>
      </c>
      <c r="H229" s="32" t="n">
        <v>39720.64</v>
      </c>
      <c r="I229" s="32" t="n">
        <v>34255</v>
      </c>
      <c r="J229" s="32" t="n">
        <v>-2.85</v>
      </c>
      <c r="K229" s="32" t="n">
        <v>3946</v>
      </c>
      <c r="L229" s="31" t="n">
        <v>26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54.51</v>
      </c>
      <c r="P229" s="32" t="n">
        <v>10.17</v>
      </c>
      <c r="Q229" s="32" t="n">
        <v>29155.27</v>
      </c>
      <c r="R229" s="31" t="inlineStr">
        <is>
          <t>Earnings / Momentum Support</t>
        </is>
      </c>
      <c r="S229" s="31" t="inlineStr">
        <is>
          <t>Nifty 500</t>
        </is>
      </c>
      <c r="T229" s="32" t="n">
        <v>-1.61</v>
      </c>
      <c r="U229" s="32" t="n">
        <v>17.32</v>
      </c>
      <c r="V229" s="32" t="n">
        <v>19.24</v>
      </c>
      <c r="W229" s="32" t="n">
        <v>5.31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Between 50% to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IF(B230=0,"",RANK(B230,$B$2:$B$251,0))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NELCO</t>
        </is>
      </c>
      <c r="D230" s="33" t="inlineStr">
        <is>
          <t>Nelco Limited</t>
        </is>
      </c>
      <c r="E230" s="31" t="inlineStr">
        <is>
          <t>telecom</t>
        </is>
      </c>
      <c r="F230" s="31" t="inlineStr">
        <is>
          <t>telecommunications - service provider</t>
        </is>
      </c>
      <c r="G230" s="31" t="inlineStr">
        <is>
          <t>smallcap</t>
        </is>
      </c>
      <c r="H230" s="32" t="n">
        <v>2085.72</v>
      </c>
      <c r="I230" s="32" t="n">
        <v>886.25</v>
      </c>
      <c r="J230" s="32" t="n">
        <v>-3.04</v>
      </c>
      <c r="K230" s="32" t="n">
        <v>249591</v>
      </c>
      <c r="L230" s="31" t="n">
        <v>44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61.93</v>
      </c>
      <c r="P230" s="32" t="n">
        <v>19.65</v>
      </c>
      <c r="Q230" s="32" t="n">
        <v>695.01</v>
      </c>
      <c r="R230" s="31" t="inlineStr">
        <is>
          <t>Earnings / Momentum Support</t>
        </is>
      </c>
      <c r="S230" s="31" t="inlineStr">
        <is>
          <t>Nifty 50</t>
        </is>
      </c>
      <c r="T230" s="32" t="n">
        <v>-5.04</v>
      </c>
      <c r="U230" s="32" t="n">
        <v>-6.28</v>
      </c>
      <c r="V230" s="32" t="n">
        <v>-1.3</v>
      </c>
      <c r="W230" s="32" t="n">
        <v>9.01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Oligopoly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Yes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Between 50% to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IF(B231=0,"",RANK(B231,$B$2:$B$251,0))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PANACHE</t>
        </is>
      </c>
      <c r="D231" s="31" t="inlineStr">
        <is>
          <t>Panache Digilife Ltd</t>
        </is>
      </c>
      <c r="E231" s="31" t="inlineStr">
        <is>
          <t>i.t</t>
        </is>
      </c>
      <c r="F231" s="31" t="inlineStr">
        <is>
          <t>computers - hardware</t>
        </is>
      </c>
      <c r="G231" s="31" t="inlineStr">
        <is>
          <t>smallcap</t>
        </is>
      </c>
      <c r="H231" s="32" t="n">
        <v>694.05</v>
      </c>
      <c r="I231" s="32" t="n">
        <v>416.5</v>
      </c>
      <c r="J231" s="32" t="n">
        <v>-3.9</v>
      </c>
      <c r="K231" s="32" t="n">
        <v>7487</v>
      </c>
      <c r="L231" s="31" t="n">
        <v>86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62.03</v>
      </c>
      <c r="P231" s="32" t="n">
        <v>18.35</v>
      </c>
      <c r="Q231" s="32" t="n">
        <v>307.06</v>
      </c>
      <c r="R231" s="31" t="inlineStr">
        <is>
          <t>Earnings / Momentum Support</t>
        </is>
      </c>
      <c r="S231" s="31" t="inlineStr">
        <is>
          <t>Nifty IT</t>
        </is>
      </c>
      <c r="T231" s="32" t="n">
        <v>-26.9</v>
      </c>
      <c r="U231" s="32" t="n">
        <v>94.05</v>
      </c>
      <c r="V231" s="32" t="n">
        <v>165.44</v>
      </c>
      <c r="W231" s="32" t="n">
        <v>29.64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Negative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IF(B232=0,"",RANK(B232,$B$2:$B$251,0))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KAMDHENU</t>
        </is>
      </c>
      <c r="D232" s="33" t="inlineStr">
        <is>
          <t>Kamdhenu Limited</t>
        </is>
      </c>
      <c r="E232" s="31" t="inlineStr">
        <is>
          <t>metals &amp; mining</t>
        </is>
      </c>
      <c r="F232" s="31" t="inlineStr">
        <is>
          <t>steel - medium / small</t>
        </is>
      </c>
      <c r="G232" s="31" t="inlineStr">
        <is>
          <t>smallcap</t>
        </is>
      </c>
      <c r="H232" s="32" t="n">
        <v>919.78</v>
      </c>
      <c r="I232" s="32" t="n">
        <v>31.01</v>
      </c>
      <c r="J232" s="32" t="n">
        <v>-4.96</v>
      </c>
      <c r="K232" s="32" t="n">
        <v>1586493</v>
      </c>
      <c r="L232" s="31" t="n">
        <v>50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65.19</v>
      </c>
      <c r="P232" s="32" t="n">
        <v>24.41</v>
      </c>
      <c r="Q232" s="32" t="n">
        <v>22.27</v>
      </c>
      <c r="R232" s="31" t="inlineStr">
        <is>
          <t>Near 52W High Breakout</t>
        </is>
      </c>
      <c r="S232" s="31" t="inlineStr">
        <is>
          <t>Nifty Metal</t>
        </is>
      </c>
      <c r="T232" s="32" t="n">
        <v>32.89</v>
      </c>
      <c r="U232" s="32" t="n">
        <v>3.74</v>
      </c>
      <c r="V232" s="32" t="n">
        <v>-21.94</v>
      </c>
      <c r="W232" s="32" t="n">
        <v>10.74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Between 50% to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IF(B233=0,"",RANK(B233,$B$2:$B$251,0))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VENUSPIPES</t>
        </is>
      </c>
      <c r="D233" s="33" t="inlineStr">
        <is>
          <t>Venus Pipes &amp; Tubes Ltd</t>
        </is>
      </c>
      <c r="E233" s="31" t="inlineStr">
        <is>
          <t>metals &amp; mining</t>
        </is>
      </c>
      <c r="F233" s="31" t="inlineStr">
        <is>
          <t>steel - medium / small</t>
        </is>
      </c>
      <c r="G233" s="31" t="inlineStr">
        <is>
          <t>smallcap</t>
        </is>
      </c>
      <c r="H233" s="32" t="n">
        <v>3822.95</v>
      </c>
      <c r="I233" s="32" t="n">
        <v>1733.1</v>
      </c>
      <c r="J233" s="32" t="n">
        <v>-6.09</v>
      </c>
      <c r="K233" s="32" t="n">
        <v>194140</v>
      </c>
      <c r="L233" s="31" t="n">
        <v>53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69.84</v>
      </c>
      <c r="P233" s="32" t="n">
        <v>21.41</v>
      </c>
      <c r="Q233" s="32" t="n">
        <v>1359.95</v>
      </c>
      <c r="R233" s="31" t="inlineStr">
        <is>
          <t>Near 52W High Breakout</t>
        </is>
      </c>
      <c r="S233" s="31" t="inlineStr">
        <is>
          <t>Nifty Metal</t>
        </is>
      </c>
      <c r="T233" s="32" t="n">
        <v>32.89</v>
      </c>
      <c r="U233" s="32" t="n">
        <v>8.42</v>
      </c>
      <c r="V233" s="32" t="n">
        <v>-18.41</v>
      </c>
      <c r="W233" s="32" t="n">
        <v>11.64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Cyclical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Volatile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Between 50% to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IF(B234=0,"",RANK(B234,$B$2:$B$251,0))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AGARWALEYE</t>
        </is>
      </c>
      <c r="D234" s="33" t="inlineStr">
        <is>
          <t>Dr Agarwals Health Care Ltd</t>
        </is>
      </c>
      <c r="E234" s="31" t="inlineStr">
        <is>
          <t>healthcare</t>
        </is>
      </c>
      <c r="F234" s="31" t="inlineStr">
        <is>
          <t>healthcare</t>
        </is>
      </c>
      <c r="G234" s="31" t="inlineStr">
        <is>
          <t>midcap</t>
        </is>
      </c>
      <c r="H234" s="32" t="n">
        <v>14970.74</v>
      </c>
      <c r="I234" s="32" t="n">
        <v>478</v>
      </c>
      <c r="J234" s="32" t="n">
        <v>1.15</v>
      </c>
      <c r="K234" s="32" t="n">
        <v>140226</v>
      </c>
      <c r="L234" s="31" t="n">
        <v>24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55.54</v>
      </c>
      <c r="P234" s="32" t="n">
        <v>13.58</v>
      </c>
      <c r="Q234" s="32" t="n">
        <v>392.18</v>
      </c>
      <c r="R234" s="31" t="inlineStr">
        <is>
          <t>Earnings / Momentum Support</t>
        </is>
      </c>
      <c r="S234" s="31" t="inlineStr">
        <is>
          <t>Nifty Pharma</t>
        </is>
      </c>
      <c r="T234" s="32" t="n">
        <v>14.42</v>
      </c>
      <c r="U234" s="32" t="n">
        <v>11.84</v>
      </c>
      <c r="V234" s="32" t="n">
        <v>-2.25</v>
      </c>
      <c r="W234" s="32" t="n">
        <v>5.04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IF(B235=0,"",RANK(B235,$B$2:$B$251,0))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GODREJIND</t>
        </is>
      </c>
      <c r="D235" s="31" t="inlineStr">
        <is>
          <t>Godrej Industries Limited</t>
        </is>
      </c>
      <c r="E235" s="31" t="inlineStr">
        <is>
          <t>chemicals</t>
        </is>
      </c>
      <c r="F235" s="31" t="inlineStr">
        <is>
          <t>chemicals</t>
        </is>
      </c>
      <c r="G235" s="31" t="inlineStr">
        <is>
          <t>largecap</t>
        </is>
      </c>
      <c r="H235" s="32" t="n">
        <v>40847.69</v>
      </c>
      <c r="I235" s="32" t="n">
        <v>1216.4</v>
      </c>
      <c r="J235" s="32" t="n">
        <v>0.3</v>
      </c>
      <c r="K235" s="32" t="n">
        <v>149975</v>
      </c>
      <c r="L235" s="31" t="n">
        <v>50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62.62</v>
      </c>
      <c r="P235" s="32" t="n">
        <v>28.9</v>
      </c>
      <c r="Q235" s="32" t="n">
        <v>939.91</v>
      </c>
      <c r="R235" s="31" t="inlineStr">
        <is>
          <t>Earnings / Momentum Support</t>
        </is>
      </c>
      <c r="S235" s="31" t="inlineStr">
        <is>
          <t>Nifty 50</t>
        </is>
      </c>
      <c r="T235" s="32" t="n">
        <v>-5.04</v>
      </c>
      <c r="U235" s="32" t="n">
        <v>11.03</v>
      </c>
      <c r="V235" s="32" t="n">
        <v>16.92</v>
      </c>
      <c r="W235" s="32" t="n">
        <v>10.64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Negative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More than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IF(B236=0,"",RANK(B236,$B$2:$B$251,0))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KRYSTAL</t>
        </is>
      </c>
      <c r="D236" s="33" t="inlineStr">
        <is>
          <t>Krystal Integrated Services Ltd</t>
        </is>
      </c>
      <c r="E236" s="31" t="inlineStr">
        <is>
          <t>miscellaneous</t>
        </is>
      </c>
      <c r="F236" s="31" t="inlineStr">
        <is>
          <t>miscellaneous</t>
        </is>
      </c>
      <c r="G236" s="31" t="inlineStr">
        <is>
          <t>smallcap</t>
        </is>
      </c>
      <c r="H236" s="32" t="n">
        <v>846.5599999999999</v>
      </c>
      <c r="I236" s="32" t="n">
        <v>602.5</v>
      </c>
      <c r="J236" s="32" t="n">
        <v>-0.5600000000000001</v>
      </c>
      <c r="K236" s="32" t="n">
        <v>11757</v>
      </c>
      <c r="L236" s="31" t="n">
        <v>4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53.3</v>
      </c>
      <c r="P236" s="32" t="n">
        <v>19.48</v>
      </c>
      <c r="Q236" s="32" t="n">
        <v>495.45</v>
      </c>
      <c r="R236" s="31" t="inlineStr">
        <is>
          <t>Earnings / Momentum Support</t>
        </is>
      </c>
      <c r="S236" s="31" t="inlineStr">
        <is>
          <t>Nifty 50</t>
        </is>
      </c>
      <c r="T236" s="32" t="n">
        <v>-5.04</v>
      </c>
      <c r="U236" s="32" t="n">
        <v>-8.18</v>
      </c>
      <c r="V236" s="32" t="n">
        <v>-3.3</v>
      </c>
      <c r="W236" s="32" t="n">
        <v>0.75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Less than 50%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IF(B237=0,"",RANK(B237,$B$2:$B$251,0))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PAGEIND</t>
        </is>
      </c>
      <c r="D237" s="33" t="inlineStr">
        <is>
          <t>Page Industries Limited</t>
        </is>
      </c>
      <c r="E237" s="31" t="inlineStr">
        <is>
          <t>consumer discretionary</t>
        </is>
      </c>
      <c r="F237" s="31" t="inlineStr">
        <is>
          <t>textiles - products</t>
        </is>
      </c>
      <c r="G237" s="31" t="inlineStr">
        <is>
          <t>largecap</t>
        </is>
      </c>
      <c r="H237" s="32" t="n">
        <v>46600.89</v>
      </c>
      <c r="I237" s="32" t="n">
        <v>41395</v>
      </c>
      <c r="J237" s="32" t="n">
        <v>-0.92</v>
      </c>
      <c r="K237" s="32" t="n">
        <v>72900</v>
      </c>
      <c r="L237" s="31" t="n">
        <v>6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62.22</v>
      </c>
      <c r="P237" s="32" t="n">
        <v>14.62</v>
      </c>
      <c r="Q237" s="32" t="n">
        <v>36009.04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-5.04</v>
      </c>
      <c r="U237" s="32" t="n">
        <v>-12.36</v>
      </c>
      <c r="V237" s="32" t="n">
        <v>-7.71</v>
      </c>
      <c r="W237" s="32" t="n">
        <v>1.19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Between 50% to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IF(B238=0,"",RANK(B238,$B$2:$B$251,0))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REDINGTON</t>
        </is>
      </c>
      <c r="D238" s="33" t="inlineStr">
        <is>
          <t>Redington (india) Limited</t>
        </is>
      </c>
      <c r="E238" s="31" t="inlineStr">
        <is>
          <t>services</t>
        </is>
      </c>
      <c r="F238" s="31" t="inlineStr">
        <is>
          <t>trading</t>
        </is>
      </c>
      <c r="G238" s="31" t="inlineStr">
        <is>
          <t>largecap</t>
        </is>
      </c>
      <c r="H238" s="32" t="n">
        <v>21463.62</v>
      </c>
      <c r="I238" s="32" t="n">
        <v>268.6</v>
      </c>
      <c r="J238" s="32" t="n">
        <v>-2.17</v>
      </c>
      <c r="K238" s="32" t="n">
        <v>3681927</v>
      </c>
      <c r="L238" s="31" t="n">
        <v>19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58.58</v>
      </c>
      <c r="P238" s="32" t="n">
        <v>16.62</v>
      </c>
      <c r="Q238" s="32" t="n">
        <v>213.73</v>
      </c>
      <c r="R238" s="31" t="inlineStr">
        <is>
          <t>Earnings / Momentum Support</t>
        </is>
      </c>
      <c r="S238" s="31" t="inlineStr">
        <is>
          <t>Nifty 50</t>
        </is>
      </c>
      <c r="T238" s="32" t="n">
        <v>-5.04</v>
      </c>
      <c r="U238" s="32" t="n">
        <v>-8.44</v>
      </c>
      <c r="V238" s="32" t="n">
        <v>-3.58</v>
      </c>
      <c r="W238" s="32" t="n">
        <v>4.02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Less than 50%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IF(B239=0,"",RANK(B239,$B$2:$B$251,0))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JINDRILL</t>
        </is>
      </c>
      <c r="D239" s="33" t="inlineStr">
        <is>
          <t>Jindal Drilling And Industries Limited</t>
        </is>
      </c>
      <c r="E239" s="31" t="inlineStr">
        <is>
          <t>energy</t>
        </is>
      </c>
      <c r="F239" s="31" t="inlineStr">
        <is>
          <t>oil drilling / allied services</t>
        </is>
      </c>
      <c r="G239" s="31" t="inlineStr">
        <is>
          <t>smallcap</t>
        </is>
      </c>
      <c r="H239" s="32" t="n">
        <v>1565.56</v>
      </c>
      <c r="I239" s="32" t="n">
        <v>601.05</v>
      </c>
      <c r="J239" s="32" t="n">
        <v>11.26</v>
      </c>
      <c r="K239" s="32" t="n">
        <v>20334559</v>
      </c>
      <c r="L239" s="31" t="n">
        <v>10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55.32</v>
      </c>
      <c r="P239" s="32" t="n">
        <v>43.52</v>
      </c>
      <c r="Q239" s="32" t="n">
        <v>487.71</v>
      </c>
      <c r="R239" s="31" t="inlineStr">
        <is>
          <t>Earnings / Momentum Support</t>
        </is>
      </c>
      <c r="S239" s="31" t="inlineStr">
        <is>
          <t>Nifty Energy</t>
        </is>
      </c>
      <c r="T239" s="32" t="n">
        <v>7.2</v>
      </c>
      <c r="U239" s="32" t="n">
        <v>-1.85</v>
      </c>
      <c r="V239" s="32" t="n">
        <v>-8.44</v>
      </c>
      <c r="W239" s="32" t="n">
        <v>2.22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Oligopoly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Above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Less than 50%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IF(B240=0,"",RANK(B240,$B$2:$B$251,0))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KSL</t>
        </is>
      </c>
      <c r="D240" s="33" t="inlineStr">
        <is>
          <t>Kalyani Steels Limited</t>
        </is>
      </c>
      <c r="E240" s="31" t="inlineStr">
        <is>
          <t>metals &amp; mining</t>
        </is>
      </c>
      <c r="F240" s="31" t="inlineStr">
        <is>
          <t>steel - medium / small</t>
        </is>
      </c>
      <c r="G240" s="31" t="inlineStr">
        <is>
          <t>smallcap</t>
        </is>
      </c>
      <c r="H240" s="32" t="n">
        <v>3770.53</v>
      </c>
      <c r="I240" s="32" t="n">
        <v>893.4</v>
      </c>
      <c r="J240" s="32" t="n">
        <v>3.43</v>
      </c>
      <c r="K240" s="32" t="n">
        <v>166539</v>
      </c>
      <c r="L240" s="31" t="n">
        <v>40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64.40000000000001</v>
      </c>
      <c r="P240" s="32" t="n">
        <v>18.69</v>
      </c>
      <c r="Q240" s="32" t="n">
        <v>713.86</v>
      </c>
      <c r="R240" s="31" t="inlineStr">
        <is>
          <t>Near 52W High Breakout</t>
        </is>
      </c>
      <c r="S240" s="31" t="inlineStr">
        <is>
          <t>Nifty Metal</t>
        </is>
      </c>
      <c r="T240" s="32" t="n">
        <v>32.89</v>
      </c>
      <c r="U240" s="32" t="n">
        <v>-0.77</v>
      </c>
      <c r="V240" s="32" t="n">
        <v>-25.32</v>
      </c>
      <c r="W240" s="32" t="n">
        <v>8.48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Cyclical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Volatile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IF(B241=0,"",RANK(B241,$B$2:$B$251,0))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AVANTEL</t>
        </is>
      </c>
      <c r="D241" s="31" t="inlineStr">
        <is>
          <t>Avantel Ltd</t>
        </is>
      </c>
      <c r="E241" s="31" t="inlineStr">
        <is>
          <t>aerospace &amp; defence</t>
        </is>
      </c>
      <c r="F241" s="31" t="inlineStr">
        <is>
          <t>telecommunications - equipment</t>
        </is>
      </c>
      <c r="G241" s="31" t="inlineStr">
        <is>
          <t>smallcap</t>
        </is>
      </c>
      <c r="H241" s="32" t="n">
        <v>4720.35</v>
      </c>
      <c r="I241" s="32" t="n">
        <v>182.2</v>
      </c>
      <c r="J241" s="32" t="n">
        <v>2.56</v>
      </c>
      <c r="K241" s="32" t="n">
        <v>7029894</v>
      </c>
      <c r="L241" s="31" t="n">
        <v>43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59.99</v>
      </c>
      <c r="P241" s="32" t="n">
        <v>11.64</v>
      </c>
      <c r="Q241" s="32" t="n">
        <v>131.38</v>
      </c>
      <c r="R241" s="31" t="inlineStr">
        <is>
          <t>Earnings / Momentum Support</t>
        </is>
      </c>
      <c r="S241" s="31" t="inlineStr">
        <is>
          <t>Nifty Infra</t>
        </is>
      </c>
      <c r="T241" s="32" t="n">
        <v>-0.07000000000000001</v>
      </c>
      <c r="U241" s="32" t="n">
        <v>17.8</v>
      </c>
      <c r="V241" s="32" t="n">
        <v>17.88</v>
      </c>
      <c r="W241" s="32" t="n">
        <v>8.99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Oligopoly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Less than 50%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IF(B242=0,"",RANK(B242,$B$2:$B$251,0))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POCL</t>
        </is>
      </c>
      <c r="D242" s="31" t="inlineStr">
        <is>
          <t>Pondy Oxides &amp; Chemicals Ltd</t>
        </is>
      </c>
      <c r="E242" s="31" t="inlineStr">
        <is>
          <t>metals &amp; mining</t>
        </is>
      </c>
      <c r="F242" s="31" t="inlineStr">
        <is>
          <t>mining / minerals / metals</t>
        </is>
      </c>
      <c r="G242" s="31" t="inlineStr">
        <is>
          <t>smallcap</t>
        </is>
      </c>
      <c r="H242" s="32" t="n">
        <v>4359.76</v>
      </c>
      <c r="I242" s="32" t="n">
        <v>1461.6</v>
      </c>
      <c r="J242" s="32" t="n">
        <v>2.29</v>
      </c>
      <c r="K242" s="32" t="n">
        <v>750084</v>
      </c>
      <c r="L242" s="31" t="n">
        <v>65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60.2</v>
      </c>
      <c r="P242" s="32" t="n">
        <v>22.73</v>
      </c>
      <c r="Q242" s="32" t="n">
        <v>1123.18</v>
      </c>
      <c r="R242" s="31" t="inlineStr">
        <is>
          <t>Earnings / Momentum Support</t>
        </is>
      </c>
      <c r="S242" s="31" t="inlineStr">
        <is>
          <t>Nifty Metal</t>
        </is>
      </c>
      <c r="T242" s="32" t="n">
        <v>32.89</v>
      </c>
      <c r="U242" s="32" t="n">
        <v>51.1</v>
      </c>
      <c r="V242" s="32" t="n">
        <v>13.7</v>
      </c>
      <c r="W242" s="32" t="n">
        <v>14.53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Cyclical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Volatile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Negative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IF(B243=0,"",RANK(B243,$B$2:$B$251,0))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SOBHA</t>
        </is>
      </c>
      <c r="D243" s="31" t="inlineStr">
        <is>
          <t>Sobha Limited</t>
        </is>
      </c>
      <c r="E243" s="31" t="inlineStr">
        <is>
          <t>realty</t>
        </is>
      </c>
      <c r="F243" s="31" t="inlineStr">
        <is>
          <t>construction</t>
        </is>
      </c>
      <c r="G243" s="31" t="inlineStr">
        <is>
          <t>midcap</t>
        </is>
      </c>
      <c r="H243" s="32" t="n">
        <v>15553.23</v>
      </c>
      <c r="I243" s="32" t="n">
        <v>1451.2</v>
      </c>
      <c r="J243" s="32" t="n">
        <v>-0.21</v>
      </c>
      <c r="K243" s="32" t="n">
        <v>334191</v>
      </c>
      <c r="L243" s="31" t="n">
        <v>10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53.89</v>
      </c>
      <c r="P243" s="32" t="n">
        <v>8.550000000000001</v>
      </c>
      <c r="Q243" s="32" t="n">
        <v>1161.23</v>
      </c>
      <c r="R243" s="31" t="inlineStr">
        <is>
          <t>Earnings / Momentum Support</t>
        </is>
      </c>
      <c r="S243" s="31" t="inlineStr">
        <is>
          <t>Nifty Realty</t>
        </is>
      </c>
      <c r="T243" s="32" t="n">
        <v>-9.029999999999999</v>
      </c>
      <c r="U243" s="32" t="n">
        <v>-3.25</v>
      </c>
      <c r="V243" s="32" t="n">
        <v>6.36</v>
      </c>
      <c r="W243" s="32" t="n">
        <v>2.16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1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IF(B244=0,"",RANK(B244,$B$2:$B$251,0))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PAYTM</t>
        </is>
      </c>
      <c r="D244" s="31" t="inlineStr">
        <is>
          <t>One 97 Communications Ltd</t>
        </is>
      </c>
      <c r="E244" s="31" t="inlineStr">
        <is>
          <t>i.t</t>
        </is>
      </c>
      <c r="F244" s="31" t="inlineStr">
        <is>
          <t>miscellaneous</t>
        </is>
      </c>
      <c r="G244" s="31" t="inlineStr">
        <is>
          <t>largecap</t>
        </is>
      </c>
      <c r="H244" s="32" t="n">
        <v>79749.69</v>
      </c>
      <c r="I244" s="32" t="n">
        <v>1223.4</v>
      </c>
      <c r="J244" s="32" t="n">
        <v>-1.81</v>
      </c>
      <c r="K244" s="32" t="n">
        <v>3597474</v>
      </c>
      <c r="L244" s="31" t="n">
        <v>37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57.69</v>
      </c>
      <c r="P244" s="32" t="n">
        <v>14.73</v>
      </c>
      <c r="Q244" s="32" t="n">
        <v>953.34</v>
      </c>
      <c r="R244" s="31" t="inlineStr">
        <is>
          <t>Earnings / Momentum Support</t>
        </is>
      </c>
      <c r="S244" s="31" t="inlineStr">
        <is>
          <t>Nifty IT</t>
        </is>
      </c>
      <c r="T244" s="32" t="n">
        <v>-26.9</v>
      </c>
      <c r="U244" s="32" t="n">
        <v>28.62</v>
      </c>
      <c r="V244" s="32" t="n">
        <v>75.95</v>
      </c>
      <c r="W244" s="32" t="n">
        <v>7.83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Negative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IF(B245=0,"",RANK(B245,$B$2:$B$251,0))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ALKEM</t>
        </is>
      </c>
      <c r="D245" s="31" t="inlineStr">
        <is>
          <t>Alkem Laboratories Limited</t>
        </is>
      </c>
      <c r="E245" s="31" t="inlineStr">
        <is>
          <t>healthcare</t>
        </is>
      </c>
      <c r="F245" s="31" t="inlineStr">
        <is>
          <t>pharmaceuticals - indian - bulk drugs &amp; formln</t>
        </is>
      </c>
      <c r="G245" s="31" t="inlineStr">
        <is>
          <t>largecap</t>
        </is>
      </c>
      <c r="H245" s="32" t="n">
        <v>67763.46000000001</v>
      </c>
      <c r="I245" s="32" t="n">
        <v>5614</v>
      </c>
      <c r="J245" s="32" t="n">
        <v>-0.9399999999999999</v>
      </c>
      <c r="K245" s="32" t="n">
        <v>101198</v>
      </c>
      <c r="L245" s="31" t="n">
        <v>21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55.36</v>
      </c>
      <c r="P245" s="32" t="n">
        <v>15.67</v>
      </c>
      <c r="Q245" s="32" t="n">
        <v>4780.53</v>
      </c>
      <c r="R245" s="31" t="inlineStr">
        <is>
          <t>Near 52W High Breakout</t>
        </is>
      </c>
      <c r="S245" s="31" t="inlineStr">
        <is>
          <t>Nifty Pharma</t>
        </is>
      </c>
      <c r="T245" s="32" t="n">
        <v>14.42</v>
      </c>
      <c r="U245" s="32" t="n">
        <v>17.76</v>
      </c>
      <c r="V245" s="32" t="n">
        <v>2.93</v>
      </c>
      <c r="W245" s="32" t="n">
        <v>4.13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Yes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1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Between 50% to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IF(B246=0,"",RANK(B246,$B$2:$B$251,0))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TBOTEK</t>
        </is>
      </c>
      <c r="D246" s="31" t="inlineStr">
        <is>
          <t>TBO Tek Ltd</t>
        </is>
      </c>
      <c r="E246" s="31" t="inlineStr">
        <is>
          <t>i.t</t>
        </is>
      </c>
      <c r="F246" s="31" t="inlineStr">
        <is>
          <t>travel agencies</t>
        </is>
      </c>
      <c r="G246" s="31" t="inlineStr">
        <is>
          <t>midcap</t>
        </is>
      </c>
      <c r="H246" s="32" t="n">
        <v>16341.38</v>
      </c>
      <c r="I246" s="32" t="n">
        <v>1481</v>
      </c>
      <c r="J246" s="32" t="n">
        <v>-1.59</v>
      </c>
      <c r="K246" s="32" t="n">
        <v>144656</v>
      </c>
      <c r="L246" s="31" t="n">
        <v>42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58.24</v>
      </c>
      <c r="P246" s="32" t="n">
        <v>14.63</v>
      </c>
      <c r="Q246" s="32" t="n">
        <v>1158.54</v>
      </c>
      <c r="R246" s="31" t="inlineStr">
        <is>
          <t>Earnings / Momentum Support</t>
        </is>
      </c>
      <c r="S246" s="31" t="inlineStr">
        <is>
          <t>Nifty IT</t>
        </is>
      </c>
      <c r="T246" s="32" t="n">
        <v>-26.9</v>
      </c>
      <c r="U246" s="32" t="n">
        <v>11.78</v>
      </c>
      <c r="V246" s="32" t="n">
        <v>52.9</v>
      </c>
      <c r="W246" s="32" t="n">
        <v>8.81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Negative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IF(B247=0,"",RANK(B247,$B$2:$B$251,0))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3" t="inlineStr">
        <is>
          <t>GRAVITA</t>
        </is>
      </c>
      <c r="D247" s="33" t="inlineStr">
        <is>
          <t>Gravita India Limited</t>
        </is>
      </c>
      <c r="E247" s="31" t="inlineStr">
        <is>
          <t>metals &amp; mining</t>
        </is>
      </c>
      <c r="F247" s="31" t="inlineStr">
        <is>
          <t>mining / minerals / metals</t>
        </is>
      </c>
      <c r="G247" s="31" t="inlineStr">
        <is>
          <t>midcap</t>
        </is>
      </c>
      <c r="H247" s="32" t="n">
        <v>13192.52</v>
      </c>
      <c r="I247" s="32" t="n">
        <v>1727.9</v>
      </c>
      <c r="J247" s="32" t="n">
        <v>-3.33</v>
      </c>
      <c r="K247" s="32" t="n">
        <v>621042</v>
      </c>
      <c r="L247" s="31" t="n">
        <v>11</v>
      </c>
      <c r="M247" s="31" t="inlineStr">
        <is>
          <t>Underperforming</t>
        </is>
      </c>
      <c r="N247" s="32">
        <f>IF(M247="Underperforming",-5,IF(L247&gt;=95,15,IF(L247&gt;=90,10,IF(L247&gt;=80,5,0))))</f>
        <v/>
      </c>
      <c r="O247" s="32" t="n">
        <v>55.12</v>
      </c>
      <c r="P247" s="32" t="n">
        <v>13.89</v>
      </c>
      <c r="Q247" s="32" t="n">
        <v>1360.52</v>
      </c>
      <c r="R247" s="31" t="inlineStr">
        <is>
          <t>Earnings / Momentum Support</t>
        </is>
      </c>
      <c r="S247" s="31" t="inlineStr">
        <is>
          <t>Nifty Metal</t>
        </is>
      </c>
      <c r="T247" s="32" t="n">
        <v>32.89</v>
      </c>
      <c r="U247" s="32" t="n">
        <v>-0.62</v>
      </c>
      <c r="V247" s="32" t="n">
        <v>-25.22</v>
      </c>
      <c r="W247" s="32" t="n">
        <v>2.25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Less than 50%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IF(B248=0,"",RANK(B248,$B$2:$B$251,0))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TVSMOTOR</t>
        </is>
      </c>
      <c r="D248" s="31" t="inlineStr">
        <is>
          <t>Tvs Motor Company Limited</t>
        </is>
      </c>
      <c r="E248" s="31" t="inlineStr">
        <is>
          <t>auto</t>
        </is>
      </c>
      <c r="F248" s="31" t="inlineStr">
        <is>
          <t>automobiles - motorcycles / mopeds</t>
        </is>
      </c>
      <c r="G248" s="31" t="inlineStr">
        <is>
          <t>largecap</t>
        </is>
      </c>
      <c r="H248" s="32" t="n">
        <v>176385.59</v>
      </c>
      <c r="I248" s="32" t="n">
        <v>3639.7</v>
      </c>
      <c r="J248" s="32" t="n">
        <v>-1.97</v>
      </c>
      <c r="K248" s="32" t="n">
        <v>1177049</v>
      </c>
      <c r="L248" s="31" t="n">
        <v>25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54.41</v>
      </c>
      <c r="P248" s="32" t="n">
        <v>9.01</v>
      </c>
      <c r="Q248" s="32" t="n">
        <v>3190.82</v>
      </c>
      <c r="R248" s="31" t="inlineStr">
        <is>
          <t>Earnings / Momentum Support</t>
        </is>
      </c>
      <c r="S248" s="31" t="inlineStr">
        <is>
          <t>Nifty Auto</t>
        </is>
      </c>
      <c r="T248" s="32" t="n">
        <v>13.79</v>
      </c>
      <c r="U248" s="32" t="n">
        <v>32.6</v>
      </c>
      <c r="V248" s="32" t="n">
        <v>16.53</v>
      </c>
      <c r="W248" s="32" t="n">
        <v>5.3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Between 12 to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Less than 50% and Borrowings are increasing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More than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IF(B249=0,"",RANK(B249,$B$2:$B$251,0))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RAJRATAN</t>
        </is>
      </c>
      <c r="D249" s="33" t="inlineStr">
        <is>
          <t>Rajratan Global Wire Ltd</t>
        </is>
      </c>
      <c r="E249" s="31" t="inlineStr">
        <is>
          <t>metals &amp; mining</t>
        </is>
      </c>
      <c r="F249" s="31" t="inlineStr">
        <is>
          <t>steel - medium / small</t>
        </is>
      </c>
      <c r="G249" s="31" t="inlineStr">
        <is>
          <t>smallcap</t>
        </is>
      </c>
      <c r="H249" s="32" t="n">
        <v>2433.96</v>
      </c>
      <c r="I249" s="32" t="n">
        <v>464.9</v>
      </c>
      <c r="J249" s="32" t="n">
        <v>-3.02</v>
      </c>
      <c r="K249" s="32" t="n">
        <v>161460</v>
      </c>
      <c r="L249" s="31" t="n">
        <v>38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57.69</v>
      </c>
      <c r="P249" s="32" t="n">
        <v>8.31</v>
      </c>
      <c r="Q249" s="32" t="n">
        <v>339.39</v>
      </c>
      <c r="R249" s="31" t="inlineStr">
        <is>
          <t>Earnings / Momentum Support</t>
        </is>
      </c>
      <c r="S249" s="31" t="inlineStr">
        <is>
          <t>Nifty Metal</t>
        </is>
      </c>
      <c r="T249" s="32" t="n">
        <v>32.89</v>
      </c>
      <c r="U249" s="32" t="n">
        <v>11.96</v>
      </c>
      <c r="V249" s="32" t="n">
        <v>-15.75</v>
      </c>
      <c r="W249" s="32" t="n">
        <v>8.050000000000001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Cyclical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Volatile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Between 50% to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IF(B250=0,"",RANK(B250,$B$2:$B$251,0))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SILVERTUC</t>
        </is>
      </c>
      <c r="D250" s="33" t="inlineStr">
        <is>
          <t>Silver Touch Technologies Ltd</t>
        </is>
      </c>
      <c r="E250" s="31" t="inlineStr">
        <is>
          <t>i.t</t>
        </is>
      </c>
      <c r="F250" s="31" t="inlineStr">
        <is>
          <t>computers - software - medium / small</t>
        </is>
      </c>
      <c r="G250" s="31" t="inlineStr">
        <is>
          <t>smallcap</t>
        </is>
      </c>
      <c r="H250" s="32" t="n">
        <v>2299.45</v>
      </c>
      <c r="I250" s="32" t="n">
        <v>187.9</v>
      </c>
      <c r="J250" s="32" t="n">
        <v>3.62</v>
      </c>
      <c r="K250" s="32" t="n">
        <v>782778</v>
      </c>
      <c r="L250" s="31" t="n">
        <v>2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40.74</v>
      </c>
      <c r="P250" s="32" t="n">
        <v>31.26</v>
      </c>
      <c r="Q250" s="32" t="n">
        <v>94.78</v>
      </c>
      <c r="R250" s="31" t="inlineStr">
        <is>
          <t>Earnings / Momentum Support</t>
        </is>
      </c>
      <c r="S250" s="31" t="inlineStr">
        <is>
          <t>Nifty IT</t>
        </is>
      </c>
      <c r="T250" s="32" t="n">
        <v>-26.9</v>
      </c>
      <c r="U250" s="32" t="n">
        <v>-74.02</v>
      </c>
      <c r="V250" s="32" t="n">
        <v>-64.45999999999999</v>
      </c>
      <c r="W250" s="32" t="n">
        <v>-0.8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Below 45</t>
        </is>
      </c>
      <c r="BA250" s="31">
        <f>IF(AZ250="Between 50 to 75",10,IF(AZ250="Above 75",0,0))</f>
        <v/>
      </c>
      <c r="BB250" s="31" t="inlineStr">
        <is>
          <t>Stage 4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Between 1.5 to 2</t>
        </is>
      </c>
      <c r="BU250" s="31">
        <f>IF(BT250="Above 2",0,IF(BT250="Between 1.5 to 2",5,IF(BT250="Less than 1.5",10,0)))</f>
        <v/>
      </c>
      <c r="BV250" s="31" t="inlineStr">
        <is>
          <t>Less than 50%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IF(B251=0,"",RANK(B251,$B$2:$B$251,0))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BALAMINES</t>
        </is>
      </c>
      <c r="D251" s="31" t="inlineStr">
        <is>
          <t>Balaji Amines Limited</t>
        </is>
      </c>
      <c r="E251" s="31" t="inlineStr">
        <is>
          <t>chemicals</t>
        </is>
      </c>
      <c r="F251" s="31" t="inlineStr">
        <is>
          <t>chemicals</t>
        </is>
      </c>
      <c r="G251" s="31" t="inlineStr">
        <is>
          <t>midcap</t>
        </is>
      </c>
      <c r="H251" s="32" t="n">
        <v>6699.88</v>
      </c>
      <c r="I251" s="32" t="n">
        <v>2196.7</v>
      </c>
      <c r="J251" s="32" t="n">
        <v>6.23</v>
      </c>
      <c r="K251" s="32" t="n">
        <v>1912262</v>
      </c>
      <c r="L251" s="31" t="n">
        <v>89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76.68000000000001</v>
      </c>
      <c r="P251" s="32" t="n">
        <v>52.82</v>
      </c>
      <c r="Q251" s="32" t="n">
        <v>1588.43</v>
      </c>
      <c r="R251" s="31" t="inlineStr">
        <is>
          <t>Near 52W High Breakout</t>
        </is>
      </c>
      <c r="S251" s="31" t="inlineStr">
        <is>
          <t>Nifty 50</t>
        </is>
      </c>
      <c r="T251" s="32" t="n">
        <v>-5.04</v>
      </c>
      <c r="U251" s="32" t="n">
        <v>23.78</v>
      </c>
      <c r="V251" s="32" t="n">
        <v>30.35</v>
      </c>
      <c r="W251" s="32" t="n">
        <v>32.88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Duopoly That Cooperate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Shallow Cyclical (2 to 3 Years Growth)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4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Downtrend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Overhead supply in last 2 years in last 2 years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No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Between 50% to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</sheetData>
  <autoFilter ref="A1:CE251"/>
  <conditionalFormatting sqref="B2:B25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5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5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5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5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5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5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5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5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5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5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5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5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5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5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5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5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5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5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5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5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5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5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51">
    <cfRule type="cellIs" priority="36" operator="equal" dxfId="3" stopIfTrue="1">
      <formula>"Underperforming"</formula>
    </cfRule>
  </conditionalFormatting>
  <conditionalFormatting sqref="N2:N251">
    <cfRule type="cellIs" priority="37" operator="equal" dxfId="3" stopIfTrue="1">
      <formula>-5</formula>
    </cfRule>
  </conditionalFormatting>
  <conditionalFormatting sqref="Q2:Q251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51" showDropDown="0" showInputMessage="0" showErrorMessage="0" allowBlank="1" type="list">
      <formula1>"Growing Industry,Stagnant Industry,Cyclical in an Upturn"</formula1>
    </dataValidation>
    <dataValidation sqref="Z2:Z25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51" showDropDown="0" showInputMessage="0" showErrorMessage="0" allowBlank="1" type="list">
      <formula1>"Yes,No"</formula1>
    </dataValidation>
    <dataValidation sqref="AD2:AD251" showDropDown="0" showInputMessage="0" showErrorMessage="0" allowBlank="1" type="list">
      <formula1>"Tailwind,Headwind"</formula1>
    </dataValidation>
    <dataValidation sqref="AF2:AF251" showDropDown="0" showInputMessage="0" showErrorMessage="0" allowBlank="1" type="list">
      <formula1>"Structural (10 Years Consistency),Shallow Cyclical (2 to 3 Years Growth),Cyclical"</formula1>
    </dataValidation>
    <dataValidation sqref="AH2:AH251" showDropDown="0" showInputMessage="0" showErrorMessage="0" allowBlank="1" type="list">
      <formula1>"Yes due to Product Mix change or Operating Leverage,Yes, these are peak margins,No"</formula1>
    </dataValidation>
    <dataValidation sqref="AJ2:AJ251" showDropDown="0" showInputMessage="0" showErrorMessage="0" allowBlank="1" type="list">
      <formula1>"Stable,Volatile"</formula1>
    </dataValidation>
    <dataValidation sqref="AL2:AL251" showDropDown="0" showInputMessage="0" showErrorMessage="0" allowBlank="1" type="list">
      <formula1>"Yes,No"</formula1>
    </dataValidation>
    <dataValidation sqref="AN2:AN251" showDropDown="0" showInputMessage="0" showErrorMessage="0" allowBlank="1" type="list">
      <formula1>"B2C,B2B,B2G"</formula1>
    </dataValidation>
    <dataValidation sqref="AP2:AP251" showDropDown="0" showInputMessage="0" showErrorMessage="0" allowBlank="1" type="list">
      <formula1>"Yes,No"</formula1>
    </dataValidation>
    <dataValidation sqref="AR2:AR251" showDropDown="0" showInputMessage="0" showErrorMessage="0" allowBlank="1" type="list">
      <formula1>"Fully Annuity,Higher Annuity, Lower One time,Higher One Time, Lower Annuity,Fully One Time"</formula1>
    </dataValidation>
    <dataValidation sqref="AT2:AT251" showDropDown="0" showInputMessage="0" showErrorMessage="0" allowBlank="1" type="list">
      <formula1>"Good,Allocated capital in Non-core Areas"</formula1>
    </dataValidation>
    <dataValidation sqref="AV2:AV251" showDropDown="0" showInputMessage="0" showErrorMessage="0" allowBlank="1" type="list">
      <formula1>"Yes for more than 2 years,Yes only for next 1 to 2 years,No"</formula1>
    </dataValidation>
    <dataValidation sqref="AX2:AX251" showDropDown="0" showInputMessage="0" showErrorMessage="0" allowBlank="1" type="list">
      <formula1>"Above 40,20 to 40,0 to 20"</formula1>
    </dataValidation>
    <dataValidation sqref="AZ2:AZ251" showDropDown="0" showInputMessage="0" showErrorMessage="0" allowBlank="1" type="list">
      <formula1>"Between 50 to 75,Above 75,Below 45"</formula1>
    </dataValidation>
    <dataValidation sqref="BB2:BB251" showDropDown="0" showInputMessage="0" showErrorMessage="0" allowBlank="1" type="list">
      <formula1>"Stage 1,Stage 2,Stage 3,Stage 4"</formula1>
    </dataValidation>
    <dataValidation sqref="BD2:BD251" showDropDown="0" showInputMessage="0" showErrorMessage="0" allowBlank="1" type="list">
      <formula1>"Positive Trend,Negative Trend"</formula1>
    </dataValidation>
    <dataValidation sqref="BF2:BF251" showDropDown="0" showInputMessage="0" showErrorMessage="0" allowBlank="1" type="list">
      <formula1>"Uptrend,Sideways,Downtrend"</formula1>
    </dataValidation>
    <dataValidation sqref="BH2:BH251" showDropDown="0" showInputMessage="0" showErrorMessage="0" allowBlank="1" type="list">
      <formula1>"Uptrend,Sideways,Downtrend"</formula1>
    </dataValidation>
    <dataValidation sqref="BJ2:BJ25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51" showDropDown="0" showInputMessage="0" showErrorMessage="0" allowBlank="1" type="list">
      <formula1>"Yes,No"</formula1>
    </dataValidation>
    <dataValidation sqref="BN2:BN251" showDropDown="0" showInputMessage="0" showErrorMessage="0" allowBlank="1" type="list">
      <formula1>"More than 20%,Between 12 to 20%,Less than 12%"</formula1>
    </dataValidation>
    <dataValidation sqref="BP2:BP251" showDropDown="0" showInputMessage="0" showErrorMessage="0" allowBlank="1" type="list">
      <formula1>"Yes,No"</formula1>
    </dataValidation>
    <dataValidation sqref="BR2:BR251" showDropDown="0" showInputMessage="0" showErrorMessage="0" allowBlank="1" type="list">
      <formula1>"Yes,No"</formula1>
    </dataValidation>
    <dataValidation sqref="BT2:BT251" showDropDown="0" showInputMessage="0" showErrorMessage="0" allowBlank="1" type="list">
      <formula1>"Above 2,Between 1.5 to 2,Less than 1.5"</formula1>
    </dataValidation>
    <dataValidation sqref="BV2:BV251" showDropDown="0" showInputMessage="0" showErrorMessage="0" allowBlank="1" type="list">
      <formula1>"Above 70%,Between 50% to 70%,Less than 50%,Less than 50% and Borrowings are increasing,Negative"</formula1>
    </dataValidation>
    <dataValidation sqref="BX2:BX251" showDropDown="0" showInputMessage="0" showErrorMessage="0" allowBlank="1" type="list">
      <formula1>"More than 1.2,Between 0.7 to 1.2,Less than 0.7"</formula1>
    </dataValidation>
    <dataValidation sqref="BZ2:BZ251" showDropDown="0" showInputMessage="0" showErrorMessage="0" allowBlank="1" type="list">
      <formula1>"Yes,No"</formula1>
    </dataValidation>
    <dataValidation sqref="CB2:CB251" showDropDown="0" showInputMessage="0" showErrorMessage="0" allowBlank="1" type="list">
      <formula1>"More than 15%,Less than 15%"</formula1>
    </dataValidation>
    <dataValidation sqref="CD2:CD25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IF(B2=0,"",RANK(B2,$B$2:$B$39,0))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2908.59</v>
      </c>
      <c r="I2" s="32" t="n">
        <v>248.85</v>
      </c>
      <c r="J2" s="32" t="n">
        <v>-5.48</v>
      </c>
      <c r="K2" s="32" t="n">
        <v>930866</v>
      </c>
      <c r="L2" s="31" t="n">
        <v>79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70.42</v>
      </c>
      <c r="P2" s="32" t="n">
        <v>60.81</v>
      </c>
      <c r="Q2" s="32" t="n">
        <v>197.58</v>
      </c>
      <c r="R2" s="31" t="inlineStr">
        <is>
          <t>Near 52W High Breakout</t>
        </is>
      </c>
      <c r="S2" s="31" t="inlineStr">
        <is>
          <t>Nifty Bank</t>
        </is>
      </c>
      <c r="T2" s="32" t="n">
        <v>-0.02</v>
      </c>
      <c r="U2" s="32" t="n">
        <v>53.96</v>
      </c>
      <c r="V2" s="32" t="n">
        <v>54</v>
      </c>
      <c r="W2" s="32" t="n">
        <v>22.26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IF(B3=0,"",RANK(B3,$B$2:$B$39,0))</f>
        <v/>
      </c>
      <c r="B3" s="32">
        <f>SUM(N3,Y3,AA3,AC3,AE3,AG3,AI3,AK3,AM3,AO3,AQ3,AS3,AU3,AW3,AY3,BA3,BC3,BE3,BG3,BI3,BK3,BM3,BO3,BQ3,BS3,BU3,BW3,BY3,CA3)</f>
        <v/>
      </c>
      <c r="C3" s="31" t="inlineStr">
        <is>
          <t>FEDERALBNK</t>
        </is>
      </c>
      <c r="D3" s="31" t="inlineStr">
        <is>
          <t>The Federal Bank 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largecap</t>
        </is>
      </c>
      <c r="H3" s="32" t="n">
        <v>81703.28</v>
      </c>
      <c r="I3" s="32" t="n">
        <v>326.55</v>
      </c>
      <c r="J3" s="32" t="n">
        <v>-1.51</v>
      </c>
      <c r="K3" s="32" t="n">
        <v>4715548</v>
      </c>
      <c r="L3" s="31" t="n">
        <v>56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70.43000000000001</v>
      </c>
      <c r="P3" s="32" t="n">
        <v>25.96</v>
      </c>
      <c r="Q3" s="32" t="n">
        <v>283.93</v>
      </c>
      <c r="R3" s="31" t="inlineStr">
        <is>
          <t>Near 52W High Breakout</t>
        </is>
      </c>
      <c r="S3" s="31" t="inlineStr">
        <is>
          <t>Nifty Bank</t>
        </is>
      </c>
      <c r="T3" s="32" t="n">
        <v>-0.02</v>
      </c>
      <c r="U3" s="32" t="n">
        <v>58.42</v>
      </c>
      <c r="V3" s="32" t="n">
        <v>58.45</v>
      </c>
      <c r="W3" s="32" t="n">
        <v>12.35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IF(B4=0,"",RANK(B4,$B$2:$B$39,0))</f>
        <v/>
      </c>
      <c r="B4" s="32">
        <f>SUM(N4,Y4,AA4,AC4,AE4,AG4,AI4,AK4,AM4,AO4,AQ4,AS4,AU4,AW4,AY4,BA4,BC4,BE4,BG4,BI4,BK4,BM4,BO4,BQ4,BS4,BU4,BW4,BY4,CA4)</f>
        <v/>
      </c>
      <c r="C4" s="31" t="inlineStr">
        <is>
          <t>J&amp;KBANK</t>
        </is>
      </c>
      <c r="D4" s="31" t="inlineStr">
        <is>
          <t>The Jammu &amp; Kashmir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18027.46</v>
      </c>
      <c r="I4" s="32" t="n">
        <v>165.96</v>
      </c>
      <c r="J4" s="32" t="n">
        <v>1.37</v>
      </c>
      <c r="K4" s="32" t="n">
        <v>10594097</v>
      </c>
      <c r="L4" s="31" t="n">
        <v>70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73.34</v>
      </c>
      <c r="P4" s="32" t="n">
        <v>55</v>
      </c>
      <c r="Q4" s="32" t="n">
        <v>134.21</v>
      </c>
      <c r="R4" s="31" t="inlineStr">
        <is>
          <t>Near 52W High Breakout</t>
        </is>
      </c>
      <c r="S4" s="31" t="inlineStr">
        <is>
          <t>Nifty Bank</t>
        </is>
      </c>
      <c r="T4" s="32" t="n">
        <v>-0.02</v>
      </c>
      <c r="U4" s="32" t="n">
        <v>55.77</v>
      </c>
      <c r="V4" s="32" t="n">
        <v>55.8</v>
      </c>
      <c r="W4" s="32" t="n">
        <v>17.27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less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IF(B5=0,"",RANK(B5,$B$2:$B$39,0))</f>
        <v/>
      </c>
      <c r="B5" s="32">
        <f>SUM(N5,Y5,AA5,AC5,AE5,AG5,AI5,AK5,AM5,AO5,AQ5,AS5,AU5,AW5,AY5,BA5,BC5,BE5,BG5,BI5,BK5,BM5,BO5,BQ5,BS5,BU5,BW5,BY5,CA5)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6324.82</v>
      </c>
      <c r="I5" s="32" t="n">
        <v>70.42</v>
      </c>
      <c r="J5" s="32" t="n">
        <v>1.27</v>
      </c>
      <c r="K5" s="32" t="n">
        <v>20464691</v>
      </c>
      <c r="L5" s="31" t="n">
        <v>93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80.76000000000001</v>
      </c>
      <c r="P5" s="32" t="n">
        <v>48.63</v>
      </c>
      <c r="Q5" s="32" t="n">
        <v>57.17</v>
      </c>
      <c r="R5" s="31" t="inlineStr">
        <is>
          <t>Near 52W High Breakout</t>
        </is>
      </c>
      <c r="S5" s="31" t="inlineStr">
        <is>
          <t>Nifty Bank</t>
        </is>
      </c>
      <c r="T5" s="32" t="n">
        <v>-0.02</v>
      </c>
      <c r="U5" s="32" t="n">
        <v>129.82</v>
      </c>
      <c r="V5" s="32" t="n">
        <v>129.87</v>
      </c>
      <c r="W5" s="32" t="n">
        <v>37.66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IF(B6=0,"",RANK(B6,$B$2:$B$39,0))</f>
        <v/>
      </c>
      <c r="B6" s="32">
        <f>SUM(N6,Y6,AA6,AC6,AE6,AG6,AI6,AK6,AM6,AO6,AQ6,AS6,AU6,AW6,AY6,BA6,BC6,BE6,BG6,BI6,BK6,BM6,BO6,BQ6,BS6,BU6,BW6,BY6,CA6)</f>
        <v/>
      </c>
      <c r="C6" s="31" t="inlineStr">
        <is>
          <t>RANEHOLDIN</t>
        </is>
      </c>
      <c r="D6" s="31" t="inlineStr">
        <is>
          <t>Rane Holdings Limited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2471.49</v>
      </c>
      <c r="I6" s="32" t="n">
        <v>1728.4</v>
      </c>
      <c r="J6" s="32" t="n">
        <v>-0.15</v>
      </c>
      <c r="K6" s="32" t="n">
        <v>15719</v>
      </c>
      <c r="L6" s="31" t="n">
        <v>77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69.88</v>
      </c>
      <c r="P6" s="32" t="n">
        <v>31.54</v>
      </c>
      <c r="Q6" s="32" t="n">
        <v>1318.99</v>
      </c>
      <c r="R6" s="31" t="inlineStr">
        <is>
          <t>Near 52W High Breakout</t>
        </is>
      </c>
      <c r="S6" s="31" t="inlineStr">
        <is>
          <t>Nifty Bank</t>
        </is>
      </c>
      <c r="T6" s="32" t="n">
        <v>-0.02</v>
      </c>
      <c r="U6" s="32" t="n">
        <v>13.06</v>
      </c>
      <c r="V6" s="32" t="n">
        <v>13.09</v>
      </c>
      <c r="W6" s="32" t="n">
        <v>20.78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IF(B7=0,"",RANK(B7,$B$2:$B$39,0))</f>
        <v/>
      </c>
      <c r="B7" s="32">
        <f>SUM(N7,Y7,AA7,AC7,AE7,AG7,AI7,AK7,AM7,AO7,AQ7,AS7,AU7,AW7,AY7,BA7,BC7,BE7,BG7,BI7,BK7,BM7,BO7,BQ7,BS7,BU7,BW7,BY7,CA7)</f>
        <v/>
      </c>
      <c r="C7" s="31" t="inlineStr">
        <is>
          <t>FUSION</t>
        </is>
      </c>
      <c r="D7" s="31" t="inlineStr">
        <is>
          <t>Fusion Micro Finance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3663.38</v>
      </c>
      <c r="I7" s="32" t="n">
        <v>220.29</v>
      </c>
      <c r="J7" s="32" t="n">
        <v>-2.54</v>
      </c>
      <c r="K7" s="32" t="n">
        <v>1695718</v>
      </c>
      <c r="L7" s="31" t="n">
        <v>57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62.53</v>
      </c>
      <c r="P7" s="32" t="n">
        <v>23.29</v>
      </c>
      <c r="Q7" s="32" t="n">
        <v>168.76</v>
      </c>
      <c r="R7" s="31" t="inlineStr">
        <is>
          <t>Near 52W High Breakout</t>
        </is>
      </c>
      <c r="S7" s="31" t="inlineStr">
        <is>
          <t>Nifty Bank</t>
        </is>
      </c>
      <c r="T7" s="32" t="n">
        <v>-0.02</v>
      </c>
      <c r="U7" s="32" t="n">
        <v>16.67</v>
      </c>
      <c r="V7" s="32" t="n">
        <v>16.7</v>
      </c>
      <c r="W7" s="32" t="n">
        <v>12.54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IF(B8=0,"",RANK(B8,$B$2:$B$39,0))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CGCL</t>
        </is>
      </c>
      <c r="D8" s="31" t="inlineStr">
        <is>
          <t>Capri Global Capital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largecap</t>
        </is>
      </c>
      <c r="H8" s="32" t="n">
        <v>22848.27</v>
      </c>
      <c r="I8" s="32" t="n">
        <v>237</v>
      </c>
      <c r="J8" s="32" t="n">
        <v>-0.2</v>
      </c>
      <c r="K8" s="32" t="n">
        <v>20251942</v>
      </c>
      <c r="L8" s="31" t="n">
        <v>57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</v>
      </c>
      <c r="P8" s="32" t="n">
        <v>26.77</v>
      </c>
      <c r="Q8" s="32" t="n">
        <v>195.78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-0.02</v>
      </c>
      <c r="U8" s="32" t="n">
        <v>34.68</v>
      </c>
      <c r="V8" s="32" t="n">
        <v>34.71</v>
      </c>
      <c r="W8" s="32" t="n">
        <v>12.57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IF(B9=0,"",RANK(B9,$B$2:$B$39,0))</f>
        <v/>
      </c>
      <c r="B9" s="32">
        <f>SUM(N9,Y9,AA9,AC9,AE9,AG9,AI9,AK9,AM9,AO9,AQ9,AS9,AU9,AW9,AY9,BA9,BC9,BE9,BG9,BI9,BK9,BM9,BO9,BQ9,BS9,BU9,BW9,BY9,CA9)</f>
        <v/>
      </c>
      <c r="C9" s="31" t="inlineStr">
        <is>
          <t>CREDITACC</t>
        </is>
      </c>
      <c r="D9" s="31" t="inlineStr">
        <is>
          <t>CreditAccess Grameen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largecap</t>
        </is>
      </c>
      <c r="H9" s="32" t="n">
        <v>25346.22</v>
      </c>
      <c r="I9" s="32" t="n">
        <v>1539</v>
      </c>
      <c r="J9" s="32" t="n">
        <v>-2.73</v>
      </c>
      <c r="K9" s="32" t="n">
        <v>340960</v>
      </c>
      <c r="L9" s="31" t="n">
        <v>44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63.94</v>
      </c>
      <c r="P9" s="32" t="n">
        <v>39.67</v>
      </c>
      <c r="Q9" s="32" t="n">
        <v>1222.11</v>
      </c>
      <c r="R9" s="31" t="inlineStr">
        <is>
          <t>Near 52W High Breakout</t>
        </is>
      </c>
      <c r="S9" s="31" t="inlineStr">
        <is>
          <t>Nifty Bank</t>
        </is>
      </c>
      <c r="T9" s="32" t="n">
        <v>-0.02</v>
      </c>
      <c r="U9" s="32" t="n">
        <v>17.62</v>
      </c>
      <c r="V9" s="32" t="n">
        <v>17.64</v>
      </c>
      <c r="W9" s="32" t="n">
        <v>9.050000000000001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IF(B10=0,"",RANK(B10,$B$2:$B$39,0))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LTF</t>
        </is>
      </c>
      <c r="D10" s="31" t="inlineStr">
        <is>
          <t>L&amp;T Finance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largecap</t>
        </is>
      </c>
      <c r="H10" s="32" t="n">
        <v>83696.58</v>
      </c>
      <c r="I10" s="32" t="n">
        <v>314.3</v>
      </c>
      <c r="J10" s="32" t="n">
        <v>-5.95</v>
      </c>
      <c r="K10" s="32" t="n">
        <v>8696392</v>
      </c>
      <c r="L10" s="31" t="n">
        <v>58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59.43</v>
      </c>
      <c r="P10" s="32" t="n">
        <v>20.55</v>
      </c>
      <c r="Q10" s="32" t="n">
        <v>260.33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-0.02</v>
      </c>
      <c r="U10" s="32" t="n">
        <v>55.21</v>
      </c>
      <c r="V10" s="32" t="n">
        <v>55.24</v>
      </c>
      <c r="W10" s="32" t="n">
        <v>12.64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IF(B11=0,"",RANK(B11,$B$2:$B$39,0))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CONSOFINVT</t>
        </is>
      </c>
      <c r="D11" s="31" t="inlineStr">
        <is>
          <t>Consolidated Finvest &amp; Holdings Limited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738.88</v>
      </c>
      <c r="I11" s="32" t="n">
        <v>249</v>
      </c>
      <c r="J11" s="32" t="n">
        <v>8.94</v>
      </c>
      <c r="K11" s="32" t="n">
        <v>91350</v>
      </c>
      <c r="L11" s="31" t="n">
        <v>37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65.90000000000001</v>
      </c>
      <c r="P11" s="32" t="n">
        <v>21.82</v>
      </c>
      <c r="Q11" s="32" t="n">
        <v>191.98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-0.02</v>
      </c>
      <c r="U11" s="32" t="n">
        <v>19.91</v>
      </c>
      <c r="V11" s="32" t="n">
        <v>19.94</v>
      </c>
      <c r="W11" s="32" t="n">
        <v>7.76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IF(B12=0,"",RANK(B12,$B$2:$B$39,0))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STARHEALTH</t>
        </is>
      </c>
      <c r="D12" s="31" t="inlineStr">
        <is>
          <t>Star Health &amp; Allied Insurance Company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largecap</t>
        </is>
      </c>
      <c r="H12" s="32" t="n">
        <v>34701.1</v>
      </c>
      <c r="I12" s="32" t="n">
        <v>584.2</v>
      </c>
      <c r="J12" s="32" t="n">
        <v>-0.9399999999999999</v>
      </c>
      <c r="K12" s="32" t="n">
        <v>501607</v>
      </c>
      <c r="L12" s="31" t="n">
        <v>56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71.39</v>
      </c>
      <c r="P12" s="32" t="n">
        <v>39.7</v>
      </c>
      <c r="Q12" s="32" t="n">
        <v>486.6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-0.02</v>
      </c>
      <c r="U12" s="32" t="n">
        <v>37.52</v>
      </c>
      <c r="V12" s="32" t="n">
        <v>37.55</v>
      </c>
      <c r="W12" s="32" t="n">
        <v>11.98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IF(B13=0,"",RANK(B13,$B$2:$B$39,0))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MANAPPURAM</t>
        </is>
      </c>
      <c r="D13" s="31" t="inlineStr">
        <is>
          <t>Manappuram Finance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32134.69</v>
      </c>
      <c r="I13" s="32" t="n">
        <v>332.55</v>
      </c>
      <c r="J13" s="32" t="n">
        <v>-2.79</v>
      </c>
      <c r="K13" s="32" t="n">
        <v>3451777</v>
      </c>
      <c r="L13" s="31" t="n">
        <v>49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63.36</v>
      </c>
      <c r="P13" s="32" t="n">
        <v>14.87</v>
      </c>
      <c r="Q13" s="32" t="n">
        <v>265.83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-0.02</v>
      </c>
      <c r="U13" s="32" t="n">
        <v>27.39</v>
      </c>
      <c r="V13" s="32" t="n">
        <v>27.42</v>
      </c>
      <c r="W13" s="32" t="n">
        <v>10.36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IF(B14=0,"",RANK(B14,$B$2:$B$39,0))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CUB</t>
        </is>
      </c>
      <c r="D14" s="31" t="inlineStr">
        <is>
          <t>City Union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midcap</t>
        </is>
      </c>
      <c r="H14" s="32" t="n">
        <v>16939.25</v>
      </c>
      <c r="I14" s="32" t="n">
        <v>220.08</v>
      </c>
      <c r="J14" s="32" t="n">
        <v>-3.46</v>
      </c>
      <c r="K14" s="32" t="n">
        <v>3779085</v>
      </c>
      <c r="L14" s="31" t="n">
        <v>51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62.61</v>
      </c>
      <c r="P14" s="32" t="n">
        <v>16.8</v>
      </c>
      <c r="Q14" s="32" t="n">
        <v>171.82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-0.02</v>
      </c>
      <c r="U14" s="32" t="n">
        <v>40.96</v>
      </c>
      <c r="V14" s="32" t="n">
        <v>40.99</v>
      </c>
      <c r="W14" s="32" t="n">
        <v>10.75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IF(B15=0,"",RANK(B15,$B$2:$B$39,0))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MANBA</t>
        </is>
      </c>
      <c r="D15" s="33" t="inlineStr">
        <is>
          <t>Manba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693.71</v>
      </c>
      <c r="I15" s="32" t="n">
        <v>136.46</v>
      </c>
      <c r="J15" s="32" t="n">
        <v>-1.17</v>
      </c>
      <c r="K15" s="32" t="n">
        <v>159969</v>
      </c>
      <c r="L15" s="31" t="n">
        <v>27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60.91</v>
      </c>
      <c r="P15" s="32" t="n">
        <v>24.99</v>
      </c>
      <c r="Q15" s="32" t="n">
        <v>110.6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-0.02</v>
      </c>
      <c r="U15" s="32" t="n">
        <v>-2.24</v>
      </c>
      <c r="V15" s="32" t="n">
        <v>-2.22</v>
      </c>
      <c r="W15" s="32" t="n">
        <v>5.47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IF(B16=0,"",RANK(B16,$B$2:$B$39,0))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SPANDANA</t>
        </is>
      </c>
      <c r="D16" s="31" t="inlineStr">
        <is>
          <t>Spandana Sphoorty Financial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2628.6</v>
      </c>
      <c r="I16" s="32" t="n">
        <v>292.9</v>
      </c>
      <c r="J16" s="32" t="n">
        <v>-1.23</v>
      </c>
      <c r="K16" s="32" t="n">
        <v>411518</v>
      </c>
      <c r="L16" s="31" t="n">
        <v>41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58.75</v>
      </c>
      <c r="P16" s="32" t="n">
        <v>16.22</v>
      </c>
      <c r="Q16" s="32" t="n">
        <v>219.53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-0.02</v>
      </c>
      <c r="U16" s="32" t="n">
        <v>3.28</v>
      </c>
      <c r="V16" s="32" t="n">
        <v>3.3</v>
      </c>
      <c r="W16" s="32" t="n">
        <v>8.66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IF(B17=0,"",RANK(B17,$B$2:$B$39,0))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INDUSINDBK</t>
        </is>
      </c>
      <c r="D17" s="31" t="inlineStr">
        <is>
          <t>Indusind Bank Limited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largecap</t>
        </is>
      </c>
      <c r="H17" s="32" t="n">
        <v>79644.12</v>
      </c>
      <c r="I17" s="32" t="n">
        <v>994.65</v>
      </c>
      <c r="J17" s="32" t="n">
        <v>-2.7</v>
      </c>
      <c r="K17" s="32" t="n">
        <v>3903276</v>
      </c>
      <c r="L17" s="31" t="n">
        <v>36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63.06</v>
      </c>
      <c r="P17" s="32" t="n">
        <v>17.32</v>
      </c>
      <c r="Q17" s="32" t="n">
        <v>831.2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-0.02</v>
      </c>
      <c r="U17" s="32" t="n">
        <v>16</v>
      </c>
      <c r="V17" s="32" t="n">
        <v>16.02</v>
      </c>
      <c r="W17" s="32" t="n">
        <v>7.69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IF(B18=0,"",RANK(B18,$B$2:$B$39,0))</f>
        <v/>
      </c>
      <c r="B18" s="32">
        <f>SUM(N18,Y18,AA18,AC18,AE18,AG18,AI18,AK18,AM18,AO18,AQ18,AS18,AU18,AW18,AY18,BA18,BC18,BE18,BG18,BI18,BK18,BM18,BO18,BQ18,BS18,BU18,BW18,BY18,CA18)</f>
        <v/>
      </c>
      <c r="C18" s="33" t="inlineStr">
        <is>
          <t>ESAFSFB</t>
        </is>
      </c>
      <c r="D18" s="33" t="inlineStr">
        <is>
          <t>ESAF Small Finance Bank Ltd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smallcap</t>
        </is>
      </c>
      <c r="H18" s="32" t="n">
        <v>1745.52</v>
      </c>
      <c r="I18" s="32" t="n">
        <v>32.78</v>
      </c>
      <c r="J18" s="32" t="n">
        <v>-3.16</v>
      </c>
      <c r="K18" s="32" t="n">
        <v>935202</v>
      </c>
      <c r="L18" s="31" t="n">
        <v>45</v>
      </c>
      <c r="M18" s="31" t="inlineStr">
        <is>
          <t>Underperforming</t>
        </is>
      </c>
      <c r="N18" s="32">
        <f>IF(M18="Underperforming",-5,IF(L18&gt;=95,15,IF(L18&gt;=90,10,IF(L18&gt;=80,5,0))))</f>
        <v/>
      </c>
      <c r="O18" s="32" t="n">
        <v>59.23</v>
      </c>
      <c r="P18" s="32" t="n">
        <v>25.06</v>
      </c>
      <c r="Q18" s="32" t="n">
        <v>27.38</v>
      </c>
      <c r="R18" s="31" t="inlineStr">
        <is>
          <t>Earnings / Momentum Support</t>
        </is>
      </c>
      <c r="S18" s="31" t="inlineStr">
        <is>
          <t>Nifty Bank</t>
        </is>
      </c>
      <c r="T18" s="32" t="n">
        <v>-0.02</v>
      </c>
      <c r="U18" s="32" t="n">
        <v>-3.81</v>
      </c>
      <c r="V18" s="32" t="n">
        <v>-3.79</v>
      </c>
      <c r="W18" s="32" t="n">
        <v>9.199999999999999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IF(B19=0,"",RANK(B19,$B$2:$B$39,0))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PNBHOUSING</t>
        </is>
      </c>
      <c r="D19" s="31" t="inlineStr">
        <is>
          <t>Pnb Housing Finance Limited</t>
        </is>
      </c>
      <c r="E19" s="31" t="inlineStr">
        <is>
          <t>financials</t>
        </is>
      </c>
      <c r="F19" s="31" t="inlineStr">
        <is>
          <t>finance - housing</t>
        </is>
      </c>
      <c r="G19" s="31" t="inlineStr">
        <is>
          <t>largecap</t>
        </is>
      </c>
      <c r="H19" s="32" t="n">
        <v>28908.64</v>
      </c>
      <c r="I19" s="32" t="n">
        <v>1072.2</v>
      </c>
      <c r="J19" s="32" t="n">
        <v>-3.38</v>
      </c>
      <c r="K19" s="32" t="n">
        <v>1520482</v>
      </c>
      <c r="L19" s="31" t="n">
        <v>29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63.76</v>
      </c>
      <c r="P19" s="32" t="n">
        <v>27.85</v>
      </c>
      <c r="Q19" s="32" t="n">
        <v>893.28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-0.02</v>
      </c>
      <c r="U19" s="32" t="n">
        <v>0.08</v>
      </c>
      <c r="V19" s="32" t="n">
        <v>0.1</v>
      </c>
      <c r="W19" s="32" t="n">
        <v>6.1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IF(B20=0,"",RANK(B20,$B$2:$B$39,0))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ANANDRATHI</t>
        </is>
      </c>
      <c r="D20" s="31" t="inlineStr">
        <is>
          <t>Anand Rathi Wealth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34071.67</v>
      </c>
      <c r="I20" s="32" t="n">
        <v>2059.8</v>
      </c>
      <c r="J20" s="32" t="n">
        <v>0.38</v>
      </c>
      <c r="K20" s="32" t="n">
        <v>348997</v>
      </c>
      <c r="L20" s="31" t="n">
        <v>69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77.90000000000001</v>
      </c>
      <c r="P20" s="32" t="n">
        <v>46.52</v>
      </c>
      <c r="Q20" s="32" t="n">
        <v>1758.61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-0.02</v>
      </c>
      <c r="U20" s="32" t="n">
        <v>86.98999999999999</v>
      </c>
      <c r="V20" s="32" t="n">
        <v>87.03</v>
      </c>
      <c r="W20" s="32" t="n">
        <v>16.95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Above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IF(B21=0,"",RANK(B21,$B$2:$B$39,0))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OFSS</t>
        </is>
      </c>
      <c r="D21" s="31" t="inlineStr">
        <is>
          <t>Oracle Financial Services Software Limited</t>
        </is>
      </c>
      <c r="E21" s="31" t="inlineStr">
        <is>
          <t>i.t</t>
        </is>
      </c>
      <c r="F21" s="31" t="inlineStr">
        <is>
          <t>computers - software - large</t>
        </is>
      </c>
      <c r="G21" s="31" t="inlineStr">
        <is>
          <t>largecap</t>
        </is>
      </c>
      <c r="H21" s="32" t="n">
        <v>96582.89</v>
      </c>
      <c r="I21" s="32" t="n">
        <v>11002</v>
      </c>
      <c r="J21" s="32" t="n">
        <v>-0.86</v>
      </c>
      <c r="K21" s="32" t="n">
        <v>156666</v>
      </c>
      <c r="L21" s="31" t="n">
        <v>75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70.91</v>
      </c>
      <c r="P21" s="32" t="n">
        <v>31.35</v>
      </c>
      <c r="Q21" s="32" t="n">
        <v>9142.25</v>
      </c>
      <c r="R21" s="31" t="inlineStr">
        <is>
          <t>Near 52W High Breakout</t>
        </is>
      </c>
      <c r="S21" s="31" t="inlineStr">
        <is>
          <t>Nifty IT</t>
        </is>
      </c>
      <c r="T21" s="32" t="n">
        <v>-26.9</v>
      </c>
      <c r="U21" s="32" t="n">
        <v>33.08</v>
      </c>
      <c r="V21" s="32" t="n">
        <v>82.04000000000001</v>
      </c>
      <c r="W21" s="32" t="n">
        <v>19.59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IF(B22=0,"",RANK(B22,$B$2:$B$39,0))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CANFINHOME</t>
        </is>
      </c>
      <c r="D22" s="31" t="inlineStr">
        <is>
          <t>Can Fin Homes Limited</t>
        </is>
      </c>
      <c r="E22" s="31" t="inlineStr">
        <is>
          <t>financials</t>
        </is>
      </c>
      <c r="F22" s="31" t="inlineStr">
        <is>
          <t>finance - housing</t>
        </is>
      </c>
      <c r="G22" s="31" t="inlineStr">
        <is>
          <t>midcap</t>
        </is>
      </c>
      <c r="H22" s="32" t="n">
        <v>12114.36</v>
      </c>
      <c r="I22" s="32" t="n">
        <v>892.3</v>
      </c>
      <c r="J22" s="32" t="n">
        <v>-1.92</v>
      </c>
      <c r="K22" s="32" t="n">
        <v>386346</v>
      </c>
      <c r="L22" s="31" t="n">
        <v>21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57.14</v>
      </c>
      <c r="P22" s="32" t="n">
        <v>16.7</v>
      </c>
      <c r="Q22" s="32" t="n">
        <v>731.72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-0.02</v>
      </c>
      <c r="U22" s="32" t="n">
        <v>14.23</v>
      </c>
      <c r="V22" s="32" t="n">
        <v>14.26</v>
      </c>
      <c r="W22" s="32" t="n">
        <v>4.27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IF(B23=0,"",RANK(B23,$B$2:$B$39,0))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UJJIVANSFB</t>
        </is>
      </c>
      <c r="D23" s="31" t="inlineStr">
        <is>
          <t>Ujjivan Small Finance Bank Ltd</t>
        </is>
      </c>
      <c r="E23" s="31" t="inlineStr">
        <is>
          <t>bank</t>
        </is>
      </c>
      <c r="F23" s="31" t="inlineStr">
        <is>
          <t>banks - private sector</t>
        </is>
      </c>
      <c r="G23" s="31" t="inlineStr">
        <is>
          <t>midcap</t>
        </is>
      </c>
      <c r="H23" s="32" t="n">
        <v>11971.01</v>
      </c>
      <c r="I23" s="32" t="n">
        <v>59.63</v>
      </c>
      <c r="J23" s="32" t="n">
        <v>-3.23</v>
      </c>
      <c r="K23" s="32" t="n">
        <v>11062538</v>
      </c>
      <c r="L23" s="31" t="n">
        <v>22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56.26</v>
      </c>
      <c r="P23" s="32" t="n">
        <v>22.93</v>
      </c>
      <c r="Q23" s="32" t="n">
        <v>48.7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-0.02</v>
      </c>
      <c r="U23" s="32" t="n">
        <v>25.43</v>
      </c>
      <c r="V23" s="32" t="n">
        <v>25.46</v>
      </c>
      <c r="W23" s="32" t="n">
        <v>4.73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IF(B24=0,"",RANK(B24,$B$2:$B$39,0))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NUVAMA</t>
        </is>
      </c>
      <c r="D24" s="31" t="inlineStr">
        <is>
          <t>Nuvama Wealth Management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34899.18</v>
      </c>
      <c r="I24" s="32" t="n">
        <v>1848.1</v>
      </c>
      <c r="J24" s="32" t="n">
        <v>-3.6</v>
      </c>
      <c r="K24" s="32" t="n">
        <v>424683</v>
      </c>
      <c r="L24" s="31" t="n">
        <v>67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68.64</v>
      </c>
      <c r="P24" s="32" t="n">
        <v>30.66</v>
      </c>
      <c r="Q24" s="32" t="n">
        <v>1514.92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-0.02</v>
      </c>
      <c r="U24" s="32" t="n">
        <v>28.68</v>
      </c>
      <c r="V24" s="32" t="n">
        <v>28.71</v>
      </c>
      <c r="W24" s="32" t="n">
        <v>15.11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above 5x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IF(B25=0,"",RANK(B25,$B$2:$B$39,0))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AADHARHFC</t>
        </is>
      </c>
      <c r="D25" s="31" t="inlineStr">
        <is>
          <t>Aadhar Housing Finance Ltd</t>
        </is>
      </c>
      <c r="E25" s="31" t="inlineStr">
        <is>
          <t>financials</t>
        </is>
      </c>
      <c r="F25" s="31" t="inlineStr">
        <is>
          <t>finance - housing</t>
        </is>
      </c>
      <c r="G25" s="31" t="inlineStr">
        <is>
          <t>largecap</t>
        </is>
      </c>
      <c r="H25" s="32" t="n">
        <v>23780.71</v>
      </c>
      <c r="I25" s="32" t="n">
        <v>525.2</v>
      </c>
      <c r="J25" s="32" t="n">
        <v>-3.77</v>
      </c>
      <c r="K25" s="32" t="n">
        <v>533341</v>
      </c>
      <c r="L25" s="31" t="n">
        <v>25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58.55</v>
      </c>
      <c r="P25" s="32" t="n">
        <v>26.26</v>
      </c>
      <c r="Q25" s="32" t="n">
        <v>449.47</v>
      </c>
      <c r="R25" s="31" t="inlineStr">
        <is>
          <t>Earnings / Momentum Support</t>
        </is>
      </c>
      <c r="S25" s="31" t="inlineStr">
        <is>
          <t>Nifty Bank</t>
        </is>
      </c>
      <c r="T25" s="32" t="n">
        <v>-0.02</v>
      </c>
      <c r="U25" s="32" t="n">
        <v>16.27</v>
      </c>
      <c r="V25" s="32" t="n">
        <v>16.3</v>
      </c>
      <c r="W25" s="32" t="n">
        <v>5.3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IF(B26=0,"",RANK(B26,$B$2:$B$39,0))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CHOLAFIN</t>
        </is>
      </c>
      <c r="D26" s="31" t="inlineStr">
        <is>
          <t>Cholamandalam Investment And Finance Company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157916.57</v>
      </c>
      <c r="I26" s="32" t="n">
        <v>1769.4</v>
      </c>
      <c r="J26" s="32" t="n">
        <v>-4.53</v>
      </c>
      <c r="K26" s="32" t="n">
        <v>1760893</v>
      </c>
      <c r="L26" s="31" t="n">
        <v>27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59.5</v>
      </c>
      <c r="P26" s="32" t="n">
        <v>10.75</v>
      </c>
      <c r="Q26" s="32" t="n">
        <v>1458.56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-0.02</v>
      </c>
      <c r="U26" s="32" t="n">
        <v>15.6</v>
      </c>
      <c r="V26" s="32" t="n">
        <v>15.62</v>
      </c>
      <c r="W26" s="32" t="n">
        <v>5.54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IF(B27=0,"",RANK(B27,$B$2:$B$39,0))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KICL</t>
        </is>
      </c>
      <c r="D27" s="31" t="inlineStr">
        <is>
          <t>Kalyani Investment Company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2383.24</v>
      </c>
      <c r="I27" s="32" t="n">
        <v>5370</v>
      </c>
      <c r="J27" s="32" t="n">
        <v>-1.64</v>
      </c>
      <c r="K27" s="32" t="n">
        <v>3095</v>
      </c>
      <c r="L27" s="31" t="n">
        <v>20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60.32</v>
      </c>
      <c r="P27" s="32" t="n">
        <v>22.26</v>
      </c>
      <c r="Q27" s="32" t="n">
        <v>4457.73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-0.02</v>
      </c>
      <c r="U27" s="32" t="n">
        <v>4.37</v>
      </c>
      <c r="V27" s="32" t="n">
        <v>4.39</v>
      </c>
      <c r="W27" s="32" t="n">
        <v>4.1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IF(B28=0,"",RANK(B28,$B$2:$B$39,0))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EQUITASBNK</t>
        </is>
      </c>
      <c r="D28" s="31" t="inlineStr">
        <is>
          <t>Equitas Small Finance Bank Ltd</t>
        </is>
      </c>
      <c r="E28" s="31" t="inlineStr">
        <is>
          <t>bank</t>
        </is>
      </c>
      <c r="F28" s="31" t="inlineStr">
        <is>
          <t>banks - private sector</t>
        </is>
      </c>
      <c r="G28" s="31" t="inlineStr">
        <is>
          <t>midcap</t>
        </is>
      </c>
      <c r="H28" s="32" t="n">
        <v>9041.629999999999</v>
      </c>
      <c r="I28" s="32" t="n">
        <v>76.81999999999999</v>
      </c>
      <c r="J28" s="32" t="n">
        <v>-3.05</v>
      </c>
      <c r="K28" s="32" t="n">
        <v>3881232</v>
      </c>
      <c r="L28" s="31" t="n">
        <v>46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63.55</v>
      </c>
      <c r="P28" s="32" t="n">
        <v>25.58</v>
      </c>
      <c r="Q28" s="32" t="n">
        <v>61.88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-0.02</v>
      </c>
      <c r="U28" s="32" t="n">
        <v>20.48</v>
      </c>
      <c r="V28" s="32" t="n">
        <v>20.51</v>
      </c>
      <c r="W28" s="32" t="n">
        <v>9.640000000000001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Cyclical in an Uptick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inlineStr">
        <is>
          <t>Yes</t>
        </is>
      </c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No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No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IF(B29=0,"",RANK(B29,$B$2:$B$39,0))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KIRLOSIND</t>
        </is>
      </c>
      <c r="D29" s="33" t="inlineStr">
        <is>
          <t>Kirloskar Industries Limited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4227.5</v>
      </c>
      <c r="I29" s="32" t="n">
        <v>3999</v>
      </c>
      <c r="J29" s="32" t="n">
        <v>-0.59</v>
      </c>
      <c r="K29" s="32" t="n">
        <v>9948</v>
      </c>
      <c r="L29" s="31" t="n">
        <v>40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65.83</v>
      </c>
      <c r="P29" s="32" t="n">
        <v>21.2</v>
      </c>
      <c r="Q29" s="32" t="n">
        <v>3070.92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-0.02</v>
      </c>
      <c r="U29" s="32" t="n">
        <v>-2.69</v>
      </c>
      <c r="V29" s="32" t="n">
        <v>-2.67</v>
      </c>
      <c r="W29" s="32" t="n">
        <v>8.369999999999999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IF(B30=0,"",RANK(B30,$B$2:$B$39,0))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SHAREINDIA</t>
        </is>
      </c>
      <c r="D30" s="31" t="inlineStr">
        <is>
          <t>Share India Securities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3608.65</v>
      </c>
      <c r="I30" s="32" t="n">
        <v>177.72</v>
      </c>
      <c r="J30" s="32" t="n">
        <v>7.77</v>
      </c>
      <c r="K30" s="32" t="n">
        <v>70663048</v>
      </c>
      <c r="L30" s="31" t="n">
        <v>31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66.16</v>
      </c>
      <c r="P30" s="32" t="n">
        <v>10.75</v>
      </c>
      <c r="Q30" s="32" t="n">
        <v>130.78</v>
      </c>
      <c r="R30" s="31" t="inlineStr">
        <is>
          <t>Volume Spike / Accumulation</t>
        </is>
      </c>
      <c r="S30" s="31" t="inlineStr">
        <is>
          <t>Nifty Bank</t>
        </is>
      </c>
      <c r="T30" s="32" t="n">
        <v>-0.02</v>
      </c>
      <c r="U30" s="32" t="n">
        <v>4.4</v>
      </c>
      <c r="V30" s="32" t="n">
        <v>4.43</v>
      </c>
      <c r="W30" s="32" t="n">
        <v>6.77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1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IF(B31=0,"",RANK(B31,$B$2:$B$39,0))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MONARCH</t>
        </is>
      </c>
      <c r="D31" s="33" t="inlineStr">
        <is>
          <t>Monarch Networth Capital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2756.16</v>
      </c>
      <c r="I31" s="32" t="n">
        <v>350</v>
      </c>
      <c r="J31" s="32" t="n">
        <v>0.66</v>
      </c>
      <c r="K31" s="32" t="n">
        <v>54929</v>
      </c>
      <c r="L31" s="31" t="n">
        <v>13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62.25</v>
      </c>
      <c r="P31" s="32" t="n">
        <v>18.11</v>
      </c>
      <c r="Q31" s="32" t="n">
        <v>279.59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-0.02</v>
      </c>
      <c r="U31" s="32" t="n">
        <v>-4.82</v>
      </c>
      <c r="V31" s="32" t="n">
        <v>-4.8</v>
      </c>
      <c r="W31" s="32" t="n">
        <v>2.88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IF(B32=0,"",RANK(B32,$B$2:$B$39,0))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VHL</t>
        </is>
      </c>
      <c r="D32" s="33" t="inlineStr">
        <is>
          <t>Vardhman Holdings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1139.92</v>
      </c>
      <c r="I32" s="32" t="n">
        <v>3604.9</v>
      </c>
      <c r="J32" s="32" t="n">
        <v>0.93</v>
      </c>
      <c r="K32" s="32" t="n">
        <v>417</v>
      </c>
      <c r="L32" s="31" t="n">
        <v>2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54.46</v>
      </c>
      <c r="P32" s="32" t="n">
        <v>13.62</v>
      </c>
      <c r="Q32" s="32" t="n">
        <v>3045.48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-0.02</v>
      </c>
      <c r="U32" s="32" t="n">
        <v>-11.73</v>
      </c>
      <c r="V32" s="32" t="n">
        <v>-11.71</v>
      </c>
      <c r="W32" s="32" t="n">
        <v>-1.03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IF(B33=0,"",RANK(B33,$B$2:$B$39,0))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RELIGARE</t>
        </is>
      </c>
      <c r="D33" s="33" t="inlineStr">
        <is>
          <t>Religare Enterprises Limited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midcap</t>
        </is>
      </c>
      <c r="H33" s="32" t="n">
        <v>9286.68</v>
      </c>
      <c r="I33" s="32" t="n">
        <v>266</v>
      </c>
      <c r="J33" s="32" t="n">
        <v>-2.26</v>
      </c>
      <c r="K33" s="32" t="n">
        <v>953492</v>
      </c>
      <c r="L33" s="31" t="n">
        <v>18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62.5</v>
      </c>
      <c r="P33" s="32" t="n">
        <v>14.77</v>
      </c>
      <c r="Q33" s="32" t="n">
        <v>220.05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-0.02</v>
      </c>
      <c r="U33" s="32" t="n">
        <v>-1.75</v>
      </c>
      <c r="V33" s="32" t="n">
        <v>-1.73</v>
      </c>
      <c r="W33" s="32" t="n">
        <v>3.66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IF(B34=0,"",RANK(B34,$B$2:$B$39,0))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POONAWALLA</t>
        </is>
      </c>
      <c r="D34" s="31" t="inlineStr">
        <is>
          <t>Poonawalla Fincorp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41525.72</v>
      </c>
      <c r="I34" s="32" t="n">
        <v>457.95</v>
      </c>
      <c r="J34" s="32" t="n">
        <v>-2.93</v>
      </c>
      <c r="K34" s="32" t="n">
        <v>3122168</v>
      </c>
      <c r="L34" s="31" t="n">
        <v>18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57.02</v>
      </c>
      <c r="P34" s="32" t="n">
        <v>9.390000000000001</v>
      </c>
      <c r="Q34" s="32" t="n">
        <v>359.63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-0.02</v>
      </c>
      <c r="U34" s="32" t="n">
        <v>0.6899999999999999</v>
      </c>
      <c r="V34" s="32" t="n">
        <v>0.71</v>
      </c>
      <c r="W34" s="32" t="n">
        <v>3.82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IF(B35=0,"",RANK(B35,$B$2:$B$39,0))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BAJFINANCE</t>
        </is>
      </c>
      <c r="D35" s="31" t="inlineStr">
        <is>
          <t>Bajaj Finance Limited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648693.73</v>
      </c>
      <c r="I35" s="32" t="n">
        <v>1010.4</v>
      </c>
      <c r="J35" s="32" t="n">
        <v>-3.08</v>
      </c>
      <c r="K35" s="32" t="n">
        <v>8313859</v>
      </c>
      <c r="L35" s="31" t="n">
        <v>19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59.09</v>
      </c>
      <c r="P35" s="32" t="n">
        <v>9.859999999999999</v>
      </c>
      <c r="Q35" s="32" t="n">
        <v>857.45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-0.02</v>
      </c>
      <c r="U35" s="32" t="n">
        <v>8.9</v>
      </c>
      <c r="V35" s="32" t="n">
        <v>8.93</v>
      </c>
      <c r="W35" s="32" t="n">
        <v>3.93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IF(B36=0,"",RANK(B36,$B$2:$B$39,0))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5PAISA</t>
        </is>
      </c>
      <c r="D36" s="33" t="inlineStr">
        <is>
          <t>5Paisa Capital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smallcap</t>
        </is>
      </c>
      <c r="H36" s="32" t="n">
        <v>1717.06</v>
      </c>
      <c r="I36" s="32" t="n">
        <v>366.4</v>
      </c>
      <c r="J36" s="32" t="n">
        <v>0.04</v>
      </c>
      <c r="K36" s="32" t="n">
        <v>55381</v>
      </c>
      <c r="L36" s="31" t="n">
        <v>16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58.46</v>
      </c>
      <c r="P36" s="32" t="n">
        <v>11.81</v>
      </c>
      <c r="Q36" s="32" t="n">
        <v>290.39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-0.02</v>
      </c>
      <c r="U36" s="32" t="n">
        <v>-8.23</v>
      </c>
      <c r="V36" s="32" t="n">
        <v>-8.210000000000001</v>
      </c>
      <c r="W36" s="32" t="n">
        <v>3.35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IF(B37=0,"",RANK(B37,$B$2:$B$39,0))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M&amp;MFIN</t>
        </is>
      </c>
      <c r="D37" s="31" t="inlineStr">
        <is>
          <t>Mahindra &amp; Mahindra Financial Services Limited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46174.84</v>
      </c>
      <c r="I37" s="32" t="n">
        <v>331.65</v>
      </c>
      <c r="J37" s="32" t="n">
        <v>-0.17</v>
      </c>
      <c r="K37" s="32" t="n">
        <v>6173236</v>
      </c>
      <c r="L37" s="31" t="n">
        <v>36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53.82</v>
      </c>
      <c r="P37" s="32" t="n">
        <v>17.45</v>
      </c>
      <c r="Q37" s="32" t="n">
        <v>260.29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-0.02</v>
      </c>
      <c r="U37" s="32" t="n">
        <v>27.87</v>
      </c>
      <c r="V37" s="32" t="n">
        <v>27.9</v>
      </c>
      <c r="W37" s="32" t="n">
        <v>7.71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1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IF(B38=0,"",RANK(B38,$B$2:$B$39,0))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CHOICEIN</t>
        </is>
      </c>
      <c r="D38" s="31" t="inlineStr">
        <is>
          <t>Choice International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midcap</t>
        </is>
      </c>
      <c r="H38" s="32" t="n">
        <v>17335.35</v>
      </c>
      <c r="I38" s="32" t="n">
        <v>769.1</v>
      </c>
      <c r="J38" s="32" t="n">
        <v>-1.16</v>
      </c>
      <c r="K38" s="32" t="n">
        <v>1324322</v>
      </c>
      <c r="L38" s="31" t="n">
        <v>20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57</v>
      </c>
      <c r="P38" s="32" t="n">
        <v>18.92</v>
      </c>
      <c r="Q38" s="32" t="n">
        <v>649.05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-0.02</v>
      </c>
      <c r="U38" s="32" t="n">
        <v>8.949999999999999</v>
      </c>
      <c r="V38" s="32" t="n">
        <v>8.970000000000001</v>
      </c>
      <c r="W38" s="32" t="n">
        <v>4.09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IF(B39=0,"",RANK(B39,$B$2:$B$39,0))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ICICIBANK</t>
        </is>
      </c>
      <c r="D39" s="33" t="inlineStr">
        <is>
          <t>Icici Bank Limited</t>
        </is>
      </c>
      <c r="E39" s="31" t="inlineStr">
        <is>
          <t>bank</t>
        </is>
      </c>
      <c r="F39" s="31" t="inlineStr">
        <is>
          <t>banks - private sector</t>
        </is>
      </c>
      <c r="G39" s="31" t="inlineStr">
        <is>
          <t>largecap</t>
        </is>
      </c>
      <c r="H39" s="32" t="n">
        <v>1012941.13</v>
      </c>
      <c r="I39" s="32" t="n">
        <v>1380.6</v>
      </c>
      <c r="J39" s="32" t="n">
        <v>-2.41</v>
      </c>
      <c r="K39" s="32" t="n">
        <v>10573142</v>
      </c>
      <c r="L39" s="31" t="n">
        <v>4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56.74</v>
      </c>
      <c r="P39" s="32" t="n">
        <v>11.7</v>
      </c>
      <c r="Q39" s="32" t="n">
        <v>1235.57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-0.02</v>
      </c>
      <c r="U39" s="32" t="n">
        <v>-2.16</v>
      </c>
      <c r="V39" s="32" t="n">
        <v>-2.13</v>
      </c>
      <c r="W39" s="32" t="n">
        <v>0.52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less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</sheetData>
  <autoFilter ref="A1:CA39"/>
  <conditionalFormatting sqref="B2:B3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9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9">
    <cfRule type="cellIs" priority="34" operator="equal" dxfId="3" stopIfTrue="1">
      <formula>"Underperforming"</formula>
    </cfRule>
  </conditionalFormatting>
  <conditionalFormatting sqref="N2:N39">
    <cfRule type="cellIs" priority="35" operator="equal" dxfId="3" stopIfTrue="1">
      <formula>-5</formula>
    </cfRule>
  </conditionalFormatting>
  <conditionalFormatting sqref="Q2:Q39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9" showDropDown="0" showInputMessage="0" showErrorMessage="0" allowBlank="1" type="list">
      <formula1>"Growing Industry,Stagnant Industry,Cyclical in an Upturn"</formula1>
    </dataValidation>
    <dataValidation sqref="Z2:Z39" showDropDown="0" showInputMessage="0" showErrorMessage="0" allowBlank="1" type="list">
      <formula1>"Fragmented with Low ROE,Fragmented with High ROE,Highly Cyclical"</formula1>
    </dataValidation>
    <dataValidation sqref="AB2:AB39" showDropDown="0" showInputMessage="0" showErrorMessage="0" allowBlank="1" type="list">
      <formula1>"Yes,No"</formula1>
    </dataValidation>
    <dataValidation sqref="AD2:AD39" showDropDown="0" showInputMessage="0" showErrorMessage="0" allowBlank="1" type="list">
      <formula1>"Tailwind,Headwind"</formula1>
    </dataValidation>
    <dataValidation sqref="AF2:AF39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9" showDropDown="0" showInputMessage="0" showErrorMessage="0" allowBlank="1" type="list">
      <formula1>"Yes,No"</formula1>
    </dataValidation>
    <dataValidation sqref="AJ2:AJ39" showDropDown="0" showInputMessage="0" showErrorMessage="0" allowBlank="1" type="list">
      <formula1>"Yes,No,Not Applicable"</formula1>
    </dataValidation>
    <dataValidation sqref="AL2:AL39" showDropDown="0" showInputMessage="0" showErrorMessage="0" allowBlank="1" type="list">
      <formula1>"Yes,No"</formula1>
    </dataValidation>
    <dataValidation sqref="AN2:AN39" showDropDown="0" showInputMessage="0" showErrorMessage="0" allowBlank="1" type="list">
      <formula1>"Yes,No"</formula1>
    </dataValidation>
    <dataValidation sqref="AP2:AP39" showDropDown="0" showInputMessage="0" showErrorMessage="0" allowBlank="1" type="list">
      <formula1>"Yes,No"</formula1>
    </dataValidation>
    <dataValidation sqref="AR2:AR39" showDropDown="0" showInputMessage="0" showErrorMessage="0" allowBlank="1" type="list">
      <formula1>"Yes,No"</formula1>
    </dataValidation>
    <dataValidation sqref="AT2:AT39" showDropDown="0" showInputMessage="0" showErrorMessage="0" allowBlank="1" type="list">
      <formula1>"No,Yes"</formula1>
    </dataValidation>
    <dataValidation sqref="AV2:AV39" showDropDown="0" showInputMessage="0" showErrorMessage="0" allowBlank="1" type="list">
      <formula1>"No,Yes"</formula1>
    </dataValidation>
    <dataValidation sqref="AX2:AX39" showDropDown="0" showInputMessage="0" showErrorMessage="0" allowBlank="1" type="list">
      <formula1>"No,Yes CEO Resignation,Yes CEO Retirement"</formula1>
    </dataValidation>
    <dataValidation sqref="AZ2:AZ39" showDropDown="0" showInputMessage="0" showErrorMessage="0" allowBlank="1" type="list">
      <formula1>"No,Yes"</formula1>
    </dataValidation>
    <dataValidation sqref="BB2:BB39" showDropDown="0" showInputMessage="0" showErrorMessage="0" allowBlank="1" type="list">
      <formula1>"No,Yes"</formula1>
    </dataValidation>
    <dataValidation sqref="BD2:BD39" showDropDown="0" showInputMessage="0" showErrorMessage="0" allowBlank="1" type="list">
      <formula1>"Yes,No"</formula1>
    </dataValidation>
    <dataValidation sqref="BF2:BF39" showDropDown="0" showInputMessage="0" showErrorMessage="0" allowBlank="1" type="list">
      <formula1>"Yes,No"</formula1>
    </dataValidation>
    <dataValidation sqref="BH2:BH39" showDropDown="0" showInputMessage="0" showErrorMessage="0" allowBlank="1" type="list">
      <formula1>"Yes,No"</formula1>
    </dataValidation>
    <dataValidation sqref="BJ2:BJ39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9" showDropDown="0" showInputMessage="0" showErrorMessage="0" allowBlank="1" type="list">
      <formula1>"Above 40,20 to 40,0 to 20"</formula1>
    </dataValidation>
    <dataValidation sqref="BN2:BN39" showDropDown="0" showInputMessage="0" showErrorMessage="0" allowBlank="1" type="list">
      <formula1>"Between 50 to 75,Above 75,Below 45"</formula1>
    </dataValidation>
    <dataValidation sqref="BP2:BP39" showDropDown="0" showInputMessage="0" showErrorMessage="0" allowBlank="1" type="list">
      <formula1>"Stage 1,Stage 2,Stage 3,Stage 4"</formula1>
    </dataValidation>
    <dataValidation sqref="BR2:BR39" showDropDown="0" showInputMessage="0" showErrorMessage="0" allowBlank="1" type="list">
      <formula1>"Positive Trend,Negative Trend"</formula1>
    </dataValidation>
    <dataValidation sqref="BT2:BT39" showDropDown="0" showInputMessage="0" showErrorMessage="0" allowBlank="1" type="list">
      <formula1>"Uptrend,Sideways,Downtrend"</formula1>
    </dataValidation>
    <dataValidation sqref="BV2:BV39" showDropDown="0" showInputMessage="0" showErrorMessage="0" allowBlank="1" type="list">
      <formula1>"Uptrend,Sideways,Downtrend"</formula1>
    </dataValidation>
    <dataValidation sqref="BX2:BX3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133.9</v>
      </c>
      <c r="E2" s="32" t="inlineStr">
        <is>
          <t>5%</t>
        </is>
      </c>
      <c r="F2" s="32" t="n">
        <v>50000</v>
      </c>
      <c r="G2" s="32" t="n">
        <v>299</v>
      </c>
      <c r="H2" s="31" t="inlineStr">
        <is>
          <t>IOLCP</t>
        </is>
      </c>
      <c r="I2" s="31" t="inlineStr">
        <is>
          <t>Iol Chemicals And Pharmaceuticals Limited</t>
        </is>
      </c>
      <c r="J2" s="31" t="inlineStr">
        <is>
          <t>healthcare</t>
        </is>
      </c>
      <c r="K2" s="31" t="inlineStr">
        <is>
          <t>pharmaceuticals - indian - bulk drugs &amp; formln</t>
        </is>
      </c>
      <c r="L2" s="31" t="inlineStr">
        <is>
          <t>smallcap</t>
        </is>
      </c>
      <c r="M2" s="32" t="n">
        <v>4844.38</v>
      </c>
      <c r="N2" s="32" t="n">
        <v>167.11</v>
      </c>
      <c r="O2" s="32" t="n">
        <v>1.25</v>
      </c>
      <c r="P2" s="32" t="n">
        <v>33183238</v>
      </c>
      <c r="Q2" s="31" t="n">
        <v>93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85.81999999999999</v>
      </c>
      <c r="U2" s="32" t="n">
        <v>58.71</v>
      </c>
      <c r="V2" s="32" t="n">
        <v>126.85</v>
      </c>
      <c r="W2" s="31" t="inlineStr">
        <is>
          <t>Volume Spike &amp; Near 52W High Breakout</t>
        </is>
      </c>
      <c r="X2" s="31" t="inlineStr">
        <is>
          <t>Nifty Pharma</t>
        </is>
      </c>
      <c r="Y2" s="32" t="n">
        <v>14.42</v>
      </c>
      <c r="Z2" s="32" t="n">
        <v>85.76000000000001</v>
      </c>
      <c r="AA2" s="32" t="n">
        <v>62.36</v>
      </c>
      <c r="AB2" s="32" t="n">
        <v>40.38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136.6</v>
      </c>
      <c r="E3" s="32" t="inlineStr">
        <is>
          <t>5%</t>
        </is>
      </c>
      <c r="F3" s="32" t="n">
        <v>50000</v>
      </c>
      <c r="G3" s="32" t="n">
        <v>120</v>
      </c>
      <c r="H3" s="31" t="inlineStr">
        <is>
          <t>INDOBORAX</t>
        </is>
      </c>
      <c r="I3" s="31" t="inlineStr">
        <is>
          <t>Indo Borax &amp; Chemicals Ltd</t>
        </is>
      </c>
      <c r="J3" s="31" t="inlineStr">
        <is>
          <t>chemicals</t>
        </is>
      </c>
      <c r="K3" s="31" t="inlineStr">
        <is>
          <t>chemicals</t>
        </is>
      </c>
      <c r="L3" s="31" t="inlineStr">
        <is>
          <t>smallcap</t>
        </is>
      </c>
      <c r="M3" s="32" t="n">
        <v>1314.89</v>
      </c>
      <c r="N3" s="32" t="n">
        <v>415.45</v>
      </c>
      <c r="O3" s="32" t="n">
        <v>1.39</v>
      </c>
      <c r="P3" s="32" t="n">
        <v>305425</v>
      </c>
      <c r="Q3" s="31" t="n">
        <v>84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83.75</v>
      </c>
      <c r="U3" s="32" t="n">
        <v>63.62</v>
      </c>
      <c r="V3" s="32" t="n">
        <v>325.75</v>
      </c>
      <c r="W3" s="31" t="inlineStr">
        <is>
          <t>Near 52W High Breakout</t>
        </is>
      </c>
      <c r="X3" s="31" t="inlineStr">
        <is>
          <t>Nifty 50</t>
        </is>
      </c>
      <c r="Y3" s="32" t="n">
        <v>-5.04</v>
      </c>
      <c r="Z3" s="32" t="n">
        <v>78.2</v>
      </c>
      <c r="AA3" s="32" t="n">
        <v>87.66</v>
      </c>
      <c r="AB3" s="32" t="n">
        <v>27.06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137.9</v>
      </c>
      <c r="E4" s="32" t="inlineStr">
        <is>
          <t>5%</t>
        </is>
      </c>
      <c r="F4" s="32" t="n">
        <v>50000</v>
      </c>
      <c r="G4" s="32" t="n">
        <v>7</v>
      </c>
      <c r="H4" s="31" t="inlineStr">
        <is>
          <t>THANGAMAYL</t>
        </is>
      </c>
      <c r="I4" s="31" t="inlineStr">
        <is>
          <t>Thangamayil Jewellery Limited</t>
        </is>
      </c>
      <c r="J4" s="31" t="inlineStr">
        <is>
          <t>consumer discretionary</t>
        </is>
      </c>
      <c r="K4" s="31" t="inlineStr">
        <is>
          <t>diamond cutting / jewellery</t>
        </is>
      </c>
      <c r="L4" s="31" t="inlineStr">
        <is>
          <t>midcap</t>
        </is>
      </c>
      <c r="M4" s="32" t="n">
        <v>19808.57</v>
      </c>
      <c r="N4" s="32" t="n">
        <v>6806</v>
      </c>
      <c r="O4" s="32" t="n">
        <v>6.79</v>
      </c>
      <c r="P4" s="32" t="n">
        <v>594451</v>
      </c>
      <c r="Q4" s="31" t="n">
        <v>95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79.19</v>
      </c>
      <c r="U4" s="32" t="n">
        <v>45.89</v>
      </c>
      <c r="V4" s="32" t="n">
        <v>5173.09</v>
      </c>
      <c r="W4" s="31" t="inlineStr">
        <is>
          <t>Near 52W High Breakout</t>
        </is>
      </c>
      <c r="X4" s="31" t="inlineStr">
        <is>
          <t>Nifty 50</t>
        </is>
      </c>
      <c r="Y4" s="32" t="n">
        <v>-5.04</v>
      </c>
      <c r="Z4" s="32" t="n">
        <v>256.17</v>
      </c>
      <c r="AA4" s="32" t="n">
        <v>275.08</v>
      </c>
      <c r="AB4" s="32" t="n">
        <v>45.62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Between 50% to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136.5</v>
      </c>
      <c r="E5" s="32" t="inlineStr">
        <is>
          <t>5%</t>
        </is>
      </c>
      <c r="F5" s="32" t="n">
        <v>50000</v>
      </c>
      <c r="G5" s="32" t="n">
        <v>55</v>
      </c>
      <c r="H5" s="31" t="inlineStr">
        <is>
          <t>NINSYS</t>
        </is>
      </c>
      <c r="I5" s="31" t="inlineStr">
        <is>
          <t>NINtec Systems Ltd</t>
        </is>
      </c>
      <c r="J5" s="31" t="inlineStr">
        <is>
          <t>i.t</t>
        </is>
      </c>
      <c r="K5" s="31" t="inlineStr">
        <is>
          <t>computers - software - medium / small</t>
        </is>
      </c>
      <c r="L5" s="31" t="inlineStr">
        <is>
          <t>smallcap</t>
        </is>
      </c>
      <c r="M5" s="32" t="n">
        <v>1673.33</v>
      </c>
      <c r="N5" s="32" t="n">
        <v>906.95</v>
      </c>
      <c r="O5" s="32" t="n">
        <v>0.68</v>
      </c>
      <c r="P5" s="32" t="n">
        <v>4334</v>
      </c>
      <c r="Q5" s="31" t="n">
        <v>95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87.06</v>
      </c>
      <c r="U5" s="32" t="n">
        <v>63.17</v>
      </c>
      <c r="V5" s="32" t="n">
        <v>695.8099999999999</v>
      </c>
      <c r="W5" s="31" t="inlineStr">
        <is>
          <t>Near 52W High Breakout</t>
        </is>
      </c>
      <c r="X5" s="31" t="inlineStr">
        <is>
          <t>Nifty IT</t>
        </is>
      </c>
      <c r="Y5" s="32" t="n">
        <v>-26.9</v>
      </c>
      <c r="Z5" s="32" t="n">
        <v>101.23</v>
      </c>
      <c r="AA5" s="32" t="n">
        <v>175.26</v>
      </c>
      <c r="AB5" s="32" t="n">
        <v>45.42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Between 12 to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Between 50% to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138.8</v>
      </c>
      <c r="E6" s="32" t="inlineStr">
        <is>
          <t>5%</t>
        </is>
      </c>
      <c r="F6" s="32" t="n">
        <v>50000</v>
      </c>
      <c r="G6" s="32" t="n">
        <v>41</v>
      </c>
      <c r="H6" s="31" t="inlineStr">
        <is>
          <t>ATHERENERG</t>
        </is>
      </c>
      <c r="I6" s="31" t="inlineStr">
        <is>
          <t>Ather Energy Ltd</t>
        </is>
      </c>
      <c r="J6" s="31" t="inlineStr">
        <is>
          <t>auto</t>
        </is>
      </c>
      <c r="K6" s="31" t="inlineStr">
        <is>
          <t>automobiles - scooters and 3 - wheelers</t>
        </is>
      </c>
      <c r="L6" s="31" t="inlineStr">
        <is>
          <t>largecap</t>
        </is>
      </c>
      <c r="M6" s="32" t="n">
        <v>43647.7</v>
      </c>
      <c r="N6" s="32" t="n">
        <v>1200</v>
      </c>
      <c r="O6" s="32" t="n">
        <v>5.21</v>
      </c>
      <c r="P6" s="32" t="n">
        <v>8881733</v>
      </c>
      <c r="Q6" s="31" t="n">
        <v>93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76.81999999999999</v>
      </c>
      <c r="U6" s="32" t="n">
        <v>53.01</v>
      </c>
      <c r="V6" s="32" t="n">
        <v>928.6900000000001</v>
      </c>
      <c r="W6" s="31" t="inlineStr">
        <is>
          <t>Near 52W High Breakout</t>
        </is>
      </c>
      <c r="X6" s="31" t="inlineStr">
        <is>
          <t>Nifty Auto</t>
        </is>
      </c>
      <c r="Y6" s="32" t="n">
        <v>13.79</v>
      </c>
      <c r="Z6" s="32" t="n">
        <v>261.01</v>
      </c>
      <c r="AA6" s="32" t="n">
        <v>217.26</v>
      </c>
      <c r="AB6" s="32" t="n">
        <v>39.96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Negative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117</v>
      </c>
      <c r="E7" s="32" t="inlineStr">
        <is>
          <t>5%</t>
        </is>
      </c>
      <c r="F7" s="32" t="n">
        <v>50000</v>
      </c>
      <c r="G7" s="32" t="n">
        <v>161</v>
      </c>
      <c r="H7" s="31" t="inlineStr">
        <is>
          <t>SIGNPOST</t>
        </is>
      </c>
      <c r="I7" s="31" t="inlineStr">
        <is>
          <t>Signpost India Ltd</t>
        </is>
      </c>
      <c r="J7" s="31" t="inlineStr">
        <is>
          <t>miscellaneous</t>
        </is>
      </c>
      <c r="K7" s="31" t="inlineStr">
        <is>
          <t>miscellaneous</t>
        </is>
      </c>
      <c r="L7" s="31" t="inlineStr">
        <is>
          <t>smallcap</t>
        </is>
      </c>
      <c r="M7" s="32" t="n">
        <v>1590.14</v>
      </c>
      <c r="N7" s="32" t="n">
        <v>310.15</v>
      </c>
      <c r="O7" s="32" t="n">
        <v>4.25</v>
      </c>
      <c r="P7" s="32" t="n">
        <v>1440951</v>
      </c>
      <c r="Q7" s="31" t="n">
        <v>48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64.43000000000001</v>
      </c>
      <c r="U7" s="32" t="n">
        <v>30.34</v>
      </c>
      <c r="V7" s="32" t="n">
        <v>211.88</v>
      </c>
      <c r="W7" s="31" t="inlineStr">
        <is>
          <t>Near 52W High Breakout</t>
        </is>
      </c>
      <c r="X7" s="31" t="inlineStr">
        <is>
          <t>Nifty 50</t>
        </is>
      </c>
      <c r="Y7" s="32" t="n">
        <v>-5.04</v>
      </c>
      <c r="Z7" s="32" t="n">
        <v>18.19</v>
      </c>
      <c r="AA7" s="32" t="n">
        <v>24.47</v>
      </c>
      <c r="AB7" s="32" t="n">
        <v>10.21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Less than 50%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137.8</v>
      </c>
      <c r="E8" s="32" t="inlineStr">
        <is>
          <t>5%</t>
        </is>
      </c>
      <c r="F8" s="32" t="n">
        <v>50000</v>
      </c>
      <c r="G8" s="32" t="n">
        <v>35</v>
      </c>
      <c r="H8" s="31" t="inlineStr">
        <is>
          <t>SENORES</t>
        </is>
      </c>
      <c r="I8" s="31" t="inlineStr">
        <is>
          <t>Senores Pharmaceuticals Ltd</t>
        </is>
      </c>
      <c r="J8" s="31" t="inlineStr">
        <is>
          <t>healthcare</t>
        </is>
      </c>
      <c r="K8" s="31" t="inlineStr">
        <is>
          <t>pharmaceuticals - indian - formulations</t>
        </is>
      </c>
      <c r="L8" s="31" t="inlineStr">
        <is>
          <t>midcap</t>
        </is>
      </c>
      <c r="M8" s="32" t="n">
        <v>6257.76</v>
      </c>
      <c r="N8" s="32" t="n">
        <v>1409.8</v>
      </c>
      <c r="O8" s="32" t="n">
        <v>3.75</v>
      </c>
      <c r="P8" s="32" t="n">
        <v>615649</v>
      </c>
      <c r="Q8" s="31" t="n">
        <v>91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77.98</v>
      </c>
      <c r="U8" s="32" t="n">
        <v>57.2</v>
      </c>
      <c r="V8" s="32" t="n">
        <v>1098.15</v>
      </c>
      <c r="W8" s="31" t="inlineStr">
        <is>
          <t>Near 52W High Breakout</t>
        </is>
      </c>
      <c r="X8" s="31" t="inlineStr">
        <is>
          <t>Nifty Pharma</t>
        </is>
      </c>
      <c r="Y8" s="32" t="n">
        <v>14.42</v>
      </c>
      <c r="Z8" s="32" t="n">
        <v>130.55</v>
      </c>
      <c r="AA8" s="32" t="n">
        <v>101.5</v>
      </c>
      <c r="AB8" s="32" t="n">
        <v>35.01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Less than 50%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133.4</v>
      </c>
      <c r="E9" s="32" t="inlineStr">
        <is>
          <t>5%</t>
        </is>
      </c>
      <c r="F9" s="32" t="n">
        <v>50000</v>
      </c>
      <c r="G9" s="32" t="n">
        <v>185</v>
      </c>
      <c r="H9" s="31" t="inlineStr">
        <is>
          <t>SPARC</t>
        </is>
      </c>
      <c r="I9" s="31" t="inlineStr">
        <is>
          <t>Sun Pharma Advanced Research Company Limited</t>
        </is>
      </c>
      <c r="J9" s="31" t="inlineStr">
        <is>
          <t>healthcare</t>
        </is>
      </c>
      <c r="K9" s="31" t="inlineStr">
        <is>
          <t>miscellaneous</t>
        </is>
      </c>
      <c r="L9" s="31" t="inlineStr">
        <is>
          <t>midcap</t>
        </is>
      </c>
      <c r="M9" s="32" t="n">
        <v>8643.309999999999</v>
      </c>
      <c r="N9" s="32" t="n">
        <v>269.98</v>
      </c>
      <c r="O9" s="32" t="n">
        <v>1.37</v>
      </c>
      <c r="P9" s="32" t="n">
        <v>8322511</v>
      </c>
      <c r="Q9" s="31" t="n">
        <v>88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78.98</v>
      </c>
      <c r="U9" s="32" t="n">
        <v>61.89</v>
      </c>
      <c r="V9" s="32" t="n">
        <v>194.15</v>
      </c>
      <c r="W9" s="31" t="inlineStr">
        <is>
          <t>Near 52W High Breakout</t>
        </is>
      </c>
      <c r="X9" s="31" t="inlineStr">
        <is>
          <t>Nifty Pharma</t>
        </is>
      </c>
      <c r="Y9" s="32" t="n">
        <v>14.42</v>
      </c>
      <c r="Z9" s="32" t="n">
        <v>69.44</v>
      </c>
      <c r="AA9" s="32" t="n">
        <v>48.09</v>
      </c>
      <c r="AB9" s="32" t="n">
        <v>31.79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Negative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132.1</v>
      </c>
      <c r="E10" s="32" t="inlineStr">
        <is>
          <t>5%</t>
        </is>
      </c>
      <c r="F10" s="32" t="n">
        <v>50000</v>
      </c>
      <c r="G10" s="32" t="n">
        <v>140</v>
      </c>
      <c r="H10" s="31" t="inlineStr">
        <is>
          <t>PANSARI</t>
        </is>
      </c>
      <c r="I10" s="31" t="inlineStr">
        <is>
          <t>Pansari Developers Ltd</t>
        </is>
      </c>
      <c r="J10" s="31" t="inlineStr">
        <is>
          <t>realty</t>
        </is>
      </c>
      <c r="K10" s="31" t="inlineStr">
        <is>
          <t>construction</t>
        </is>
      </c>
      <c r="L10" s="31" t="inlineStr">
        <is>
          <t>smallcap</t>
        </is>
      </c>
      <c r="M10" s="32" t="n">
        <v>619.45</v>
      </c>
      <c r="N10" s="32" t="n">
        <v>356.4</v>
      </c>
      <c r="O10" s="32" t="n">
        <v>0.38</v>
      </c>
      <c r="P10" s="32" t="n">
        <v>96036</v>
      </c>
      <c r="Q10" s="31" t="n">
        <v>64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62.78</v>
      </c>
      <c r="U10" s="32" t="n">
        <v>26.86</v>
      </c>
      <c r="V10" s="32" t="n">
        <v>236.92</v>
      </c>
      <c r="W10" s="31" t="inlineStr">
        <is>
          <t>Volume Spike &amp; Near 52W High Breakout</t>
        </is>
      </c>
      <c r="X10" s="31" t="inlineStr">
        <is>
          <t>Nifty Realty</t>
        </is>
      </c>
      <c r="Y10" s="32" t="n">
        <v>-9.029999999999999</v>
      </c>
      <c r="Z10" s="32" t="n">
        <v>37.61</v>
      </c>
      <c r="AA10" s="32" t="n">
        <v>51.27</v>
      </c>
      <c r="AB10" s="32" t="n">
        <v>13.8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Negative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139.3</v>
      </c>
      <c r="E11" s="32" t="inlineStr">
        <is>
          <t>5%</t>
        </is>
      </c>
      <c r="F11" s="32" t="n">
        <v>50000</v>
      </c>
      <c r="G11" s="32" t="n">
        <v>35</v>
      </c>
      <c r="H11" s="31" t="inlineStr">
        <is>
          <t>AETHER</t>
        </is>
      </c>
      <c r="I11" s="31" t="inlineStr">
        <is>
          <t>Aether Industries Ltd</t>
        </is>
      </c>
      <c r="J11" s="31" t="inlineStr">
        <is>
          <t>chemicals</t>
        </is>
      </c>
      <c r="K11" s="31" t="inlineStr">
        <is>
          <t>chemicals</t>
        </is>
      </c>
      <c r="L11" s="31" t="inlineStr">
        <is>
          <t>midcap</t>
        </is>
      </c>
      <c r="M11" s="32" t="n">
        <v>17646.42</v>
      </c>
      <c r="N11" s="32" t="n">
        <v>1413.4</v>
      </c>
      <c r="O11" s="32" t="n">
        <v>6.27</v>
      </c>
      <c r="P11" s="32" t="n">
        <v>908343</v>
      </c>
      <c r="Q11" s="31" t="n">
        <v>70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72.95999999999999</v>
      </c>
      <c r="U11" s="32" t="n">
        <v>46.04</v>
      </c>
      <c r="V11" s="32" t="n">
        <v>1110.67</v>
      </c>
      <c r="W11" s="31" t="inlineStr">
        <is>
          <t>Near 52W High Breakout</t>
        </is>
      </c>
      <c r="X11" s="31" t="inlineStr">
        <is>
          <t>Nifty 50</t>
        </is>
      </c>
      <c r="Y11" s="32" t="n">
        <v>-5.04</v>
      </c>
      <c r="Z11" s="32" t="n">
        <v>81.54000000000001</v>
      </c>
      <c r="AA11" s="32" t="n">
        <v>91.18000000000001</v>
      </c>
      <c r="AB11" s="32" t="n">
        <v>17.19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Less than 12%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Less than 50%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137.7</v>
      </c>
      <c r="E12" s="32" t="inlineStr">
        <is>
          <t>5%</t>
        </is>
      </c>
      <c r="F12" s="32" t="n">
        <v>50000</v>
      </c>
      <c r="G12" s="32" t="n">
        <v>157</v>
      </c>
      <c r="H12" s="31" t="inlineStr">
        <is>
          <t>NYKAA</t>
        </is>
      </c>
      <c r="I12" s="31" t="inlineStr">
        <is>
          <t>FSN E-Commerce Ventures Ltd</t>
        </is>
      </c>
      <c r="J12" s="31" t="inlineStr">
        <is>
          <t>i.t</t>
        </is>
      </c>
      <c r="K12" s="31" t="inlineStr">
        <is>
          <t>trading</t>
        </is>
      </c>
      <c r="L12" s="31" t="inlineStr">
        <is>
          <t>largecap</t>
        </is>
      </c>
      <c r="M12" s="32" t="n">
        <v>90248.92999999999</v>
      </c>
      <c r="N12" s="32" t="n">
        <v>317.95</v>
      </c>
      <c r="O12" s="32" t="n">
        <v>0.87</v>
      </c>
      <c r="P12" s="32" t="n">
        <v>10701340</v>
      </c>
      <c r="Q12" s="31" t="n">
        <v>60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71.33</v>
      </c>
      <c r="U12" s="32" t="n">
        <v>29.85</v>
      </c>
      <c r="V12" s="32" t="n">
        <v>267.2</v>
      </c>
      <c r="W12" s="31" t="inlineStr">
        <is>
          <t>Near 52W High Breakout</t>
        </is>
      </c>
      <c r="X12" s="31" t="inlineStr">
        <is>
          <t>Nifty IT</t>
        </is>
      </c>
      <c r="Y12" s="32" t="n">
        <v>-26.9</v>
      </c>
      <c r="Z12" s="32" t="n">
        <v>46.37</v>
      </c>
      <c r="AA12" s="32" t="n">
        <v>100.22</v>
      </c>
      <c r="AB12" s="32" t="n">
        <v>13.02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Between 0.7 to 1.2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136.7</v>
      </c>
      <c r="E13" s="32" t="inlineStr">
        <is>
          <t>5%</t>
        </is>
      </c>
      <c r="F13" s="32" t="n">
        <v>50000</v>
      </c>
      <c r="G13" s="32" t="n">
        <v>85</v>
      </c>
      <c r="H13" s="31" t="inlineStr">
        <is>
          <t>SKYGOLD</t>
        </is>
      </c>
      <c r="I13" s="31" t="inlineStr">
        <is>
          <t>Sky Gold Ltd</t>
        </is>
      </c>
      <c r="J13" s="31" t="inlineStr">
        <is>
          <t>consumer discretionary</t>
        </is>
      </c>
      <c r="K13" s="31" t="inlineStr">
        <is>
          <t>diamond cutting / jewellery</t>
        </is>
      </c>
      <c r="L13" s="31" t="inlineStr">
        <is>
          <t>midcap</t>
        </is>
      </c>
      <c r="M13" s="32" t="n">
        <v>8899.83</v>
      </c>
      <c r="N13" s="32" t="n">
        <v>585.5</v>
      </c>
      <c r="O13" s="32" t="n">
        <v>1.89</v>
      </c>
      <c r="P13" s="32" t="n">
        <v>2631994</v>
      </c>
      <c r="Q13" s="31" t="n">
        <v>81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70.02</v>
      </c>
      <c r="U13" s="32" t="n">
        <v>50.17</v>
      </c>
      <c r="V13" s="32" t="n">
        <v>423.5</v>
      </c>
      <c r="W13" s="31" t="inlineStr">
        <is>
          <t>Near 52W High Breakout</t>
        </is>
      </c>
      <c r="X13" s="31" t="inlineStr">
        <is>
          <t>Nifty 50</t>
        </is>
      </c>
      <c r="Y13" s="32" t="n">
        <v>-5.04</v>
      </c>
      <c r="Z13" s="32" t="n">
        <v>84.76000000000001</v>
      </c>
      <c r="AA13" s="32" t="n">
        <v>94.56999999999999</v>
      </c>
      <c r="AB13" s="32" t="n">
        <v>24.55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Negative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136.7</v>
      </c>
      <c r="E14" s="32" t="inlineStr">
        <is>
          <t>5%</t>
        </is>
      </c>
      <c r="F14" s="32" t="n">
        <v>50000</v>
      </c>
      <c r="G14" s="32" t="n">
        <v>30</v>
      </c>
      <c r="H14" s="31" t="inlineStr">
        <is>
          <t>ADANIENSOL</t>
        </is>
      </c>
      <c r="I14" s="31" t="inlineStr">
        <is>
          <t>Adani Energy Solutions Ltd</t>
        </is>
      </c>
      <c r="J14" s="31" t="inlineStr">
        <is>
          <t>power &amp; utilities</t>
        </is>
      </c>
      <c r="K14" s="31" t="inlineStr">
        <is>
          <t>power generation and supply</t>
        </is>
      </c>
      <c r="L14" s="31" t="inlineStr">
        <is>
          <t>largecap</t>
        </is>
      </c>
      <c r="M14" s="32" t="n">
        <v>198331.76</v>
      </c>
      <c r="N14" s="32" t="n">
        <v>1655.5</v>
      </c>
      <c r="O14" s="32" t="n">
        <v>0.27</v>
      </c>
      <c r="P14" s="32" t="n">
        <v>4413897</v>
      </c>
      <c r="Q14" s="31" t="n">
        <v>80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73.84999999999999</v>
      </c>
      <c r="U14" s="32" t="n">
        <v>49.1</v>
      </c>
      <c r="V14" s="32" t="n">
        <v>1310.44</v>
      </c>
      <c r="W14" s="31" t="inlineStr">
        <is>
          <t>Near 52W High Breakout</t>
        </is>
      </c>
      <c r="X14" s="31" t="inlineStr">
        <is>
          <t>Nifty IT</t>
        </is>
      </c>
      <c r="Y14" s="32" t="n">
        <v>-26.9</v>
      </c>
      <c r="Z14" s="32" t="n">
        <v>89.41</v>
      </c>
      <c r="AA14" s="32" t="n">
        <v>159.09</v>
      </c>
      <c r="AB14" s="32" t="n">
        <v>23.23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More than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135.6</v>
      </c>
      <c r="E15" s="32" t="inlineStr">
        <is>
          <t>5%</t>
        </is>
      </c>
      <c r="F15" s="32" t="n">
        <v>50000</v>
      </c>
      <c r="G15" s="32" t="n">
        <v>43</v>
      </c>
      <c r="H15" s="31" t="inlineStr">
        <is>
          <t>SPAL</t>
        </is>
      </c>
      <c r="I15" s="31" t="inlineStr">
        <is>
          <t>S. P. Apparels Limited</t>
        </is>
      </c>
      <c r="J15" s="31" t="inlineStr">
        <is>
          <t>consumer discretionary</t>
        </is>
      </c>
      <c r="K15" s="31" t="inlineStr">
        <is>
          <t>textiles - products</t>
        </is>
      </c>
      <c r="L15" s="31" t="inlineStr">
        <is>
          <t>smallcap</t>
        </is>
      </c>
      <c r="M15" s="32" t="n">
        <v>2894.74</v>
      </c>
      <c r="N15" s="32" t="n">
        <v>1161</v>
      </c>
      <c r="O15" s="32" t="n">
        <v>0.83</v>
      </c>
      <c r="P15" s="32" t="n">
        <v>421935</v>
      </c>
      <c r="Q15" s="31" t="n">
        <v>75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81.90000000000001</v>
      </c>
      <c r="U15" s="32" t="n">
        <v>36.51</v>
      </c>
      <c r="V15" s="32" t="n">
        <v>869.46</v>
      </c>
      <c r="W15" s="31" t="inlineStr">
        <is>
          <t>Near 52W High Breakout</t>
        </is>
      </c>
      <c r="X15" s="31" t="inlineStr">
        <is>
          <t>Nifty 50</t>
        </is>
      </c>
      <c r="Y15" s="32" t="n">
        <v>-5.04</v>
      </c>
      <c r="Z15" s="32" t="n">
        <v>38.26</v>
      </c>
      <c r="AA15" s="32" t="n">
        <v>45.6</v>
      </c>
      <c r="AB15" s="32" t="n">
        <v>19.37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118.4</v>
      </c>
      <c r="E16" s="32" t="inlineStr">
        <is>
          <t>5%</t>
        </is>
      </c>
      <c r="F16" s="32" t="n">
        <v>50000</v>
      </c>
      <c r="G16" s="32" t="n">
        <v>69</v>
      </c>
      <c r="H16" s="31" t="inlineStr">
        <is>
          <t>ITDC</t>
        </is>
      </c>
      <c r="I16" s="31" t="inlineStr">
        <is>
          <t>India Tourism Development Corporation Ltd</t>
        </is>
      </c>
      <c r="J16" s="31" t="inlineStr">
        <is>
          <t>services</t>
        </is>
      </c>
      <c r="K16" s="31" t="inlineStr">
        <is>
          <t>hotels</t>
        </is>
      </c>
      <c r="L16" s="31" t="inlineStr">
        <is>
          <t>midcap</t>
        </is>
      </c>
      <c r="M16" s="32" t="n">
        <v>6027.87</v>
      </c>
      <c r="N16" s="32" t="n">
        <v>723.4</v>
      </c>
      <c r="O16" s="32" t="n">
        <v>2.93</v>
      </c>
      <c r="P16" s="32" t="n">
        <v>32758491</v>
      </c>
      <c r="Q16" s="31" t="n">
        <v>38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63.57</v>
      </c>
      <c r="U16" s="32" t="n">
        <v>31.5</v>
      </c>
      <c r="V16" s="32" t="n">
        <v>503.73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-5.04</v>
      </c>
      <c r="Z16" s="32" t="n">
        <v>21.07</v>
      </c>
      <c r="AA16" s="32" t="n">
        <v>27.49</v>
      </c>
      <c r="AB16" s="32" t="n">
        <v>8.039999999999999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138.7</v>
      </c>
      <c r="E17" s="32" t="inlineStr">
        <is>
          <t>5%</t>
        </is>
      </c>
      <c r="F17" s="32" t="n">
        <v>50000</v>
      </c>
      <c r="G17" s="32" t="n">
        <v>20</v>
      </c>
      <c r="H17" s="31" t="inlineStr">
        <is>
          <t>JBCHEPHARM</t>
        </is>
      </c>
      <c r="I17" s="31" t="inlineStr">
        <is>
          <t>Jb Chemicals &amp; Pharmaceuticals Limited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largecap</t>
        </is>
      </c>
      <c r="M17" s="32" t="n">
        <v>38887.32</v>
      </c>
      <c r="N17" s="32" t="n">
        <v>2435.8</v>
      </c>
      <c r="O17" s="32" t="n">
        <v>0.57</v>
      </c>
      <c r="P17" s="32" t="n">
        <v>1169387</v>
      </c>
      <c r="Q17" s="31" t="n">
        <v>62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76.06</v>
      </c>
      <c r="U17" s="32" t="n">
        <v>41.03</v>
      </c>
      <c r="V17" s="32" t="n">
        <v>2101.69</v>
      </c>
      <c r="W17" s="31" t="inlineStr">
        <is>
          <t>Near 52W High Breakout</t>
        </is>
      </c>
      <c r="X17" s="31" t="inlineStr">
        <is>
          <t>Nifty Pharma</t>
        </is>
      </c>
      <c r="Y17" s="32" t="n">
        <v>14.42</v>
      </c>
      <c r="Z17" s="32" t="n">
        <v>53.67</v>
      </c>
      <c r="AA17" s="32" t="n">
        <v>34.31</v>
      </c>
      <c r="AB17" s="32" t="n">
        <v>13.63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Between 50% to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136.4</v>
      </c>
      <c r="E18" s="32" t="inlineStr">
        <is>
          <t>5%</t>
        </is>
      </c>
      <c r="F18" s="32" t="n">
        <v>50000</v>
      </c>
      <c r="G18" s="32" t="n">
        <v>216</v>
      </c>
      <c r="H18" s="31" t="inlineStr">
        <is>
          <t>DIACABS</t>
        </is>
      </c>
      <c r="I18" s="31" t="inlineStr">
        <is>
          <t>Diamond Power Infrastructure Ltd</t>
        </is>
      </c>
      <c r="J18" s="31" t="inlineStr">
        <is>
          <t>industrials</t>
        </is>
      </c>
      <c r="K18" s="31" t="inlineStr">
        <is>
          <t>cables - power</t>
        </is>
      </c>
      <c r="L18" s="31" t="inlineStr">
        <is>
          <t>midcap</t>
        </is>
      </c>
      <c r="M18" s="32" t="n">
        <v>11854.21</v>
      </c>
      <c r="N18" s="32" t="n">
        <v>231.33</v>
      </c>
      <c r="O18" s="32" t="n">
        <v>2.84</v>
      </c>
      <c r="P18" s="32" t="n">
        <v>14213234</v>
      </c>
      <c r="Q18" s="31" t="n">
        <v>81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77.19</v>
      </c>
      <c r="U18" s="32" t="n">
        <v>45.63</v>
      </c>
      <c r="V18" s="32" t="n">
        <v>173.93</v>
      </c>
      <c r="W18" s="31" t="inlineStr">
        <is>
          <t>Near 52W High Breakout</t>
        </is>
      </c>
      <c r="X18" s="31" t="inlineStr">
        <is>
          <t>Nifty Energy</t>
        </is>
      </c>
      <c r="Y18" s="32" t="n">
        <v>7.2</v>
      </c>
      <c r="Z18" s="32" t="n">
        <v>40.29</v>
      </c>
      <c r="AA18" s="32" t="n">
        <v>30.88</v>
      </c>
      <c r="AB18" s="32" t="n">
        <v>24.05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Negative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123.1</v>
      </c>
      <c r="E19" s="32" t="inlineStr">
        <is>
          <t>5%</t>
        </is>
      </c>
      <c r="F19" s="32" t="n">
        <v>50000</v>
      </c>
      <c r="G19" s="32" t="n">
        <v>39</v>
      </c>
      <c r="H19" s="31" t="inlineStr">
        <is>
          <t>RML</t>
        </is>
      </c>
      <c r="I19" s="31" t="inlineStr">
        <is>
          <t>Rane (madras) Limited</t>
        </is>
      </c>
      <c r="J19" s="31" t="inlineStr">
        <is>
          <t>auto</t>
        </is>
      </c>
      <c r="K19" s="31" t="inlineStr">
        <is>
          <t>auto ancillaries</t>
        </is>
      </c>
      <c r="L19" s="31" t="inlineStr">
        <is>
          <t>smallcap</t>
        </is>
      </c>
      <c r="M19" s="32" t="n">
        <v>3388.31</v>
      </c>
      <c r="N19" s="32" t="n">
        <v>1258</v>
      </c>
      <c r="O19" s="32" t="n">
        <v>2.61</v>
      </c>
      <c r="P19" s="32" t="n">
        <v>136755</v>
      </c>
      <c r="Q19" s="31" t="n">
        <v>81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74.03</v>
      </c>
      <c r="U19" s="32" t="n">
        <v>31.72</v>
      </c>
      <c r="V19" s="32" t="n">
        <v>984.1799999999999</v>
      </c>
      <c r="W19" s="31" t="inlineStr">
        <is>
          <t>Near 52W High Breakout</t>
        </is>
      </c>
      <c r="X19" s="31" t="inlineStr">
        <is>
          <t>Nifty Auto</t>
        </is>
      </c>
      <c r="Y19" s="32" t="n">
        <v>13.79</v>
      </c>
      <c r="Z19" s="32" t="n">
        <v>44.16</v>
      </c>
      <c r="AA19" s="32" t="n">
        <v>26.69</v>
      </c>
      <c r="AB19" s="32" t="n">
        <v>24.76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Between 50% to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138.4</v>
      </c>
      <c r="E20" s="32" t="inlineStr">
        <is>
          <t>5%</t>
        </is>
      </c>
      <c r="F20" s="32" t="n">
        <v>50000</v>
      </c>
      <c r="G20" s="32" t="n">
        <v>10</v>
      </c>
      <c r="H20" s="31" t="inlineStr">
        <is>
          <t>TORNTPHARM</t>
        </is>
      </c>
      <c r="I20" s="31" t="inlineStr">
        <is>
          <t>Torrent Pharmaceuticals Limited</t>
        </is>
      </c>
      <c r="J20" s="31" t="inlineStr">
        <is>
          <t>healthcare</t>
        </is>
      </c>
      <c r="K20" s="31" t="inlineStr">
        <is>
          <t>pharmaceuticals - indian - formulations</t>
        </is>
      </c>
      <c r="L20" s="31" t="inlineStr">
        <is>
          <t>largecap</t>
        </is>
      </c>
      <c r="M20" s="32" t="n">
        <v>164372.8</v>
      </c>
      <c r="N20" s="32" t="n">
        <v>4866.4</v>
      </c>
      <c r="O20" s="32" t="n">
        <v>0.2</v>
      </c>
      <c r="P20" s="32" t="n">
        <v>1025037</v>
      </c>
      <c r="Q20" s="31" t="n">
        <v>55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72.42</v>
      </c>
      <c r="U20" s="32" t="n">
        <v>31.77</v>
      </c>
      <c r="V20" s="32" t="n">
        <v>4199.07</v>
      </c>
      <c r="W20" s="31" t="inlineStr">
        <is>
          <t>Near 52W High Breakout</t>
        </is>
      </c>
      <c r="X20" s="31" t="inlineStr">
        <is>
          <t>Nifty Pharma</t>
        </is>
      </c>
      <c r="Y20" s="32" t="n">
        <v>14.42</v>
      </c>
      <c r="Z20" s="32" t="n">
        <v>48.14</v>
      </c>
      <c r="AA20" s="32" t="n">
        <v>29.47</v>
      </c>
      <c r="AB20" s="32" t="n">
        <v>11.81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Between 50% to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Between 0.7 to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134.7</v>
      </c>
      <c r="E21" s="32" t="inlineStr">
        <is>
          <t>5%</t>
        </is>
      </c>
      <c r="F21" s="32" t="n">
        <v>50000</v>
      </c>
      <c r="G21" s="32" t="n">
        <v>221</v>
      </c>
      <c r="H21" s="31" t="inlineStr">
        <is>
          <t>INDSWFTLAB</t>
        </is>
      </c>
      <c r="I21" s="31" t="inlineStr">
        <is>
          <t>Ind-swift Laboratories Limited</t>
        </is>
      </c>
      <c r="J21" s="31" t="inlineStr">
        <is>
          <t>healthcare</t>
        </is>
      </c>
      <c r="K21" s="31" t="inlineStr">
        <is>
          <t>pharmaceuticals - indian - bulk drugs &amp; formln</t>
        </is>
      </c>
      <c r="L21" s="31" t="inlineStr">
        <is>
          <t>smallcap</t>
        </is>
      </c>
      <c r="M21" s="32" t="n">
        <v>1868.29</v>
      </c>
      <c r="N21" s="32" t="n">
        <v>225.47</v>
      </c>
      <c r="O21" s="32" t="n">
        <v>4.8</v>
      </c>
      <c r="P21" s="32" t="n">
        <v>4930370</v>
      </c>
      <c r="Q21" s="31" t="n">
        <v>89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86.62</v>
      </c>
      <c r="U21" s="32" t="n">
        <v>44.25</v>
      </c>
      <c r="V21" s="32" t="n">
        <v>173.2</v>
      </c>
      <c r="W21" s="31" t="inlineStr">
        <is>
          <t>Near 52W High Breakout</t>
        </is>
      </c>
      <c r="X21" s="31" t="inlineStr">
        <is>
          <t>Nifty Pharma</t>
        </is>
      </c>
      <c r="Y21" s="32" t="n">
        <v>14.42</v>
      </c>
      <c r="Z21" s="32" t="n">
        <v>115.47</v>
      </c>
      <c r="AA21" s="32" t="n">
        <v>88.31999999999999</v>
      </c>
      <c r="AB21" s="32" t="n">
        <v>32.54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Yes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Annuity, Lower One Time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Negative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ATH Momentum</t>
        </is>
      </c>
      <c r="D22" s="32" t="n">
        <v>73.5</v>
      </c>
      <c r="E22" s="32" t="inlineStr">
        <is>
          <t>4%</t>
        </is>
      </c>
      <c r="F22" s="32" t="n">
        <v>40000</v>
      </c>
      <c r="G22" s="32" t="n">
        <v>8</v>
      </c>
      <c r="H22" s="31" t="inlineStr">
        <is>
          <t>TITAN</t>
        </is>
      </c>
      <c r="I22" s="31" t="inlineStr">
        <is>
          <t>Titan Company Limited</t>
        </is>
      </c>
      <c r="J22" s="31" t="inlineStr">
        <is>
          <t>consumer discretionary</t>
        </is>
      </c>
      <c r="K22" s="31" t="inlineStr">
        <is>
          <t>diamond cutting / jewellery</t>
        </is>
      </c>
      <c r="L22" s="31" t="inlineStr">
        <is>
          <t>largecap</t>
        </is>
      </c>
      <c r="M22" s="32" t="n">
        <v>408754.5</v>
      </c>
      <c r="N22" s="32" t="n">
        <v>4586.4</v>
      </c>
      <c r="O22" s="32" t="n">
        <v>-0.39</v>
      </c>
      <c r="P22" s="32" t="n">
        <v>1045714</v>
      </c>
      <c r="Q22" s="31" t="n">
        <v>32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61.56</v>
      </c>
      <c r="U22" s="32" t="n">
        <v>15.6</v>
      </c>
      <c r="V22" s="32" t="n">
        <v>3903.55</v>
      </c>
      <c r="W22" s="31" t="inlineStr">
        <is>
          <t>Near 52W High Breakout</t>
        </is>
      </c>
      <c r="X22" s="31" t="inlineStr">
        <is>
          <t>Nifty 50</t>
        </is>
      </c>
      <c r="Y22" s="32" t="n">
        <v>-5.04</v>
      </c>
      <c r="Z22" s="32" t="n">
        <v>36.44</v>
      </c>
      <c r="AA22" s="32" t="n">
        <v>43.68</v>
      </c>
      <c r="AB22" s="32" t="n">
        <v>6.97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0 to 20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More than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137.5</v>
      </c>
      <c r="E2" s="32" t="inlineStr">
        <is>
          <t>5%</t>
        </is>
      </c>
      <c r="F2" s="32" t="n">
        <v>50000</v>
      </c>
      <c r="G2" s="32" t="n">
        <v>201</v>
      </c>
      <c r="H2" s="31" t="inlineStr">
        <is>
          <t>CONSOFINVT</t>
        </is>
      </c>
      <c r="I2" s="31" t="inlineStr">
        <is>
          <t>Consolidated Finvest &amp; Holdings Limited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738.88</v>
      </c>
      <c r="N2" s="32" t="n">
        <v>249</v>
      </c>
      <c r="O2" s="32" t="n">
        <v>8.94</v>
      </c>
      <c r="P2" s="32" t="n">
        <v>91350</v>
      </c>
      <c r="Q2" s="31" t="n">
        <v>37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65.90000000000001</v>
      </c>
      <c r="U2" s="32" t="n">
        <v>21.82</v>
      </c>
      <c r="V2" s="32" t="n">
        <v>191.98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-0.02</v>
      </c>
      <c r="Z2" s="32" t="n">
        <v>19.91</v>
      </c>
      <c r="AA2" s="32" t="n">
        <v>19.94</v>
      </c>
      <c r="AB2" s="32" t="n">
        <v>7.76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less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</t>
        </is>
      </c>
      <c r="G2" s="31" t="inlineStr">
        <is>
          <t>midcap</t>
        </is>
      </c>
      <c r="H2" s="32" t="n">
        <v>6580.96</v>
      </c>
      <c r="I2" s="32" t="n">
        <v>28.25</v>
      </c>
      <c r="J2" s="32" t="n">
        <v>-2.75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73.68000000000001</v>
      </c>
      <c r="P2" s="32" t="n">
        <v>40.32</v>
      </c>
      <c r="Q2" s="32" t="n">
        <v>21.39</v>
      </c>
      <c r="R2" s="31" t="inlineStr">
        <is>
          <t>Near 52W High Breakout</t>
        </is>
      </c>
      <c r="S2" s="31" t="inlineStr">
        <is>
          <t>Nifty 50</t>
        </is>
      </c>
      <c r="T2" s="32" t="n">
        <v>-5.04</v>
      </c>
      <c r="U2" s="32" t="n">
        <v>80.94</v>
      </c>
      <c r="V2" s="32" t="n">
        <v>90.54000000000001</v>
      </c>
      <c r="W2" s="32" t="n">
        <v>48.79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18</t>
        </is>
      </c>
      <c r="CG2" s="31">
        <f>IF(CF2&gt;20,10,IF(CF2&gt;=10,5,2))</f>
        <v/>
      </c>
    </row>
    <row r="3">
      <c r="A3" s="31">
        <f>IF(B3=0,"",RANK(B3,$B$2:$B$86,0))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IOLCP</t>
        </is>
      </c>
      <c r="D3" s="31" t="inlineStr">
        <is>
          <t>IOL Chemicals &amp; Pharmaceuticals Ltd</t>
        </is>
      </c>
      <c r="E3" s="31" t="inlineStr">
        <is>
          <t>healthcare</t>
        </is>
      </c>
      <c r="F3" s="31" t="inlineStr">
        <is>
          <t>Pharma - API &amp; CRAMS</t>
        </is>
      </c>
      <c r="G3" s="31" t="inlineStr">
        <is>
          <t>smallcap</t>
        </is>
      </c>
      <c r="H3" s="32" t="n">
        <v>4916.59</v>
      </c>
      <c r="I3" s="32" t="n">
        <v>167.5</v>
      </c>
      <c r="J3" s="32" t="n">
        <v>1.49</v>
      </c>
      <c r="K3" s="32" t="n">
        <v>0</v>
      </c>
      <c r="L3" s="31" t="n">
        <v>93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85.81999999999999</v>
      </c>
      <c r="P3" s="32" t="n">
        <v>58.71</v>
      </c>
      <c r="Q3" s="32" t="n">
        <v>126.85</v>
      </c>
      <c r="R3" s="31" t="inlineStr">
        <is>
          <t>Volume Spike &amp; Near 52W High Breakout</t>
        </is>
      </c>
      <c r="S3" s="31" t="inlineStr">
        <is>
          <t>Nifty Pharma</t>
        </is>
      </c>
      <c r="T3" s="32" t="n">
        <v>14.42</v>
      </c>
      <c r="U3" s="32" t="n">
        <v>85.76000000000001</v>
      </c>
      <c r="V3" s="32" t="n">
        <v>62.36</v>
      </c>
      <c r="W3" s="32" t="n">
        <v>40.38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IF(B4=0,"",RANK(B4,$B$2:$B$86,0))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BAJAJCON</t>
        </is>
      </c>
      <c r="D4" s="31" t="inlineStr">
        <is>
          <t>Bajaj Consumer Care Ltd</t>
        </is>
      </c>
      <c r="E4" s="31" t="inlineStr">
        <is>
          <t>fmcg</t>
        </is>
      </c>
      <c r="F4" s="31" t="inlineStr">
        <is>
          <t>FMCG - Personal Care</t>
        </is>
      </c>
      <c r="G4" s="31" t="inlineStr">
        <is>
          <t>midcap</t>
        </is>
      </c>
      <c r="H4" s="32" t="n">
        <v>8040.86</v>
      </c>
      <c r="I4" s="32" t="n">
        <v>615.6</v>
      </c>
      <c r="J4" s="32" t="n">
        <v>-0.75</v>
      </c>
      <c r="K4" s="32" t="n">
        <v>0</v>
      </c>
      <c r="L4" s="31" t="n">
        <v>87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71.93000000000001</v>
      </c>
      <c r="P4" s="32" t="n">
        <v>63.61</v>
      </c>
      <c r="Q4" s="32" t="n">
        <v>491.56</v>
      </c>
      <c r="R4" s="31" t="inlineStr">
        <is>
          <t>Near 52W High Breakout</t>
        </is>
      </c>
      <c r="S4" s="31" t="inlineStr">
        <is>
          <t>Nifty FMCG</t>
        </is>
      </c>
      <c r="T4" s="32" t="n">
        <v>-12.4</v>
      </c>
      <c r="U4" s="32" t="n">
        <v>163.31</v>
      </c>
      <c r="V4" s="32" t="n">
        <v>200.58</v>
      </c>
      <c r="W4" s="32" t="n">
        <v>31.57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20</t>
        </is>
      </c>
      <c r="CG4" s="31">
        <f>IF(CF4&gt;20,10,IF(CF4&gt;=10,5,2))</f>
        <v/>
      </c>
    </row>
    <row r="5">
      <c r="A5" s="31">
        <f>IF(B5=0,"",RANK(B5,$B$2:$B$86,0))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KPL</t>
        </is>
      </c>
      <c r="D5" s="31" t="inlineStr">
        <is>
          <t>Kwality Pharmaceuticals Ltd</t>
        </is>
      </c>
      <c r="E5" s="31" t="inlineStr">
        <is>
          <t>Healthcare</t>
        </is>
      </c>
      <c r="F5" s="31" t="inlineStr">
        <is>
          <t>Pharma - Formulators</t>
        </is>
      </c>
      <c r="G5" s="31" t="inlineStr">
        <is>
          <t>smallcap</t>
        </is>
      </c>
      <c r="H5" s="32" t="n">
        <v>2692.62</v>
      </c>
      <c r="I5" s="32" t="n">
        <v>2595</v>
      </c>
      <c r="J5" s="32" t="n">
        <v>1.84</v>
      </c>
      <c r="K5" s="32" t="n">
        <v>0</v>
      </c>
      <c r="L5" s="31" t="n">
        <v>90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73.86</v>
      </c>
      <c r="P5" s="32" t="n">
        <v>58.76</v>
      </c>
      <c r="Q5" s="32" t="n">
        <v>1959.46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14.42</v>
      </c>
      <c r="U5" s="32" t="n">
        <v>115.22</v>
      </c>
      <c r="V5" s="32" t="n">
        <v>88.11</v>
      </c>
      <c r="W5" s="32" t="n">
        <v>33.87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Less than 50%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18</t>
        </is>
      </c>
      <c r="CG5" s="31">
        <f>IF(CF5&gt;20,10,IF(CF5&gt;=10,5,2))</f>
        <v/>
      </c>
    </row>
    <row r="6">
      <c r="A6" s="31">
        <f>IF(B6=0,"",RANK(B6,$B$2:$B$86,0))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TIMEX</t>
        </is>
      </c>
      <c r="D6" s="31" t="inlineStr">
        <is>
          <t>Timex Group India Ltd</t>
        </is>
      </c>
      <c r="E6" s="31" t="inlineStr">
        <is>
          <t>Consumer Cyclical</t>
        </is>
      </c>
      <c r="F6" s="31" t="inlineStr">
        <is>
          <t>Watches</t>
        </is>
      </c>
      <c r="G6" s="31" t="inlineStr">
        <is>
          <t>midcap</t>
        </is>
      </c>
      <c r="H6" s="32" t="n">
        <v>5296.34</v>
      </c>
      <c r="I6" s="32" t="n">
        <v>524.65</v>
      </c>
      <c r="J6" s="32" t="n">
        <v>0.51</v>
      </c>
      <c r="K6" s="32" t="n">
        <v>0</v>
      </c>
      <c r="L6" s="31" t="n">
        <v>95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74.77</v>
      </c>
      <c r="P6" s="32" t="n">
        <v>37.04</v>
      </c>
      <c r="Q6" s="32" t="n">
        <v>401.94</v>
      </c>
      <c r="R6" s="31" t="inlineStr">
        <is>
          <t>Near 52W High Breakout</t>
        </is>
      </c>
      <c r="S6" s="31" t="inlineStr">
        <is>
          <t>Nifty 50</t>
        </is>
      </c>
      <c r="T6" s="32" t="n">
        <v>-5.04</v>
      </c>
      <c r="U6" s="32" t="n">
        <v>131.77</v>
      </c>
      <c r="V6" s="32" t="n">
        <v>144.07</v>
      </c>
      <c r="W6" s="32" t="n">
        <v>46.45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18</t>
        </is>
      </c>
      <c r="CG6" s="31">
        <f>IF(CF6&gt;20,10,IF(CF6&gt;=10,5,2))</f>
        <v/>
      </c>
    </row>
    <row r="7">
      <c r="A7" s="31">
        <f>IF(B7=0,"",RANK(B7,$B$2:$B$86,0))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MAYURUNIQ</t>
        </is>
      </c>
      <c r="D7" s="31" t="inlineStr">
        <is>
          <t>Mayur Uniquoters Ltd</t>
        </is>
      </c>
      <c r="E7" s="31" t="inlineStr">
        <is>
          <t>consumer discretionary</t>
        </is>
      </c>
      <c r="F7" s="31" t="inlineStr">
        <is>
          <t>Plastics - Plastic &amp; Plastic Products</t>
        </is>
      </c>
      <c r="G7" s="31" t="inlineStr">
        <is>
          <t>smallcap</t>
        </is>
      </c>
      <c r="H7" s="32" t="n">
        <v>3715.2</v>
      </c>
      <c r="I7" s="32" t="n">
        <v>855</v>
      </c>
      <c r="J7" s="32" t="n">
        <v>-0.03</v>
      </c>
      <c r="K7" s="32" t="n">
        <v>0</v>
      </c>
      <c r="L7" s="31" t="n">
        <v>78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72.78</v>
      </c>
      <c r="P7" s="32" t="n">
        <v>54.44</v>
      </c>
      <c r="Q7" s="32" t="n">
        <v>691.8200000000001</v>
      </c>
      <c r="R7" s="31" t="inlineStr">
        <is>
          <t>Near 52W High Breakout</t>
        </is>
      </c>
      <c r="S7" s="31" t="inlineStr">
        <is>
          <t>Nifty 50</t>
        </is>
      </c>
      <c r="T7" s="32" t="n">
        <v>-5.04</v>
      </c>
      <c r="U7" s="32" t="n">
        <v>50.83</v>
      </c>
      <c r="V7" s="32" t="n">
        <v>58.83</v>
      </c>
      <c r="W7" s="32" t="n">
        <v>20.97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15</t>
        </is>
      </c>
      <c r="CG7" s="31">
        <f>IF(CF7&gt;20,10,IF(CF7&gt;=10,5,2))</f>
        <v/>
      </c>
    </row>
    <row r="8">
      <c r="A8" s="31">
        <f>IF(B8=0,"",RANK(B8,$B$2:$B$86,0))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RADICO</t>
        </is>
      </c>
      <c r="D8" s="31" t="inlineStr">
        <is>
          <t>Radico Khaitan Ltd</t>
        </is>
      </c>
      <c r="E8" s="31" t="inlineStr">
        <is>
          <t>fmcg</t>
        </is>
      </c>
      <c r="F8" s="31" t="inlineStr">
        <is>
          <t>Alcoholic Beverages</t>
        </is>
      </c>
      <c r="G8" s="31" t="inlineStr">
        <is>
          <t>largecap</t>
        </is>
      </c>
      <c r="H8" s="32" t="n">
        <v>54776.58</v>
      </c>
      <c r="I8" s="32" t="n">
        <v>4089.9</v>
      </c>
      <c r="J8" s="32" t="n">
        <v>-0.21</v>
      </c>
      <c r="K8" s="32" t="n">
        <v>0</v>
      </c>
      <c r="L8" s="31" t="n">
        <v>74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79.61</v>
      </c>
      <c r="P8" s="32" t="n">
        <v>47.36</v>
      </c>
      <c r="Q8" s="32" t="n">
        <v>3424.01</v>
      </c>
      <c r="R8" s="31" t="inlineStr">
        <is>
          <t>Near 52W High Breakout</t>
        </is>
      </c>
      <c r="S8" s="31" t="inlineStr">
        <is>
          <t>Nifty FMCG</t>
        </is>
      </c>
      <c r="T8" s="32" t="n">
        <v>-12.4</v>
      </c>
      <c r="U8" s="32" t="n">
        <v>50.22</v>
      </c>
      <c r="V8" s="32" t="n">
        <v>71.48999999999999</v>
      </c>
      <c r="W8" s="32" t="n">
        <v>19.1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16</t>
        </is>
      </c>
      <c r="CG8" s="31">
        <f>IF(CF8&gt;20,10,IF(CF8&gt;=10,5,2))</f>
        <v/>
      </c>
    </row>
    <row r="9">
      <c r="A9" s="31">
        <f>IF(B9=0,"",RANK(B9,$B$2:$B$86,0))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GLAND</t>
        </is>
      </c>
      <c r="D9" s="31" t="inlineStr">
        <is>
          <t>Gland Pharma Ltd</t>
        </is>
      </c>
      <c r="E9" s="31" t="inlineStr">
        <is>
          <t>healthcare</t>
        </is>
      </c>
      <c r="F9" s="31" t="inlineStr">
        <is>
          <t>Pharma - API &amp; CRAMS</t>
        </is>
      </c>
      <c r="G9" s="31" t="inlineStr">
        <is>
          <t>largecap</t>
        </is>
      </c>
      <c r="H9" s="32" t="n">
        <v>41239.92</v>
      </c>
      <c r="I9" s="32" t="n">
        <v>2500</v>
      </c>
      <c r="J9" s="32" t="n">
        <v>-1.96</v>
      </c>
      <c r="K9" s="32" t="n">
        <v>0</v>
      </c>
      <c r="L9" s="31" t="n">
        <v>69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72.91</v>
      </c>
      <c r="P9" s="32" t="n">
        <v>44.88</v>
      </c>
      <c r="Q9" s="32" t="n">
        <v>2016.6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14.42</v>
      </c>
      <c r="U9" s="32" t="n">
        <v>35.51</v>
      </c>
      <c r="V9" s="32" t="n">
        <v>18.43</v>
      </c>
      <c r="W9" s="32" t="n">
        <v>16.4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15</t>
        </is>
      </c>
      <c r="CG9" s="31">
        <f>IF(CF9&gt;20,10,IF(CF9&gt;=10,5,2))</f>
        <v/>
      </c>
    </row>
    <row r="10">
      <c r="A10" s="31">
        <f>IF(B10=0,"",RANK(B10,$B$2:$B$86,0))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BLISSGVS</t>
        </is>
      </c>
      <c r="D10" s="34" t="inlineStr">
        <is>
          <t>Bliss GVS Pharma Ltd</t>
        </is>
      </c>
      <c r="E10" s="31" t="inlineStr">
        <is>
          <t>healthcare</t>
        </is>
      </c>
      <c r="F10" s="31" t="inlineStr">
        <is>
          <t>Pharma - Formulators</t>
        </is>
      </c>
      <c r="G10" s="31" t="inlineStr">
        <is>
          <t>midcap</t>
        </is>
      </c>
      <c r="H10" s="32" t="n">
        <v>5419.47</v>
      </c>
      <c r="I10" s="32" t="n">
        <v>511</v>
      </c>
      <c r="J10" s="32" t="n">
        <v>-0.16</v>
      </c>
      <c r="K10" s="32" t="n">
        <v>0</v>
      </c>
      <c r="L10" s="31" t="n">
        <v>97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91.29000000000001</v>
      </c>
      <c r="P10" s="32" t="n">
        <v>73.15000000000001</v>
      </c>
      <c r="Q10" s="32" t="n">
        <v>391.16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14.42</v>
      </c>
      <c r="U10" s="32" t="n">
        <v>235.92</v>
      </c>
      <c r="V10" s="32" t="n">
        <v>193.6</v>
      </c>
      <c r="W10" s="32" t="n">
        <v>51.79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17</t>
        </is>
      </c>
      <c r="CG10" s="31">
        <f>IF(CF10&gt;20,10,IF(CF10&gt;=10,5,2))</f>
        <v/>
      </c>
    </row>
    <row r="11">
      <c r="A11" s="31">
        <f>IF(B11=0,"",RANK(B11,$B$2:$B$86,0))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CUPID</t>
        </is>
      </c>
      <c r="D11" s="31" t="inlineStr">
        <is>
          <t>Cupid Ltd</t>
        </is>
      </c>
      <c r="E11" s="31" t="inlineStr">
        <is>
          <t>fmcg</t>
        </is>
      </c>
      <c r="F11" s="31" t="inlineStr">
        <is>
          <t>Contraceptives/Protectives</t>
        </is>
      </c>
      <c r="G11" s="31" t="inlineStr">
        <is>
          <t>largecap</t>
        </is>
      </c>
      <c r="H11" s="32" t="n">
        <v>25951.95</v>
      </c>
      <c r="I11" s="32" t="n">
        <v>193</v>
      </c>
      <c r="J11" s="32" t="n">
        <v>-12.71</v>
      </c>
      <c r="K11" s="32" t="n">
        <v>0</v>
      </c>
      <c r="L11" s="31" t="n">
        <v>98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85.77</v>
      </c>
      <c r="P11" s="32" t="n">
        <v>59.99</v>
      </c>
      <c r="Q11" s="32" t="n">
        <v>152.11</v>
      </c>
      <c r="R11" s="31" t="inlineStr">
        <is>
          <t>Volume Spike &amp; Near 52W High Breakout</t>
        </is>
      </c>
      <c r="S11" s="31" t="inlineStr">
        <is>
          <t>Nifty FMCG</t>
        </is>
      </c>
      <c r="T11" s="32" t="n">
        <v>-12.4</v>
      </c>
      <c r="U11" s="32" t="n">
        <v>731</v>
      </c>
      <c r="V11" s="32" t="n">
        <v>848.63</v>
      </c>
      <c r="W11" s="32" t="n">
        <v>82.17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Less than 50%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16</t>
        </is>
      </c>
      <c r="CG11" s="31">
        <f>IF(CF11&gt;20,10,IF(CF11&gt;=10,5,2))</f>
        <v/>
      </c>
    </row>
    <row r="12">
      <c r="A12" s="31">
        <f>IF(B12=0,"",RANK(B12,$B$2:$B$86,0))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SUVEN</t>
        </is>
      </c>
      <c r="D12" s="34" t="inlineStr">
        <is>
          <t>Suven Life Sciences Ltd</t>
        </is>
      </c>
      <c r="E12" s="31" t="inlineStr">
        <is>
          <t>healthcare</t>
        </is>
      </c>
      <c r="F12" s="31" t="inlineStr">
        <is>
          <t>Pharma - Formulators</t>
        </is>
      </c>
      <c r="G12" s="31" t="inlineStr">
        <is>
          <t>midcap</t>
        </is>
      </c>
      <c r="H12" s="32" t="n">
        <v>8408.16</v>
      </c>
      <c r="I12" s="32" t="n">
        <v>318.5</v>
      </c>
      <c r="J12" s="32" t="n">
        <v>-0.27</v>
      </c>
      <c r="K12" s="32" t="n">
        <v>0</v>
      </c>
      <c r="L12" s="31" t="n">
        <v>76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71.06</v>
      </c>
      <c r="P12" s="32" t="n">
        <v>42.66</v>
      </c>
      <c r="Q12" s="32" t="n">
        <v>234.83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14.42</v>
      </c>
      <c r="U12" s="32" t="n">
        <v>14.63</v>
      </c>
      <c r="V12" s="32" t="n">
        <v>0.19</v>
      </c>
      <c r="W12" s="32" t="n">
        <v>19.75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15</t>
        </is>
      </c>
      <c r="CG12" s="31">
        <f>IF(CF12&gt;20,10,IF(CF12&gt;=10,5,2))</f>
        <v/>
      </c>
    </row>
    <row r="13">
      <c r="A13" s="31">
        <f>IF(B13=0,"",RANK(B13,$B$2:$B$86,0))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THANGAMAYL</t>
        </is>
      </c>
      <c r="D13" s="31" t="inlineStr">
        <is>
          <t>Thangamayil Jewellery Ltd</t>
        </is>
      </c>
      <c r="E13" s="31" t="inlineStr">
        <is>
          <t>consumer discretionary</t>
        </is>
      </c>
      <c r="F13" s="31" t="inlineStr">
        <is>
          <t>Diamond, Gems &amp; Jewellery</t>
        </is>
      </c>
      <c r="G13" s="31" t="inlineStr">
        <is>
          <t>largecap</t>
        </is>
      </c>
      <c r="H13" s="32" t="n">
        <v>21319.16</v>
      </c>
      <c r="I13" s="32" t="n">
        <v>6859</v>
      </c>
      <c r="J13" s="32" t="n">
        <v>7.63</v>
      </c>
      <c r="K13" s="32" t="n">
        <v>0</v>
      </c>
      <c r="L13" s="31" t="n">
        <v>95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79.19</v>
      </c>
      <c r="P13" s="32" t="n">
        <v>45.89</v>
      </c>
      <c r="Q13" s="32" t="n">
        <v>5173.09</v>
      </c>
      <c r="R13" s="31" t="inlineStr">
        <is>
          <t>Near 52W High Breakout</t>
        </is>
      </c>
      <c r="S13" s="31" t="inlineStr">
        <is>
          <t>Nifty 50</t>
        </is>
      </c>
      <c r="T13" s="32" t="n">
        <v>-5.04</v>
      </c>
      <c r="U13" s="32" t="n">
        <v>256.17</v>
      </c>
      <c r="V13" s="32" t="n">
        <v>275.08</v>
      </c>
      <c r="W13" s="32" t="n">
        <v>45.62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27</t>
        </is>
      </c>
      <c r="CG13" s="31">
        <f>IF(CF13&gt;20,10,IF(CF13&gt;=10,5,2))</f>
        <v/>
      </c>
    </row>
    <row r="14">
      <c r="A14" s="31">
        <f>IF(B14=0,"",RANK(B14,$B$2:$B$86,0))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SEKURITIND</t>
        </is>
      </c>
      <c r="D14" s="31" t="inlineStr">
        <is>
          <t>Saint-Gobain Sekurit India Ltd</t>
        </is>
      </c>
      <c r="E14" s="31" t="inlineStr">
        <is>
          <t>Consumer Cyclical</t>
        </is>
      </c>
      <c r="F14" s="31" t="inlineStr">
        <is>
          <t>Glass &amp; Glass Products</t>
        </is>
      </c>
      <c r="G14" s="31" t="inlineStr">
        <is>
          <t>smallcap</t>
        </is>
      </c>
      <c r="H14" s="32" t="n">
        <v>1230.84</v>
      </c>
      <c r="I14" s="32" t="n">
        <v>135.1</v>
      </c>
      <c r="J14" s="32" t="n">
        <v>-0.66</v>
      </c>
      <c r="K14" s="32" t="n">
        <v>0</v>
      </c>
      <c r="L14" s="31" t="n">
        <v>54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69.34</v>
      </c>
      <c r="P14" s="32" t="n">
        <v>31.69</v>
      </c>
      <c r="Q14" s="32" t="n">
        <v>107.68</v>
      </c>
      <c r="R14" s="31" t="inlineStr">
        <is>
          <t>Near 52W High Breakout</t>
        </is>
      </c>
      <c r="S14" s="31" t="inlineStr">
        <is>
          <t>Nifty Auto</t>
        </is>
      </c>
      <c r="T14" s="32" t="n">
        <v>13.79</v>
      </c>
      <c r="U14" s="32" t="n">
        <v>19.97</v>
      </c>
      <c r="V14" s="32" t="n">
        <v>5.43</v>
      </c>
      <c r="W14" s="32" t="n">
        <v>11.73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16</t>
        </is>
      </c>
      <c r="CG14" s="31">
        <f>IF(CF14&gt;20,10,IF(CF14&gt;=10,5,2))</f>
        <v/>
      </c>
    </row>
    <row r="15">
      <c r="A15" s="31">
        <f>IF(B15=0,"",RANK(B15,$B$2:$B$86,0))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SIS</t>
        </is>
      </c>
      <c r="D15" s="34" t="inlineStr">
        <is>
          <t>SIS Ltd</t>
        </is>
      </c>
      <c r="E15" s="31" t="inlineStr">
        <is>
          <t>miscellaneous</t>
        </is>
      </c>
      <c r="F15" s="31" t="inlineStr">
        <is>
          <t>Facility Management</t>
        </is>
      </c>
      <c r="G15" s="31" t="inlineStr">
        <is>
          <t>midcap</t>
        </is>
      </c>
      <c r="H15" s="32" t="n">
        <v>6083</v>
      </c>
      <c r="I15" s="32" t="n">
        <v>430.5</v>
      </c>
      <c r="J15" s="32" t="n">
        <v>0.6</v>
      </c>
      <c r="K15" s="32" t="n">
        <v>0</v>
      </c>
      <c r="L15" s="31" t="n">
        <v>62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73.31999999999999</v>
      </c>
      <c r="P15" s="32" t="n">
        <v>48.95</v>
      </c>
      <c r="Q15" s="32" t="n">
        <v>344.12</v>
      </c>
      <c r="R15" s="31" t="inlineStr">
        <is>
          <t>Near 52W High Breakout</t>
        </is>
      </c>
      <c r="S15" s="31" t="inlineStr">
        <is>
          <t>Nifty 50</t>
        </is>
      </c>
      <c r="T15" s="32" t="n">
        <v>-5.04</v>
      </c>
      <c r="U15" s="32" t="n">
        <v>18.55</v>
      </c>
      <c r="V15" s="32" t="n">
        <v>24.84</v>
      </c>
      <c r="W15" s="32" t="n">
        <v>13.41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Between 0.7 to 1.2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16</t>
        </is>
      </c>
      <c r="CG15" s="31">
        <f>IF(CF15&gt;20,10,IF(CF15&gt;=10,5,2))</f>
        <v/>
      </c>
    </row>
    <row r="16">
      <c r="A16" s="31">
        <f>IF(B16=0,"",RANK(B16,$B$2:$B$86,0))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SANGHVIMOV</t>
        </is>
      </c>
      <c r="D16" s="31" t="inlineStr">
        <is>
          <t>Sanghvi Movers Ltd</t>
        </is>
      </c>
      <c r="E16" s="31" t="inlineStr">
        <is>
          <t>miscellaneous</t>
        </is>
      </c>
      <c r="F16" s="31" t="inlineStr">
        <is>
          <t>Capital Goods - EPC/Cranes</t>
        </is>
      </c>
      <c r="G16" s="31" t="inlineStr">
        <is>
          <t>smallcap</t>
        </is>
      </c>
      <c r="H16" s="32" t="n">
        <v>3852.63</v>
      </c>
      <c r="I16" s="32" t="n">
        <v>445</v>
      </c>
      <c r="J16" s="32" t="n">
        <v>-0.99</v>
      </c>
      <c r="K16" s="32" t="n">
        <v>0</v>
      </c>
      <c r="L16" s="31" t="n">
        <v>80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67.42</v>
      </c>
      <c r="P16" s="32" t="n">
        <v>29.8</v>
      </c>
      <c r="Q16" s="32" t="n">
        <v>347.51</v>
      </c>
      <c r="R16" s="31" t="inlineStr">
        <is>
          <t>Near 52W High Breakout</t>
        </is>
      </c>
      <c r="S16" s="31" t="inlineStr">
        <is>
          <t>Nifty 50</t>
        </is>
      </c>
      <c r="T16" s="32" t="n">
        <v>-5.04</v>
      </c>
      <c r="U16" s="32" t="n">
        <v>61.79</v>
      </c>
      <c r="V16" s="32" t="n">
        <v>70.38</v>
      </c>
      <c r="W16" s="32" t="n">
        <v>22.88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16</t>
        </is>
      </c>
      <c r="CG16" s="31">
        <f>IF(CF16&gt;20,10,IF(CF16&gt;=10,5,2))</f>
        <v/>
      </c>
    </row>
    <row r="17">
      <c r="A17" s="31">
        <f>IF(B17=0,"",RANK(B17,$B$2:$B$86,0))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ADFFOODS</t>
        </is>
      </c>
      <c r="D17" s="31" t="inlineStr">
        <is>
          <t>ADF Foods Ltd</t>
        </is>
      </c>
      <c r="E17" s="31" t="inlineStr">
        <is>
          <t>fmcg</t>
        </is>
      </c>
      <c r="F17" s="31" t="inlineStr">
        <is>
          <t>FMCG - Contract Mfg</t>
        </is>
      </c>
      <c r="G17" s="31" t="inlineStr">
        <is>
          <t>smallcap</t>
        </is>
      </c>
      <c r="H17" s="32" t="n">
        <v>3406.87</v>
      </c>
      <c r="I17" s="32" t="n">
        <v>310.1</v>
      </c>
      <c r="J17" s="32" t="n">
        <v>-0.1</v>
      </c>
      <c r="K17" s="32" t="n">
        <v>0</v>
      </c>
      <c r="L17" s="31" t="n">
        <v>73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65.3</v>
      </c>
      <c r="P17" s="32" t="n">
        <v>37.93</v>
      </c>
      <c r="Q17" s="32" t="n">
        <v>235.93</v>
      </c>
      <c r="R17" s="31" t="inlineStr">
        <is>
          <t>Near 52W High Breakout</t>
        </is>
      </c>
      <c r="S17" s="31" t="inlineStr">
        <is>
          <t>Nifty FMCG</t>
        </is>
      </c>
      <c r="T17" s="32" t="n">
        <v>-12.4</v>
      </c>
      <c r="U17" s="32" t="n">
        <v>17.39</v>
      </c>
      <c r="V17" s="32" t="n">
        <v>34.01</v>
      </c>
      <c r="W17" s="32" t="n">
        <v>18.62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17</t>
        </is>
      </c>
      <c r="CG17" s="31">
        <f>IF(CF17&gt;20,10,IF(CF17&gt;=10,5,2))</f>
        <v/>
      </c>
    </row>
    <row r="18">
      <c r="A18" s="31">
        <f>IF(B18=0,"",RANK(B18,$B$2:$B$86,0))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MODINSU</t>
        </is>
      </c>
      <c r="D18" s="31" t="inlineStr">
        <is>
          <t>Modern Insulators Ltd</t>
        </is>
      </c>
      <c r="E18" s="31" t="inlineStr">
        <is>
          <t>Technology</t>
        </is>
      </c>
      <c r="F18" s="31" t="inlineStr">
        <is>
          <t>Capital Goods - Electric General</t>
        </is>
      </c>
      <c r="G18" s="31" t="inlineStr">
        <is>
          <t>smallcap</t>
        </is>
      </c>
      <c r="H18" s="32" t="n">
        <v>2343.05</v>
      </c>
      <c r="I18" s="32" t="n">
        <v>497</v>
      </c>
      <c r="J18" s="32" t="n">
        <v>-2.85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67.33</v>
      </c>
      <c r="P18" s="32" t="n">
        <v>51.28</v>
      </c>
      <c r="Q18" s="32" t="n">
        <v>392.62</v>
      </c>
      <c r="R18" s="31" t="inlineStr">
        <is>
          <t>Earnings / Momentum Support</t>
        </is>
      </c>
      <c r="S18" s="31" t="inlineStr">
        <is>
          <t>Nifty 50</t>
        </is>
      </c>
      <c r="T18" s="32" t="n">
        <v>-5.04</v>
      </c>
      <c r="U18" s="32" t="n">
        <v>351.68</v>
      </c>
      <c r="V18" s="32" t="n">
        <v>375.66</v>
      </c>
      <c r="W18" s="32" t="n">
        <v>54.46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16</t>
        </is>
      </c>
      <c r="CG18" s="31">
        <f>IF(CF18&gt;20,10,IF(CF18&gt;=10,5,2))</f>
        <v/>
      </c>
    </row>
    <row r="19">
      <c r="A19" s="31">
        <f>IF(B19=0,"",RANK(B19,$B$2:$B$86,0))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VIJAYA</t>
        </is>
      </c>
      <c r="D19" s="34" t="inlineStr">
        <is>
          <t>Vijaya Diagnostic Centre Ltd</t>
        </is>
      </c>
      <c r="E19" s="31" t="inlineStr">
        <is>
          <t>Healthcare</t>
        </is>
      </c>
      <c r="F19" s="31" t="inlineStr">
        <is>
          <t>Diagnostics</t>
        </is>
      </c>
      <c r="G19" s="31" t="inlineStr">
        <is>
          <t>midcap</t>
        </is>
      </c>
      <c r="H19" s="32" t="n">
        <v>13684.24</v>
      </c>
      <c r="I19" s="32" t="n">
        <v>1329.9</v>
      </c>
      <c r="J19" s="32" t="n">
        <v>-0.71</v>
      </c>
      <c r="K19" s="32" t="n">
        <v>0</v>
      </c>
      <c r="L19" s="31" t="n">
        <v>61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62.74</v>
      </c>
      <c r="P19" s="32" t="n">
        <v>42.51</v>
      </c>
      <c r="Q19" s="32" t="n">
        <v>1074.03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14.42</v>
      </c>
      <c r="U19" s="32" t="n">
        <v>30.2</v>
      </c>
      <c r="V19" s="32" t="n">
        <v>13.8</v>
      </c>
      <c r="W19" s="32" t="n">
        <v>13.31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15</t>
        </is>
      </c>
      <c r="CG19" s="31">
        <f>IF(CF19&gt;20,10,IF(CF19&gt;=10,5,2))</f>
        <v/>
      </c>
    </row>
    <row r="20">
      <c r="A20" s="31">
        <f>IF(B20=0,"",RANK(B20,$B$2:$B$86,0))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NITTAGELA</t>
        </is>
      </c>
      <c r="D20" s="34" t="inlineStr">
        <is>
          <t>Nitta Gelatin India Ltd</t>
        </is>
      </c>
      <c r="E20" s="31" t="inlineStr">
        <is>
          <t>Basic Materials</t>
        </is>
      </c>
      <c r="F20" s="31" t="inlineStr">
        <is>
          <t>Chemicals - Organic</t>
        </is>
      </c>
      <c r="G20" s="31" t="inlineStr">
        <is>
          <t>smallcap</t>
        </is>
      </c>
      <c r="H20" s="32" t="n">
        <v>1674.2</v>
      </c>
      <c r="I20" s="32" t="n">
        <v>1844</v>
      </c>
      <c r="J20" s="32" t="n">
        <v>4</v>
      </c>
      <c r="K20" s="32" t="n">
        <v>0</v>
      </c>
      <c r="L20" s="31" t="n">
        <v>95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76.06</v>
      </c>
      <c r="P20" s="32" t="n">
        <v>54.01</v>
      </c>
      <c r="Q20" s="32" t="n">
        <v>1395.74</v>
      </c>
      <c r="R20" s="31" t="inlineStr">
        <is>
          <t>Near 52W High Breakout</t>
        </is>
      </c>
      <c r="S20" s="31" t="inlineStr">
        <is>
          <t>Nifty 50</t>
        </is>
      </c>
      <c r="T20" s="32" t="n">
        <v>-5.04</v>
      </c>
      <c r="U20" s="32" t="n">
        <v>86.97</v>
      </c>
      <c r="V20" s="32" t="n">
        <v>96.89</v>
      </c>
      <c r="W20" s="32" t="n">
        <v>46.42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Cyclical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Volatile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17</t>
        </is>
      </c>
      <c r="CG20" s="31">
        <f>IF(CF20&gt;20,10,IF(CF20&gt;=10,5,2))</f>
        <v/>
      </c>
    </row>
    <row r="21">
      <c r="A21" s="31">
        <f>IF(B21=0,"",RANK(B21,$B$2:$B$86,0))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CEMPRO</t>
        </is>
      </c>
      <c r="D21" s="31" t="inlineStr">
        <is>
          <t>Cemindia Projects Ltd</t>
        </is>
      </c>
      <c r="E21" s="31" t="inlineStr">
        <is>
          <t>realty</t>
        </is>
      </c>
      <c r="F21" s="31" t="inlineStr">
        <is>
          <t>Infra - Construction &amp; Contracting</t>
        </is>
      </c>
      <c r="G21" s="31" t="inlineStr">
        <is>
          <t>largecap</t>
        </is>
      </c>
      <c r="H21" s="32" t="n">
        <v>25776.73</v>
      </c>
      <c r="I21" s="32" t="n">
        <v>1500.5</v>
      </c>
      <c r="J21" s="32" t="n">
        <v>0.44</v>
      </c>
      <c r="K21" s="32" t="n">
        <v>0</v>
      </c>
      <c r="L21" s="31" t="n">
        <v>96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82.29000000000001</v>
      </c>
      <c r="P21" s="32" t="n">
        <v>46.24</v>
      </c>
      <c r="Q21" s="32" t="n">
        <v>1150.9</v>
      </c>
      <c r="R21" s="31" t="inlineStr">
        <is>
          <t>Near 52W High Breakout</t>
        </is>
      </c>
      <c r="S21" s="31" t="inlineStr">
        <is>
          <t>Nifty Realty</t>
        </is>
      </c>
      <c r="T21" s="32" t="n">
        <v>-9.029999999999999</v>
      </c>
      <c r="U21" s="32" t="n">
        <v>71.89</v>
      </c>
      <c r="V21" s="32" t="n">
        <v>88.95999999999999</v>
      </c>
      <c r="W21" s="32" t="n">
        <v>48.73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17</t>
        </is>
      </c>
      <c r="CG21" s="31">
        <f>IF(CF21&gt;20,10,IF(CF21&gt;=10,5,2))</f>
        <v/>
      </c>
    </row>
    <row r="22">
      <c r="A22" s="31">
        <f>IF(B22=0,"",RANK(B22,$B$2:$B$86,0))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INDOTECH</t>
        </is>
      </c>
      <c r="D22" s="31" t="inlineStr">
        <is>
          <t>Indo Tech Transformers Ltd</t>
        </is>
      </c>
      <c r="E22" s="31" t="inlineStr">
        <is>
          <t>industrials</t>
        </is>
      </c>
      <c r="F22" s="31" t="inlineStr">
        <is>
          <t>Capital Goods - Transformers</t>
        </is>
      </c>
      <c r="G22" s="31" t="inlineStr">
        <is>
          <t>smallcap</t>
        </is>
      </c>
      <c r="H22" s="32" t="n">
        <v>3256.2</v>
      </c>
      <c r="I22" s="32" t="n">
        <v>3066.1</v>
      </c>
      <c r="J22" s="32" t="n">
        <v>0.5600000000000001</v>
      </c>
      <c r="K22" s="32" t="n">
        <v>0</v>
      </c>
      <c r="L22" s="31" t="n">
        <v>96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70.66</v>
      </c>
      <c r="P22" s="32" t="n">
        <v>43.96</v>
      </c>
      <c r="Q22" s="32" t="n">
        <v>2248.79</v>
      </c>
      <c r="R22" s="31" t="inlineStr">
        <is>
          <t>Near 52W High Breakout</t>
        </is>
      </c>
      <c r="S22" s="31" t="inlineStr">
        <is>
          <t>Nifty Infra</t>
        </is>
      </c>
      <c r="T22" s="32" t="n">
        <v>-0.07000000000000001</v>
      </c>
      <c r="U22" s="32" t="n">
        <v>64.26000000000001</v>
      </c>
      <c r="V22" s="32" t="n">
        <v>64.38</v>
      </c>
      <c r="W22" s="32" t="n">
        <v>46.58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Between 12 to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17</t>
        </is>
      </c>
      <c r="CG22" s="31">
        <f>IF(CF22&gt;20,10,IF(CF22&gt;=10,5,2))</f>
        <v/>
      </c>
    </row>
    <row r="23">
      <c r="A23" s="31">
        <f>IF(B23=0,"",RANK(B23,$B$2:$B$86,0))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PGIL</t>
        </is>
      </c>
      <c r="D23" s="34" t="inlineStr">
        <is>
          <t>Pearl Global Industries Ltd</t>
        </is>
      </c>
      <c r="E23" s="31" t="inlineStr">
        <is>
          <t>consumer discretionary</t>
        </is>
      </c>
      <c r="F23" s="31" t="inlineStr">
        <is>
          <t>Textiles - Readymade Apparel</t>
        </is>
      </c>
      <c r="G23" s="31" t="inlineStr">
        <is>
          <t>midcap</t>
        </is>
      </c>
      <c r="H23" s="32" t="n">
        <v>9042.85</v>
      </c>
      <c r="I23" s="32" t="n">
        <v>1958</v>
      </c>
      <c r="J23" s="32" t="n">
        <v>-0.64</v>
      </c>
      <c r="K23" s="32" t="n">
        <v>0</v>
      </c>
      <c r="L23" s="31" t="n">
        <v>55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63.43</v>
      </c>
      <c r="P23" s="32" t="n">
        <v>41.25</v>
      </c>
      <c r="Q23" s="32" t="n">
        <v>1572.08</v>
      </c>
      <c r="R23" s="31" t="inlineStr">
        <is>
          <t>Earnings / Momentum Support</t>
        </is>
      </c>
      <c r="S23" s="31" t="inlineStr">
        <is>
          <t>Nifty 50</t>
        </is>
      </c>
      <c r="T23" s="32" t="n">
        <v>-5.04</v>
      </c>
      <c r="U23" s="32" t="n">
        <v>30.4</v>
      </c>
      <c r="V23" s="32" t="n">
        <v>37.32</v>
      </c>
      <c r="W23" s="32" t="n">
        <v>11.97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16</t>
        </is>
      </c>
      <c r="CG23" s="31">
        <f>IF(CF23&gt;20,10,IF(CF23&gt;=10,5,2))</f>
        <v/>
      </c>
    </row>
    <row r="24">
      <c r="A24" s="31">
        <f>IF(B24=0,"",RANK(B24,$B$2:$B$86,0))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ATHERENERG</t>
        </is>
      </c>
      <c r="D24" s="31" t="inlineStr">
        <is>
          <t>Ather Energy Ltd</t>
        </is>
      </c>
      <c r="E24" s="31" t="inlineStr">
        <is>
          <t>auto</t>
        </is>
      </c>
      <c r="F24" s="31" t="inlineStr">
        <is>
          <t>Auto - 2 &amp; 3 Wheelers</t>
        </is>
      </c>
      <c r="G24" s="31" t="inlineStr">
        <is>
          <t>largecap</t>
        </is>
      </c>
      <c r="H24" s="32" t="n">
        <v>46089.45</v>
      </c>
      <c r="I24" s="32" t="n">
        <v>1203</v>
      </c>
      <c r="J24" s="32" t="n">
        <v>5.47</v>
      </c>
      <c r="K24" s="32" t="n">
        <v>0</v>
      </c>
      <c r="L24" s="31" t="n">
        <v>93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76.81999999999999</v>
      </c>
      <c r="P24" s="32" t="n">
        <v>53.01</v>
      </c>
      <c r="Q24" s="32" t="n">
        <v>928.6900000000001</v>
      </c>
      <c r="R24" s="31" t="inlineStr">
        <is>
          <t>Near 52W High Breakout</t>
        </is>
      </c>
      <c r="S24" s="31" t="inlineStr">
        <is>
          <t>Nifty Auto</t>
        </is>
      </c>
      <c r="T24" s="32" t="n">
        <v>13.79</v>
      </c>
      <c r="U24" s="32" t="n">
        <v>261.01</v>
      </c>
      <c r="V24" s="32" t="n">
        <v>217.26</v>
      </c>
      <c r="W24" s="32" t="n">
        <v>39.96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Negative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16</t>
        </is>
      </c>
      <c r="CG24" s="31">
        <f>IF(CF24&gt;20,10,IF(CF24&gt;=10,5,2))</f>
        <v/>
      </c>
    </row>
    <row r="25">
      <c r="A25" s="31">
        <f>IF(B25=0,"",RANK(B25,$B$2:$B$86,0))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BHARATSE</t>
        </is>
      </c>
      <c r="D25" s="31" t="inlineStr">
        <is>
          <t>Bharat Seats Ltd</t>
        </is>
      </c>
      <c r="E25" s="31" t="inlineStr">
        <is>
          <t>auto</t>
        </is>
      </c>
      <c r="F25" s="31" t="inlineStr">
        <is>
          <t>Auto Ancillaries - Seats</t>
        </is>
      </c>
      <c r="G25" s="31" t="inlineStr">
        <is>
          <t>smallcap</t>
        </is>
      </c>
      <c r="H25" s="32" t="n">
        <v>1454.45</v>
      </c>
      <c r="I25" s="32" t="n">
        <v>231.6</v>
      </c>
      <c r="J25" s="32" t="n">
        <v>-1.3</v>
      </c>
      <c r="K25" s="32" t="n">
        <v>0</v>
      </c>
      <c r="L25" s="31" t="n">
        <v>86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63.8</v>
      </c>
      <c r="P25" s="32" t="n">
        <v>25.76</v>
      </c>
      <c r="Q25" s="32" t="n">
        <v>168.43</v>
      </c>
      <c r="R25" s="31" t="inlineStr">
        <is>
          <t>Near 52W High Breakout</t>
        </is>
      </c>
      <c r="S25" s="31" t="inlineStr">
        <is>
          <t>Nifty Auto</t>
        </is>
      </c>
      <c r="T25" s="32" t="n">
        <v>13.79</v>
      </c>
      <c r="U25" s="32" t="n">
        <v>119.97</v>
      </c>
      <c r="V25" s="32" t="n">
        <v>93.31</v>
      </c>
      <c r="W25" s="32" t="n">
        <v>30.2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Between 12 to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16</t>
        </is>
      </c>
      <c r="CG25" s="31">
        <f>IF(CF25&gt;20,10,IF(CF25&gt;=10,5,2))</f>
        <v/>
      </c>
    </row>
    <row r="26">
      <c r="A26" s="31">
        <f>IF(B26=0,"",RANK(B26,$B$2:$B$86,0))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SANGAMIND</t>
        </is>
      </c>
      <c r="D26" s="34" t="inlineStr">
        <is>
          <t>Sangam (India) Ltd</t>
        </is>
      </c>
      <c r="E26" s="31" t="inlineStr">
        <is>
          <t>textiles</t>
        </is>
      </c>
      <c r="F26" s="31" t="inlineStr">
        <is>
          <t>Textiles - Spinning</t>
        </is>
      </c>
      <c r="G26" s="31" t="inlineStr">
        <is>
          <t>smallcap</t>
        </is>
      </c>
      <c r="H26" s="32" t="n">
        <v>2773.61</v>
      </c>
      <c r="I26" s="32" t="n">
        <v>552</v>
      </c>
      <c r="J26" s="32" t="n">
        <v>-0.03</v>
      </c>
      <c r="K26" s="32" t="n">
        <v>0</v>
      </c>
      <c r="L26" s="31" t="n">
        <v>43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66.98</v>
      </c>
      <c r="P26" s="32" t="n">
        <v>40.77</v>
      </c>
      <c r="Q26" s="32" t="n">
        <v>431.12</v>
      </c>
      <c r="R26" s="31" t="inlineStr">
        <is>
          <t>Near 52W High Breakout</t>
        </is>
      </c>
      <c r="S26" s="31" t="inlineStr">
        <is>
          <t>Nifty 50</t>
        </is>
      </c>
      <c r="T26" s="32" t="n">
        <v>-5.04</v>
      </c>
      <c r="U26" s="32" t="n">
        <v>22.67</v>
      </c>
      <c r="V26" s="32" t="n">
        <v>29.19</v>
      </c>
      <c r="W26" s="32" t="n">
        <v>8.970000000000001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Between 0.7 to 1.2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16</t>
        </is>
      </c>
      <c r="CG26" s="31">
        <f>IF(CF26&gt;20,10,IF(CF26&gt;=10,5,2))</f>
        <v/>
      </c>
    </row>
    <row r="27">
      <c r="A27" s="31">
        <f>IF(B27=0,"",RANK(B27,$B$2:$B$86,0))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RISHABH</t>
        </is>
      </c>
      <c r="D27" s="31" t="inlineStr">
        <is>
          <t>Rishabh Instruments Ltd</t>
        </is>
      </c>
      <c r="E27" s="31" t="inlineStr">
        <is>
          <t>industrials</t>
        </is>
      </c>
      <c r="F27" s="31" t="inlineStr">
        <is>
          <t>Capital Goods - Electric General</t>
        </is>
      </c>
      <c r="G27" s="31" t="inlineStr">
        <is>
          <t>smallcap</t>
        </is>
      </c>
      <c r="H27" s="32" t="n">
        <v>2511.09</v>
      </c>
      <c r="I27" s="32" t="n">
        <v>649.5</v>
      </c>
      <c r="J27" s="32" t="n">
        <v>3.16</v>
      </c>
      <c r="K27" s="32" t="n">
        <v>0</v>
      </c>
      <c r="L27" s="31" t="n">
        <v>85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72.23999999999999</v>
      </c>
      <c r="P27" s="32" t="n">
        <v>39.45</v>
      </c>
      <c r="Q27" s="32" t="n">
        <v>471.58</v>
      </c>
      <c r="R27" s="31" t="inlineStr">
        <is>
          <t>Near 52W High Breakout</t>
        </is>
      </c>
      <c r="S27" s="31" t="inlineStr">
        <is>
          <t>Nifty Infra</t>
        </is>
      </c>
      <c r="T27" s="32" t="n">
        <v>-0.07000000000000001</v>
      </c>
      <c r="U27" s="32" t="n">
        <v>119.83</v>
      </c>
      <c r="V27" s="32" t="n">
        <v>119.99</v>
      </c>
      <c r="W27" s="32" t="n">
        <v>28.25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16</t>
        </is>
      </c>
      <c r="CG27" s="31">
        <f>IF(CF27&gt;20,10,IF(CF27&gt;=10,5,2))</f>
        <v/>
      </c>
    </row>
    <row r="28">
      <c r="A28" s="31">
        <f>IF(B28=0,"",RANK(B28,$B$2:$B$86,0))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ASTRAMICRO</t>
        </is>
      </c>
      <c r="D28" s="34" t="inlineStr">
        <is>
          <t>Astra Microwave Products Ltd</t>
        </is>
      </c>
      <c r="E28" s="31" t="inlineStr">
        <is>
          <t>aerospace &amp; defence</t>
        </is>
      </c>
      <c r="F28" s="31" t="inlineStr">
        <is>
          <t>Aerospace &amp; Defence - Equipments</t>
        </is>
      </c>
      <c r="G28" s="31" t="inlineStr">
        <is>
          <t>midcap</t>
        </is>
      </c>
      <c r="H28" s="32" t="n">
        <v>17279.99</v>
      </c>
      <c r="I28" s="32" t="n">
        <v>1820</v>
      </c>
      <c r="J28" s="32" t="n">
        <v>2.12</v>
      </c>
      <c r="K28" s="32" t="n">
        <v>0</v>
      </c>
      <c r="L28" s="31" t="n">
        <v>88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81.94</v>
      </c>
      <c r="P28" s="32" t="n">
        <v>48.38</v>
      </c>
      <c r="Q28" s="32" t="n">
        <v>1485.34</v>
      </c>
      <c r="R28" s="31" t="inlineStr">
        <is>
          <t>Near 52W High Breakout</t>
        </is>
      </c>
      <c r="S28" s="31" t="inlineStr">
        <is>
          <t>Nifty 50</t>
        </is>
      </c>
      <c r="T28" s="32" t="n">
        <v>-5.04</v>
      </c>
      <c r="U28" s="32" t="n">
        <v>82.48</v>
      </c>
      <c r="V28" s="32" t="n">
        <v>92.16</v>
      </c>
      <c r="W28" s="32" t="n">
        <v>31.94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15</t>
        </is>
      </c>
      <c r="CG28" s="31">
        <f>IF(CF28&gt;20,10,IF(CF28&gt;=10,5,2))</f>
        <v/>
      </c>
    </row>
    <row r="29">
      <c r="A29" s="31">
        <f>IF(B29=0,"",RANK(B29,$B$2:$B$86,0))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VADILALIND</t>
        </is>
      </c>
      <c r="D29" s="31" t="inlineStr">
        <is>
          <t>Vadilal Industries Ltd</t>
        </is>
      </c>
      <c r="E29" s="31" t="inlineStr">
        <is>
          <t>fmcg</t>
        </is>
      </c>
      <c r="F29" s="31" t="inlineStr">
        <is>
          <t>FMCG - Dairy Products</t>
        </is>
      </c>
      <c r="G29" s="31" t="inlineStr">
        <is>
          <t>smallcap</t>
        </is>
      </c>
      <c r="H29" s="32" t="n">
        <v>4545.94</v>
      </c>
      <c r="I29" s="32" t="n">
        <v>6324.5</v>
      </c>
      <c r="J29" s="32" t="n">
        <v>-2.58</v>
      </c>
      <c r="K29" s="32" t="n">
        <v>0</v>
      </c>
      <c r="L29" s="31" t="n">
        <v>60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67.69</v>
      </c>
      <c r="P29" s="32" t="n">
        <v>22.6</v>
      </c>
      <c r="Q29" s="32" t="n">
        <v>5026.21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-12.4</v>
      </c>
      <c r="U29" s="32" t="n">
        <v>20.44</v>
      </c>
      <c r="V29" s="32" t="n">
        <v>37.49</v>
      </c>
      <c r="W29" s="32" t="n">
        <v>13.09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21</t>
        </is>
      </c>
      <c r="CG29" s="31">
        <f>IF(CF29&gt;20,10,IF(CF29&gt;=10,5,2))</f>
        <v/>
      </c>
    </row>
    <row r="30">
      <c r="A30" s="31">
        <f>IF(B30=0,"",RANK(B30,$B$2:$B$86,0))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RPTECH</t>
        </is>
      </c>
      <c r="D30" s="31" t="inlineStr">
        <is>
          <t>Rashi Peripherals Ltd</t>
        </is>
      </c>
      <c r="E30" s="31" t="inlineStr">
        <is>
          <t>services</t>
        </is>
      </c>
      <c r="F30" s="31" t="inlineStr">
        <is>
          <t>Trading</t>
        </is>
      </c>
      <c r="G30" s="31" t="inlineStr">
        <is>
          <t>smallcap</t>
        </is>
      </c>
      <c r="H30" s="32" t="n">
        <v>4844.28</v>
      </c>
      <c r="I30" s="32" t="n">
        <v>735.1</v>
      </c>
      <c r="J30" s="32" t="n">
        <v>-2.32</v>
      </c>
      <c r="K30" s="32" t="n">
        <v>0</v>
      </c>
      <c r="L30" s="31" t="n">
        <v>93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80.48999999999999</v>
      </c>
      <c r="P30" s="32" t="n">
        <v>68.39</v>
      </c>
      <c r="Q30" s="32" t="n">
        <v>607.49</v>
      </c>
      <c r="R30" s="31" t="inlineStr">
        <is>
          <t>Earnings / Momentum Support</t>
        </is>
      </c>
      <c r="S30" s="31" t="inlineStr">
        <is>
          <t>Nifty 50</t>
        </is>
      </c>
      <c r="T30" s="32" t="n">
        <v>-5.04</v>
      </c>
      <c r="U30" s="32" t="n">
        <v>148.18</v>
      </c>
      <c r="V30" s="32" t="n">
        <v>161.35</v>
      </c>
      <c r="W30" s="32" t="n">
        <v>39.66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22</t>
        </is>
      </c>
      <c r="CG30" s="31">
        <f>IF(CF30&gt;20,10,IF(CF30&gt;=10,5,2))</f>
        <v/>
      </c>
    </row>
    <row r="31">
      <c r="A31" s="31">
        <f>IF(B31=0,"",RANK(B31,$B$2:$B$86,0))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RAMCOSYS</t>
        </is>
      </c>
      <c r="D31" s="31" t="inlineStr">
        <is>
          <t>Ramco Systems Ltd</t>
        </is>
      </c>
      <c r="E31" s="31" t="inlineStr">
        <is>
          <t>i.t</t>
        </is>
      </c>
      <c r="F31" s="31" t="inlineStr">
        <is>
          <t>IT Product Companies</t>
        </is>
      </c>
      <c r="G31" s="31" t="inlineStr">
        <is>
          <t>smallcap</t>
        </is>
      </c>
      <c r="H31" s="32" t="n">
        <v>3213.43</v>
      </c>
      <c r="I31" s="32" t="n">
        <v>855</v>
      </c>
      <c r="J31" s="32" t="n">
        <v>-2.85</v>
      </c>
      <c r="K31" s="32" t="n">
        <v>0</v>
      </c>
      <c r="L31" s="31" t="n">
        <v>94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78.03</v>
      </c>
      <c r="P31" s="32" t="n">
        <v>23.08</v>
      </c>
      <c r="Q31" s="32" t="n">
        <v>607.04</v>
      </c>
      <c r="R31" s="31" t="inlineStr">
        <is>
          <t>Near 52W High Breakout</t>
        </is>
      </c>
      <c r="S31" s="31" t="inlineStr">
        <is>
          <t>Nifty IT</t>
        </is>
      </c>
      <c r="T31" s="32" t="n">
        <v>-26.9</v>
      </c>
      <c r="U31" s="32" t="n">
        <v>121.42</v>
      </c>
      <c r="V31" s="32" t="n">
        <v>202.88</v>
      </c>
      <c r="W31" s="32" t="n">
        <v>43.74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20</t>
        </is>
      </c>
      <c r="CG31" s="31">
        <f>IF(CF31&gt;20,10,IF(CF31&gt;=10,5,2))</f>
        <v/>
      </c>
    </row>
    <row r="32">
      <c r="A32" s="31">
        <f>IF(B32=0,"",RANK(B32,$B$2:$B$86,0))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GHCLTEXTIL</t>
        </is>
      </c>
      <c r="D32" s="31" t="inlineStr">
        <is>
          <t>GHCL Textiles Ltd</t>
        </is>
      </c>
      <c r="E32" s="31" t="inlineStr">
        <is>
          <t>textiles</t>
        </is>
      </c>
      <c r="F32" s="31" t="inlineStr">
        <is>
          <t>Textiles - General</t>
        </is>
      </c>
      <c r="G32" s="31" t="inlineStr">
        <is>
          <t>smallcap</t>
        </is>
      </c>
      <c r="H32" s="32" t="n">
        <v>1009.86</v>
      </c>
      <c r="I32" s="32" t="n">
        <v>105.65</v>
      </c>
      <c r="J32" s="32" t="n">
        <v>-4.58</v>
      </c>
      <c r="K32" s="32" t="n">
        <v>0</v>
      </c>
      <c r="L32" s="31" t="n">
        <v>44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65.67</v>
      </c>
      <c r="P32" s="32" t="n">
        <v>22.06</v>
      </c>
      <c r="Q32" s="32" t="n">
        <v>80.63</v>
      </c>
      <c r="R32" s="31" t="inlineStr">
        <is>
          <t>Near 52W High Breakout</t>
        </is>
      </c>
      <c r="S32" s="31" t="inlineStr">
        <is>
          <t>Nifty 50</t>
        </is>
      </c>
      <c r="T32" s="32" t="n">
        <v>-5.04</v>
      </c>
      <c r="U32" s="32" t="n">
        <v>17.31</v>
      </c>
      <c r="V32" s="32" t="n">
        <v>23.53</v>
      </c>
      <c r="W32" s="32" t="n">
        <v>9.109999999999999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IF(B33=0,"",RANK(B33,$B$2:$B$86,0))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SIGNPOST</t>
        </is>
      </c>
      <c r="D33" s="34" t="inlineStr">
        <is>
          <t>Signpost India Ltd</t>
        </is>
      </c>
      <c r="E33" s="31" t="inlineStr">
        <is>
          <t>miscellaneous</t>
        </is>
      </c>
      <c r="F33" s="31" t="inlineStr">
        <is>
          <t>Advertisement</t>
        </is>
      </c>
      <c r="G33" s="31" t="inlineStr">
        <is>
          <t>smallcap</t>
        </is>
      </c>
      <c r="H33" s="32" t="n">
        <v>1671.92</v>
      </c>
      <c r="I33" s="32" t="n">
        <v>312.8</v>
      </c>
      <c r="J33" s="32" t="n">
        <v>5.14</v>
      </c>
      <c r="K33" s="32" t="n">
        <v>0</v>
      </c>
      <c r="L33" s="31" t="n">
        <v>48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64.43000000000001</v>
      </c>
      <c r="P33" s="32" t="n">
        <v>30.34</v>
      </c>
      <c r="Q33" s="32" t="n">
        <v>211.88</v>
      </c>
      <c r="R33" s="31" t="inlineStr">
        <is>
          <t>Near 52W High Breakout</t>
        </is>
      </c>
      <c r="S33" s="31" t="inlineStr">
        <is>
          <t>Nifty 50</t>
        </is>
      </c>
      <c r="T33" s="32" t="n">
        <v>-5.04</v>
      </c>
      <c r="U33" s="32" t="n">
        <v>18.19</v>
      </c>
      <c r="V33" s="32" t="n">
        <v>24.47</v>
      </c>
      <c r="W33" s="32" t="n">
        <v>10.21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17</t>
        </is>
      </c>
      <c r="CG33" s="31">
        <f>IF(CF33&gt;20,10,IF(CF33&gt;=10,5,2))</f>
        <v/>
      </c>
    </row>
    <row r="34">
      <c r="A34" s="31">
        <f>IF(B34=0,"",RANK(B34,$B$2:$B$86,0))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PSPPROJECT</t>
        </is>
      </c>
      <c r="D34" s="31" t="inlineStr">
        <is>
          <t>PSP Projects Ltd</t>
        </is>
      </c>
      <c r="E34" s="31" t="inlineStr">
        <is>
          <t>realty</t>
        </is>
      </c>
      <c r="F34" s="31" t="inlineStr">
        <is>
          <t>Construction &amp; Contracting</t>
        </is>
      </c>
      <c r="G34" s="31" t="inlineStr">
        <is>
          <t>smallcap</t>
        </is>
      </c>
      <c r="H34" s="32" t="n">
        <v>4118.78</v>
      </c>
      <c r="I34" s="32" t="n">
        <v>1039</v>
      </c>
      <c r="J34" s="32" t="n">
        <v>-3.02</v>
      </c>
      <c r="K34" s="32" t="n">
        <v>0</v>
      </c>
      <c r="L34" s="31" t="n">
        <v>73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71.09</v>
      </c>
      <c r="P34" s="32" t="n">
        <v>25.76</v>
      </c>
      <c r="Q34" s="32" t="n">
        <v>786.7</v>
      </c>
      <c r="R34" s="31" t="inlineStr">
        <is>
          <t>Volume Spike &amp; Near 52W High Breakout</t>
        </is>
      </c>
      <c r="S34" s="31" t="inlineStr">
        <is>
          <t>Nifty Realty</t>
        </is>
      </c>
      <c r="T34" s="32" t="n">
        <v>-9.029999999999999</v>
      </c>
      <c r="U34" s="32" t="n">
        <v>37.11</v>
      </c>
      <c r="V34" s="32" t="n">
        <v>50.72</v>
      </c>
      <c r="W34" s="32" t="n">
        <v>18.58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15</t>
        </is>
      </c>
      <c r="CG34" s="31">
        <f>IF(CF34&gt;20,10,IF(CF34&gt;=10,5,2))</f>
        <v/>
      </c>
    </row>
    <row r="35">
      <c r="A35" s="31">
        <f>IF(B35=0,"",RANK(B35,$B$2:$B$86,0))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MINDACORP</t>
        </is>
      </c>
      <c r="D35" s="34" t="inlineStr">
        <is>
          <t>Minda Corporation Ltd</t>
        </is>
      </c>
      <c r="E35" s="31" t="inlineStr">
        <is>
          <t>auto</t>
        </is>
      </c>
      <c r="F35" s="31" t="inlineStr">
        <is>
          <t>Auto Ancillaries - Diversified</t>
        </is>
      </c>
      <c r="G35" s="31" t="inlineStr">
        <is>
          <t>midcap</t>
        </is>
      </c>
      <c r="H35" s="32" t="n">
        <v>16348.25</v>
      </c>
      <c r="I35" s="32" t="n">
        <v>683.8</v>
      </c>
      <c r="J35" s="32" t="n">
        <v>-0.36</v>
      </c>
      <c r="K35" s="32" t="n">
        <v>0</v>
      </c>
      <c r="L35" s="31" t="n">
        <v>64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66.90000000000001</v>
      </c>
      <c r="P35" s="32" t="n">
        <v>23.85</v>
      </c>
      <c r="Q35" s="32" t="n">
        <v>574.24</v>
      </c>
      <c r="R35" s="31" t="inlineStr">
        <is>
          <t>Near 52W High Breakout</t>
        </is>
      </c>
      <c r="S35" s="31" t="inlineStr">
        <is>
          <t>Nifty Auto</t>
        </is>
      </c>
      <c r="T35" s="32" t="n">
        <v>13.79</v>
      </c>
      <c r="U35" s="32" t="n">
        <v>36.15</v>
      </c>
      <c r="V35" s="32" t="n">
        <v>19.65</v>
      </c>
      <c r="W35" s="32" t="n">
        <v>14.03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15</t>
        </is>
      </c>
      <c r="CG35" s="31">
        <f>IF(CF35&gt;20,10,IF(CF35&gt;=10,5,2))</f>
        <v/>
      </c>
    </row>
    <row r="36">
      <c r="A36" s="31">
        <f>IF(B36=0,"",RANK(B36,$B$2:$B$86,0))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RATEGAIN</t>
        </is>
      </c>
      <c r="D36" s="31" t="inlineStr">
        <is>
          <t>Rategain Travel Technologies Ltd</t>
        </is>
      </c>
      <c r="E36" s="31" t="inlineStr">
        <is>
          <t>i.t</t>
        </is>
      </c>
      <c r="F36" s="31" t="inlineStr">
        <is>
          <t>IT Product Companies</t>
        </is>
      </c>
      <c r="G36" s="31" t="inlineStr">
        <is>
          <t>midcap</t>
        </is>
      </c>
      <c r="H36" s="32" t="n">
        <v>10883.31</v>
      </c>
      <c r="I36" s="32" t="n">
        <v>919</v>
      </c>
      <c r="J36" s="32" t="n">
        <v>-3.11</v>
      </c>
      <c r="K36" s="32" t="n">
        <v>0</v>
      </c>
      <c r="L36" s="31" t="n">
        <v>87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74.43000000000001</v>
      </c>
      <c r="P36" s="32" t="n">
        <v>30.63</v>
      </c>
      <c r="Q36" s="32" t="n">
        <v>734.86</v>
      </c>
      <c r="R36" s="31" t="inlineStr">
        <is>
          <t>Near 52W High Breakout</t>
        </is>
      </c>
      <c r="S36" s="31" t="inlineStr">
        <is>
          <t>Nifty IT</t>
        </is>
      </c>
      <c r="T36" s="32" t="n">
        <v>-26.9</v>
      </c>
      <c r="U36" s="32" t="n">
        <v>94.73999999999999</v>
      </c>
      <c r="V36" s="32" t="n">
        <v>166.39</v>
      </c>
      <c r="W36" s="32" t="n">
        <v>30.6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Between 50% to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15</t>
        </is>
      </c>
      <c r="CG36" s="31">
        <f>IF(CF36&gt;20,10,IF(CF36&gt;=10,5,2))</f>
        <v/>
      </c>
    </row>
    <row r="37">
      <c r="A37" s="31">
        <f>IF(B37=0,"",RANK(B37,$B$2:$B$86,0))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TAALTECH</t>
        </is>
      </c>
      <c r="D37" s="31" t="inlineStr">
        <is>
          <t>TAAL Tech Ltd</t>
        </is>
      </c>
      <c r="E37" s="31" t="inlineStr">
        <is>
          <t>Industrials</t>
        </is>
      </c>
      <c r="F37" s="31" t="inlineStr">
        <is>
          <t>Air Transport Service</t>
        </is>
      </c>
      <c r="G37" s="31" t="inlineStr">
        <is>
          <t>smallcap</t>
        </is>
      </c>
      <c r="H37" s="32" t="n">
        <v>1215.37</v>
      </c>
      <c r="I37" s="32" t="n">
        <v>3900</v>
      </c>
      <c r="J37" s="32" t="n">
        <v>-0.77</v>
      </c>
      <c r="K37" s="32" t="n">
        <v>0</v>
      </c>
      <c r="L37" s="31" t="n">
        <v>39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65.84</v>
      </c>
      <c r="P37" s="32" t="n">
        <v>24.76</v>
      </c>
      <c r="Q37" s="32" t="n">
        <v>2925.31</v>
      </c>
      <c r="R37" s="31" t="inlineStr">
        <is>
          <t>Near 52W High Breakout</t>
        </is>
      </c>
      <c r="S37" s="31" t="inlineStr">
        <is>
          <t>Nifty 50</t>
        </is>
      </c>
      <c r="T37" s="32" t="n">
        <v>-5.04</v>
      </c>
      <c r="U37" s="32" t="n">
        <v>9.76</v>
      </c>
      <c r="V37" s="32" t="n">
        <v>15.59</v>
      </c>
      <c r="W37" s="32" t="n">
        <v>8.32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15</t>
        </is>
      </c>
      <c r="CG37" s="31">
        <f>IF(CF37&gt;20,10,IF(CF37&gt;=10,5,2))</f>
        <v/>
      </c>
    </row>
    <row r="38">
      <c r="A38" s="31">
        <f>IF(B38=0,"",RANK(B38,$B$2:$B$86,0))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KMCSHIL</t>
        </is>
      </c>
      <c r="D38" s="31" t="inlineStr">
        <is>
          <t>KMC Speciality Hospitals (India) Ltd</t>
        </is>
      </c>
      <c r="E38" s="31" t="inlineStr">
        <is>
          <t>Healthcare</t>
        </is>
      </c>
      <c r="F38" s="31" t="inlineStr">
        <is>
          <t>Hospitals</t>
        </is>
      </c>
      <c r="G38" s="31" t="inlineStr">
        <is>
          <t>smallcap</t>
        </is>
      </c>
      <c r="H38" s="32" t="n">
        <v>2076.07</v>
      </c>
      <c r="I38" s="32" t="n">
        <v>127.3</v>
      </c>
      <c r="J38" s="32" t="n">
        <v>-0.9</v>
      </c>
      <c r="K38" s="32" t="n">
        <v>0</v>
      </c>
      <c r="L38" s="31" t="n">
        <v>81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74.63</v>
      </c>
      <c r="P38" s="32" t="n">
        <v>63.6</v>
      </c>
      <c r="Q38" s="32" t="n">
        <v>105.23</v>
      </c>
      <c r="R38" s="31" t="inlineStr">
        <is>
          <t>Earnings / Momentum Support</t>
        </is>
      </c>
      <c r="S38" s="31" t="inlineStr">
        <is>
          <t>Nifty Pharma</t>
        </is>
      </c>
      <c r="T38" s="32" t="n">
        <v>14.42</v>
      </c>
      <c r="U38" s="32" t="n">
        <v>93.77</v>
      </c>
      <c r="V38" s="32" t="n">
        <v>69.36</v>
      </c>
      <c r="W38" s="32" t="n">
        <v>24.43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22</t>
        </is>
      </c>
      <c r="CG38" s="31">
        <f>IF(CF38&gt;20,10,IF(CF38&gt;=10,5,2))</f>
        <v/>
      </c>
    </row>
    <row r="39">
      <c r="A39" s="31">
        <f>IF(B39=0,"",RANK(B39,$B$2:$B$86,0))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NGLFINE</t>
        </is>
      </c>
      <c r="D39" s="31" t="inlineStr">
        <is>
          <t>NGL Fine Chem Ltd</t>
        </is>
      </c>
      <c r="E39" s="31" t="inlineStr">
        <is>
          <t>healthcare</t>
        </is>
      </c>
      <c r="F39" s="31" t="inlineStr">
        <is>
          <t>Pharma - Animal</t>
        </is>
      </c>
      <c r="G39" s="31" t="inlineStr">
        <is>
          <t>smallcap</t>
        </is>
      </c>
      <c r="H39" s="32" t="n">
        <v>2005.76</v>
      </c>
      <c r="I39" s="32" t="n">
        <v>3246.6</v>
      </c>
      <c r="J39" s="32" t="n">
        <v>4.99</v>
      </c>
      <c r="K39" s="32" t="n">
        <v>0</v>
      </c>
      <c r="L39" s="31" t="n">
        <v>87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79.62</v>
      </c>
      <c r="P39" s="32" t="n">
        <v>67.73</v>
      </c>
      <c r="Q39" s="32" t="n">
        <v>2211.29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14.42</v>
      </c>
      <c r="U39" s="32" t="n">
        <v>147.85</v>
      </c>
      <c r="V39" s="32" t="n">
        <v>116.62</v>
      </c>
      <c r="W39" s="32" t="n">
        <v>30.28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18</t>
        </is>
      </c>
      <c r="CG39" s="31">
        <f>IF(CF39&gt;20,10,IF(CF39&gt;=10,5,2))</f>
        <v/>
      </c>
    </row>
    <row r="40">
      <c r="A40" s="31">
        <f>IF(B40=0,"",RANK(B40,$B$2:$B$86,0))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ACUTAAS</t>
        </is>
      </c>
      <c r="D40" s="31" t="inlineStr">
        <is>
          <t>Acutaas Chemicals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largecap</t>
        </is>
      </c>
      <c r="H40" s="32" t="n">
        <v>28323.31</v>
      </c>
      <c r="I40" s="32" t="n">
        <v>3459.5</v>
      </c>
      <c r="J40" s="32" t="n">
        <v>2.02</v>
      </c>
      <c r="K40" s="32" t="n">
        <v>0</v>
      </c>
      <c r="L40" s="31" t="n">
        <v>92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70.19</v>
      </c>
      <c r="P40" s="32" t="n">
        <v>66.61</v>
      </c>
      <c r="Q40" s="32" t="n">
        <v>2875.02</v>
      </c>
      <c r="R40" s="31" t="inlineStr">
        <is>
          <t>Earnings / Momentum Support</t>
        </is>
      </c>
      <c r="S40" s="31" t="inlineStr">
        <is>
          <t>Nifty Pharma</t>
        </is>
      </c>
      <c r="T40" s="32" t="n">
        <v>14.42</v>
      </c>
      <c r="U40" s="32" t="n">
        <v>201.64</v>
      </c>
      <c r="V40" s="32" t="n">
        <v>163.64</v>
      </c>
      <c r="W40" s="32" t="n">
        <v>35.13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18</t>
        </is>
      </c>
      <c r="CG40" s="31">
        <f>IF(CF40&gt;20,10,IF(CF40&gt;=10,5,2))</f>
        <v/>
      </c>
    </row>
    <row r="41">
      <c r="A41" s="31">
        <f>IF(B41=0,"",RANK(B41,$B$2:$B$86,0))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SENORES</t>
        </is>
      </c>
      <c r="D41" s="31" t="inlineStr">
        <is>
          <t>Senores Pharmaceuticals Ltd</t>
        </is>
      </c>
      <c r="E41" s="31" t="inlineStr">
        <is>
          <t>healthcare</t>
        </is>
      </c>
      <c r="F41" s="31" t="inlineStr">
        <is>
          <t>Pharma - API</t>
        </is>
      </c>
      <c r="G41" s="31" t="inlineStr">
        <is>
          <t>midcap</t>
        </is>
      </c>
      <c r="H41" s="32" t="n">
        <v>6562.18</v>
      </c>
      <c r="I41" s="32" t="n">
        <v>1424.9</v>
      </c>
      <c r="J41" s="32" t="n">
        <v>4.86</v>
      </c>
      <c r="K41" s="32" t="n">
        <v>0</v>
      </c>
      <c r="L41" s="31" t="n">
        <v>91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77.98</v>
      </c>
      <c r="P41" s="32" t="n">
        <v>57.2</v>
      </c>
      <c r="Q41" s="32" t="n">
        <v>1098.15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14.42</v>
      </c>
      <c r="U41" s="32" t="n">
        <v>130.55</v>
      </c>
      <c r="V41" s="32" t="n">
        <v>101.5</v>
      </c>
      <c r="W41" s="32" t="n">
        <v>35.01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16</t>
        </is>
      </c>
      <c r="CG41" s="31">
        <f>IF(CF41&gt;20,10,IF(CF41&gt;=10,5,2))</f>
        <v/>
      </c>
    </row>
    <row r="42">
      <c r="A42" s="31">
        <f>IF(B42=0,"",RANK(B42,$B$2:$B$86,0))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SPARC</t>
        </is>
      </c>
      <c r="D42" s="31" t="inlineStr">
        <is>
          <t>Sun Pharma Advanced Research Company Ltd</t>
        </is>
      </c>
      <c r="E42" s="31" t="inlineStr">
        <is>
          <t>healthcare</t>
        </is>
      </c>
      <c r="F42" s="31" t="inlineStr">
        <is>
          <t>Pharma - Others</t>
        </is>
      </c>
      <c r="G42" s="31" t="inlineStr">
        <is>
          <t>midcap</t>
        </is>
      </c>
      <c r="H42" s="32" t="n">
        <v>8729.629999999999</v>
      </c>
      <c r="I42" s="32" t="n">
        <v>269</v>
      </c>
      <c r="J42" s="32" t="n">
        <v>1</v>
      </c>
      <c r="K42" s="32" t="n">
        <v>0</v>
      </c>
      <c r="L42" s="31" t="n">
        <v>88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78.98</v>
      </c>
      <c r="P42" s="32" t="n">
        <v>61.89</v>
      </c>
      <c r="Q42" s="32" t="n">
        <v>194.15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14.42</v>
      </c>
      <c r="U42" s="32" t="n">
        <v>69.44</v>
      </c>
      <c r="V42" s="32" t="n">
        <v>48.09</v>
      </c>
      <c r="W42" s="32" t="n">
        <v>31.79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Negative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16</t>
        </is>
      </c>
      <c r="CG42" s="31">
        <f>IF(CF42&gt;20,10,IF(CF42&gt;=10,5,2))</f>
        <v/>
      </c>
    </row>
    <row r="43">
      <c r="A43" s="31">
        <f>IF(B43=0,"",RANK(B43,$B$2:$B$86,0))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NEULANDLAB</t>
        </is>
      </c>
      <c r="D43" s="31" t="inlineStr">
        <is>
          <t>Neuland Laboratories Ltd</t>
        </is>
      </c>
      <c r="E43" s="31" t="inlineStr">
        <is>
          <t>healthcare</t>
        </is>
      </c>
      <c r="F43" s="31" t="inlineStr">
        <is>
          <t>Pharma - API &amp; CRAMS</t>
        </is>
      </c>
      <c r="G43" s="31" t="inlineStr">
        <is>
          <t>largecap</t>
        </is>
      </c>
      <c r="H43" s="32" t="n">
        <v>24376.79</v>
      </c>
      <c r="I43" s="32" t="n">
        <v>19000</v>
      </c>
      <c r="J43" s="32" t="n">
        <v>0.53</v>
      </c>
      <c r="K43" s="32" t="n">
        <v>0</v>
      </c>
      <c r="L43" s="31" t="n">
        <v>67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68.69</v>
      </c>
      <c r="P43" s="32" t="n">
        <v>38.15</v>
      </c>
      <c r="Q43" s="32" t="n">
        <v>15152.01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14.42</v>
      </c>
      <c r="U43" s="32" t="n">
        <v>53.68</v>
      </c>
      <c r="V43" s="32" t="n">
        <v>34.32</v>
      </c>
      <c r="W43" s="32" t="n">
        <v>15.44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15</t>
        </is>
      </c>
      <c r="CG43" s="31">
        <f>IF(CF43&gt;20,10,IF(CF43&gt;=10,5,2))</f>
        <v/>
      </c>
    </row>
    <row r="44">
      <c r="A44" s="31">
        <f>IF(B44=0,"",RANK(B44,$B$2:$B$86,0))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KMEW</t>
        </is>
      </c>
      <c r="D44" s="31" t="inlineStr">
        <is>
          <t>Knowledge Marine &amp; Engineering Works Ltd</t>
        </is>
      </c>
      <c r="E44" s="31" t="inlineStr">
        <is>
          <t>transportation</t>
        </is>
      </c>
      <c r="F44" s="31" t="inlineStr">
        <is>
          <t>Shipping</t>
        </is>
      </c>
      <c r="G44" s="31" t="inlineStr">
        <is>
          <t>midcap</t>
        </is>
      </c>
      <c r="H44" s="32" t="n">
        <v>5510.4</v>
      </c>
      <c r="I44" s="32" t="n">
        <v>2240</v>
      </c>
      <c r="J44" s="32" t="n">
        <v>-1.95</v>
      </c>
      <c r="K44" s="32" t="n">
        <v>0</v>
      </c>
      <c r="L44" s="31" t="n">
        <v>85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66.26000000000001</v>
      </c>
      <c r="P44" s="32" t="n">
        <v>41.89</v>
      </c>
      <c r="Q44" s="32" t="n">
        <v>1560.82</v>
      </c>
      <c r="R44" s="31" t="inlineStr">
        <is>
          <t>Near 52W High Breakout</t>
        </is>
      </c>
      <c r="S44" s="31" t="inlineStr">
        <is>
          <t>Nifty 50</t>
        </is>
      </c>
      <c r="T44" s="32" t="n">
        <v>-5.04</v>
      </c>
      <c r="U44" s="32" t="n">
        <v>172.59</v>
      </c>
      <c r="V44" s="32" t="n">
        <v>187.06</v>
      </c>
      <c r="W44" s="32" t="n">
        <v>28.76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Negative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IF(B45=0,"",RANK(B45,$B$2:$B$86,0))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WELCORP</t>
        </is>
      </c>
      <c r="D45" s="31" t="inlineStr">
        <is>
          <t>Welspun Corp Ltd</t>
        </is>
      </c>
      <c r="E45" s="31" t="inlineStr">
        <is>
          <t>industrials</t>
        </is>
      </c>
      <c r="F45" s="31" t="inlineStr">
        <is>
          <t>DI Pipes/Saw Pipes</t>
        </is>
      </c>
      <c r="G45" s="31" t="inlineStr">
        <is>
          <t>largecap</t>
        </is>
      </c>
      <c r="H45" s="32" t="n">
        <v>40597.38</v>
      </c>
      <c r="I45" s="32" t="n">
        <v>1539</v>
      </c>
      <c r="J45" s="32" t="n">
        <v>-0.13</v>
      </c>
      <c r="K45" s="32" t="n">
        <v>0</v>
      </c>
      <c r="L45" s="31" t="n">
        <v>83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84.83</v>
      </c>
      <c r="P45" s="32" t="n">
        <v>64.06</v>
      </c>
      <c r="Q45" s="32" t="n">
        <v>1256.73</v>
      </c>
      <c r="R45" s="31" t="inlineStr">
        <is>
          <t>Volume Spike &amp; Near 52W High Breakout</t>
        </is>
      </c>
      <c r="S45" s="31" t="inlineStr">
        <is>
          <t>Nifty Metal</t>
        </is>
      </c>
      <c r="T45" s="32" t="n">
        <v>32.89</v>
      </c>
      <c r="U45" s="32" t="n">
        <v>69.33</v>
      </c>
      <c r="V45" s="32" t="n">
        <v>27.43</v>
      </c>
      <c r="W45" s="32" t="n">
        <v>25.83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Less than 12%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IF(B46=0,"",RANK(B46,$B$2:$B$86,0))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AEGISLOG</t>
        </is>
      </c>
      <c r="D46" s="31" t="inlineStr">
        <is>
          <t>Aegis Logistics Ltd</t>
        </is>
      </c>
      <c r="E46" s="31" t="inlineStr">
        <is>
          <t>services</t>
        </is>
      </c>
      <c r="F46" s="31" t="inlineStr">
        <is>
          <t>Logistics</t>
        </is>
      </c>
      <c r="G46" s="31" t="inlineStr">
        <is>
          <t>largecap</t>
        </is>
      </c>
      <c r="H46" s="32" t="n">
        <v>43713.54</v>
      </c>
      <c r="I46" s="32" t="n">
        <v>1245.4</v>
      </c>
      <c r="J46" s="32" t="n">
        <v>-9.99</v>
      </c>
      <c r="K46" s="32" t="n">
        <v>0</v>
      </c>
      <c r="L46" s="31" t="n">
        <v>92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76.68000000000001</v>
      </c>
      <c r="P46" s="32" t="n">
        <v>35.82</v>
      </c>
      <c r="Q46" s="32" t="n">
        <v>1029.21</v>
      </c>
      <c r="R46" s="31" t="inlineStr">
        <is>
          <t>Earnings / Momentum Support</t>
        </is>
      </c>
      <c r="S46" s="31" t="inlineStr">
        <is>
          <t>Nifty 50</t>
        </is>
      </c>
      <c r="T46" s="32" t="n">
        <v>-5.04</v>
      </c>
      <c r="U46" s="32" t="n">
        <v>69.93000000000001</v>
      </c>
      <c r="V46" s="32" t="n">
        <v>78.95</v>
      </c>
      <c r="W46" s="32" t="n">
        <v>36.25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19</t>
        </is>
      </c>
      <c r="CG46" s="31">
        <f>IF(CF46&gt;20,10,IF(CF46&gt;=10,5,2))</f>
        <v/>
      </c>
    </row>
    <row r="47">
      <c r="A47" s="31">
        <f>IF(B47=0,"",RANK(B47,$B$2:$B$86,0))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NYKAA</t>
        </is>
      </c>
      <c r="D47" s="34" t="inlineStr">
        <is>
          <t>FSN E-Commerce Ventures Ltd</t>
        </is>
      </c>
      <c r="E47" s="31" t="inlineStr">
        <is>
          <t>i.t</t>
        </is>
      </c>
      <c r="F47" s="31" t="inlineStr">
        <is>
          <t>New age - Platform - E-Retail</t>
        </is>
      </c>
      <c r="G47" s="31" t="inlineStr">
        <is>
          <t>largecap</t>
        </is>
      </c>
      <c r="H47" s="32" t="n">
        <v>91441.89999999999</v>
      </c>
      <c r="I47" s="32" t="n">
        <v>319.3</v>
      </c>
      <c r="J47" s="32" t="n">
        <v>1.3</v>
      </c>
      <c r="K47" s="32" t="n">
        <v>0</v>
      </c>
      <c r="L47" s="31" t="n">
        <v>60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71.33</v>
      </c>
      <c r="P47" s="32" t="n">
        <v>29.85</v>
      </c>
      <c r="Q47" s="32" t="n">
        <v>267.2</v>
      </c>
      <c r="R47" s="31" t="inlineStr">
        <is>
          <t>Near 52W High Breakout</t>
        </is>
      </c>
      <c r="S47" s="31" t="inlineStr">
        <is>
          <t>Nifty IT</t>
        </is>
      </c>
      <c r="T47" s="32" t="n">
        <v>-26.9</v>
      </c>
      <c r="U47" s="32" t="n">
        <v>46.37</v>
      </c>
      <c r="V47" s="32" t="n">
        <v>100.22</v>
      </c>
      <c r="W47" s="32" t="n">
        <v>13.02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Between 0.7 to 1.2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19</t>
        </is>
      </c>
      <c r="CG47" s="31">
        <f>IF(CF47&gt;20,10,IF(CF47&gt;=10,5,2))</f>
        <v/>
      </c>
    </row>
    <row r="48">
      <c r="A48" s="31">
        <f>IF(B48=0,"",RANK(B48,$B$2:$B$86,0))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WABAG</t>
        </is>
      </c>
      <c r="D48" s="31" t="inlineStr">
        <is>
          <t>Va Tech Wabag Ltd</t>
        </is>
      </c>
      <c r="E48" s="31" t="inlineStr">
        <is>
          <t>realty</t>
        </is>
      </c>
      <c r="F48" s="31" t="inlineStr">
        <is>
          <t>Water Treatment</t>
        </is>
      </c>
      <c r="G48" s="31" t="inlineStr">
        <is>
          <t>midcap</t>
        </is>
      </c>
      <c r="H48" s="32" t="n">
        <v>13044.62</v>
      </c>
      <c r="I48" s="32" t="n">
        <v>2092</v>
      </c>
      <c r="J48" s="32" t="n">
        <v>-5.05</v>
      </c>
      <c r="K48" s="32" t="n">
        <v>0</v>
      </c>
      <c r="L48" s="31" t="n">
        <v>77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77.78</v>
      </c>
      <c r="P48" s="32" t="n">
        <v>24.31</v>
      </c>
      <c r="Q48" s="32" t="n">
        <v>1656.16</v>
      </c>
      <c r="R48" s="31" t="inlineStr">
        <is>
          <t>Near 52W High Breakout</t>
        </is>
      </c>
      <c r="S48" s="31" t="inlineStr">
        <is>
          <t>Nifty Realty</t>
        </is>
      </c>
      <c r="T48" s="32" t="n">
        <v>-9.029999999999999</v>
      </c>
      <c r="U48" s="32" t="n">
        <v>40.76</v>
      </c>
      <c r="V48" s="32" t="n">
        <v>54.73</v>
      </c>
      <c r="W48" s="32" t="n">
        <v>20.13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16</t>
        </is>
      </c>
      <c r="CG48" s="31">
        <f>IF(CF48&gt;20,10,IF(CF48&gt;=10,5,2))</f>
        <v/>
      </c>
    </row>
    <row r="49">
      <c r="A49" s="31">
        <f>IF(B49=0,"",RANK(B49,$B$2:$B$86,0))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HONASA</t>
        </is>
      </c>
      <c r="D49" s="34" t="inlineStr">
        <is>
          <t>Honasa Consumer Ltd</t>
        </is>
      </c>
      <c r="E49" s="31" t="inlineStr">
        <is>
          <t>services</t>
        </is>
      </c>
      <c r="F49" s="31" t="inlineStr">
        <is>
          <t>New age - Platform - E-Retail</t>
        </is>
      </c>
      <c r="G49" s="31" t="inlineStr">
        <is>
          <t>midcap</t>
        </is>
      </c>
      <c r="H49" s="32" t="n">
        <v>15385.08</v>
      </c>
      <c r="I49" s="32" t="n">
        <v>471.9</v>
      </c>
      <c r="J49" s="32" t="n">
        <v>1.52</v>
      </c>
      <c r="K49" s="32" t="n">
        <v>0</v>
      </c>
      <c r="L49" s="31" t="n">
        <v>71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82.31</v>
      </c>
      <c r="P49" s="32" t="n">
        <v>46.85</v>
      </c>
      <c r="Q49" s="32" t="n">
        <v>380.83</v>
      </c>
      <c r="R49" s="31" t="inlineStr">
        <is>
          <t>Near 52W High Breakout</t>
        </is>
      </c>
      <c r="S49" s="31" t="inlineStr">
        <is>
          <t>Nifty 50</t>
        </is>
      </c>
      <c r="T49" s="32" t="n">
        <v>-5.04</v>
      </c>
      <c r="U49" s="32" t="n">
        <v>58.91</v>
      </c>
      <c r="V49" s="32" t="n">
        <v>67.34999999999999</v>
      </c>
      <c r="W49" s="32" t="n">
        <v>17.73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16</t>
        </is>
      </c>
      <c r="CG49" s="31">
        <f>IF(CF49&gt;20,10,IF(CF49&gt;=10,5,2))</f>
        <v/>
      </c>
    </row>
    <row r="50">
      <c r="A50" s="31">
        <f>IF(B50=0,"",RANK(B50,$B$2:$B$86,0))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SIGMAADV</t>
        </is>
      </c>
      <c r="D50" s="34" t="inlineStr">
        <is>
          <t>Sigma Advanced System Ltd</t>
        </is>
      </c>
      <c r="E50" s="31" t="inlineStr">
        <is>
          <t>aerospace &amp; defence</t>
        </is>
      </c>
      <c r="F50" s="31" t="inlineStr">
        <is>
          <t>Aerospace &amp; Defence - Equipments</t>
        </is>
      </c>
      <c r="G50" s="31" t="inlineStr">
        <is>
          <t>midcap</t>
        </is>
      </c>
      <c r="H50" s="32" t="n">
        <v>9358.33</v>
      </c>
      <c r="I50" s="32" t="n">
        <v>531</v>
      </c>
      <c r="J50" s="32" t="n">
        <v>-1.91</v>
      </c>
      <c r="K50" s="32" t="n">
        <v>0</v>
      </c>
      <c r="L50" s="31" t="n">
        <v>99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74.22</v>
      </c>
      <c r="P50" s="32" t="n">
        <v>59.31</v>
      </c>
      <c r="Q50" s="32" t="n">
        <v>463.59</v>
      </c>
      <c r="R50" s="31" t="inlineStr">
        <is>
          <t>Earnings / Momentum Support</t>
        </is>
      </c>
      <c r="S50" s="31" t="inlineStr">
        <is>
          <t>Nifty 50</t>
        </is>
      </c>
      <c r="T50" s="32" t="n">
        <v>-5.04</v>
      </c>
      <c r="U50" s="32" t="n">
        <v>445.24</v>
      </c>
      <c r="V50" s="32" t="n">
        <v>474.18</v>
      </c>
      <c r="W50" s="32" t="n">
        <v>93.95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15</t>
        </is>
      </c>
      <c r="CG50" s="31">
        <f>IF(CF50&gt;20,10,IF(CF50&gt;=10,5,2))</f>
        <v/>
      </c>
    </row>
    <row r="51">
      <c r="A51" s="31">
        <f>IF(B51=0,"",RANK(B51,$B$2:$B$86,0))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SKMEGGPROD</t>
        </is>
      </c>
      <c r="D51" s="31" t="inlineStr">
        <is>
          <t>SKM Egg Products Export (India) Ltd</t>
        </is>
      </c>
      <c r="E51" s="31" t="inlineStr">
        <is>
          <t>fmcg</t>
        </is>
      </c>
      <c r="F51" s="31" t="inlineStr">
        <is>
          <t>FMCG - Animal/Polutry</t>
        </is>
      </c>
      <c r="G51" s="31" t="inlineStr">
        <is>
          <t>smallcap</t>
        </is>
      </c>
      <c r="H51" s="32" t="n">
        <v>1564</v>
      </c>
      <c r="I51" s="32" t="n">
        <v>297</v>
      </c>
      <c r="J51" s="32" t="n">
        <v>-4.36</v>
      </c>
      <c r="K51" s="32" t="n">
        <v>0</v>
      </c>
      <c r="L51" s="31" t="n">
        <v>88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72.40000000000001</v>
      </c>
      <c r="P51" s="32" t="n">
        <v>35.24</v>
      </c>
      <c r="Q51" s="32" t="n">
        <v>228.92</v>
      </c>
      <c r="R51" s="31" t="inlineStr">
        <is>
          <t>Earnings / Momentum Support</t>
        </is>
      </c>
      <c r="S51" s="31" t="inlineStr">
        <is>
          <t>Nifty FMCG</t>
        </is>
      </c>
      <c r="T51" s="32" t="n">
        <v>-12.4</v>
      </c>
      <c r="U51" s="32" t="n">
        <v>104.77</v>
      </c>
      <c r="V51" s="32" t="n">
        <v>133.75</v>
      </c>
      <c r="W51" s="32" t="n">
        <v>31.89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21</t>
        </is>
      </c>
      <c r="CG51" s="31">
        <f>IF(CF51&gt;20,10,IF(CF51&gt;=10,5,2))</f>
        <v/>
      </c>
    </row>
    <row r="52">
      <c r="A52" s="31">
        <f>IF(B52=0,"",RANK(B52,$B$2:$B$86,0))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ABDL</t>
        </is>
      </c>
      <c r="D52" s="31" t="inlineStr">
        <is>
          <t>Allied Blenders &amp; Distillers Ltd</t>
        </is>
      </c>
      <c r="E52" s="31" t="inlineStr">
        <is>
          <t>fmcg</t>
        </is>
      </c>
      <c r="F52" s="31" t="inlineStr">
        <is>
          <t>Alcoholic Beverages</t>
        </is>
      </c>
      <c r="G52" s="31" t="inlineStr">
        <is>
          <t>midcap</t>
        </is>
      </c>
      <c r="H52" s="32" t="n">
        <v>18960.15</v>
      </c>
      <c r="I52" s="32" t="n">
        <v>677.85</v>
      </c>
      <c r="J52" s="32" t="n">
        <v>-1.19</v>
      </c>
      <c r="K52" s="32" t="n">
        <v>0</v>
      </c>
      <c r="L52" s="31" t="n">
        <v>69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65.70999999999999</v>
      </c>
      <c r="P52" s="32" t="n">
        <v>22.39</v>
      </c>
      <c r="Q52" s="32" t="n">
        <v>522.4</v>
      </c>
      <c r="R52" s="31" t="inlineStr">
        <is>
          <t>Volume Spike &amp; Near 52W High Breakout</t>
        </is>
      </c>
      <c r="S52" s="31" t="inlineStr">
        <is>
          <t>Nifty FMCG</t>
        </is>
      </c>
      <c r="T52" s="32" t="n">
        <v>-12.4</v>
      </c>
      <c r="U52" s="32" t="n">
        <v>52.18</v>
      </c>
      <c r="V52" s="32" t="n">
        <v>73.73</v>
      </c>
      <c r="W52" s="32" t="n">
        <v>16.54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Less than 12%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Between 50% to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16</t>
        </is>
      </c>
      <c r="CG52" s="31">
        <f>IF(CF52&gt;20,10,IF(CF52&gt;=10,5,2))</f>
        <v/>
      </c>
    </row>
    <row r="53">
      <c r="A53" s="31">
        <f>IF(B53=0,"",RANK(B53,$B$2:$B$86,0))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SKYGOLD</t>
        </is>
      </c>
      <c r="D53" s="31" t="inlineStr">
        <is>
          <t>Sky Gold &amp; Diamonds Ltd</t>
        </is>
      </c>
      <c r="E53" s="31" t="inlineStr">
        <is>
          <t>consumer discretionary</t>
        </is>
      </c>
      <c r="F53" s="31" t="inlineStr">
        <is>
          <t>Diamond, Gems &amp; Jewellery</t>
        </is>
      </c>
      <c r="G53" s="31" t="inlineStr">
        <is>
          <t>midcap</t>
        </is>
      </c>
      <c r="H53" s="32" t="n">
        <v>9137.559999999999</v>
      </c>
      <c r="I53" s="32" t="n">
        <v>590</v>
      </c>
      <c r="J53" s="32" t="n">
        <v>2.67</v>
      </c>
      <c r="K53" s="32" t="n">
        <v>0</v>
      </c>
      <c r="L53" s="31" t="n">
        <v>81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70.02</v>
      </c>
      <c r="P53" s="32" t="n">
        <v>50.17</v>
      </c>
      <c r="Q53" s="32" t="n">
        <v>423.5</v>
      </c>
      <c r="R53" s="31" t="inlineStr">
        <is>
          <t>Near 52W High Breakout</t>
        </is>
      </c>
      <c r="S53" s="31" t="inlineStr">
        <is>
          <t>Nifty 50</t>
        </is>
      </c>
      <c r="T53" s="32" t="n">
        <v>-5.04</v>
      </c>
      <c r="U53" s="32" t="n">
        <v>84.76000000000001</v>
      </c>
      <c r="V53" s="32" t="n">
        <v>94.56999999999999</v>
      </c>
      <c r="W53" s="32" t="n">
        <v>24.55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24</t>
        </is>
      </c>
      <c r="CG53" s="31">
        <f>IF(CF53&gt;20,10,IF(CF53&gt;=10,5,2))</f>
        <v/>
      </c>
    </row>
    <row r="54">
      <c r="A54" s="31">
        <f>IF(B54=0,"",RANK(B54,$B$2:$B$86,0))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UNIABEXAL</t>
        </is>
      </c>
      <c r="D54" s="31" t="inlineStr">
        <is>
          <t>Uni Abex Alloy Products Ltd</t>
        </is>
      </c>
      <c r="E54" s="31" t="inlineStr">
        <is>
          <t>Basic Materials</t>
        </is>
      </c>
      <c r="F54" s="31" t="inlineStr">
        <is>
          <t>Castings, Forgings &amp; Fastners</t>
        </is>
      </c>
      <c r="G54" s="31" t="inlineStr">
        <is>
          <t>smallcap</t>
        </is>
      </c>
      <c r="H54" s="32" t="n">
        <v>1115.88</v>
      </c>
      <c r="I54" s="32" t="n">
        <v>5650</v>
      </c>
      <c r="J54" s="32" t="n">
        <v>-1.15</v>
      </c>
      <c r="K54" s="32" t="n">
        <v>0</v>
      </c>
      <c r="L54" s="31" t="n">
        <v>90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80.81</v>
      </c>
      <c r="P54" s="32" t="n">
        <v>44.28</v>
      </c>
      <c r="Q54" s="32" t="n">
        <v>4240.2</v>
      </c>
      <c r="R54" s="31" t="inlineStr">
        <is>
          <t>Near 52W High Breakout</t>
        </is>
      </c>
      <c r="S54" s="31" t="inlineStr">
        <is>
          <t>Nifty Metal</t>
        </is>
      </c>
      <c r="T54" s="32" t="n">
        <v>32.89</v>
      </c>
      <c r="U54" s="32" t="n">
        <v>65.37</v>
      </c>
      <c r="V54" s="32" t="n">
        <v>24.45</v>
      </c>
      <c r="W54" s="32" t="n">
        <v>34.07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Cyclical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Volatile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IF(B55=0,"",RANK(B55,$B$2:$B$86,0))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HFCL</t>
        </is>
      </c>
      <c r="D55" s="31" t="inlineStr">
        <is>
          <t>HFCL Ltd</t>
        </is>
      </c>
      <c r="E55" s="31" t="inlineStr">
        <is>
          <t>telecom</t>
        </is>
      </c>
      <c r="F55" s="31" t="inlineStr">
        <is>
          <t>Telecom Services</t>
        </is>
      </c>
      <c r="G55" s="31" t="inlineStr">
        <is>
          <t>largecap</t>
        </is>
      </c>
      <c r="H55" s="32" t="n">
        <v>32868.16</v>
      </c>
      <c r="I55" s="32" t="n">
        <v>214.74</v>
      </c>
      <c r="J55" s="32" t="n">
        <v>-5</v>
      </c>
      <c r="K55" s="32" t="n">
        <v>0</v>
      </c>
      <c r="L55" s="31" t="n">
        <v>98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85.03</v>
      </c>
      <c r="P55" s="32" t="n">
        <v>66.19</v>
      </c>
      <c r="Q55" s="32" t="n">
        <v>161.75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-0.07000000000000001</v>
      </c>
      <c r="U55" s="32" t="n">
        <v>164.8</v>
      </c>
      <c r="V55" s="32" t="n">
        <v>165</v>
      </c>
      <c r="W55" s="32" t="n">
        <v>63.61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Negative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17</t>
        </is>
      </c>
      <c r="CG55" s="31">
        <f>IF(CF55&gt;20,10,IF(CF55&gt;=10,5,2))</f>
        <v/>
      </c>
    </row>
    <row r="56">
      <c r="A56" s="31">
        <f>IF(B56=0,"",RANK(B56,$B$2:$B$86,0))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RAMCOIND</t>
        </is>
      </c>
      <c r="D56" s="34" t="inlineStr">
        <is>
          <t>Ramco Industries Ltd</t>
        </is>
      </c>
      <c r="E56" s="31" t="inlineStr">
        <is>
          <t>building materials</t>
        </is>
      </c>
      <c r="F56" s="31" t="inlineStr">
        <is>
          <t>Cement Products</t>
        </is>
      </c>
      <c r="G56" s="31" t="inlineStr">
        <is>
          <t>smallcap</t>
        </is>
      </c>
      <c r="H56" s="32" t="n">
        <v>3008.19</v>
      </c>
      <c r="I56" s="32" t="n">
        <v>346.4</v>
      </c>
      <c r="J56" s="32" t="n">
        <v>-2.66</v>
      </c>
      <c r="K56" s="32" t="n">
        <v>0</v>
      </c>
      <c r="L56" s="31" t="n">
        <v>52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63.49</v>
      </c>
      <c r="P56" s="32" t="n">
        <v>23.35</v>
      </c>
      <c r="Q56" s="32" t="n">
        <v>259.26</v>
      </c>
      <c r="R56" s="31" t="inlineStr">
        <is>
          <t>Earnings / Momentum Support</t>
        </is>
      </c>
      <c r="S56" s="31" t="inlineStr">
        <is>
          <t>Nifty Infra</t>
        </is>
      </c>
      <c r="T56" s="32" t="n">
        <v>-0.07000000000000001</v>
      </c>
      <c r="U56" s="32" t="n">
        <v>21.09</v>
      </c>
      <c r="V56" s="32" t="n">
        <v>21.18</v>
      </c>
      <c r="W56" s="32" t="n">
        <v>11.23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17</t>
        </is>
      </c>
      <c r="CG56" s="31">
        <f>IF(CF56&gt;20,10,IF(CF56&gt;=10,5,2))</f>
        <v/>
      </c>
    </row>
    <row r="57">
      <c r="A57" s="31">
        <f>IF(B57=0,"",RANK(B57,$B$2:$B$86,0))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RPEL</t>
        </is>
      </c>
      <c r="D57" s="31" t="inlineStr">
        <is>
          <t>Raghav Productivity Enhancers Ltd</t>
        </is>
      </c>
      <c r="E57" s="31" t="inlineStr">
        <is>
          <t>building materials</t>
        </is>
      </c>
      <c r="F57" s="31" t="inlineStr">
        <is>
          <t>Steel Products</t>
        </is>
      </c>
      <c r="G57" s="31" t="inlineStr">
        <is>
          <t>midcap</t>
        </is>
      </c>
      <c r="H57" s="32" t="n">
        <v>5984.55</v>
      </c>
      <c r="I57" s="32" t="n">
        <v>1303.2</v>
      </c>
      <c r="J57" s="32" t="n">
        <v>-0.22</v>
      </c>
      <c r="K57" s="32" t="n">
        <v>0</v>
      </c>
      <c r="L57" s="31" t="n">
        <v>92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78.48</v>
      </c>
      <c r="P57" s="32" t="n">
        <v>36.58</v>
      </c>
      <c r="Q57" s="32" t="n">
        <v>1002.74</v>
      </c>
      <c r="R57" s="31" t="inlineStr">
        <is>
          <t>Near 52W High Breakout</t>
        </is>
      </c>
      <c r="S57" s="31" t="inlineStr">
        <is>
          <t>Nifty Infra</t>
        </is>
      </c>
      <c r="T57" s="32" t="n">
        <v>-0.07000000000000001</v>
      </c>
      <c r="U57" s="32" t="n">
        <v>87.95999999999999</v>
      </c>
      <c r="V57" s="32" t="n">
        <v>88.09999999999999</v>
      </c>
      <c r="W57" s="32" t="n">
        <v>35.13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16</t>
        </is>
      </c>
      <c r="CG57" s="31">
        <f>IF(CF57&gt;20,10,IF(CF57&gt;=10,5,2))</f>
        <v/>
      </c>
    </row>
    <row r="58">
      <c r="A58" s="31">
        <f>IF(B58=0,"",RANK(B58,$B$2:$B$86,0))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JAYBARMARU</t>
        </is>
      </c>
      <c r="D58" s="31" t="inlineStr">
        <is>
          <t>Jay Bharat Maruti Ltd</t>
        </is>
      </c>
      <c r="E58" s="31" t="inlineStr">
        <is>
          <t>auto</t>
        </is>
      </c>
      <c r="F58" s="31" t="inlineStr">
        <is>
          <t>Auto Ancillaries - Diversified</t>
        </is>
      </c>
      <c r="G58" s="31" t="inlineStr">
        <is>
          <t>smallcap</t>
        </is>
      </c>
      <c r="H58" s="32" t="n">
        <v>1929.23</v>
      </c>
      <c r="I58" s="32" t="n">
        <v>178.22</v>
      </c>
      <c r="J58" s="32" t="n">
        <v>-5</v>
      </c>
      <c r="K58" s="32" t="n">
        <v>0</v>
      </c>
      <c r="L58" s="31" t="n">
        <v>94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76.53</v>
      </c>
      <c r="P58" s="32" t="n">
        <v>33.72</v>
      </c>
      <c r="Q58" s="32" t="n">
        <v>132.68</v>
      </c>
      <c r="R58" s="31" t="inlineStr">
        <is>
          <t>Near 52W High Breakout</t>
        </is>
      </c>
      <c r="S58" s="31" t="inlineStr">
        <is>
          <t>Nifty Auto</t>
        </is>
      </c>
      <c r="T58" s="32" t="n">
        <v>13.79</v>
      </c>
      <c r="U58" s="32" t="n">
        <v>137.21</v>
      </c>
      <c r="V58" s="32" t="n">
        <v>108.47</v>
      </c>
      <c r="W58" s="32" t="n">
        <v>43.67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IF(B59=0,"",RANK(B59,$B$2:$B$86,0))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AETHER</t>
        </is>
      </c>
      <c r="D59" s="31" t="inlineStr">
        <is>
          <t>Aether Industries Ltd</t>
        </is>
      </c>
      <c r="E59" s="31" t="inlineStr">
        <is>
          <t>chemicals</t>
        </is>
      </c>
      <c r="F59" s="31" t="inlineStr">
        <is>
          <t>Speciality Chemicals</t>
        </is>
      </c>
      <c r="G59" s="31" t="inlineStr">
        <is>
          <t>midcap</t>
        </is>
      </c>
      <c r="H59" s="32" t="n">
        <v>18871.79</v>
      </c>
      <c r="I59" s="32" t="n">
        <v>1422</v>
      </c>
      <c r="J59" s="32" t="n">
        <v>6.92</v>
      </c>
      <c r="K59" s="32" t="n">
        <v>0</v>
      </c>
      <c r="L59" s="31" t="n">
        <v>70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72.95999999999999</v>
      </c>
      <c r="P59" s="32" t="n">
        <v>46.04</v>
      </c>
      <c r="Q59" s="32" t="n">
        <v>1110.67</v>
      </c>
      <c r="R59" s="31" t="inlineStr">
        <is>
          <t>Near 52W High Breakout</t>
        </is>
      </c>
      <c r="S59" s="31" t="inlineStr">
        <is>
          <t>Nifty 50</t>
        </is>
      </c>
      <c r="T59" s="32" t="n">
        <v>-5.04</v>
      </c>
      <c r="U59" s="32" t="n">
        <v>81.54000000000001</v>
      </c>
      <c r="V59" s="32" t="n">
        <v>91.18000000000001</v>
      </c>
      <c r="W59" s="32" t="n">
        <v>17.19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Less than 50%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16</t>
        </is>
      </c>
      <c r="CG59" s="31">
        <f>IF(CF59&gt;20,10,IF(CF59&gt;=10,5,2))</f>
        <v/>
      </c>
    </row>
    <row r="60">
      <c r="A60" s="31">
        <f>IF(B60=0,"",RANK(B60,$B$2:$B$86,0))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SGMART</t>
        </is>
      </c>
      <c r="D60" s="34" t="inlineStr">
        <is>
          <t>SG Mart Ltd</t>
        </is>
      </c>
      <c r="E60" s="31" t="inlineStr">
        <is>
          <t>Industrials</t>
        </is>
      </c>
      <c r="F60" s="31" t="inlineStr">
        <is>
          <t>Trading</t>
        </is>
      </c>
      <c r="G60" s="31" t="inlineStr">
        <is>
          <t>midcap</t>
        </is>
      </c>
      <c r="H60" s="32" t="n">
        <v>8519.98</v>
      </c>
      <c r="I60" s="32" t="n">
        <v>676</v>
      </c>
      <c r="J60" s="32" t="n">
        <v>12.62</v>
      </c>
      <c r="K60" s="32" t="n">
        <v>0</v>
      </c>
      <c r="L60" s="31" t="n">
        <v>71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79.34</v>
      </c>
      <c r="P60" s="32" t="n">
        <v>65.87</v>
      </c>
      <c r="Q60" s="32" t="n">
        <v>516.67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-4.91</v>
      </c>
      <c r="U60" s="32" t="n">
        <v>86.81999999999999</v>
      </c>
      <c r="V60" s="32" t="n">
        <v>96.45999999999999</v>
      </c>
      <c r="W60" s="32" t="n">
        <v>17.6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Between 12 to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15</t>
        </is>
      </c>
      <c r="CG60" s="31">
        <f>IF(CF60&gt;20,10,IF(CF60&gt;=10,5,2))</f>
        <v/>
      </c>
    </row>
    <row r="61">
      <c r="A61" s="31">
        <f>IF(B61=0,"",RANK(B61,$B$2:$B$86,0))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BLSE</t>
        </is>
      </c>
      <c r="D61" s="31" t="inlineStr">
        <is>
          <t>BLS E-Services Ltd</t>
        </is>
      </c>
      <c r="E61" s="31" t="inlineStr">
        <is>
          <t>i.t</t>
        </is>
      </c>
      <c r="F61" s="31" t="inlineStr">
        <is>
          <t>IT - Software</t>
        </is>
      </c>
      <c r="G61" s="31" t="inlineStr">
        <is>
          <t>smallcap</t>
        </is>
      </c>
      <c r="H61" s="32" t="n">
        <v>2380.08</v>
      </c>
      <c r="I61" s="32" t="n">
        <v>261.96</v>
      </c>
      <c r="J61" s="32" t="n">
        <v>-1.94</v>
      </c>
      <c r="K61" s="32" t="n">
        <v>0</v>
      </c>
      <c r="L61" s="31" t="n">
        <v>79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74</v>
      </c>
      <c r="P61" s="32" t="n">
        <v>26.79</v>
      </c>
      <c r="Q61" s="32" t="n">
        <v>204.94</v>
      </c>
      <c r="R61" s="31" t="inlineStr">
        <is>
          <t>Volume Spike &amp; Near 52W High Breakout</t>
        </is>
      </c>
      <c r="S61" s="31" t="inlineStr">
        <is>
          <t>Nifty IT</t>
        </is>
      </c>
      <c r="T61" s="32" t="n">
        <v>-26.9</v>
      </c>
      <c r="U61" s="32" t="n">
        <v>41.47</v>
      </c>
      <c r="V61" s="32" t="n">
        <v>93.52</v>
      </c>
      <c r="W61" s="32" t="n">
        <v>22.01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17</t>
        </is>
      </c>
      <c r="CG61" s="31">
        <f>IF(CF61&gt;20,10,IF(CF61&gt;=10,5,2))</f>
        <v/>
      </c>
    </row>
    <row r="62">
      <c r="A62" s="31">
        <f>IF(B62=0,"",RANK(B62,$B$2:$B$86,0))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IKS</t>
        </is>
      </c>
      <c r="D62" s="31" t="inlineStr">
        <is>
          <t>Inventurus Knowledge Solutions Ltd</t>
        </is>
      </c>
      <c r="E62" s="31" t="inlineStr">
        <is>
          <t>i.t</t>
        </is>
      </c>
      <c r="F62" s="31" t="inlineStr">
        <is>
          <t>IT Enabled Services/Business Process Outsourcing</t>
        </is>
      </c>
      <c r="G62" s="31" t="inlineStr">
        <is>
          <t>largecap</t>
        </is>
      </c>
      <c r="H62" s="32" t="n">
        <v>31414.36</v>
      </c>
      <c r="I62" s="32" t="n">
        <v>1830</v>
      </c>
      <c r="J62" s="32" t="n">
        <v>-3.2</v>
      </c>
      <c r="K62" s="32" t="n">
        <v>0</v>
      </c>
      <c r="L62" s="31" t="n">
        <v>33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63.75</v>
      </c>
      <c r="P62" s="32" t="n">
        <v>9.17</v>
      </c>
      <c r="Q62" s="32" t="n">
        <v>1481.19</v>
      </c>
      <c r="R62" s="31" t="inlineStr">
        <is>
          <t>Near 52W High Breakout</t>
        </is>
      </c>
      <c r="S62" s="31" t="inlineStr">
        <is>
          <t>Nifty IT</t>
        </is>
      </c>
      <c r="T62" s="32" t="n">
        <v>-26.9</v>
      </c>
      <c r="U62" s="32" t="n">
        <v>15.56</v>
      </c>
      <c r="V62" s="32" t="n">
        <v>58.08</v>
      </c>
      <c r="W62" s="32" t="n">
        <v>7.14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0 to 20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IF(B63=0,"",RANK(B63,$B$2:$B$86,0))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SCHNEIDER</t>
        </is>
      </c>
      <c r="D63" s="31" t="inlineStr">
        <is>
          <t>Schneider Electric Infrastructure Ltd</t>
        </is>
      </c>
      <c r="E63" s="31" t="inlineStr">
        <is>
          <t>industrials</t>
        </is>
      </c>
      <c r="F63" s="31" t="inlineStr">
        <is>
          <t>Capital Goods - Transformers</t>
        </is>
      </c>
      <c r="G63" s="31" t="inlineStr">
        <is>
          <t>largecap</t>
        </is>
      </c>
      <c r="H63" s="32" t="n">
        <v>36009.07</v>
      </c>
      <c r="I63" s="32" t="n">
        <v>1506</v>
      </c>
      <c r="J63" s="32" t="n">
        <v>0.9</v>
      </c>
      <c r="K63" s="32" t="n">
        <v>0</v>
      </c>
      <c r="L63" s="31" t="n">
        <v>82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72.33</v>
      </c>
      <c r="P63" s="32" t="n">
        <v>43.74</v>
      </c>
      <c r="Q63" s="32" t="n">
        <v>1129.08</v>
      </c>
      <c r="R63" s="31" t="inlineStr">
        <is>
          <t>Near 52W High Breakout</t>
        </is>
      </c>
      <c r="S63" s="31" t="inlineStr">
        <is>
          <t>Nifty 50</t>
        </is>
      </c>
      <c r="T63" s="32" t="n">
        <v>-5.04</v>
      </c>
      <c r="U63" s="32" t="n">
        <v>75.14</v>
      </c>
      <c r="V63" s="32" t="n">
        <v>84.44</v>
      </c>
      <c r="W63" s="32" t="n">
        <v>25.57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17</t>
        </is>
      </c>
      <c r="CG63" s="31">
        <f>IF(CF63&gt;20,10,IF(CF63&gt;=10,5,2))</f>
        <v/>
      </c>
    </row>
    <row r="64">
      <c r="A64" s="31">
        <f>IF(B64=0,"",RANK(B64,$B$2:$B$86,0))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SPAL</t>
        </is>
      </c>
      <c r="D64" s="34" t="inlineStr">
        <is>
          <t>S P Apparels Ltd</t>
        </is>
      </c>
      <c r="E64" s="31" t="inlineStr">
        <is>
          <t>consumer discretionary</t>
        </is>
      </c>
      <c r="F64" s="31" t="inlineStr">
        <is>
          <t>Textiles - Readymade Apparel</t>
        </is>
      </c>
      <c r="G64" s="31" t="inlineStr">
        <is>
          <t>smallcap</t>
        </is>
      </c>
      <c r="H64" s="32" t="n">
        <v>2981.47</v>
      </c>
      <c r="I64" s="32" t="n">
        <v>1186</v>
      </c>
      <c r="J64" s="32" t="n">
        <v>3</v>
      </c>
      <c r="K64" s="32" t="n">
        <v>0</v>
      </c>
      <c r="L64" s="31" t="n">
        <v>75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81.90000000000001</v>
      </c>
      <c r="P64" s="32" t="n">
        <v>36.51</v>
      </c>
      <c r="Q64" s="32" t="n">
        <v>869.46</v>
      </c>
      <c r="R64" s="31" t="inlineStr">
        <is>
          <t>Near 52W High Breakout</t>
        </is>
      </c>
      <c r="S64" s="31" t="inlineStr">
        <is>
          <t>Nifty 50</t>
        </is>
      </c>
      <c r="T64" s="32" t="n">
        <v>-5.04</v>
      </c>
      <c r="U64" s="32" t="n">
        <v>38.26</v>
      </c>
      <c r="V64" s="32" t="n">
        <v>45.6</v>
      </c>
      <c r="W64" s="32" t="n">
        <v>19.37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Less than 12%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15</t>
        </is>
      </c>
      <c r="CG64" s="31">
        <f>IF(CF64&gt;20,10,IF(CF64&gt;=10,5,2))</f>
        <v/>
      </c>
    </row>
    <row r="65">
      <c r="A65" s="31">
        <f>IF(B65=0,"",RANK(B65,$B$2:$B$86,0))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GMRAIRPORT</t>
        </is>
      </c>
      <c r="D65" s="34" t="inlineStr">
        <is>
          <t>GMR Airports Ltd</t>
        </is>
      </c>
      <c r="E65" s="31" t="inlineStr">
        <is>
          <t>miscellaneous</t>
        </is>
      </c>
      <c r="F65" s="31" t="inlineStr">
        <is>
          <t>Miscellaneous</t>
        </is>
      </c>
      <c r="G65" s="31" t="inlineStr">
        <is>
          <t>largecap</t>
        </is>
      </c>
      <c r="H65" s="32" t="n">
        <v>117046.25</v>
      </c>
      <c r="I65" s="32" t="n">
        <v>110.85</v>
      </c>
      <c r="J65" s="32" t="n">
        <v>-3.59</v>
      </c>
      <c r="K65" s="32" t="n">
        <v>0</v>
      </c>
      <c r="L65" s="31" t="n">
        <v>37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64.03</v>
      </c>
      <c r="P65" s="32" t="n">
        <v>18.05</v>
      </c>
      <c r="Q65" s="32" t="n">
        <v>93.81999999999999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-5.04</v>
      </c>
      <c r="U65" s="32" t="n">
        <v>22.51</v>
      </c>
      <c r="V65" s="32" t="n">
        <v>29.02</v>
      </c>
      <c r="W65" s="32" t="n">
        <v>7.74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15</t>
        </is>
      </c>
      <c r="CG65" s="31">
        <f>IF(CF65&gt;20,10,IF(CF65&gt;=10,5,2))</f>
        <v/>
      </c>
    </row>
    <row r="66">
      <c r="A66" s="31">
        <f>IF(B66=0,"",RANK(B66,$B$2:$B$86,0))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DIFFNKG</t>
        </is>
      </c>
      <c r="D66" s="31" t="inlineStr">
        <is>
          <t>Diffusion Engineers Ltd</t>
        </is>
      </c>
      <c r="E66" s="31" t="inlineStr">
        <is>
          <t>Industrials</t>
        </is>
      </c>
      <c r="F66" s="31" t="inlineStr">
        <is>
          <t>Welding Equipments</t>
        </is>
      </c>
      <c r="G66" s="31" t="inlineStr">
        <is>
          <t>smallcap</t>
        </is>
      </c>
      <c r="H66" s="32" t="n">
        <v>1435.3</v>
      </c>
      <c r="I66" s="32" t="n">
        <v>383.5</v>
      </c>
      <c r="J66" s="32" t="n">
        <v>-3.49</v>
      </c>
      <c r="K66" s="32" t="n">
        <v>0</v>
      </c>
      <c r="L66" s="31" t="n">
        <v>56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62.49</v>
      </c>
      <c r="P66" s="32" t="n">
        <v>22.9</v>
      </c>
      <c r="Q66" s="32" t="n">
        <v>312.22</v>
      </c>
      <c r="R66" s="31" t="inlineStr">
        <is>
          <t>Earnings / Momentum Support</t>
        </is>
      </c>
      <c r="S66" s="31" t="inlineStr">
        <is>
          <t>Nifty 50</t>
        </is>
      </c>
      <c r="T66" s="32" t="n">
        <v>-5.04</v>
      </c>
      <c r="U66" s="32" t="n">
        <v>18.91</v>
      </c>
      <c r="V66" s="32" t="n">
        <v>25.22</v>
      </c>
      <c r="W66" s="32" t="n">
        <v>12.25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Less than 50%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15</t>
        </is>
      </c>
      <c r="CG66" s="31">
        <f>IF(CF66&gt;20,10,IF(CF66&gt;=10,5,2))</f>
        <v/>
      </c>
    </row>
    <row r="67">
      <c r="A67" s="31">
        <f>IF(B67=0,"",RANK(B67,$B$2:$B$86,0))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VIYASH</t>
        </is>
      </c>
      <c r="D67" s="31" t="inlineStr">
        <is>
          <t>Viyash Scientific Ltd</t>
        </is>
      </c>
      <c r="E67" s="31" t="inlineStr">
        <is>
          <t>Healthcare</t>
        </is>
      </c>
      <c r="F67" s="31" t="inlineStr">
        <is>
          <t>Pharma - Animal</t>
        </is>
      </c>
      <c r="G67" s="31" t="inlineStr">
        <is>
          <t>midcap</t>
        </is>
      </c>
      <c r="H67" s="32" t="n">
        <v>11994.42</v>
      </c>
      <c r="I67" s="32" t="n">
        <v>274.55</v>
      </c>
      <c r="J67" s="32" t="n">
        <v>-1.56</v>
      </c>
      <c r="K67" s="32" t="n">
        <v>0</v>
      </c>
      <c r="L67" s="31" t="n">
        <v>66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64.11</v>
      </c>
      <c r="P67" s="32" t="n">
        <v>42.05</v>
      </c>
      <c r="Q67" s="32" t="n">
        <v>226.24</v>
      </c>
      <c r="R67" s="31" t="inlineStr">
        <is>
          <t>Earnings / Momentum Support</t>
        </is>
      </c>
      <c r="S67" s="31" t="inlineStr">
        <is>
          <t>Nifty Pharma</t>
        </is>
      </c>
      <c r="T67" s="32" t="n">
        <v>14.42</v>
      </c>
      <c r="U67" s="32" t="n">
        <v>46.81</v>
      </c>
      <c r="V67" s="32" t="n">
        <v>28.31</v>
      </c>
      <c r="W67" s="32" t="n">
        <v>14.7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15</t>
        </is>
      </c>
      <c r="CG67" s="31">
        <f>IF(CF67&gt;20,10,IF(CF67&gt;=10,5,2))</f>
        <v/>
      </c>
    </row>
    <row r="68">
      <c r="A68" s="31">
        <f>IF(B68=0,"",RANK(B68,$B$2:$B$86,0))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EBGNG</t>
        </is>
      </c>
      <c r="D68" s="31" t="inlineStr">
        <is>
          <t>GNG Electronics Ltd</t>
        </is>
      </c>
      <c r="E68" s="31" t="inlineStr">
        <is>
          <t>Technology</t>
        </is>
      </c>
      <c r="F68" s="31" t="inlineStr">
        <is>
          <t>New age - Platform - E-Retail</t>
        </is>
      </c>
      <c r="G68" s="31" t="inlineStr">
        <is>
          <t>midcap</t>
        </is>
      </c>
      <c r="H68" s="32" t="n">
        <v>7403.91</v>
      </c>
      <c r="I68" s="32" t="n">
        <v>649.4</v>
      </c>
      <c r="J68" s="32" t="n">
        <v>4.35</v>
      </c>
      <c r="K68" s="32" t="n">
        <v>0</v>
      </c>
      <c r="L68" s="31" t="n">
        <v>86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79.48999999999999</v>
      </c>
      <c r="P68" s="32" t="n">
        <v>31.05</v>
      </c>
      <c r="Q68" s="32" t="n">
        <v>476.23</v>
      </c>
      <c r="R68" s="31" t="inlineStr">
        <is>
          <t>Near 52W High Breakout</t>
        </is>
      </c>
      <c r="S68" s="31" t="inlineStr">
        <is>
          <t>Nifty 50</t>
        </is>
      </c>
      <c r="T68" s="32" t="n">
        <v>-2.78</v>
      </c>
      <c r="U68" s="32" t="n">
        <v>104.9</v>
      </c>
      <c r="V68" s="32" t="n">
        <v>110.76</v>
      </c>
      <c r="W68" s="32" t="n">
        <v>29.73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15</t>
        </is>
      </c>
      <c r="CG68" s="31">
        <f>IF(CF68&gt;20,10,IF(CF68&gt;=10,5,2))</f>
        <v/>
      </c>
    </row>
    <row r="69">
      <c r="A69" s="31">
        <f>IF(B69=0,"",RANK(B69,$B$2:$B$86,0))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DIACABS</t>
        </is>
      </c>
      <c r="D69" s="34" t="inlineStr">
        <is>
          <t>Diamond Power Infrastructure Ltd</t>
        </is>
      </c>
      <c r="E69" s="31" t="inlineStr">
        <is>
          <t>industrials</t>
        </is>
      </c>
      <c r="F69" s="31" t="inlineStr">
        <is>
          <t>Cables - Power</t>
        </is>
      </c>
      <c r="G69" s="31" t="inlineStr">
        <is>
          <t>midcap</t>
        </is>
      </c>
      <c r="H69" s="32" t="n">
        <v>12267.89</v>
      </c>
      <c r="I69" s="32" t="n">
        <v>232.8</v>
      </c>
      <c r="J69" s="32" t="n">
        <v>3.49</v>
      </c>
      <c r="K69" s="32" t="n">
        <v>0</v>
      </c>
      <c r="L69" s="31" t="n">
        <v>81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77.19</v>
      </c>
      <c r="P69" s="32" t="n">
        <v>45.63</v>
      </c>
      <c r="Q69" s="32" t="n">
        <v>173.93</v>
      </c>
      <c r="R69" s="31" t="inlineStr">
        <is>
          <t>Near 52W High Breakout</t>
        </is>
      </c>
      <c r="S69" s="31" t="inlineStr">
        <is>
          <t>Nifty Energy</t>
        </is>
      </c>
      <c r="T69" s="32" t="n">
        <v>7.2</v>
      </c>
      <c r="U69" s="32" t="n">
        <v>40.29</v>
      </c>
      <c r="V69" s="32" t="n">
        <v>30.88</v>
      </c>
      <c r="W69" s="32" t="n">
        <v>24.05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21</t>
        </is>
      </c>
      <c r="CG69" s="31">
        <f>IF(CF69&gt;20,10,IF(CF69&gt;=10,5,2))</f>
        <v/>
      </c>
    </row>
    <row r="70">
      <c r="A70" s="31">
        <f>IF(B70=0,"",RANK(B70,$B$2:$B$86,0))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RML</t>
        </is>
      </c>
      <c r="D70" s="31" t="inlineStr">
        <is>
          <t>Rane (Madras) Ltd</t>
        </is>
      </c>
      <c r="E70" s="31" t="inlineStr">
        <is>
          <t>auto</t>
        </is>
      </c>
      <c r="F70" s="31" t="inlineStr">
        <is>
          <t>Auto Ancillaries - Gears</t>
        </is>
      </c>
      <c r="G70" s="31" t="inlineStr">
        <is>
          <t>smallcap</t>
        </is>
      </c>
      <c r="H70" s="32" t="n">
        <v>3468.46</v>
      </c>
      <c r="I70" s="32" t="n">
        <v>1255</v>
      </c>
      <c r="J70" s="32" t="n">
        <v>2.37</v>
      </c>
      <c r="K70" s="32" t="n">
        <v>0</v>
      </c>
      <c r="L70" s="31" t="n">
        <v>81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74.03</v>
      </c>
      <c r="P70" s="32" t="n">
        <v>31.72</v>
      </c>
      <c r="Q70" s="32" t="n">
        <v>984.1799999999999</v>
      </c>
      <c r="R70" s="31" t="inlineStr">
        <is>
          <t>Near 52W High Breakout</t>
        </is>
      </c>
      <c r="S70" s="31" t="inlineStr">
        <is>
          <t>Nifty Auto</t>
        </is>
      </c>
      <c r="T70" s="32" t="n">
        <v>13.79</v>
      </c>
      <c r="U70" s="32" t="n">
        <v>44.16</v>
      </c>
      <c r="V70" s="32" t="n">
        <v>26.69</v>
      </c>
      <c r="W70" s="32" t="n">
        <v>24.76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20</t>
        </is>
      </c>
      <c r="CG70" s="31">
        <f>IF(CF70&gt;20,10,IF(CF70&gt;=10,5,2))</f>
        <v/>
      </c>
    </row>
    <row r="71">
      <c r="A71" s="31">
        <f>IF(B71=0,"",RANK(B71,$B$2:$B$86,0))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AURUM</t>
        </is>
      </c>
      <c r="D71" s="31" t="inlineStr">
        <is>
          <t>Aurum Proptech Ltd</t>
        </is>
      </c>
      <c r="E71" s="31" t="inlineStr">
        <is>
          <t>i.t</t>
        </is>
      </c>
      <c r="F71" s="31" t="inlineStr">
        <is>
          <t>IT Enabled Services</t>
        </is>
      </c>
      <c r="G71" s="31" t="inlineStr">
        <is>
          <t>smallcap</t>
        </is>
      </c>
      <c r="H71" s="32" t="n">
        <v>1584.96</v>
      </c>
      <c r="I71" s="32" t="n">
        <v>220</v>
      </c>
      <c r="J71" s="32" t="n">
        <v>-1.43</v>
      </c>
      <c r="K71" s="32" t="n">
        <v>0</v>
      </c>
      <c r="L71" s="31" t="n">
        <v>42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64.18000000000001</v>
      </c>
      <c r="P71" s="32" t="n">
        <v>31.93</v>
      </c>
      <c r="Q71" s="32" t="n">
        <v>183.97</v>
      </c>
      <c r="R71" s="31" t="inlineStr">
        <is>
          <t>Earnings / Momentum Support</t>
        </is>
      </c>
      <c r="S71" s="31" t="inlineStr">
        <is>
          <t>Nifty IT</t>
        </is>
      </c>
      <c r="T71" s="32" t="n">
        <v>-26.9</v>
      </c>
      <c r="U71" s="32" t="n">
        <v>13.72</v>
      </c>
      <c r="V71" s="32" t="n">
        <v>55.55</v>
      </c>
      <c r="W71" s="32" t="n">
        <v>8.9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IF(B72=0,"",RANK(B72,$B$2:$B$86,0))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BHAGYANGR</t>
        </is>
      </c>
      <c r="D72" s="31" t="inlineStr">
        <is>
          <t>Bhagyanagar India Ltd</t>
        </is>
      </c>
      <c r="E72" s="31" t="inlineStr">
        <is>
          <t>Basic Materials</t>
        </is>
      </c>
      <c r="F72" s="31" t="inlineStr">
        <is>
          <t>Recycling</t>
        </is>
      </c>
      <c r="G72" s="31" t="inlineStr">
        <is>
          <t>smallcap</t>
        </is>
      </c>
      <c r="H72" s="32" t="n">
        <v>1198.37</v>
      </c>
      <c r="I72" s="32" t="n">
        <v>374.55</v>
      </c>
      <c r="J72" s="32" t="n">
        <v>-4.5</v>
      </c>
      <c r="K72" s="32" t="n">
        <v>0</v>
      </c>
      <c r="L72" s="31" t="n">
        <v>98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76.25</v>
      </c>
      <c r="P72" s="32" t="n">
        <v>69.33</v>
      </c>
      <c r="Q72" s="32" t="n">
        <v>272.32</v>
      </c>
      <c r="R72" s="31" t="inlineStr">
        <is>
          <t>Near 52W High Breakout</t>
        </is>
      </c>
      <c r="S72" s="31" t="inlineStr">
        <is>
          <t>Nifty 50</t>
        </is>
      </c>
      <c r="T72" s="32" t="n">
        <v>-5.04</v>
      </c>
      <c r="U72" s="32" t="n">
        <v>349.15</v>
      </c>
      <c r="V72" s="32" t="n">
        <v>373</v>
      </c>
      <c r="W72" s="32" t="n">
        <v>61.11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16</t>
        </is>
      </c>
      <c r="CG72" s="31">
        <f>IF(CF72&gt;20,10,IF(CF72&gt;=10,5,2))</f>
        <v/>
      </c>
    </row>
    <row r="73">
      <c r="A73" s="31">
        <f>IF(B73=0,"",RANK(B73,$B$2:$B$86,0))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DIVGIITTS</t>
        </is>
      </c>
      <c r="D73" s="31" t="inlineStr">
        <is>
          <t>Divgi Torqtransfer Systems Ltd</t>
        </is>
      </c>
      <c r="E73" s="31" t="inlineStr">
        <is>
          <t>auto</t>
        </is>
      </c>
      <c r="F73" s="31" t="inlineStr">
        <is>
          <t>Auto Ancillaries - Transmission</t>
        </is>
      </c>
      <c r="G73" s="31" t="inlineStr">
        <is>
          <t>smallcap</t>
        </is>
      </c>
      <c r="H73" s="32" t="n">
        <v>2899.26</v>
      </c>
      <c r="I73" s="32" t="n">
        <v>948</v>
      </c>
      <c r="J73" s="32" t="n">
        <v>-1.61</v>
      </c>
      <c r="K73" s="32" t="n">
        <v>0</v>
      </c>
      <c r="L73" s="31" t="n">
        <v>72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64.86</v>
      </c>
      <c r="P73" s="32" t="n">
        <v>36.65</v>
      </c>
      <c r="Q73" s="32" t="n">
        <v>763.24</v>
      </c>
      <c r="R73" s="31" t="inlineStr">
        <is>
          <t>Earnings / Momentum Support</t>
        </is>
      </c>
      <c r="S73" s="31" t="inlineStr">
        <is>
          <t>Nifty Auto</t>
        </is>
      </c>
      <c r="T73" s="32" t="n">
        <v>13.79</v>
      </c>
      <c r="U73" s="32" t="n">
        <v>52.59</v>
      </c>
      <c r="V73" s="32" t="n">
        <v>34.1</v>
      </c>
      <c r="W73" s="32" t="n">
        <v>18.13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16</t>
        </is>
      </c>
      <c r="CG73" s="31">
        <f>IF(CF73&gt;20,10,IF(CF73&gt;=10,5,2))</f>
        <v/>
      </c>
    </row>
    <row r="74">
      <c r="A74" s="31">
        <f>IF(B74=0,"",RANK(B74,$B$2:$B$86,0))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AFCOM</t>
        </is>
      </c>
      <c r="D74" s="31" t="inlineStr">
        <is>
          <t>Afcom Holdings Ltd</t>
        </is>
      </c>
      <c r="E74" s="31" t="inlineStr">
        <is>
          <t>Industrials</t>
        </is>
      </c>
      <c r="F74" s="31" t="inlineStr">
        <is>
          <t>Air Transport Service</t>
        </is>
      </c>
      <c r="G74" s="31" t="inlineStr">
        <is>
          <t>smallcap</t>
        </is>
      </c>
      <c r="H74" s="32" t="n">
        <v>3750.77</v>
      </c>
      <c r="I74" s="32" t="n">
        <v>1306.95</v>
      </c>
      <c r="J74" s="32" t="n">
        <v>-3.8</v>
      </c>
      <c r="K74" s="32" t="n">
        <v>0</v>
      </c>
      <c r="L74" s="31" t="n">
        <v>85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68.47</v>
      </c>
      <c r="P74" s="32" t="n">
        <v>26.28</v>
      </c>
      <c r="Q74" s="32" t="n">
        <v>993.87</v>
      </c>
      <c r="R74" s="31" t="inlineStr">
        <is>
          <t>Earnings / Momentum Support</t>
        </is>
      </c>
      <c r="S74" s="31" t="inlineStr">
        <is>
          <t>Nifty 50</t>
        </is>
      </c>
      <c r="T74" s="32" t="n">
        <v>-5.04</v>
      </c>
      <c r="U74" s="32" t="n">
        <v>53.08</v>
      </c>
      <c r="V74" s="32" t="n">
        <v>61.21</v>
      </c>
      <c r="W74" s="32" t="n">
        <v>28.74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15</t>
        </is>
      </c>
      <c r="CG74" s="31">
        <f>IF(CF74&gt;20,10,IF(CF74&gt;=10,5,2))</f>
        <v/>
      </c>
    </row>
    <row r="75">
      <c r="A75" s="31">
        <f>IF(B75=0,"",RANK(B75,$B$2:$B$86,0))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AEGISVOPAK</t>
        </is>
      </c>
      <c r="D75" s="34" t="inlineStr">
        <is>
          <t>Aegis Vopak Terminals Ltd</t>
        </is>
      </c>
      <c r="E75" s="31" t="inlineStr">
        <is>
          <t>transportation</t>
        </is>
      </c>
      <c r="F75" s="31" t="inlineStr">
        <is>
          <t>Miscellaneous</t>
        </is>
      </c>
      <c r="G75" s="31" t="inlineStr">
        <is>
          <t>largecap</t>
        </is>
      </c>
      <c r="H75" s="32" t="n">
        <v>30801.06</v>
      </c>
      <c r="I75" s="32" t="n">
        <v>277.99</v>
      </c>
      <c r="J75" s="32" t="n">
        <v>-5.55</v>
      </c>
      <c r="K75" s="32" t="n">
        <v>0</v>
      </c>
      <c r="L75" s="31" t="n">
        <v>58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63.98</v>
      </c>
      <c r="P75" s="32" t="n">
        <v>18.65</v>
      </c>
      <c r="Q75" s="32" t="n">
        <v>200.1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-5.04</v>
      </c>
      <c r="U75" s="32" t="n">
        <v>6.35</v>
      </c>
      <c r="V75" s="32" t="n">
        <v>11.99</v>
      </c>
      <c r="W75" s="32" t="n">
        <v>12.66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IF(B76=0,"",RANK(B76,$B$2:$B$86,0))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TBZ</t>
        </is>
      </c>
      <c r="D76" s="34" t="inlineStr">
        <is>
          <t>Tribhovandas Bhimji Zaveri Ltd</t>
        </is>
      </c>
      <c r="E76" s="31" t="inlineStr">
        <is>
          <t>consumer discretionary</t>
        </is>
      </c>
      <c r="F76" s="31" t="inlineStr">
        <is>
          <t>Diamond, Gems &amp; Jewellery</t>
        </is>
      </c>
      <c r="G76" s="31" t="inlineStr">
        <is>
          <t>smallcap</t>
        </is>
      </c>
      <c r="H76" s="32" t="n">
        <v>1351.3</v>
      </c>
      <c r="I76" s="32" t="n">
        <v>202.5</v>
      </c>
      <c r="J76" s="32" t="n">
        <v>1.91</v>
      </c>
      <c r="K76" s="32" t="n">
        <v>0</v>
      </c>
      <c r="L76" s="31" t="n">
        <v>54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67.01000000000001</v>
      </c>
      <c r="P76" s="32" t="n">
        <v>19.82</v>
      </c>
      <c r="Q76" s="32" t="n">
        <v>146.9</v>
      </c>
      <c r="R76" s="31" t="inlineStr">
        <is>
          <t>Volume Spike &amp; Near 52W High Breakout</t>
        </is>
      </c>
      <c r="S76" s="31" t="inlineStr">
        <is>
          <t>Nifty 50</t>
        </is>
      </c>
      <c r="T76" s="32" t="n">
        <v>-5.04</v>
      </c>
      <c r="U76" s="32" t="n">
        <v>7.7</v>
      </c>
      <c r="V76" s="32" t="n">
        <v>13.41</v>
      </c>
      <c r="W76" s="32" t="n">
        <v>11.78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Less than 50% and Borrowings are increasing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18</t>
        </is>
      </c>
      <c r="CG76" s="31">
        <f>IF(CF76&gt;20,10,IF(CF76&gt;=10,5,2))</f>
        <v/>
      </c>
    </row>
    <row r="77">
      <c r="A77" s="31">
        <f>IF(B77=0,"",RANK(B77,$B$2:$B$86,0))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GALAPREC</t>
        </is>
      </c>
      <c r="D77" s="31" t="inlineStr">
        <is>
          <t>Gala Precision Engineering Ltd</t>
        </is>
      </c>
      <c r="E77" s="31" t="inlineStr">
        <is>
          <t>industrials</t>
        </is>
      </c>
      <c r="F77" s="31" t="inlineStr">
        <is>
          <t>Castings, Forgings &amp; Fastners</t>
        </is>
      </c>
      <c r="G77" s="31" t="inlineStr">
        <is>
          <t>smallcap</t>
        </is>
      </c>
      <c r="H77" s="32" t="n">
        <v>1472.58</v>
      </c>
      <c r="I77" s="32" t="n">
        <v>1149</v>
      </c>
      <c r="J77" s="32" t="n">
        <v>-5.06</v>
      </c>
      <c r="K77" s="32" t="n">
        <v>0</v>
      </c>
      <c r="L77" s="31" t="n">
        <v>72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73.79000000000001</v>
      </c>
      <c r="P77" s="32" t="n">
        <v>36.69</v>
      </c>
      <c r="Q77" s="32" t="n">
        <v>899.87</v>
      </c>
      <c r="R77" s="31" t="inlineStr">
        <is>
          <t>Near 52W High Breakout</t>
        </is>
      </c>
      <c r="S77" s="31" t="inlineStr">
        <is>
          <t>Nifty 50</t>
        </is>
      </c>
      <c r="T77" s="32" t="n">
        <v>-5.04</v>
      </c>
      <c r="U77" s="32" t="n">
        <v>26.65</v>
      </c>
      <c r="V77" s="32" t="n">
        <v>33.38</v>
      </c>
      <c r="W77" s="32" t="n">
        <v>18.01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15</t>
        </is>
      </c>
      <c r="CG77" s="31">
        <f>IF(CF77&gt;20,10,IF(CF77&gt;=10,5,2))</f>
        <v/>
      </c>
    </row>
    <row r="78">
      <c r="A78" s="31">
        <f>IF(B78=0,"",RANK(B78,$B$2:$B$86,0))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CNL</t>
        </is>
      </c>
      <c r="D78" s="31" t="inlineStr">
        <is>
          <t>Creative Newtech Ltd</t>
        </is>
      </c>
      <c r="E78" s="31" t="inlineStr">
        <is>
          <t>Technology</t>
        </is>
      </c>
      <c r="F78" s="31" t="inlineStr">
        <is>
          <t>E-Commerce - Platform - Utility</t>
        </is>
      </c>
      <c r="G78" s="31" t="inlineStr">
        <is>
          <t>smallcap</t>
        </is>
      </c>
      <c r="H78" s="32" t="n">
        <v>1178.81</v>
      </c>
      <c r="I78" s="32" t="n">
        <v>785</v>
      </c>
      <c r="J78" s="32" t="n">
        <v>0.5600000000000001</v>
      </c>
      <c r="K78" s="32" t="n">
        <v>0</v>
      </c>
      <c r="L78" s="31" t="n">
        <v>51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68.3</v>
      </c>
      <c r="P78" s="32" t="n">
        <v>24.87</v>
      </c>
      <c r="Q78" s="32" t="n">
        <v>608.09</v>
      </c>
      <c r="R78" s="31" t="inlineStr">
        <is>
          <t>Near 52W High Breakout</t>
        </is>
      </c>
      <c r="S78" s="31" t="inlineStr">
        <is>
          <t>Nifty 50</t>
        </is>
      </c>
      <c r="T78" s="32" t="n">
        <v>-5.04</v>
      </c>
      <c r="U78" s="32" t="n">
        <v>22.25</v>
      </c>
      <c r="V78" s="32" t="n">
        <v>28.74</v>
      </c>
      <c r="W78" s="32" t="n">
        <v>11.22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17</t>
        </is>
      </c>
      <c r="CG78" s="31">
        <f>IF(CF78&gt;20,10,IF(CF78&gt;=10,5,2))</f>
        <v/>
      </c>
    </row>
    <row r="79">
      <c r="A79" s="31">
        <f>IF(B79=0,"",RANK(B79,$B$2:$B$86,0))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FERMENTA</t>
        </is>
      </c>
      <c r="D79" s="34" t="inlineStr">
        <is>
          <t>Fermenta Biotech Ltd</t>
        </is>
      </c>
      <c r="E79" s="31" t="inlineStr">
        <is>
          <t>Healthcare</t>
        </is>
      </c>
      <c r="F79" s="31" t="inlineStr">
        <is>
          <t>Pharma - API</t>
        </is>
      </c>
      <c r="G79" s="31" t="inlineStr">
        <is>
          <t>smallcap</t>
        </is>
      </c>
      <c r="H79" s="32" t="n">
        <v>1118.38</v>
      </c>
      <c r="I79" s="32" t="n">
        <v>380</v>
      </c>
      <c r="J79" s="32" t="n">
        <v>2.84</v>
      </c>
      <c r="K79" s="32" t="n">
        <v>0</v>
      </c>
      <c r="L79" s="31" t="n">
        <v>7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59.8</v>
      </c>
      <c r="P79" s="32" t="n">
        <v>17.31</v>
      </c>
      <c r="Q79" s="32" t="n">
        <v>266.12</v>
      </c>
      <c r="R79" s="31" t="inlineStr">
        <is>
          <t>Volume Spike &amp; Near 52W High Breakout</t>
        </is>
      </c>
      <c r="S79" s="31" t="inlineStr">
        <is>
          <t>Nifty Pharma</t>
        </is>
      </c>
      <c r="T79" s="32" t="n">
        <v>14.42</v>
      </c>
      <c r="U79" s="32" t="n">
        <v>-4.26</v>
      </c>
      <c r="V79" s="32" t="n">
        <v>-16.33</v>
      </c>
      <c r="W79" s="32" t="n">
        <v>1.57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16</t>
        </is>
      </c>
      <c r="CG79" s="31">
        <f>IF(CF79&gt;20,10,IF(CF79&gt;=10,5,2))</f>
        <v/>
      </c>
    </row>
    <row r="80">
      <c r="A80" s="31">
        <f>IF(B80=0,"",RANK(B80,$B$2:$B$86,0))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CEIGALL</t>
        </is>
      </c>
      <c r="D80" s="34" t="inlineStr">
        <is>
          <t>Ceigall India Ltd</t>
        </is>
      </c>
      <c r="E80" s="31" t="inlineStr">
        <is>
          <t>Industrials</t>
        </is>
      </c>
      <c r="F80" s="31" t="inlineStr">
        <is>
          <t>Construction - Civil/Turnkey</t>
        </is>
      </c>
      <c r="G80" s="31" t="inlineStr">
        <is>
          <t>midcap</t>
        </is>
      </c>
      <c r="H80" s="32" t="n">
        <v>6430.77</v>
      </c>
      <c r="I80" s="32" t="n">
        <v>369.15</v>
      </c>
      <c r="J80" s="32" t="n">
        <v>-2.61</v>
      </c>
      <c r="K80" s="32" t="n">
        <v>0</v>
      </c>
      <c r="L80" s="31" t="n">
        <v>48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65.16</v>
      </c>
      <c r="P80" s="32" t="n">
        <v>52.96</v>
      </c>
      <c r="Q80" s="32" t="n">
        <v>299.05</v>
      </c>
      <c r="R80" s="31" t="inlineStr">
        <is>
          <t>Near 52W High Breakout</t>
        </is>
      </c>
      <c r="S80" s="31" t="inlineStr">
        <is>
          <t>Nifty Infra</t>
        </is>
      </c>
      <c r="T80" s="32" t="n">
        <v>-0.07000000000000001</v>
      </c>
      <c r="U80" s="32" t="n">
        <v>27.73</v>
      </c>
      <c r="V80" s="32" t="n">
        <v>27.83</v>
      </c>
      <c r="W80" s="32" t="n">
        <v>9.92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16</t>
        </is>
      </c>
      <c r="CG80" s="31">
        <f>IF(CF80&gt;20,10,IF(CF80&gt;=10,5,2))</f>
        <v/>
      </c>
    </row>
    <row r="81">
      <c r="A81" s="31">
        <f>IF(B81=0,"",RANK(B81,$B$2:$B$86,0))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RELTD</t>
        </is>
      </c>
      <c r="D81" s="31" t="inlineStr">
        <is>
          <t>Ravindra Energy Ltd</t>
        </is>
      </c>
      <c r="E81" s="31" t="inlineStr">
        <is>
          <t>industrials</t>
        </is>
      </c>
      <c r="F81" s="31" t="inlineStr">
        <is>
          <t>Capital Goods - Electric General</t>
        </is>
      </c>
      <c r="G81" s="31" t="inlineStr">
        <is>
          <t>smallcap</t>
        </is>
      </c>
      <c r="H81" s="32" t="n">
        <v>3555.03</v>
      </c>
      <c r="I81" s="32" t="n">
        <v>179.05</v>
      </c>
      <c r="J81" s="32" t="n">
        <v>-1.92</v>
      </c>
      <c r="K81" s="32" t="n">
        <v>0</v>
      </c>
      <c r="L81" s="31" t="n">
        <v>66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65.63</v>
      </c>
      <c r="P81" s="32" t="n">
        <v>15.47</v>
      </c>
      <c r="Q81" s="32" t="n">
        <v>125.04</v>
      </c>
      <c r="R81" s="31" t="inlineStr">
        <is>
          <t>Near 52W High Breakout</t>
        </is>
      </c>
      <c r="S81" s="31" t="inlineStr">
        <is>
          <t>Nifty 50</t>
        </is>
      </c>
      <c r="T81" s="32" t="n">
        <v>-5.04</v>
      </c>
      <c r="U81" s="32" t="n">
        <v>41.14</v>
      </c>
      <c r="V81" s="32" t="n">
        <v>48.63</v>
      </c>
      <c r="W81" s="32" t="n">
        <v>14.54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IF(B82=0,"",RANK(B82,$B$2:$B$86,0))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SKIPPER</t>
        </is>
      </c>
      <c r="D82" s="31" t="inlineStr">
        <is>
          <t>Skipper Ltd</t>
        </is>
      </c>
      <c r="E82" s="31" t="inlineStr">
        <is>
          <t>Industrials</t>
        </is>
      </c>
      <c r="F82" s="31" t="inlineStr">
        <is>
          <t>Electrical Equipments/HVDC</t>
        </is>
      </c>
      <c r="G82" s="31" t="inlineStr">
        <is>
          <t>midcap</t>
        </is>
      </c>
      <c r="H82" s="32" t="n">
        <v>6042.14</v>
      </c>
      <c r="I82" s="32" t="n">
        <v>535</v>
      </c>
      <c r="J82" s="32" t="n">
        <v>-3.39</v>
      </c>
      <c r="K82" s="32" t="n">
        <v>0</v>
      </c>
      <c r="L82" s="31" t="n">
        <v>53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60.31</v>
      </c>
      <c r="P82" s="32" t="n">
        <v>33.13</v>
      </c>
      <c r="Q82" s="32" t="n">
        <v>431.54</v>
      </c>
      <c r="R82" s="31" t="inlineStr">
        <is>
          <t>Earnings / Momentum Support</t>
        </is>
      </c>
      <c r="S82" s="31" t="inlineStr">
        <is>
          <t>Nifty Infra</t>
        </is>
      </c>
      <c r="T82" s="32" t="n">
        <v>-0.07000000000000001</v>
      </c>
      <c r="U82" s="32" t="n">
        <v>11.14</v>
      </c>
      <c r="V82" s="32" t="n">
        <v>11.22</v>
      </c>
      <c r="W82" s="32" t="n">
        <v>11.62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16</t>
        </is>
      </c>
      <c r="CG82" s="31">
        <f>IF(CF82&gt;20,10,IF(CF82&gt;=10,5,2))</f>
        <v/>
      </c>
    </row>
    <row r="83">
      <c r="A83" s="31">
        <f>IF(B83=0,"",RANK(B83,$B$2:$B$86,0))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JNKINDIA</t>
        </is>
      </c>
      <c r="D83" s="31" t="inlineStr">
        <is>
          <t>JNK India Ltd</t>
        </is>
      </c>
      <c r="E83" s="31" t="inlineStr">
        <is>
          <t>Industrials</t>
        </is>
      </c>
      <c r="F83" s="31" t="inlineStr">
        <is>
          <t>Capital Goods - Engineering Heavy</t>
        </is>
      </c>
      <c r="G83" s="31" t="inlineStr">
        <is>
          <t>smallcap</t>
        </is>
      </c>
      <c r="H83" s="32" t="n">
        <v>2591.79</v>
      </c>
      <c r="I83" s="32" t="n">
        <v>463.2</v>
      </c>
      <c r="J83" s="32" t="n">
        <v>-5.17</v>
      </c>
      <c r="K83" s="32" t="n">
        <v>0</v>
      </c>
      <c r="L83" s="31" t="n">
        <v>83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67.66</v>
      </c>
      <c r="P83" s="32" t="n">
        <v>43.13</v>
      </c>
      <c r="Q83" s="32" t="n">
        <v>351.38</v>
      </c>
      <c r="R83" s="31" t="inlineStr">
        <is>
          <t>Earnings / Momentum Support</t>
        </is>
      </c>
      <c r="S83" s="31" t="inlineStr">
        <is>
          <t>Nifty Infra</t>
        </is>
      </c>
      <c r="T83" s="32" t="n">
        <v>-0.07000000000000001</v>
      </c>
      <c r="U83" s="32" t="n">
        <v>48.18</v>
      </c>
      <c r="V83" s="32" t="n">
        <v>48.29</v>
      </c>
      <c r="W83" s="32" t="n">
        <v>26.21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18</t>
        </is>
      </c>
      <c r="CG83" s="31">
        <f>IF(CF83&gt;20,10,IF(CF83&gt;=10,5,2))</f>
        <v/>
      </c>
    </row>
    <row r="84">
      <c r="A84" s="31">
        <f>IF(B84=0,"",RANK(B84,$B$2:$B$86,0))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POCL</t>
        </is>
      </c>
      <c r="D84" s="34" t="inlineStr">
        <is>
          <t>Pondy Oxides &amp; Chemicals Ltd</t>
        </is>
      </c>
      <c r="E84" s="31" t="inlineStr">
        <is>
          <t>metals &amp; mining</t>
        </is>
      </c>
      <c r="F84" s="31" t="inlineStr">
        <is>
          <t>Recycling</t>
        </is>
      </c>
      <c r="G84" s="31" t="inlineStr">
        <is>
          <t>smallcap</t>
        </is>
      </c>
      <c r="H84" s="32" t="n">
        <v>4466.85</v>
      </c>
      <c r="I84" s="32" t="n">
        <v>1464</v>
      </c>
      <c r="J84" s="32" t="n">
        <v>2.46</v>
      </c>
      <c r="K84" s="32" t="n">
        <v>0</v>
      </c>
      <c r="L84" s="31" t="n">
        <v>65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60.2</v>
      </c>
      <c r="P84" s="32" t="n">
        <v>22.73</v>
      </c>
      <c r="Q84" s="32" t="n">
        <v>1123.18</v>
      </c>
      <c r="R84" s="31" t="inlineStr">
        <is>
          <t>Earnings / Momentum Support</t>
        </is>
      </c>
      <c r="S84" s="31" t="inlineStr">
        <is>
          <t>Nifty Metal</t>
        </is>
      </c>
      <c r="T84" s="32" t="n">
        <v>32.89</v>
      </c>
      <c r="U84" s="32" t="n">
        <v>51.1</v>
      </c>
      <c r="V84" s="32" t="n">
        <v>13.7</v>
      </c>
      <c r="W84" s="32" t="n">
        <v>14.53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16</t>
        </is>
      </c>
      <c r="CG84" s="31">
        <f>IF(CF84&gt;20,10,IF(CF84&gt;=10,5,2))</f>
        <v/>
      </c>
    </row>
    <row r="85">
      <c r="A85" s="31">
        <f>IF(B85=0,"",RANK(B85,$B$2:$B$86,0))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KAPSTON</t>
        </is>
      </c>
      <c r="D85" s="31" t="inlineStr">
        <is>
          <t>Kapston Services Ltd</t>
        </is>
      </c>
      <c r="E85" s="31" t="inlineStr">
        <is>
          <t>Industrials</t>
        </is>
      </c>
      <c r="F85" s="31" t="inlineStr">
        <is>
          <t>Services - Others</t>
        </is>
      </c>
      <c r="G85" s="31" t="inlineStr">
        <is>
          <t>smallcap</t>
        </is>
      </c>
      <c r="H85" s="32" t="n">
        <v>1071.21</v>
      </c>
      <c r="I85" s="32" t="n">
        <v>352</v>
      </c>
      <c r="J85" s="32" t="n">
        <v>-3.68</v>
      </c>
      <c r="K85" s="32" t="n">
        <v>0</v>
      </c>
      <c r="L85" s="31" t="n">
        <v>63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55.43</v>
      </c>
      <c r="P85" s="32" t="n">
        <v>15.4</v>
      </c>
      <c r="Q85" s="32" t="n">
        <v>278.15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-5.04</v>
      </c>
      <c r="U85" s="32" t="n">
        <v>43.6</v>
      </c>
      <c r="V85" s="32" t="n">
        <v>51.22</v>
      </c>
      <c r="W85" s="32" t="n">
        <v>13.69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Between 1.5 to 2</t>
        </is>
      </c>
      <c r="BU85" s="31">
        <f>IF(BT85="Above 2",0,IF(BT85="Between 1.5 to 2",5,IF(BT85="Less than 1.5",10,0)))</f>
        <v/>
      </c>
      <c r="BV85" s="31" t="inlineStr">
        <is>
          <t>Less than 50% and Borrowings are increasing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15</t>
        </is>
      </c>
      <c r="CG85" s="31">
        <f>IF(CF85&gt;20,10,IF(CF85&gt;=10,5,2))</f>
        <v/>
      </c>
    </row>
    <row r="86">
      <c r="A86" s="31">
        <f>IF(B86=0,"",RANK(B86,$B$2:$B$86,0))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FIEMIND</t>
        </is>
      </c>
      <c r="D86" s="31" t="inlineStr">
        <is>
          <t>Fiem Industries Ltd</t>
        </is>
      </c>
      <c r="E86" s="31" t="inlineStr">
        <is>
          <t>Consumer Cyclical</t>
        </is>
      </c>
      <c r="F86" s="31" t="inlineStr">
        <is>
          <t>Auto Ancillaries - 2&amp;3 Wheelers</t>
        </is>
      </c>
      <c r="G86" s="31" t="inlineStr">
        <is>
          <t>midcap</t>
        </is>
      </c>
      <c r="H86" s="32" t="n">
        <v>5790.85</v>
      </c>
      <c r="I86" s="32" t="n">
        <v>2200.2</v>
      </c>
      <c r="J86" s="32" t="n">
        <v>-1.74</v>
      </c>
      <c r="K86" s="32" t="n">
        <v>0</v>
      </c>
      <c r="L86" s="31" t="n">
        <v>13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49.27</v>
      </c>
      <c r="P86" s="32" t="n">
        <v>20.99</v>
      </c>
      <c r="Q86" s="32" t="n">
        <v>1878.29</v>
      </c>
      <c r="R86" s="31" t="inlineStr">
        <is>
          <t>Earnings / Momentum Support</t>
        </is>
      </c>
      <c r="S86" s="31" t="inlineStr">
        <is>
          <t>Nifty Auto</t>
        </is>
      </c>
      <c r="T86" s="32" t="n">
        <v>13.79</v>
      </c>
      <c r="U86" s="32" t="n">
        <v>15.68</v>
      </c>
      <c r="V86" s="32" t="n">
        <v>1.66</v>
      </c>
      <c r="W86" s="32" t="n">
        <v>2.8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B2C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Below 45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15</t>
        </is>
      </c>
      <c r="CG86" s="31">
        <f>IF(CF86&gt;20,10,IF(CF86&gt;=10,5,2))</f>
        <v/>
      </c>
    </row>
    <row r="90">
      <c r="A90" s="25" t="inlineStr">
        <is>
          <t>❌ REMOVED SCAN MATCH STOCKS (THIS WEEK)</t>
        </is>
      </c>
    </row>
    <row r="91">
      <c r="A91" s="35" t="inlineStr">
        <is>
          <t>Symbol</t>
        </is>
      </c>
      <c r="B91" s="35" t="inlineStr">
        <is>
          <t>Company Name</t>
        </is>
      </c>
      <c r="C91" s="35" t="inlineStr">
        <is>
          <t>Sector</t>
        </is>
      </c>
      <c r="D91" s="35" t="inlineStr">
        <is>
          <t>Date of Removal</t>
        </is>
      </c>
    </row>
    <row r="92">
      <c r="A92" s="36" t="inlineStr">
        <is>
          <t>AEROENTER</t>
        </is>
      </c>
      <c r="B92" s="37" t="inlineStr">
        <is>
          <t>AEROENTER</t>
        </is>
      </c>
      <c r="C92" s="37" t="inlineStr">
        <is>
          <t>unknown</t>
        </is>
      </c>
      <c r="D92" s="38" t="inlineStr">
        <is>
          <t>2026-07-07</t>
        </is>
      </c>
    </row>
    <row r="93">
      <c r="A93" s="36" t="inlineStr">
        <is>
          <t>APOLLO</t>
        </is>
      </c>
      <c r="B93" s="37" t="inlineStr">
        <is>
          <t>APOLLO</t>
        </is>
      </c>
      <c r="C93" s="37" t="inlineStr">
        <is>
          <t>unknown</t>
        </is>
      </c>
      <c r="D93" s="38" t="inlineStr">
        <is>
          <t>2026-07-07</t>
        </is>
      </c>
    </row>
    <row r="94">
      <c r="A94" s="36" t="inlineStr">
        <is>
          <t>AVALON</t>
        </is>
      </c>
      <c r="B94" s="37" t="inlineStr">
        <is>
          <t>AVALON</t>
        </is>
      </c>
      <c r="C94" s="37" t="inlineStr">
        <is>
          <t>unknown</t>
        </is>
      </c>
      <c r="D94" s="38" t="inlineStr">
        <is>
          <t>2026-07-07</t>
        </is>
      </c>
    </row>
    <row r="95">
      <c r="A95" s="36" t="inlineStr">
        <is>
          <t>CFF</t>
        </is>
      </c>
      <c r="B95" s="37" t="inlineStr">
        <is>
          <t>CFF</t>
        </is>
      </c>
      <c r="C95" s="37" t="inlineStr">
        <is>
          <t>unknown</t>
        </is>
      </c>
      <c r="D95" s="38" t="inlineStr">
        <is>
          <t>2026-07-08</t>
        </is>
      </c>
    </row>
    <row r="96">
      <c r="A96" s="36" t="inlineStr">
        <is>
          <t>GREAVESCOT</t>
        </is>
      </c>
      <c r="B96" s="37" t="inlineStr">
        <is>
          <t>Greaves Cotton Limited</t>
        </is>
      </c>
      <c r="C96" s="37" t="inlineStr">
        <is>
          <t>Industrials</t>
        </is>
      </c>
      <c r="D96" s="38" t="inlineStr">
        <is>
          <t>2026-07-07</t>
        </is>
      </c>
    </row>
    <row r="97">
      <c r="A97" s="36" t="inlineStr">
        <is>
          <t>IMPAL</t>
        </is>
      </c>
      <c r="B97" s="37" t="inlineStr">
        <is>
          <t>IMPAL</t>
        </is>
      </c>
      <c r="C97" s="37" t="inlineStr">
        <is>
          <t>unknown</t>
        </is>
      </c>
      <c r="D97" s="38" t="inlineStr">
        <is>
          <t>2026-07-08</t>
        </is>
      </c>
    </row>
    <row r="98">
      <c r="A98" s="36" t="inlineStr">
        <is>
          <t>INDNIPPON</t>
        </is>
      </c>
      <c r="B98" s="37" t="inlineStr">
        <is>
          <t>India Nippon Electricals Limited</t>
        </is>
      </c>
      <c r="C98" s="37" t="inlineStr">
        <is>
          <t>Consumer Cyclical</t>
        </is>
      </c>
      <c r="D98" s="38" t="inlineStr">
        <is>
          <t>2026-07-08</t>
        </is>
      </c>
    </row>
    <row r="99">
      <c r="A99" s="36" t="inlineStr">
        <is>
          <t>INDOBORAX</t>
        </is>
      </c>
      <c r="B99" s="37" t="inlineStr">
        <is>
          <t>Indo Borax &amp; Chemicals Limited</t>
        </is>
      </c>
      <c r="C99" s="37" t="inlineStr">
        <is>
          <t>Basic Materials</t>
        </is>
      </c>
      <c r="D99" s="38" t="inlineStr">
        <is>
          <t>2026-07-08</t>
        </is>
      </c>
    </row>
    <row r="100">
      <c r="A100" s="36" t="inlineStr">
        <is>
          <t>JTLIND</t>
        </is>
      </c>
      <c r="B100" s="37" t="inlineStr">
        <is>
          <t>JTLIND</t>
        </is>
      </c>
      <c r="C100" s="37" t="inlineStr">
        <is>
          <t>unknown</t>
        </is>
      </c>
      <c r="D100" s="38" t="inlineStr">
        <is>
          <t>2026-07-07</t>
        </is>
      </c>
    </row>
    <row r="101">
      <c r="A101" s="36" t="inlineStr">
        <is>
          <t>KERNEX</t>
        </is>
      </c>
      <c r="B101" s="37" t="inlineStr">
        <is>
          <t>KERNEX</t>
        </is>
      </c>
      <c r="C101" s="37" t="inlineStr">
        <is>
          <t>unknown</t>
        </is>
      </c>
      <c r="D101" s="38" t="inlineStr">
        <is>
          <t>2026-07-08</t>
        </is>
      </c>
    </row>
    <row r="102">
      <c r="A102" s="36" t="inlineStr">
        <is>
          <t>KOVAI</t>
        </is>
      </c>
      <c r="B102" s="37" t="inlineStr">
        <is>
          <t>Kovai Medical Center and Hospital Limited</t>
        </is>
      </c>
      <c r="C102" s="37" t="inlineStr">
        <is>
          <t>Healthcare</t>
        </is>
      </c>
      <c r="D102" s="38" t="inlineStr">
        <is>
          <t>2026-07-08</t>
        </is>
      </c>
    </row>
    <row r="103">
      <c r="A103" s="36" t="inlineStr">
        <is>
          <t>KRISHANA</t>
        </is>
      </c>
      <c r="B103" s="37" t="inlineStr">
        <is>
          <t>KRISHANA</t>
        </is>
      </c>
      <c r="C103" s="37" t="inlineStr">
        <is>
          <t>unknown</t>
        </is>
      </c>
      <c r="D103" s="38" t="inlineStr">
        <is>
          <t>2026-07-07</t>
        </is>
      </c>
    </row>
    <row r="104">
      <c r="A104" s="36" t="inlineStr">
        <is>
          <t>KRISHNADEF</t>
        </is>
      </c>
      <c r="B104" s="37" t="inlineStr">
        <is>
          <t>KRISHNADEF</t>
        </is>
      </c>
      <c r="C104" s="37" t="inlineStr">
        <is>
          <t>unknown</t>
        </is>
      </c>
      <c r="D104" s="38" t="inlineStr">
        <is>
          <t>2026-07-08</t>
        </is>
      </c>
    </row>
    <row r="105">
      <c r="A105" s="36" t="inlineStr">
        <is>
          <t>MACPOWER</t>
        </is>
      </c>
      <c r="B105" s="37" t="inlineStr">
        <is>
          <t>Macpower CNC Machines Limited</t>
        </is>
      </c>
      <c r="C105" s="37" t="inlineStr">
        <is>
          <t>Industrials</t>
        </is>
      </c>
      <c r="D105" s="38" t="inlineStr">
        <is>
          <t>2026-07-07</t>
        </is>
      </c>
    </row>
    <row r="106">
      <c r="A106" s="36" t="inlineStr">
        <is>
          <t>OBEROIRLTY</t>
        </is>
      </c>
      <c r="B106" s="37" t="inlineStr">
        <is>
          <t>Oberoi Realty Limited</t>
        </is>
      </c>
      <c r="C106" s="37" t="inlineStr">
        <is>
          <t>Real Estate</t>
        </is>
      </c>
      <c r="D106" s="38" t="inlineStr">
        <is>
          <t>2026-07-08</t>
        </is>
      </c>
    </row>
    <row r="107">
      <c r="A107" s="36" t="inlineStr">
        <is>
          <t>PRIVISCL</t>
        </is>
      </c>
      <c r="B107" s="37" t="inlineStr">
        <is>
          <t>Privi Speciality Chemicals Limited</t>
        </is>
      </c>
      <c r="C107" s="37" t="inlineStr">
        <is>
          <t>Basic Materials</t>
        </is>
      </c>
      <c r="D107" s="38" t="inlineStr">
        <is>
          <t>2026-07-08</t>
        </is>
      </c>
    </row>
    <row r="108">
      <c r="A108" s="36" t="inlineStr">
        <is>
          <t>SANSERA</t>
        </is>
      </c>
      <c r="B108" s="37" t="inlineStr">
        <is>
          <t>Sansera Engineering Limited</t>
        </is>
      </c>
      <c r="C108" s="37" t="inlineStr">
        <is>
          <t>Consumer Cyclical</t>
        </is>
      </c>
      <c r="D108" s="38" t="inlineStr">
        <is>
          <t>2026-07-07</t>
        </is>
      </c>
    </row>
    <row r="109">
      <c r="A109" s="36" t="inlineStr">
        <is>
          <t>SBC</t>
        </is>
      </c>
      <c r="B109" s="37" t="inlineStr">
        <is>
          <t>SBC Exports Limited</t>
        </is>
      </c>
      <c r="C109" s="37" t="inlineStr">
        <is>
          <t>Industrials</t>
        </is>
      </c>
      <c r="D109" s="38" t="inlineStr">
        <is>
          <t>2026-07-08</t>
        </is>
      </c>
    </row>
    <row r="110">
      <c r="A110" s="36" t="inlineStr">
        <is>
          <t>SHILPAMED</t>
        </is>
      </c>
      <c r="B110" s="37" t="inlineStr">
        <is>
          <t>Shilpa Medicare Limited</t>
        </is>
      </c>
      <c r="C110" s="37" t="inlineStr">
        <is>
          <t>Healthcare</t>
        </is>
      </c>
      <c r="D110" s="38" t="inlineStr">
        <is>
          <t>2026-07-08</t>
        </is>
      </c>
    </row>
    <row r="111">
      <c r="A111" s="36" t="inlineStr">
        <is>
          <t>SJS</t>
        </is>
      </c>
      <c r="B111" s="37" t="inlineStr">
        <is>
          <t>S.J.S. Enterprises Limited</t>
        </is>
      </c>
      <c r="C111" s="37" t="inlineStr">
        <is>
          <t>Consumer Cyclical</t>
        </is>
      </c>
      <c r="D111" s="38" t="inlineStr">
        <is>
          <t>2026-07-08</t>
        </is>
      </c>
    </row>
    <row r="112">
      <c r="A112" s="36" t="inlineStr">
        <is>
          <t>SPECTRUM</t>
        </is>
      </c>
      <c r="B112" s="37" t="inlineStr">
        <is>
          <t>SPECTRUM</t>
        </is>
      </c>
      <c r="C112" s="37" t="inlineStr">
        <is>
          <t>Industrials</t>
        </is>
      </c>
      <c r="D112" s="38" t="inlineStr">
        <is>
          <t>2026-07-07</t>
        </is>
      </c>
    </row>
    <row r="113">
      <c r="A113" s="36" t="inlineStr">
        <is>
          <t>TIPSMUSIC</t>
        </is>
      </c>
      <c r="B113" s="37" t="inlineStr">
        <is>
          <t>TIPSMUSIC</t>
        </is>
      </c>
      <c r="C113" s="37" t="inlineStr">
        <is>
          <t>unknown</t>
        </is>
      </c>
      <c r="D113" s="38" t="inlineStr">
        <is>
          <t>2026-07-07</t>
        </is>
      </c>
    </row>
    <row r="114">
      <c r="A114" s="36" t="inlineStr">
        <is>
          <t>TRIVENI</t>
        </is>
      </c>
      <c r="B114" s="37" t="inlineStr">
        <is>
          <t>Triveni Engineering &amp; Industries Limited</t>
        </is>
      </c>
      <c r="C114" s="37" t="inlineStr">
        <is>
          <t>Consumer Defensive</t>
        </is>
      </c>
      <c r="D114" s="38" t="inlineStr">
        <is>
          <t>2026-07-07</t>
        </is>
      </c>
    </row>
    <row r="115">
      <c r="A115" s="36" t="inlineStr">
        <is>
          <t>TVSSCS</t>
        </is>
      </c>
      <c r="B115" s="37" t="inlineStr">
        <is>
          <t>TVS Supply Chain Solutions Limited</t>
        </is>
      </c>
      <c r="C115" s="37" t="inlineStr">
        <is>
          <t>Industrials</t>
        </is>
      </c>
      <c r="D115" s="38" t="inlineStr">
        <is>
          <t>2026-07-07</t>
        </is>
      </c>
    </row>
    <row r="116">
      <c r="A116" s="36" t="inlineStr">
        <is>
          <t>UTSSAV</t>
        </is>
      </c>
      <c r="B116" s="37" t="inlineStr">
        <is>
          <t>UTSSAV</t>
        </is>
      </c>
      <c r="C116" s="37" t="inlineStr">
        <is>
          <t>unknown</t>
        </is>
      </c>
      <c r="D116" s="38" t="inlineStr">
        <is>
          <t>2026-07-08</t>
        </is>
      </c>
    </row>
    <row r="117">
      <c r="A117" s="36" t="inlineStr">
        <is>
          <t>VARROC</t>
        </is>
      </c>
      <c r="B117" s="37" t="inlineStr">
        <is>
          <t>Varroc Engineering Limited</t>
        </is>
      </c>
      <c r="C117" s="37" t="inlineStr">
        <is>
          <t>Consumer Cyclical</t>
        </is>
      </c>
      <c r="D117" s="38" t="inlineStr">
        <is>
          <t>2026-07-07</t>
        </is>
      </c>
    </row>
  </sheetData>
  <autoFilter ref="A1:CG86"/>
  <conditionalFormatting sqref="B2:B8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6">
    <cfRule type="cellIs" priority="37" operator="equal" dxfId="3" stopIfTrue="1">
      <formula>"Underperforming"</formula>
    </cfRule>
  </conditionalFormatting>
  <conditionalFormatting sqref="N2:N86">
    <cfRule type="cellIs" priority="38" operator="equal" dxfId="3" stopIfTrue="1">
      <formula>-5</formula>
    </cfRule>
  </conditionalFormatting>
  <conditionalFormatting sqref="Q2:Q8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6" showDropDown="0" showInputMessage="0" showErrorMessage="0" allowBlank="1" type="list">
      <formula1>"Growing Industry,Stagnant Industry,Cyclical in an Upturn"</formula1>
    </dataValidation>
    <dataValidation sqref="Z2:Z8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6" showDropDown="0" showInputMessage="0" showErrorMessage="0" allowBlank="1" type="list">
      <formula1>"Yes,No"</formula1>
    </dataValidation>
    <dataValidation sqref="AD2:AD86" showDropDown="0" showInputMessage="0" showErrorMessage="0" allowBlank="1" type="list">
      <formula1>"Tailwind,Headwind"</formula1>
    </dataValidation>
    <dataValidation sqref="AF2:AF86" showDropDown="0" showInputMessage="0" showErrorMessage="0" allowBlank="1" type="list">
      <formula1>"Structural (10 Years Consistency),Shallow Cyclical (2 to 3 Years Growth),Cyclical"</formula1>
    </dataValidation>
    <dataValidation sqref="AH2:AH86" showDropDown="0" showInputMessage="0" showErrorMessage="0" allowBlank="1" type="list">
      <formula1>"Yes due to Product Mix change or Operating Leverage,Yes, these are peak margins,No"</formula1>
    </dataValidation>
    <dataValidation sqref="AJ2:AJ86" showDropDown="0" showInputMessage="0" showErrorMessage="0" allowBlank="1" type="list">
      <formula1>"Stable,Volatile"</formula1>
    </dataValidation>
    <dataValidation sqref="AL2:AL86" showDropDown="0" showInputMessage="0" showErrorMessage="0" allowBlank="1" type="list">
      <formula1>"Yes,No"</formula1>
    </dataValidation>
    <dataValidation sqref="AN2:AN86" showDropDown="0" showInputMessage="0" showErrorMessage="0" allowBlank="1" type="list">
      <formula1>"B2C,B2B,B2G"</formula1>
    </dataValidation>
    <dataValidation sqref="AP2:AP86" showDropDown="0" showInputMessage="0" showErrorMessage="0" allowBlank="1" type="list">
      <formula1>"Yes,No"</formula1>
    </dataValidation>
    <dataValidation sqref="AR2:AR86" showDropDown="0" showInputMessage="0" showErrorMessage="0" allowBlank="1" type="list">
      <formula1>"Fully Annuity,Higher Annuity, Lower One time,Higher One Time, Lower Annuity,Fully One Time"</formula1>
    </dataValidation>
    <dataValidation sqref="AT2:AT86" showDropDown="0" showInputMessage="0" showErrorMessage="0" allowBlank="1" type="list">
      <formula1>"Good,Allocated capital in Non-core Areas"</formula1>
    </dataValidation>
    <dataValidation sqref="AV2:AV86" showDropDown="0" showInputMessage="0" showErrorMessage="0" allowBlank="1" type="list">
      <formula1>"Yes for more than 2 years,Yes only for next 1 to 2 years,No"</formula1>
    </dataValidation>
    <dataValidation sqref="AX2:AX86" showDropDown="0" showInputMessage="0" showErrorMessage="0" allowBlank="1" type="list">
      <formula1>"Above 40,20 to 40,0 to 20"</formula1>
    </dataValidation>
    <dataValidation sqref="AZ2:AZ86" showDropDown="0" showInputMessage="0" showErrorMessage="0" allowBlank="1" type="list">
      <formula1>"Between 50 to 75,Above 75,Below 45"</formula1>
    </dataValidation>
    <dataValidation sqref="BB2:BB86" showDropDown="0" showInputMessage="0" showErrorMessage="0" allowBlank="1" type="list">
      <formula1>"Stage 1,Stage 2,Stage 3,Stage 4"</formula1>
    </dataValidation>
    <dataValidation sqref="BD2:BD86" showDropDown="0" showInputMessage="0" showErrorMessage="0" allowBlank="1" type="list">
      <formula1>"Positive Trend,Negative Trend"</formula1>
    </dataValidation>
    <dataValidation sqref="BF2:BF86" showDropDown="0" showInputMessage="0" showErrorMessage="0" allowBlank="1" type="list">
      <formula1>"Uptrend,Sideways,Downtrend"</formula1>
    </dataValidation>
    <dataValidation sqref="BH2:BH86" showDropDown="0" showInputMessage="0" showErrorMessage="0" allowBlank="1" type="list">
      <formula1>"Uptrend,Sideways,Downtrend"</formula1>
    </dataValidation>
    <dataValidation sqref="BJ2:BJ8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6" showDropDown="0" showInputMessage="0" showErrorMessage="0" allowBlank="1" type="list">
      <formula1>"Yes,No"</formula1>
    </dataValidation>
    <dataValidation sqref="BN2:BN86" showDropDown="0" showInputMessage="0" showErrorMessage="0" allowBlank="1" type="list">
      <formula1>"More than 20%,Between 12 to 20%,Less than 12%"</formula1>
    </dataValidation>
    <dataValidation sqref="BP2:BP86" showDropDown="0" showInputMessage="0" showErrorMessage="0" allowBlank="1" type="list">
      <formula1>"Yes,No"</formula1>
    </dataValidation>
    <dataValidation sqref="BR2:BR86" showDropDown="0" showInputMessage="0" showErrorMessage="0" allowBlank="1" type="list">
      <formula1>"Yes,No"</formula1>
    </dataValidation>
    <dataValidation sqref="BT2:BT86" showDropDown="0" showInputMessage="0" showErrorMessage="0" allowBlank="1" type="list">
      <formula1>"Above 2,Between 1.5 to 2,Less than 1.5"</formula1>
    </dataValidation>
    <dataValidation sqref="BV2:BV86" showDropDown="0" showInputMessage="0" showErrorMessage="0" allowBlank="1" type="list">
      <formula1>"Above 70%,Between 50% to 70%,Less than 50%,Less than 50% and Borrowings are increasing,Negative"</formula1>
    </dataValidation>
    <dataValidation sqref="BX2:BX86" showDropDown="0" showInputMessage="0" showErrorMessage="0" allowBlank="1" type="list">
      <formula1>"More than 1.2,Between 0.7 to 1.2,Less than 0.7"</formula1>
    </dataValidation>
    <dataValidation sqref="BZ2:BZ86" showDropDown="0" showInputMessage="0" showErrorMessage="0" allowBlank="1" type="list">
      <formula1>"Yes,No"</formula1>
    </dataValidation>
    <dataValidation sqref="CB2:CB86" showDropDown="0" showInputMessage="0" showErrorMessage="0" allowBlank="1" type="list">
      <formula1>"More than 15%,Less than 15%"</formula1>
    </dataValidation>
    <dataValidation sqref="CD2:CD8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2759.56</v>
      </c>
      <c r="I2" s="32" t="n">
        <v>249.8</v>
      </c>
      <c r="J2" s="32" t="n">
        <v>-5.12</v>
      </c>
      <c r="K2" s="32" t="n">
        <v>0</v>
      </c>
      <c r="L2" s="31" t="n">
        <v>79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70.42</v>
      </c>
      <c r="P2" s="32" t="n">
        <v>60.81</v>
      </c>
      <c r="Q2" s="32" t="n">
        <v>197.58</v>
      </c>
      <c r="R2" s="31" t="inlineStr">
        <is>
          <t>Near 52W High Breakout</t>
        </is>
      </c>
      <c r="S2" s="31" t="inlineStr">
        <is>
          <t>Nifty Bank</t>
        </is>
      </c>
      <c r="T2" s="32" t="n">
        <v>-0.02</v>
      </c>
      <c r="U2" s="32" t="n">
        <v>53.96</v>
      </c>
      <c r="V2" s="32" t="n">
        <v>54</v>
      </c>
      <c r="W2" s="32" t="n">
        <v>22.26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IF(B3=0,"",RANK(B3,$B$2:$B$16,0))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MRUTR</t>
        </is>
      </c>
      <c r="D3" s="31" t="inlineStr">
        <is>
          <t>Mrugesh Trading Ltd</t>
        </is>
      </c>
      <c r="E3" s="31" t="inlineStr">
        <is>
          <t>Consumer Defensive</t>
        </is>
      </c>
      <c r="F3" s="31" t="inlineStr">
        <is>
          <t>NBFC - Others</t>
        </is>
      </c>
      <c r="G3" s="31" t="inlineStr">
        <is>
          <t>smallcap</t>
        </is>
      </c>
      <c r="H3" s="32" t="n">
        <v>4509.53</v>
      </c>
      <c r="I3" s="32" t="n">
        <v>62.42</v>
      </c>
      <c r="J3" s="32" t="n">
        <v>1.99</v>
      </c>
      <c r="K3" s="32" t="n">
        <v>0</v>
      </c>
      <c r="L3" s="31" t="n">
        <v>99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99.87</v>
      </c>
      <c r="P3" s="32" t="n">
        <v>99.09</v>
      </c>
      <c r="Q3" s="32" t="n">
        <v>54.96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-5.04</v>
      </c>
      <c r="U3" s="32" t="n">
        <v>13381.64</v>
      </c>
      <c r="V3" s="32" t="n">
        <v>14097.33</v>
      </c>
      <c r="W3" s="32" t="n">
        <v>239.97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less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15</t>
        </is>
      </c>
      <c r="CC3" s="31">
        <f>IF(CB3&gt;20,10,IF(CB3&gt;=10,5,2))</f>
        <v/>
      </c>
    </row>
    <row r="4">
      <c r="A4" s="31">
        <f>IF(B4=0,"",RANK(B4,$B$2:$B$16,0))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SGFIN</t>
        </is>
      </c>
      <c r="D4" s="31" t="inlineStr">
        <is>
          <t>SG Finserve Ltd</t>
        </is>
      </c>
      <c r="E4" s="31" t="inlineStr">
        <is>
          <t>Financial Services</t>
        </is>
      </c>
      <c r="F4" s="31" t="inlineStr">
        <is>
          <t>Finance &amp; Investments - MSME Lending</t>
        </is>
      </c>
      <c r="G4" s="31" t="inlineStr">
        <is>
          <t>smallcap</t>
        </is>
      </c>
      <c r="H4" s="32" t="n">
        <v>4445.94</v>
      </c>
      <c r="I4" s="32" t="n">
        <v>674.7</v>
      </c>
      <c r="J4" s="32" t="n">
        <v>-0.27</v>
      </c>
      <c r="K4" s="32" t="n">
        <v>0</v>
      </c>
      <c r="L4" s="31" t="n">
        <v>74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74.78</v>
      </c>
      <c r="P4" s="32" t="n">
        <v>59.13</v>
      </c>
      <c r="Q4" s="32" t="n">
        <v>521.72</v>
      </c>
      <c r="R4" s="31" t="inlineStr">
        <is>
          <t>Near 52W High Breakout</t>
        </is>
      </c>
      <c r="S4" s="31" t="inlineStr">
        <is>
          <t>Nifty Bank</t>
        </is>
      </c>
      <c r="T4" s="32" t="n">
        <v>3.16</v>
      </c>
      <c r="U4" s="32" t="n">
        <v>70.81999999999999</v>
      </c>
      <c r="V4" s="32" t="n">
        <v>65.59</v>
      </c>
      <c r="W4" s="32" t="n">
        <v>18.63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24</t>
        </is>
      </c>
      <c r="CC4" s="31">
        <f>IF(CB4&gt;20,10,IF(CB4&gt;=10,5,2))</f>
        <v/>
      </c>
    </row>
    <row r="5">
      <c r="A5" s="31">
        <f>IF(B5=0,"",RANK(B5,$B$2:$B$16,0))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6433.96</v>
      </c>
      <c r="I5" s="32" t="n">
        <v>70.73999999999999</v>
      </c>
      <c r="J5" s="32" t="n">
        <v>1.73</v>
      </c>
      <c r="K5" s="32" t="n">
        <v>0</v>
      </c>
      <c r="L5" s="31" t="n">
        <v>93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80.76000000000001</v>
      </c>
      <c r="P5" s="32" t="n">
        <v>48.63</v>
      </c>
      <c r="Q5" s="32" t="n">
        <v>57.17</v>
      </c>
      <c r="R5" s="31" t="inlineStr">
        <is>
          <t>Near 52W High Breakout</t>
        </is>
      </c>
      <c r="S5" s="31" t="inlineStr">
        <is>
          <t>Nifty Bank</t>
        </is>
      </c>
      <c r="T5" s="32" t="n">
        <v>-0.02</v>
      </c>
      <c r="U5" s="32" t="n">
        <v>129.82</v>
      </c>
      <c r="V5" s="32" t="n">
        <v>129.87</v>
      </c>
      <c r="W5" s="32" t="n">
        <v>37.66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  <row r="6">
      <c r="A6" s="31">
        <f>IF(B6=0,"",RANK(B6,$B$2:$B$16,0))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DHANBANK</t>
        </is>
      </c>
      <c r="D6" s="31" t="inlineStr">
        <is>
          <t>Dhanlaxmi Bank Ltd</t>
        </is>
      </c>
      <c r="E6" s="31" t="inlineStr">
        <is>
          <t>Financial Services</t>
        </is>
      </c>
      <c r="F6" s="31" t="inlineStr">
        <is>
          <t>Banks - Private</t>
        </is>
      </c>
      <c r="G6" s="31" t="inlineStr">
        <is>
          <t>smallcap</t>
        </is>
      </c>
      <c r="H6" s="32" t="n">
        <v>1326.19</v>
      </c>
      <c r="I6" s="32" t="n">
        <v>33.6</v>
      </c>
      <c r="J6" s="32" t="n">
        <v>-7.23</v>
      </c>
      <c r="K6" s="32" t="n">
        <v>0</v>
      </c>
      <c r="L6" s="31" t="n">
        <v>44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63.82</v>
      </c>
      <c r="P6" s="32" t="n">
        <v>33.2</v>
      </c>
      <c r="Q6" s="32" t="n">
        <v>25.68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-0.02</v>
      </c>
      <c r="U6" s="32" t="n">
        <v>14.31</v>
      </c>
      <c r="V6" s="32" t="n">
        <v>14.33</v>
      </c>
      <c r="W6" s="32" t="n">
        <v>9.01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7">
      <c r="A7" s="31">
        <f>IF(B7=0,"",RANK(B7,$B$2:$B$16,0))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FUSION</t>
        </is>
      </c>
      <c r="D7" s="31" t="inlineStr">
        <is>
          <t>Fusion Finance Ltd</t>
        </is>
      </c>
      <c r="E7" s="31" t="inlineStr">
        <is>
          <t>financials</t>
        </is>
      </c>
      <c r="F7" s="31" t="inlineStr">
        <is>
          <t>Finance &amp; Investments - Microfinance</t>
        </is>
      </c>
      <c r="G7" s="31" t="inlineStr">
        <is>
          <t>smallcap</t>
        </is>
      </c>
      <c r="H7" s="32" t="n">
        <v>3575.32</v>
      </c>
      <c r="I7" s="32" t="n">
        <v>221.13</v>
      </c>
      <c r="J7" s="32" t="n">
        <v>-2.16</v>
      </c>
      <c r="K7" s="32" t="n">
        <v>0</v>
      </c>
      <c r="L7" s="31" t="n">
        <v>57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62.53</v>
      </c>
      <c r="P7" s="32" t="n">
        <v>23.29</v>
      </c>
      <c r="Q7" s="32" t="n">
        <v>168.76</v>
      </c>
      <c r="R7" s="31" t="inlineStr">
        <is>
          <t>Near 52W High Breakout</t>
        </is>
      </c>
      <c r="S7" s="31" t="inlineStr">
        <is>
          <t>Nifty Bank</t>
        </is>
      </c>
      <c r="T7" s="32" t="n">
        <v>-0.02</v>
      </c>
      <c r="U7" s="32" t="n">
        <v>16.67</v>
      </c>
      <c r="V7" s="32" t="n">
        <v>16.7</v>
      </c>
      <c r="W7" s="32" t="n">
        <v>12.54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16</t>
        </is>
      </c>
      <c r="CC7" s="31">
        <f>IF(CB7&gt;20,10,IF(CB7&gt;=10,5,2))</f>
        <v/>
      </c>
    </row>
    <row r="8">
      <c r="A8" s="31">
        <f>IF(B8=0,"",RANK(B8,$B$2:$B$16,0))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SURYODAY</t>
        </is>
      </c>
      <c r="D8" s="31" t="inlineStr">
        <is>
          <t>Suryoday Small Finance Bank Ltd</t>
        </is>
      </c>
      <c r="E8" s="31" t="inlineStr">
        <is>
          <t>Financial Services</t>
        </is>
      </c>
      <c r="F8" s="31" t="inlineStr">
        <is>
          <t>Banks - Small Finance</t>
        </is>
      </c>
      <c r="G8" s="31" t="inlineStr">
        <is>
          <t>smallcap</t>
        </is>
      </c>
      <c r="H8" s="32" t="n">
        <v>1870.38</v>
      </c>
      <c r="I8" s="32" t="n">
        <v>175.97</v>
      </c>
      <c r="J8" s="32" t="n">
        <v>-0.45</v>
      </c>
      <c r="K8" s="32" t="n">
        <v>0</v>
      </c>
      <c r="L8" s="31" t="n">
        <v>57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61.82</v>
      </c>
      <c r="P8" s="32" t="n">
        <v>35.57</v>
      </c>
      <c r="Q8" s="32" t="n">
        <v>140.8</v>
      </c>
      <c r="R8" s="31" t="inlineStr">
        <is>
          <t>Near 52W High Breakout</t>
        </is>
      </c>
      <c r="S8" s="31" t="inlineStr">
        <is>
          <t>Nifty Bank</t>
        </is>
      </c>
      <c r="T8" s="32" t="n">
        <v>-0.02</v>
      </c>
      <c r="U8" s="32" t="n">
        <v>29.44</v>
      </c>
      <c r="V8" s="32" t="n">
        <v>29.47</v>
      </c>
      <c r="W8" s="32" t="n">
        <v>12.43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15</t>
        </is>
      </c>
      <c r="CC8" s="31">
        <f>IF(CB8&gt;20,10,IF(CB8&gt;=10,5,2))</f>
        <v/>
      </c>
    </row>
    <row r="9">
      <c r="A9" s="31">
        <f>IF(B9=0,"",RANK(B9,$B$2:$B$16,0))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RANEHOLDIN</t>
        </is>
      </c>
      <c r="D9" s="31" t="inlineStr">
        <is>
          <t>Rane Holdings Ltd</t>
        </is>
      </c>
      <c r="E9" s="31" t="inlineStr">
        <is>
          <t>financials</t>
        </is>
      </c>
      <c r="F9" s="31" t="inlineStr">
        <is>
          <t>Finance - Holding Company</t>
        </is>
      </c>
      <c r="G9" s="31" t="inlineStr">
        <is>
          <t>smallcap</t>
        </is>
      </c>
      <c r="H9" s="32" t="n">
        <v>2464.35</v>
      </c>
      <c r="I9" s="32" t="n">
        <v>1726</v>
      </c>
      <c r="J9" s="32" t="n">
        <v>-0.29</v>
      </c>
      <c r="K9" s="32" t="n">
        <v>0</v>
      </c>
      <c r="L9" s="31" t="n">
        <v>77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69.88</v>
      </c>
      <c r="P9" s="32" t="n">
        <v>31.54</v>
      </c>
      <c r="Q9" s="32" t="n">
        <v>1318.99</v>
      </c>
      <c r="R9" s="31" t="inlineStr">
        <is>
          <t>Near 52W High Breakout</t>
        </is>
      </c>
      <c r="S9" s="31" t="inlineStr">
        <is>
          <t>Nifty Bank</t>
        </is>
      </c>
      <c r="T9" s="32" t="n">
        <v>-0.02</v>
      </c>
      <c r="U9" s="32" t="n">
        <v>13.06</v>
      </c>
      <c r="V9" s="32" t="n">
        <v>13.09</v>
      </c>
      <c r="W9" s="32" t="n">
        <v>20.78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15</t>
        </is>
      </c>
      <c r="CC9" s="31">
        <f>IF(CB9&gt;20,10,IF(CB9&gt;=10,5,2))</f>
        <v/>
      </c>
    </row>
    <row r="10">
      <c r="A10" s="31">
        <f>IF(B10=0,"",RANK(B10,$B$2:$B$16,0))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CGCL</t>
        </is>
      </c>
      <c r="D10" s="31" t="inlineStr">
        <is>
          <t>Capri Global Capital Ltd</t>
        </is>
      </c>
      <c r="E10" s="31" t="inlineStr">
        <is>
          <t>financials</t>
        </is>
      </c>
      <c r="F10" s="31" t="inlineStr">
        <is>
          <t>Finance &amp; Investments - Gold Loan</t>
        </is>
      </c>
      <c r="G10" s="31" t="inlineStr">
        <is>
          <t>largecap</t>
        </is>
      </c>
      <c r="H10" s="32" t="n">
        <v>22869.44</v>
      </c>
      <c r="I10" s="32" t="n">
        <v>237.69</v>
      </c>
      <c r="J10" s="32" t="n">
        <v>0.09</v>
      </c>
      <c r="K10" s="32" t="n">
        <v>0</v>
      </c>
      <c r="L10" s="31" t="n">
        <v>57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</v>
      </c>
      <c r="P10" s="32" t="n">
        <v>26.77</v>
      </c>
      <c r="Q10" s="32" t="n">
        <v>195.78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-0.02</v>
      </c>
      <c r="U10" s="32" t="n">
        <v>34.68</v>
      </c>
      <c r="V10" s="32" t="n">
        <v>34.71</v>
      </c>
      <c r="W10" s="32" t="n">
        <v>12.57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25</t>
        </is>
      </c>
      <c r="CC10" s="31">
        <f>IF(CB10&gt;20,10,IF(CB10&gt;=10,5,2))</f>
        <v/>
      </c>
    </row>
    <row r="11">
      <c r="A11" s="31">
        <f>IF(B11=0,"",RANK(B11,$B$2:$B$16,0))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CREDITACC</t>
        </is>
      </c>
      <c r="D11" s="31" t="inlineStr">
        <is>
          <t>CreditAccess Grameen Ltd</t>
        </is>
      </c>
      <c r="E11" s="31" t="inlineStr">
        <is>
          <t>financials</t>
        </is>
      </c>
      <c r="F11" s="31" t="inlineStr">
        <is>
          <t>Finance &amp; Investments - Microfinance</t>
        </is>
      </c>
      <c r="G11" s="31" t="inlineStr">
        <is>
          <t>largecap</t>
        </is>
      </c>
      <c r="H11" s="32" t="n">
        <v>24631.89</v>
      </c>
      <c r="I11" s="32" t="n">
        <v>1537</v>
      </c>
      <c r="J11" s="32" t="n">
        <v>-2.86</v>
      </c>
      <c r="K11" s="32" t="n">
        <v>0</v>
      </c>
      <c r="L11" s="31" t="n">
        <v>44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63.94</v>
      </c>
      <c r="P11" s="32" t="n">
        <v>39.67</v>
      </c>
      <c r="Q11" s="32" t="n">
        <v>1222.11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-0.02</v>
      </c>
      <c r="U11" s="32" t="n">
        <v>17.62</v>
      </c>
      <c r="V11" s="32" t="n">
        <v>17.64</v>
      </c>
      <c r="W11" s="32" t="n">
        <v>9.050000000000001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16</t>
        </is>
      </c>
      <c r="CC11" s="31">
        <f>IF(CB11&gt;20,10,IF(CB11&gt;=10,5,2))</f>
        <v/>
      </c>
    </row>
    <row r="12">
      <c r="A12" s="31">
        <f>IF(B12=0,"",RANK(B12,$B$2:$B$16,0))</f>
        <v/>
      </c>
      <c r="B12" s="32">
        <f>SUM(N12,Y12,AA12,AC12,AE12,AG12,AI12,AK12,AM12,AO12,AQ12,AS12,AU12,AW12,AY12,BA12,BC12,BE12,BG12,BI12,BK12,BM12,BO12,BQ12,BS12,BU12,BW12,BY12,CA12,CC12)</f>
        <v/>
      </c>
      <c r="C12" s="34" t="inlineStr">
        <is>
          <t>NAM-INDIA</t>
        </is>
      </c>
      <c r="D12" s="34" t="inlineStr">
        <is>
          <t>Nippon Life India Asset Management Ltd</t>
        </is>
      </c>
      <c r="E12" s="31" t="inlineStr">
        <is>
          <t>Financial Services</t>
        </is>
      </c>
      <c r="F12" s="31" t="inlineStr">
        <is>
          <t>Finance - AMC</t>
        </is>
      </c>
      <c r="G12" s="31" t="inlineStr">
        <is>
          <t>largecap</t>
        </is>
      </c>
      <c r="H12" s="32" t="n">
        <v>74797.62</v>
      </c>
      <c r="I12" s="32" t="n">
        <v>1170</v>
      </c>
      <c r="J12" s="32" t="n">
        <v>-1.9</v>
      </c>
      <c r="K12" s="32" t="n">
        <v>0</v>
      </c>
      <c r="L12" s="31" t="n">
        <v>61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64.90000000000001</v>
      </c>
      <c r="P12" s="32" t="n">
        <v>40.54</v>
      </c>
      <c r="Q12" s="32" t="n">
        <v>976.4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-0.02</v>
      </c>
      <c r="U12" s="32" t="n">
        <v>48.22</v>
      </c>
      <c r="V12" s="32" t="n">
        <v>48.25</v>
      </c>
      <c r="W12" s="32" t="n">
        <v>13.21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above 5x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15</t>
        </is>
      </c>
      <c r="CC12" s="31">
        <f>IF(CB12&gt;20,10,IF(CB12&gt;=10,5,2))</f>
        <v/>
      </c>
    </row>
    <row r="13">
      <c r="A13" s="31">
        <f>IF(B13=0,"",RANK(B13,$B$2:$B$16,0))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AADHARHFC</t>
        </is>
      </c>
      <c r="D13" s="31" t="inlineStr">
        <is>
          <t>Aadhar Housing Finance Ltd</t>
        </is>
      </c>
      <c r="E13" s="31" t="inlineStr">
        <is>
          <t>financials</t>
        </is>
      </c>
      <c r="F13" s="31" t="inlineStr">
        <is>
          <t>Finance - Housing</t>
        </is>
      </c>
      <c r="G13" s="31" t="inlineStr">
        <is>
          <t>largecap</t>
        </is>
      </c>
      <c r="H13" s="32" t="n">
        <v>23261.96</v>
      </c>
      <c r="I13" s="32" t="n">
        <v>531.9</v>
      </c>
      <c r="J13" s="32" t="n">
        <v>-2.55</v>
      </c>
      <c r="K13" s="32" t="n">
        <v>0</v>
      </c>
      <c r="L13" s="31" t="n">
        <v>25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58.55</v>
      </c>
      <c r="P13" s="32" t="n">
        <v>26.26</v>
      </c>
      <c r="Q13" s="32" t="n">
        <v>449.47</v>
      </c>
      <c r="R13" s="31" t="inlineStr">
        <is>
          <t>Earnings / Momentum Support</t>
        </is>
      </c>
      <c r="S13" s="31" t="inlineStr">
        <is>
          <t>Nifty Bank</t>
        </is>
      </c>
      <c r="T13" s="32" t="n">
        <v>-0.02</v>
      </c>
      <c r="U13" s="32" t="n">
        <v>16.27</v>
      </c>
      <c r="V13" s="32" t="n">
        <v>16.3</v>
      </c>
      <c r="W13" s="32" t="n">
        <v>5.3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18</t>
        </is>
      </c>
      <c r="CC13" s="31">
        <f>IF(CB13&gt;20,10,IF(CB13&gt;=10,5,2))</f>
        <v/>
      </c>
    </row>
    <row r="14">
      <c r="A14" s="31">
        <f>IF(B14=0,"",RANK(B14,$B$2:$B$16,0))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ANANDRATHI</t>
        </is>
      </c>
      <c r="D14" s="31" t="inlineStr">
        <is>
          <t>Anand Rathi Wealth Ltd</t>
        </is>
      </c>
      <c r="E14" s="31" t="inlineStr">
        <is>
          <t>financials</t>
        </is>
      </c>
      <c r="F14" s="31" t="inlineStr">
        <is>
          <t>Finance - Capital Markets - Wealth Management</t>
        </is>
      </c>
      <c r="G14" s="31" t="inlineStr">
        <is>
          <t>largecap</t>
        </is>
      </c>
      <c r="H14" s="32" t="n">
        <v>34204.5</v>
      </c>
      <c r="I14" s="32" t="n">
        <v>2060</v>
      </c>
      <c r="J14" s="32" t="n">
        <v>0.39</v>
      </c>
      <c r="K14" s="32" t="n">
        <v>0</v>
      </c>
      <c r="L14" s="31" t="n">
        <v>69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77.90000000000001</v>
      </c>
      <c r="P14" s="32" t="n">
        <v>46.52</v>
      </c>
      <c r="Q14" s="32" t="n">
        <v>1758.61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-0.02</v>
      </c>
      <c r="U14" s="32" t="n">
        <v>86.98999999999999</v>
      </c>
      <c r="V14" s="32" t="n">
        <v>87.03</v>
      </c>
      <c r="W14" s="32" t="n">
        <v>16.95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above 5x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Above 40</t>
        </is>
      </c>
      <c r="BM14" s="31">
        <f>IF(BL14="Above 40",20,IF(BL14="20 to 40",10,IF(BL14="0 to 20",-5,0)))</f>
        <v/>
      </c>
      <c r="BN14" s="31" t="inlineStr">
        <is>
          <t>Above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17</t>
        </is>
      </c>
      <c r="CC14" s="31">
        <f>IF(CB14&gt;20,10,IF(CB14&gt;=10,5,2))</f>
        <v/>
      </c>
    </row>
    <row r="15">
      <c r="A15" s="31">
        <f>IF(B15=0,"",RANK(B15,$B$2:$B$16,0))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CHOLAFIN</t>
        </is>
      </c>
      <c r="D15" s="31" t="inlineStr">
        <is>
          <t>Cholamandalam Investment &amp; Finance Company Ltd</t>
        </is>
      </c>
      <c r="E15" s="31" t="inlineStr">
        <is>
          <t>financials</t>
        </is>
      </c>
      <c r="F15" s="31" t="inlineStr">
        <is>
          <t>Conglomerate Backed NBFC</t>
        </is>
      </c>
      <c r="G15" s="31" t="inlineStr">
        <is>
          <t>largecap</t>
        </is>
      </c>
      <c r="H15" s="32" t="n">
        <v>150652.06</v>
      </c>
      <c r="I15" s="32" t="n">
        <v>1767</v>
      </c>
      <c r="J15" s="32" t="n">
        <v>-4.66</v>
      </c>
      <c r="K15" s="32" t="n">
        <v>0</v>
      </c>
      <c r="L15" s="31" t="n">
        <v>27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59.5</v>
      </c>
      <c r="P15" s="32" t="n">
        <v>10.75</v>
      </c>
      <c r="Q15" s="32" t="n">
        <v>1458.56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-0.02</v>
      </c>
      <c r="U15" s="32" t="n">
        <v>15.6</v>
      </c>
      <c r="V15" s="32" t="n">
        <v>15.62</v>
      </c>
      <c r="W15" s="32" t="n">
        <v>5.54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15</t>
        </is>
      </c>
      <c r="CC15" s="31">
        <f>IF(CB15&gt;20,10,IF(CB15&gt;=10,5,2))</f>
        <v/>
      </c>
    </row>
    <row r="16">
      <c r="A16" s="31">
        <f>IF(B16=0,"",RANK(B16,$B$2:$B$16,0))</f>
        <v/>
      </c>
      <c r="B16" s="32">
        <f>SUM(N16,Y16,AA16,AC16,AE16,AG16,AI16,AK16,AM16,AO16,AQ16,AS16,AU16,AW16,AY16,BA16,BC16,BE16,BG16,BI16,BK16,BM16,BO16,BQ16,BS16,BU16,BW16,BY16,CA16,CC16)</f>
        <v/>
      </c>
      <c r="C16" s="34" t="inlineStr">
        <is>
          <t>ZSARACOM</t>
        </is>
      </c>
      <c r="D16" s="34" t="inlineStr">
        <is>
          <t>Saraswati Commercial (India) Ltd</t>
        </is>
      </c>
      <c r="E16" s="31" t="inlineStr">
        <is>
          <t>Financial Services</t>
        </is>
      </c>
      <c r="F16" s="31" t="inlineStr">
        <is>
          <t>Finance &amp; Investments - Others</t>
        </is>
      </c>
      <c r="G16" s="31" t="inlineStr">
        <is>
          <t>smallcap</t>
        </is>
      </c>
      <c r="H16" s="32" t="n">
        <v>1523.34</v>
      </c>
      <c r="I16" s="32" t="n">
        <v>13900</v>
      </c>
      <c r="J16" s="32" t="n">
        <v>8.94</v>
      </c>
      <c r="K16" s="32" t="n">
        <v>0</v>
      </c>
      <c r="L16" s="31" t="n">
        <v>47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69.3</v>
      </c>
      <c r="P16" s="32" t="n">
        <v>21.59</v>
      </c>
      <c r="Q16" s="32" t="n">
        <v>10528.14</v>
      </c>
      <c r="R16" s="31" t="inlineStr">
        <is>
          <t>Volume Spike / Accumulation</t>
        </is>
      </c>
      <c r="S16" s="31" t="inlineStr">
        <is>
          <t>Nifty Bank</t>
        </is>
      </c>
      <c r="T16" s="32" t="n">
        <v>-0.02</v>
      </c>
      <c r="U16" s="32" t="n">
        <v>2.52</v>
      </c>
      <c r="V16" s="32" t="n">
        <v>2.54</v>
      </c>
      <c r="W16" s="32" t="n">
        <v>9.81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1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18</t>
        </is>
      </c>
      <c r="CC16" s="31">
        <f>IF(CB16&gt;20,10,IF(CB16&gt;=10,5,2))</f>
        <v/>
      </c>
    </row>
    <row r="20">
      <c r="A20" s="25" t="inlineStr">
        <is>
          <t>❌ REMOVED SCAN MATCH STOCKS (THIS WEEK)</t>
        </is>
      </c>
    </row>
    <row r="21">
      <c r="A21" s="35" t="inlineStr">
        <is>
          <t>Symbol</t>
        </is>
      </c>
      <c r="B21" s="35" t="inlineStr">
        <is>
          <t>Company Name</t>
        </is>
      </c>
      <c r="C21" s="35" t="inlineStr">
        <is>
          <t>Sector</t>
        </is>
      </c>
      <c r="D21" s="35" t="inlineStr">
        <is>
          <t>Date of Removal</t>
        </is>
      </c>
    </row>
    <row r="22">
      <c r="A22" s="36" t="inlineStr">
        <is>
          <t>CANFINHOME</t>
        </is>
      </c>
      <c r="B22" s="37" t="inlineStr">
        <is>
          <t>Can Fin Homes Limited</t>
        </is>
      </c>
      <c r="C22" s="37" t="inlineStr">
        <is>
          <t>Financial Services</t>
        </is>
      </c>
      <c r="D22" s="38" t="inlineStr">
        <is>
          <t>2026-07-07</t>
        </is>
      </c>
    </row>
    <row r="23">
      <c r="A23" s="36" t="inlineStr">
        <is>
          <t>LTF</t>
        </is>
      </c>
      <c r="B23" s="37" t="inlineStr">
        <is>
          <t>L&amp;T Finance Limited</t>
        </is>
      </c>
      <c r="C23" s="37" t="inlineStr">
        <is>
          <t>Financial Services</t>
        </is>
      </c>
      <c r="D23" s="38" t="inlineStr">
        <is>
          <t>2026-07-08</t>
        </is>
      </c>
    </row>
    <row r="24">
      <c r="A24" s="36" t="inlineStr">
        <is>
          <t>MAHABANK</t>
        </is>
      </c>
      <c r="B24" s="37" t="inlineStr">
        <is>
          <t>MAHABANK</t>
        </is>
      </c>
      <c r="C24" s="37" t="inlineStr">
        <is>
          <t>unknown</t>
        </is>
      </c>
      <c r="D24" s="38" t="inlineStr">
        <is>
          <t>2026-07-07</t>
        </is>
      </c>
    </row>
  </sheetData>
  <autoFilter ref="A1:CC16"/>
  <conditionalFormatting sqref="B2:B1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6">
    <cfRule type="cellIs" priority="35" operator="equal" dxfId="3" stopIfTrue="1">
      <formula>"Underperforming"</formula>
    </cfRule>
  </conditionalFormatting>
  <conditionalFormatting sqref="N2:N16">
    <cfRule type="cellIs" priority="36" operator="equal" dxfId="3" stopIfTrue="1">
      <formula>-5</formula>
    </cfRule>
  </conditionalFormatting>
  <conditionalFormatting sqref="Q2:Q1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6" showDropDown="0" showInputMessage="0" showErrorMessage="0" allowBlank="1" type="list">
      <formula1>"Growing Industry,Stagnant Industry,Cyclical in an Upturn"</formula1>
    </dataValidation>
    <dataValidation sqref="Z2:Z16" showDropDown="0" showInputMessage="0" showErrorMessage="0" allowBlank="1" type="list">
      <formula1>"Fragmented with Low ROE,Fragmented with High ROE,Highly Cyclical"</formula1>
    </dataValidation>
    <dataValidation sqref="AB2:AB16" showDropDown="0" showInputMessage="0" showErrorMessage="0" allowBlank="1" type="list">
      <formula1>"Yes,No"</formula1>
    </dataValidation>
    <dataValidation sqref="AD2:AD16" showDropDown="0" showInputMessage="0" showErrorMessage="0" allowBlank="1" type="list">
      <formula1>"Tailwind,Headwind"</formula1>
    </dataValidation>
    <dataValidation sqref="AF2:AF1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6" showDropDown="0" showInputMessage="0" showErrorMessage="0" allowBlank="1" type="list">
      <formula1>"Yes,No"</formula1>
    </dataValidation>
    <dataValidation sqref="AJ2:AJ16" showDropDown="0" showInputMessage="0" showErrorMessage="0" allowBlank="1" type="list">
      <formula1>"Yes,No,Not Applicable"</formula1>
    </dataValidation>
    <dataValidation sqref="AL2:AL16" showDropDown="0" showInputMessage="0" showErrorMessage="0" allowBlank="1" type="list">
      <formula1>"Yes,No"</formula1>
    </dataValidation>
    <dataValidation sqref="AN2:AN16" showDropDown="0" showInputMessage="0" showErrorMessage="0" allowBlank="1" type="list">
      <formula1>"Yes,No"</formula1>
    </dataValidation>
    <dataValidation sqref="AP2:AP16" showDropDown="0" showInputMessage="0" showErrorMessage="0" allowBlank="1" type="list">
      <formula1>"Yes,No"</formula1>
    </dataValidation>
    <dataValidation sqref="AR2:AR16" showDropDown="0" showInputMessage="0" showErrorMessage="0" allowBlank="1" type="list">
      <formula1>"Yes,No"</formula1>
    </dataValidation>
    <dataValidation sqref="AT2:AT16" showDropDown="0" showInputMessage="0" showErrorMessage="0" allowBlank="1" type="list">
      <formula1>"No,Yes"</formula1>
    </dataValidation>
    <dataValidation sqref="AV2:AV16" showDropDown="0" showInputMessage="0" showErrorMessage="0" allowBlank="1" type="list">
      <formula1>"No,Yes"</formula1>
    </dataValidation>
    <dataValidation sqref="AX2:AX16" showDropDown="0" showInputMessage="0" showErrorMessage="0" allowBlank="1" type="list">
      <formula1>"No,Yes CEO Resignation,Yes CEO Retirement"</formula1>
    </dataValidation>
    <dataValidation sqref="AZ2:AZ16" showDropDown="0" showInputMessage="0" showErrorMessage="0" allowBlank="1" type="list">
      <formula1>"No,Yes"</formula1>
    </dataValidation>
    <dataValidation sqref="BB2:BB16" showDropDown="0" showInputMessage="0" showErrorMessage="0" allowBlank="1" type="list">
      <formula1>"No,Yes"</formula1>
    </dataValidation>
    <dataValidation sqref="BD2:BD16" showDropDown="0" showInputMessage="0" showErrorMessage="0" allowBlank="1" type="list">
      <formula1>"Yes,No"</formula1>
    </dataValidation>
    <dataValidation sqref="BF2:BF16" showDropDown="0" showInputMessage="0" showErrorMessage="0" allowBlank="1" type="list">
      <formula1>"Yes,No"</formula1>
    </dataValidation>
    <dataValidation sqref="BH2:BH16" showDropDown="0" showInputMessage="0" showErrorMessage="0" allowBlank="1" type="list">
      <formula1>"Yes,No"</formula1>
    </dataValidation>
    <dataValidation sqref="BJ2:BJ1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6" showDropDown="0" showInputMessage="0" showErrorMessage="0" allowBlank="1" type="list">
      <formula1>"Above 40,20 to 40,0 to 20"</formula1>
    </dataValidation>
    <dataValidation sqref="BN2:BN16" showDropDown="0" showInputMessage="0" showErrorMessage="0" allowBlank="1" type="list">
      <formula1>"Between 50 to 75,Above 75,Below 45"</formula1>
    </dataValidation>
    <dataValidation sqref="BP2:BP16" showDropDown="0" showInputMessage="0" showErrorMessage="0" allowBlank="1" type="list">
      <formula1>"Stage 1,Stage 2,Stage 3,Stage 4"</formula1>
    </dataValidation>
    <dataValidation sqref="BR2:BR16" showDropDown="0" showInputMessage="0" showErrorMessage="0" allowBlank="1" type="list">
      <formula1>"Positive Trend,Negative Trend"</formula1>
    </dataValidation>
    <dataValidation sqref="BT2:BT16" showDropDown="0" showInputMessage="0" showErrorMessage="0" allowBlank="1" type="list">
      <formula1>"Uptrend,Sideways,Downtrend"</formula1>
    </dataValidation>
    <dataValidation sqref="BV2:BV16" showDropDown="0" showInputMessage="0" showErrorMessage="0" allowBlank="1" type="list">
      <formula1>"Uptrend,Sideways,Downtrend"</formula1>
    </dataValidation>
    <dataValidation sqref="BX2:BX1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2026-07-08T12:00:28Z</dcterms:created>
  <dcterms:modified xmlns:dcterms="http://purl.org/dc/terms/" xmlns:xsi="http://www.w3.org/2001/XMLSchema-instance" xsi:type="dcterms:W3CDTF">2026-07-08T12:02:29Z</dcterms:modified>
</cp:coreProperties>
</file>