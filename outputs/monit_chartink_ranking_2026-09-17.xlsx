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Universe'!$A$1:$J$242</definedName>
    <definedName name="_xlnm._FilterDatabase" localSheetId="3" hidden="1">'Confluence Overlap'!$A$1:$K$70</definedName>
    <definedName name="_xlnm._FilterDatabase" localSheetId="4" hidden="1">'Monit Non Financial'!$A$1:$CE$222</definedName>
    <definedName name="_xlnm._FilterDatabase" localSheetId="5" hidden="1">'Monit Banks NBFC'!$A$1:$CA$21</definedName>
    <definedName name="_xlnm._FilterDatabase" localSheetId="6" hidden="1">'Scan Match Non Financial'!$A$1:$CG$94</definedName>
    <definedName name="_xlnm._FilterDatabase" localSheetId="7" hidden="1">'Scan Match Banks NBFC'!$A$1:$CC$8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17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7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432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57</v>
      </c>
      <c r="G6" s="19" t="n">
        <v>7092.9</v>
      </c>
      <c r="H6" s="18" t="inlineStr">
        <is>
          <t>Potential Leader</t>
        </is>
      </c>
      <c r="J6" s="18" t="inlineStr">
        <is>
          <t>telecom-service</t>
        </is>
      </c>
      <c r="K6" s="16" t="n">
        <v>9</v>
      </c>
      <c r="L6" s="16" t="n">
        <v>8</v>
      </c>
      <c r="M6" s="20" t="inlineStr">
        <is>
          <t>12.5%</t>
        </is>
      </c>
    </row>
    <row r="7">
      <c r="A7" s="16" t="n">
        <v>2</v>
      </c>
      <c r="B7" s="17" t="n">
        <v>426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56</v>
      </c>
      <c r="G7" s="19" t="n">
        <v>8008.59</v>
      </c>
      <c r="H7" s="18" t="inlineStr">
        <is>
          <t>Potential Leader</t>
        </is>
      </c>
      <c r="J7" s="18" t="inlineStr">
        <is>
          <t>services</t>
        </is>
      </c>
      <c r="K7" s="16" t="n">
        <v>39</v>
      </c>
      <c r="L7" s="16" t="n">
        <v>41</v>
      </c>
      <c r="M7" s="21" t="inlineStr">
        <is>
          <t>-4.9%</t>
        </is>
      </c>
    </row>
    <row r="8">
      <c r="A8" s="16" t="n">
        <v>3</v>
      </c>
      <c r="B8" s="17" t="n">
        <v>384</v>
      </c>
      <c r="C8" s="17" t="inlineStr">
        <is>
          <t>SUNDRMFAST</t>
        </is>
      </c>
      <c r="D8" s="18" t="inlineStr">
        <is>
          <t>Sundram Fasteners Limited</t>
        </is>
      </c>
      <c r="E8" s="18" t="inlineStr">
        <is>
          <t>auto</t>
        </is>
      </c>
      <c r="F8" s="16" t="n">
        <v>49</v>
      </c>
      <c r="G8" s="19" t="n">
        <v>25776.45</v>
      </c>
      <c r="H8" s="18" t="inlineStr">
        <is>
          <t>Potential Leader</t>
        </is>
      </c>
      <c r="J8" s="18" t="inlineStr">
        <is>
          <t>realty</t>
        </is>
      </c>
      <c r="K8" s="16" t="n">
        <v>75</v>
      </c>
      <c r="L8" s="16" t="n">
        <v>94</v>
      </c>
      <c r="M8" s="21" t="inlineStr">
        <is>
          <t>-20.2%</t>
        </is>
      </c>
    </row>
    <row r="9">
      <c r="A9" s="16" t="n">
        <v>4</v>
      </c>
      <c r="B9" s="17" t="n">
        <v>360</v>
      </c>
      <c r="C9" s="17" t="inlineStr">
        <is>
          <t>KABRAEXTRU</t>
        </is>
      </c>
      <c r="D9" s="18" t="inlineStr">
        <is>
          <t>Kabra Extrusion Technik Limited</t>
        </is>
      </c>
      <c r="E9" s="18" t="inlineStr">
        <is>
          <t>industrials</t>
        </is>
      </c>
      <c r="F9" s="16" t="n">
        <v>45</v>
      </c>
      <c r="G9" s="19" t="n">
        <v>2212.91</v>
      </c>
      <c r="H9" s="18" t="inlineStr">
        <is>
          <t>Potential Leader</t>
        </is>
      </c>
      <c r="J9" s="18" t="inlineStr">
        <is>
          <t>transportation</t>
        </is>
      </c>
      <c r="K9" s="16" t="n">
        <v>33</v>
      </c>
      <c r="L9" s="16" t="n">
        <v>45</v>
      </c>
      <c r="M9" s="21" t="inlineStr">
        <is>
          <t>-26.7%</t>
        </is>
      </c>
    </row>
    <row r="10">
      <c r="A10" s="16" t="n">
        <v>5</v>
      </c>
      <c r="B10" s="17" t="n">
        <v>348</v>
      </c>
      <c r="C10" s="17" t="inlineStr">
        <is>
          <t>DIVISLAB</t>
        </is>
      </c>
      <c r="D10" s="18" t="inlineStr">
        <is>
          <t>Divi's Laboratories Limited</t>
        </is>
      </c>
      <c r="E10" s="18" t="inlineStr">
        <is>
          <t>healthcare</t>
        </is>
      </c>
      <c r="F10" s="16" t="n">
        <v>43</v>
      </c>
      <c r="G10" s="19" t="n">
        <v>247496.36</v>
      </c>
      <c r="H10" s="18" t="inlineStr">
        <is>
          <t>Potential Leader</t>
        </is>
      </c>
      <c r="J10" s="18" t="inlineStr">
        <is>
          <t>auto</t>
        </is>
      </c>
      <c r="K10" s="16" t="n">
        <v>73</v>
      </c>
      <c r="L10" s="16" t="n">
        <v>101</v>
      </c>
      <c r="M10" s="21" t="inlineStr">
        <is>
          <t>-27.7%</t>
        </is>
      </c>
    </row>
    <row r="11">
      <c r="A11" s="16" t="n">
        <v>6</v>
      </c>
      <c r="B11" s="17" t="n">
        <v>348</v>
      </c>
      <c r="C11" s="17" t="inlineStr">
        <is>
          <t>MENONBE</t>
        </is>
      </c>
      <c r="D11" s="18" t="inlineStr">
        <is>
          <t>Menon Bearings Limited</t>
        </is>
      </c>
      <c r="E11" s="18" t="inlineStr">
        <is>
          <t>auto</t>
        </is>
      </c>
      <c r="F11" s="16" t="n">
        <v>43</v>
      </c>
      <c r="G11" s="19" t="n">
        <v>1709.5</v>
      </c>
      <c r="H11" s="18" t="inlineStr">
        <is>
          <t>Potential Leader</t>
        </is>
      </c>
      <c r="J11" s="18" t="inlineStr">
        <is>
          <t>healthcare</t>
        </is>
      </c>
      <c r="K11" s="16" t="n">
        <v>196</v>
      </c>
      <c r="L11" s="16" t="n">
        <v>275</v>
      </c>
      <c r="M11" s="21" t="inlineStr">
        <is>
          <t>-28.7%</t>
        </is>
      </c>
    </row>
    <row r="12">
      <c r="A12" s="16" t="n">
        <v>7</v>
      </c>
      <c r="B12" s="17" t="n">
        <v>348</v>
      </c>
      <c r="C12" s="17" t="inlineStr">
        <is>
          <t>TFCILTD</t>
        </is>
      </c>
      <c r="D12" s="18" t="inlineStr">
        <is>
          <t>Tourism Finance Corporation Of India Limited</t>
        </is>
      </c>
      <c r="E12" s="18" t="inlineStr">
        <is>
          <t>financials</t>
        </is>
      </c>
      <c r="F12" s="16" t="n">
        <v>43</v>
      </c>
      <c r="G12" s="19" t="n">
        <v>6438.16</v>
      </c>
      <c r="H12" s="18" t="inlineStr">
        <is>
          <t>Potential Leader</t>
        </is>
      </c>
      <c r="J12" s="18" t="inlineStr">
        <is>
          <t>miscellaneous</t>
        </is>
      </c>
      <c r="K12" s="16" t="n">
        <v>30</v>
      </c>
      <c r="L12" s="16" t="n">
        <v>44</v>
      </c>
      <c r="M12" s="21" t="inlineStr">
        <is>
          <t>-31.8%</t>
        </is>
      </c>
    </row>
    <row r="13">
      <c r="A13" s="16" t="n">
        <v>8</v>
      </c>
      <c r="B13" s="17" t="n">
        <v>348</v>
      </c>
      <c r="C13" s="17" t="inlineStr">
        <is>
          <t>VSSL</t>
        </is>
      </c>
      <c r="D13" s="18" t="inlineStr">
        <is>
          <t>Vardhman Special Steels Limited</t>
        </is>
      </c>
      <c r="E13" s="18" t="inlineStr">
        <is>
          <t>metals &amp; mining</t>
        </is>
      </c>
      <c r="F13" s="16" t="n">
        <v>43</v>
      </c>
      <c r="G13" s="19" t="n">
        <v>3925.92</v>
      </c>
      <c r="H13" s="18" t="inlineStr">
        <is>
          <t>Potential Leader</t>
        </is>
      </c>
      <c r="J13" s="18" t="inlineStr">
        <is>
          <t>industrials</t>
        </is>
      </c>
      <c r="K13" s="16" t="n">
        <v>173</v>
      </c>
      <c r="L13" s="16" t="n">
        <v>258</v>
      </c>
      <c r="M13" s="21" t="inlineStr">
        <is>
          <t>-32.9%</t>
        </is>
      </c>
    </row>
    <row r="14">
      <c r="A14" s="16" t="n">
        <v>9</v>
      </c>
      <c r="B14" s="17" t="n">
        <v>336</v>
      </c>
      <c r="C14" s="17" t="inlineStr">
        <is>
          <t>WSTCSTPAPR</t>
        </is>
      </c>
      <c r="D14" s="18" t="inlineStr">
        <is>
          <t>West Coast Paper Mills Limited</t>
        </is>
      </c>
      <c r="E14" s="18" t="inlineStr">
        <is>
          <t>building materials</t>
        </is>
      </c>
      <c r="F14" s="16" t="n">
        <v>41</v>
      </c>
      <c r="G14" s="19" t="n">
        <v>4732.07</v>
      </c>
      <c r="H14" s="18" t="inlineStr">
        <is>
          <t>Potential Leader</t>
        </is>
      </c>
      <c r="J14" s="18" t="inlineStr">
        <is>
          <t>chemicals</t>
        </is>
      </c>
      <c r="K14" s="16" t="n">
        <v>91</v>
      </c>
      <c r="L14" s="16" t="n">
        <v>137</v>
      </c>
      <c r="M14" s="21" t="inlineStr">
        <is>
          <t>-33.6%</t>
        </is>
      </c>
    </row>
    <row r="15">
      <c r="A15" s="16" t="n">
        <v>10</v>
      </c>
      <c r="B15" s="17" t="n">
        <v>324</v>
      </c>
      <c r="C15" s="17" t="inlineStr">
        <is>
          <t>PAYTM</t>
        </is>
      </c>
      <c r="D15" s="18" t="inlineStr">
        <is>
          <t>One 97 Communications Ltd</t>
        </is>
      </c>
      <c r="E15" s="18" t="inlineStr">
        <is>
          <t>i.t</t>
        </is>
      </c>
      <c r="F15" s="16" t="n">
        <v>39</v>
      </c>
      <c r="G15" s="19" t="n">
        <v>112891.41</v>
      </c>
      <c r="H15" s="18" t="inlineStr">
        <is>
          <t>Potential Leader</t>
        </is>
      </c>
      <c r="J15" s="18" t="inlineStr">
        <is>
          <t>i.t</t>
        </is>
      </c>
      <c r="K15" s="16" t="n">
        <v>44</v>
      </c>
      <c r="L15" s="16" t="n">
        <v>67</v>
      </c>
      <c r="M15" s="21" t="inlineStr">
        <is>
          <t>-34.3%</t>
        </is>
      </c>
    </row>
    <row r="16">
      <c r="A16" s="16" t="n">
        <v>11</v>
      </c>
      <c r="B16" s="17" t="n">
        <v>318</v>
      </c>
      <c r="C16" s="17" t="inlineStr">
        <is>
          <t>DEEPINDS</t>
        </is>
      </c>
      <c r="D16" s="18" t="inlineStr">
        <is>
          <t>Deep Industries Ltd</t>
        </is>
      </c>
      <c r="E16" s="18" t="inlineStr">
        <is>
          <t>energy</t>
        </is>
      </c>
      <c r="F16" s="16" t="n">
        <v>38</v>
      </c>
      <c r="G16" s="19" t="n">
        <v>4702.08</v>
      </c>
      <c r="H16" s="18" t="inlineStr">
        <is>
          <t>Potential Leader</t>
        </is>
      </c>
      <c r="J16" s="18" t="inlineStr">
        <is>
          <t>aerospace &amp; defence</t>
        </is>
      </c>
      <c r="K16" s="16" t="n">
        <v>46</v>
      </c>
      <c r="L16" s="16" t="n">
        <v>72</v>
      </c>
      <c r="M16" s="21" t="inlineStr">
        <is>
          <t>-36.1%</t>
        </is>
      </c>
    </row>
    <row r="17">
      <c r="A17" s="16" t="n">
        <v>12</v>
      </c>
      <c r="B17" s="17" t="n">
        <v>318</v>
      </c>
      <c r="C17" s="17" t="inlineStr">
        <is>
          <t>REDINGTON</t>
        </is>
      </c>
      <c r="D17" s="18" t="inlineStr">
        <is>
          <t>Redington (india) Limited</t>
        </is>
      </c>
      <c r="E17" s="18" t="inlineStr">
        <is>
          <t>services</t>
        </is>
      </c>
      <c r="F17" s="16" t="n">
        <v>38</v>
      </c>
      <c r="G17" s="19" t="n">
        <v>31278.8</v>
      </c>
      <c r="H17" s="18" t="inlineStr">
        <is>
          <t>Potential Leader</t>
        </is>
      </c>
      <c r="J17" s="18" t="inlineStr">
        <is>
          <t>power &amp; utilities</t>
        </is>
      </c>
      <c r="K17" s="16" t="n">
        <v>7</v>
      </c>
      <c r="L17" s="16" t="n">
        <v>11</v>
      </c>
      <c r="M17" s="21" t="inlineStr">
        <is>
          <t>-36.4%</t>
        </is>
      </c>
    </row>
    <row r="18">
      <c r="A18" s="16" t="n">
        <v>13</v>
      </c>
      <c r="B18" s="17" t="n">
        <v>306</v>
      </c>
      <c r="C18" s="17" t="inlineStr">
        <is>
          <t>COMSYN</t>
        </is>
      </c>
      <c r="D18" s="18" t="inlineStr">
        <is>
          <t>Commercial Syn Bags Ltd</t>
        </is>
      </c>
      <c r="E18" s="18" t="inlineStr">
        <is>
          <t>industrials</t>
        </is>
      </c>
      <c r="F18" s="16" t="n">
        <v>36</v>
      </c>
      <c r="G18" s="19" t="n">
        <v>1181.94</v>
      </c>
      <c r="H18" s="18" t="inlineStr">
        <is>
          <t>Potential Leader</t>
        </is>
      </c>
      <c r="J18" s="18" t="inlineStr">
        <is>
          <t>energy</t>
        </is>
      </c>
      <c r="K18" s="16" t="n">
        <v>49</v>
      </c>
      <c r="L18" s="16" t="n">
        <v>77</v>
      </c>
      <c r="M18" s="21" t="inlineStr">
        <is>
          <t>-36.4%</t>
        </is>
      </c>
    </row>
    <row r="19">
      <c r="A19" s="16" t="n">
        <v>14</v>
      </c>
      <c r="B19" s="17" t="n">
        <v>300</v>
      </c>
      <c r="C19" s="17" t="inlineStr">
        <is>
          <t>BIRLACABLE</t>
        </is>
      </c>
      <c r="D19" s="18" t="inlineStr">
        <is>
          <t>Birla Cable Limited</t>
        </is>
      </c>
      <c r="E19" s="18" t="inlineStr">
        <is>
          <t>industrials</t>
        </is>
      </c>
      <c r="F19" s="16" t="n">
        <v>35</v>
      </c>
      <c r="G19" s="19" t="n">
        <v>1204.95</v>
      </c>
      <c r="H19" s="18" t="inlineStr">
        <is>
          <t>Potential Leader</t>
        </is>
      </c>
      <c r="J19" s="18" t="inlineStr">
        <is>
          <t>financials</t>
        </is>
      </c>
      <c r="K19" s="16" t="n">
        <v>83</v>
      </c>
      <c r="L19" s="16" t="n">
        <v>132</v>
      </c>
      <c r="M19" s="21" t="inlineStr">
        <is>
          <t>-37.1%</t>
        </is>
      </c>
    </row>
    <row r="20">
      <c r="A20" s="16" t="n">
        <v>15</v>
      </c>
      <c r="B20" s="17" t="n">
        <v>300</v>
      </c>
      <c r="C20" s="17" t="inlineStr">
        <is>
          <t>MMP</t>
        </is>
      </c>
      <c r="D20" s="18" t="inlineStr">
        <is>
          <t>MMP Industries Ltd</t>
        </is>
      </c>
      <c r="E20" s="18" t="inlineStr">
        <is>
          <t>metals &amp; mining</t>
        </is>
      </c>
      <c r="F20" s="16" t="n">
        <v>35</v>
      </c>
      <c r="G20" s="19" t="n">
        <v>881.14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86</v>
      </c>
      <c r="L20" s="16" t="n">
        <v>137</v>
      </c>
      <c r="M20" s="21" t="inlineStr">
        <is>
          <t>-37.2%</t>
        </is>
      </c>
    </row>
    <row r="21">
      <c r="A21" s="16" t="n">
        <v>16</v>
      </c>
      <c r="B21" s="17" t="n">
        <v>294</v>
      </c>
      <c r="C21" s="17" t="inlineStr">
        <is>
          <t>DOLPHIN</t>
        </is>
      </c>
      <c r="D21" s="18" t="inlineStr">
        <is>
          <t>Dolphin Offshore Enterprises (India) Ltd</t>
        </is>
      </c>
      <c r="E21" s="18" t="inlineStr">
        <is>
          <t>energy</t>
        </is>
      </c>
      <c r="F21" s="16" t="n">
        <v>34</v>
      </c>
      <c r="G21" s="19" t="n">
        <v>2695.11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PTCIL</t>
        </is>
      </c>
      <c r="D22" s="18" t="inlineStr">
        <is>
          <t>PTC Industries Ltd</t>
        </is>
      </c>
      <c r="E22" s="18" t="inlineStr">
        <is>
          <t>industrials</t>
        </is>
      </c>
      <c r="F22" s="16" t="n">
        <v>34</v>
      </c>
      <c r="G22" s="19" t="n">
        <v>33988.11</v>
      </c>
      <c r="H22" s="18" t="inlineStr">
        <is>
          <t>Potential Leader</t>
        </is>
      </c>
    </row>
    <row r="23">
      <c r="A23" s="16" t="n">
        <v>18</v>
      </c>
      <c r="B23" s="17" t="n">
        <v>294</v>
      </c>
      <c r="C23" s="17" t="inlineStr">
        <is>
          <t>RATNAVEER</t>
        </is>
      </c>
      <c r="D23" s="18" t="inlineStr">
        <is>
          <t>Ratnaveer Precision Engineering Ltd</t>
        </is>
      </c>
      <c r="E23" s="18" t="inlineStr">
        <is>
          <t>metals &amp; mining</t>
        </is>
      </c>
      <c r="F23" s="16" t="n">
        <v>34</v>
      </c>
      <c r="G23" s="19" t="n">
        <v>2170.3</v>
      </c>
      <c r="H23" s="18" t="inlineStr">
        <is>
          <t>Potential Leader</t>
        </is>
      </c>
    </row>
    <row r="24">
      <c r="A24" s="16" t="n">
        <v>19</v>
      </c>
      <c r="B24" s="17" t="n">
        <v>294</v>
      </c>
      <c r="C24" s="17" t="inlineStr">
        <is>
          <t>SHILPAMED</t>
        </is>
      </c>
      <c r="D24" s="18" t="inlineStr">
        <is>
          <t>Shilpa Medicare Limited</t>
        </is>
      </c>
      <c r="E24" s="18" t="inlineStr">
        <is>
          <t>healthcare</t>
        </is>
      </c>
      <c r="F24" s="16" t="n">
        <v>34</v>
      </c>
      <c r="G24" s="19" t="n">
        <v>18743.58</v>
      </c>
      <c r="H24" s="18" t="inlineStr">
        <is>
          <t>Potential Leader</t>
        </is>
      </c>
    </row>
    <row r="25">
      <c r="A25" s="16" t="n">
        <v>20</v>
      </c>
      <c r="B25" s="17" t="n">
        <v>294</v>
      </c>
      <c r="C25" s="17" t="inlineStr">
        <is>
          <t>STLTECH</t>
        </is>
      </c>
      <c r="D25" s="18" t="inlineStr">
        <is>
          <t>Sterlite Technologies Limited</t>
        </is>
      </c>
      <c r="E25" s="18" t="inlineStr">
        <is>
          <t>industrials</t>
        </is>
      </c>
      <c r="F25" s="16" t="n">
        <v>34</v>
      </c>
      <c r="G25" s="19" t="n">
        <v>42522.34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SHREEJISPG</t>
        </is>
      </c>
      <c r="B30" s="18" t="inlineStr">
        <is>
          <t>Shreeji Shipping Global Ltd</t>
        </is>
      </c>
      <c r="C30" s="18" t="inlineStr">
        <is>
          <t>transportation</t>
        </is>
      </c>
      <c r="D30" s="16" t="n">
        <v>10</v>
      </c>
      <c r="E30" s="16" t="n">
        <v>1</v>
      </c>
      <c r="F30" s="19" t="n">
        <v>11257.65</v>
      </c>
      <c r="J30" s="17" t="inlineStr">
        <is>
          <t>CUB</t>
        </is>
      </c>
      <c r="K30" s="18" t="inlineStr">
        <is>
          <t>bank</t>
        </is>
      </c>
      <c r="L30" s="19" t="n">
        <v>295</v>
      </c>
      <c r="M30" s="19" t="n">
        <v>22968.43</v>
      </c>
      <c r="N30" s="16" t="n">
        <v>14</v>
      </c>
    </row>
    <row r="31">
      <c r="A31" s="17" t="inlineStr">
        <is>
          <t>IONEXCHANG</t>
        </is>
      </c>
      <c r="B31" s="18" t="inlineStr">
        <is>
          <t>Ion Exchange (India) Ltd</t>
        </is>
      </c>
      <c r="C31" s="18" t="inlineStr">
        <is>
          <t>realty</t>
        </is>
      </c>
      <c r="D31" s="16" t="n">
        <v>10</v>
      </c>
      <c r="E31" s="16" t="n">
        <v>1</v>
      </c>
      <c r="F31" s="19" t="n">
        <v>6223.8</v>
      </c>
      <c r="J31" s="17" t="inlineStr">
        <is>
          <t>IBULLSLTD</t>
        </is>
      </c>
      <c r="K31" s="18" t="inlineStr">
        <is>
          <t>miscellaneous</t>
        </is>
      </c>
      <c r="L31" s="19" t="n">
        <v>295</v>
      </c>
      <c r="M31" s="19" t="n">
        <v>6907.1</v>
      </c>
      <c r="N31" s="16" t="n">
        <v>3</v>
      </c>
    </row>
    <row r="32">
      <c r="A32" s="17" t="inlineStr">
        <is>
          <t>UNITEDPOLY</t>
        </is>
      </c>
      <c r="B32" s="18" t="inlineStr">
        <is>
          <t>United Polyfab Gujarat Ltd</t>
        </is>
      </c>
      <c r="C32" s="18" t="inlineStr">
        <is>
          <t>textiles</t>
        </is>
      </c>
      <c r="D32" s="16" t="n">
        <v>10</v>
      </c>
      <c r="E32" s="16" t="n">
        <v>0</v>
      </c>
      <c r="F32" s="19" t="n">
        <v>1018.13</v>
      </c>
      <c r="J32" s="17" t="inlineStr">
        <is>
          <t>VISHNU</t>
        </is>
      </c>
      <c r="K32" s="18" t="inlineStr">
        <is>
          <t>chemicals</t>
        </is>
      </c>
      <c r="L32" s="19" t="n">
        <v>288</v>
      </c>
      <c r="M32" s="19" t="n">
        <v>4773.33</v>
      </c>
      <c r="N32" s="16" t="n">
        <v>24</v>
      </c>
    </row>
    <row r="33">
      <c r="A33" s="17" t="inlineStr">
        <is>
          <t>MVGJL</t>
        </is>
      </c>
      <c r="B33" s="18" t="inlineStr">
        <is>
          <t>Manoj Vaibhav Gems N Jewellers Ltd</t>
        </is>
      </c>
      <c r="C33" s="18" t="inlineStr">
        <is>
          <t>consumer discretionary</t>
        </is>
      </c>
      <c r="D33" s="16" t="n">
        <v>10</v>
      </c>
      <c r="E33" s="16" t="n">
        <v>1</v>
      </c>
      <c r="F33" s="19" t="n">
        <v>1052.03</v>
      </c>
      <c r="J33" s="17" t="inlineStr">
        <is>
          <t>UNIVPHOTO</t>
        </is>
      </c>
      <c r="K33" s="18" t="inlineStr">
        <is>
          <t>consumer discretionary</t>
        </is>
      </c>
      <c r="L33" s="19" t="n">
        <v>288</v>
      </c>
      <c r="M33" s="19" t="n">
        <v>672.12</v>
      </c>
      <c r="N33" s="16" t="n">
        <v>14</v>
      </c>
    </row>
    <row r="34">
      <c r="A34" s="17" t="inlineStr">
        <is>
          <t>PCJEWELLER</t>
        </is>
      </c>
      <c r="B34" s="18" t="inlineStr">
        <is>
          <t>Pc Jeweller Limited</t>
        </is>
      </c>
      <c r="C34" s="18" t="inlineStr">
        <is>
          <t>consumer discretionary</t>
        </is>
      </c>
      <c r="D34" s="16" t="n">
        <v>9</v>
      </c>
      <c r="E34" s="16" t="n">
        <v>0</v>
      </c>
      <c r="F34" s="19" t="n">
        <v>11992.51</v>
      </c>
      <c r="J34" s="17" t="inlineStr">
        <is>
          <t>TALBROAUTO</t>
        </is>
      </c>
      <c r="K34" s="18" t="inlineStr">
        <is>
          <t>auto</t>
        </is>
      </c>
      <c r="L34" s="19" t="n">
        <v>288</v>
      </c>
      <c r="M34" s="19" t="n">
        <v>2686.41</v>
      </c>
      <c r="N34" s="16" t="n">
        <v>12</v>
      </c>
    </row>
    <row r="35">
      <c r="A35" s="17" t="inlineStr">
        <is>
          <t>INDIQUBE</t>
        </is>
      </c>
      <c r="B35" s="18" t="inlineStr">
        <is>
          <t>Indiqube Spaces Ltd</t>
        </is>
      </c>
      <c r="C35" s="18" t="inlineStr">
        <is>
          <t>co-working</t>
        </is>
      </c>
      <c r="D35" s="16" t="n">
        <v>9</v>
      </c>
      <c r="E35" s="16" t="n">
        <v>0</v>
      </c>
      <c r="F35" s="19" t="n">
        <v>4291.89</v>
      </c>
      <c r="J35" s="17" t="inlineStr">
        <is>
          <t>TFCILTD</t>
        </is>
      </c>
      <c r="K35" s="18" t="inlineStr">
        <is>
          <t>financials</t>
        </is>
      </c>
      <c r="L35" s="19" t="n">
        <v>287</v>
      </c>
      <c r="M35" s="19" t="n">
        <v>6438.16</v>
      </c>
      <c r="N35" s="16" t="n">
        <v>30</v>
      </c>
    </row>
    <row r="36">
      <c r="A36" s="17" t="inlineStr">
        <is>
          <t>SPLPETRO</t>
        </is>
      </c>
      <c r="B36" s="18" t="inlineStr">
        <is>
          <t>Supreme Petrochem Ltd</t>
        </is>
      </c>
      <c r="C36" s="18" t="inlineStr">
        <is>
          <t>energy</t>
        </is>
      </c>
      <c r="D36" s="16" t="n">
        <v>9</v>
      </c>
      <c r="E36" s="16" t="n">
        <v>0</v>
      </c>
      <c r="F36" s="19" t="n">
        <v>15174.94</v>
      </c>
      <c r="J36" s="17" t="inlineStr">
        <is>
          <t>VINCOFE</t>
        </is>
      </c>
      <c r="K36" s="18" t="inlineStr">
        <is>
          <t>consumer discretionary</t>
        </is>
      </c>
      <c r="L36" s="19" t="n">
        <v>287</v>
      </c>
      <c r="M36" s="19" t="n">
        <v>2563.53</v>
      </c>
      <c r="N36" s="16" t="n">
        <v>18</v>
      </c>
    </row>
    <row r="37">
      <c r="A37" s="17" t="inlineStr">
        <is>
          <t>SMSPHARMA</t>
        </is>
      </c>
      <c r="B37" s="18" t="inlineStr">
        <is>
          <t>Sms Pharmaceuticals Limited</t>
        </is>
      </c>
      <c r="C37" s="18" t="inlineStr">
        <is>
          <t>healthcare</t>
        </is>
      </c>
      <c r="D37" s="16" t="n">
        <v>9</v>
      </c>
      <c r="E37" s="16" t="n">
        <v>2</v>
      </c>
      <c r="F37" s="19" t="n">
        <v>3874.85</v>
      </c>
      <c r="J37" s="17" t="inlineStr">
        <is>
          <t>WELINV</t>
        </is>
      </c>
      <c r="K37" s="18" t="inlineStr">
        <is>
          <t>financials</t>
        </is>
      </c>
      <c r="L37" s="19" t="n">
        <v>285</v>
      </c>
      <c r="M37" s="19" t="n">
        <v>831.39</v>
      </c>
      <c r="N37" s="16" t="n">
        <v>22</v>
      </c>
    </row>
    <row r="38">
      <c r="A38" s="17" t="inlineStr">
        <is>
          <t>JUBLPHARMA</t>
        </is>
      </c>
      <c r="B38" s="18" t="inlineStr">
        <is>
          <t>Jubilant Pharmova Ltd</t>
        </is>
      </c>
      <c r="C38" s="18" t="inlineStr">
        <is>
          <t>healthcare</t>
        </is>
      </c>
      <c r="D38" s="16" t="n">
        <v>8</v>
      </c>
      <c r="E38" s="16" t="n">
        <v>2</v>
      </c>
      <c r="F38" s="19" t="n">
        <v>16120.84</v>
      </c>
      <c r="J38" s="17" t="inlineStr">
        <is>
          <t>TBZ</t>
        </is>
      </c>
      <c r="K38" s="18" t="inlineStr">
        <is>
          <t>consumer discretionary</t>
        </is>
      </c>
      <c r="L38" s="19" t="n">
        <v>285</v>
      </c>
      <c r="M38" s="19" t="n">
        <v>3836.01</v>
      </c>
      <c r="N38" s="16" t="n">
        <v>23</v>
      </c>
    </row>
    <row r="39">
      <c r="A39" s="17" t="inlineStr">
        <is>
          <t>SRHHYPOLTD</t>
        </is>
      </c>
      <c r="B39" s="18" t="inlineStr">
        <is>
          <t>Sree Rayalaseema Hi-strength Hypo Limited</t>
        </is>
      </c>
      <c r="C39" s="18" t="inlineStr">
        <is>
          <t>chemicals</t>
        </is>
      </c>
      <c r="D39" s="16" t="n">
        <v>8</v>
      </c>
      <c r="E39" s="16" t="n">
        <v>0</v>
      </c>
      <c r="F39" s="19" t="n">
        <v>888.45</v>
      </c>
      <c r="J39" s="17" t="inlineStr">
        <is>
          <t>DCBBANK</t>
        </is>
      </c>
      <c r="K39" s="18" t="inlineStr">
        <is>
          <t>bank</t>
        </is>
      </c>
      <c r="L39" s="19" t="n">
        <v>285</v>
      </c>
      <c r="M39" s="19" t="n">
        <v>7037.71</v>
      </c>
      <c r="N39" s="16" t="n">
        <v>20</v>
      </c>
    </row>
    <row r="40">
      <c r="A40" s="17" t="inlineStr">
        <is>
          <t>AHCL</t>
        </is>
      </c>
      <c r="B40" s="18" t="inlineStr">
        <is>
          <t>Anlon Healthcare Ltd</t>
        </is>
      </c>
      <c r="C40" s="18" t="inlineStr">
        <is>
          <t>healthcare</t>
        </is>
      </c>
      <c r="D40" s="16" t="n">
        <v>8</v>
      </c>
      <c r="E40" s="16" t="n">
        <v>0</v>
      </c>
      <c r="F40" s="19" t="n">
        <v>1160.83</v>
      </c>
      <c r="J40" s="17" t="inlineStr">
        <is>
          <t>BHAGYANGR</t>
        </is>
      </c>
      <c r="K40" s="18" t="inlineStr">
        <is>
          <t>power &amp; utilities</t>
        </is>
      </c>
      <c r="L40" s="19" t="n">
        <v>285</v>
      </c>
      <c r="M40" s="19" t="n">
        <v>1495.62</v>
      </c>
      <c r="N40" s="16" t="n">
        <v>8</v>
      </c>
    </row>
    <row r="41">
      <c r="A41" s="17" t="inlineStr">
        <is>
          <t>WENDT</t>
        </is>
      </c>
      <c r="B41" s="18" t="inlineStr">
        <is>
          <t>Wendt (india) Limited</t>
        </is>
      </c>
      <c r="C41" s="18" t="inlineStr">
        <is>
          <t>industrials</t>
        </is>
      </c>
      <c r="D41" s="16" t="n">
        <v>8</v>
      </c>
      <c r="E41" s="16" t="n">
        <v>1</v>
      </c>
      <c r="F41" s="19" t="n">
        <v>1753</v>
      </c>
      <c r="J41" s="17" t="inlineStr">
        <is>
          <t>NORTHARC</t>
        </is>
      </c>
      <c r="K41" s="18" t="inlineStr">
        <is>
          <t>financials</t>
        </is>
      </c>
      <c r="L41" s="19" t="n">
        <v>285</v>
      </c>
      <c r="M41" s="19" t="n">
        <v>5018.87</v>
      </c>
      <c r="N41" s="16" t="n">
        <v>10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85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3836.01</v>
      </c>
    </row>
    <row r="48">
      <c r="A48" s="16" t="n">
        <v>2</v>
      </c>
      <c r="B48" s="27" t="n">
        <v>99</v>
      </c>
      <c r="C48" s="28" t="n">
        <v>68.27</v>
      </c>
      <c r="D48" s="28" t="n">
        <v>258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16247.4</v>
      </c>
    </row>
    <row r="49">
      <c r="A49" s="16" t="n">
        <v>3</v>
      </c>
      <c r="B49" s="27" t="n">
        <v>98</v>
      </c>
      <c r="C49" s="28" t="n">
        <v>65.62</v>
      </c>
      <c r="D49" s="28" t="n">
        <v>275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2293.82</v>
      </c>
    </row>
    <row r="50">
      <c r="A50" s="16" t="n">
        <v>4</v>
      </c>
      <c r="B50" s="27" t="n">
        <v>98</v>
      </c>
      <c r="C50" s="28" t="n">
        <v>64.52</v>
      </c>
      <c r="D50" s="28" t="n">
        <v>270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2212.91</v>
      </c>
    </row>
    <row r="51">
      <c r="A51" s="16" t="n">
        <v>5</v>
      </c>
      <c r="B51" s="27" t="n">
        <v>97</v>
      </c>
      <c r="C51" s="28" t="n">
        <v>57.39</v>
      </c>
      <c r="D51" s="28" t="n">
        <v>277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6606.13</v>
      </c>
    </row>
    <row r="52">
      <c r="A52" s="16" t="n">
        <v>6</v>
      </c>
      <c r="B52" s="27" t="n">
        <v>97</v>
      </c>
      <c r="C52" s="28" t="n">
        <v>55.47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3289.32</v>
      </c>
    </row>
    <row r="53">
      <c r="A53" s="16" t="n">
        <v>7</v>
      </c>
      <c r="B53" s="27" t="n">
        <v>96</v>
      </c>
      <c r="C53" s="28" t="n">
        <v>51.89</v>
      </c>
      <c r="D53" s="28" t="n">
        <v>283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14333.76</v>
      </c>
    </row>
    <row r="54">
      <c r="A54" s="16" t="n">
        <v>8</v>
      </c>
      <c r="B54" s="27" t="n">
        <v>96</v>
      </c>
      <c r="C54" s="28" t="n">
        <v>50.53</v>
      </c>
      <c r="D54" s="28" t="n">
        <v>270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7324.77</v>
      </c>
    </row>
    <row r="55">
      <c r="A55" s="16" t="n">
        <v>9</v>
      </c>
      <c r="B55" s="27" t="n">
        <v>95</v>
      </c>
      <c r="C55" s="28" t="n">
        <v>49.89</v>
      </c>
      <c r="D55" s="28" t="n">
        <v>285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1495.62</v>
      </c>
    </row>
    <row r="56">
      <c r="A56" s="16" t="n">
        <v>10</v>
      </c>
      <c r="B56" s="27" t="n">
        <v>95</v>
      </c>
      <c r="C56" s="28" t="n">
        <v>49.47</v>
      </c>
      <c r="D56" s="28" t="n">
        <v>275</v>
      </c>
      <c r="E56" s="17" t="inlineStr">
        <is>
          <t>JOJO</t>
        </is>
      </c>
      <c r="F56" s="18" t="inlineStr">
        <is>
          <t>JOJO Limited</t>
        </is>
      </c>
      <c r="G56" s="18" t="inlineStr">
        <is>
          <t>Communication Services</t>
        </is>
      </c>
      <c r="H56" s="19" t="n">
        <v>1558.53</v>
      </c>
    </row>
    <row r="57">
      <c r="A57" s="16" t="n">
        <v>11</v>
      </c>
      <c r="B57" s="29" t="n">
        <v>94</v>
      </c>
      <c r="C57" s="28" t="n">
        <v>49.18</v>
      </c>
      <c r="D57" s="28" t="n">
        <v>263</v>
      </c>
      <c r="E57" s="17" t="inlineStr">
        <is>
          <t>SETL</t>
        </is>
      </c>
      <c r="F57" s="18" t="inlineStr">
        <is>
          <t>Standard Enginnering Technology Ltd</t>
        </is>
      </c>
      <c r="G57" s="18" t="inlineStr">
        <is>
          <t>industrials</t>
        </is>
      </c>
      <c r="H57" s="19" t="n">
        <v>8008.59</v>
      </c>
    </row>
    <row r="58">
      <c r="A58" s="16" t="n">
        <v>12</v>
      </c>
      <c r="B58" s="29" t="n">
        <v>94</v>
      </c>
      <c r="C58" s="28" t="n">
        <v>42.87</v>
      </c>
      <c r="D58" s="28" t="n">
        <v>288</v>
      </c>
      <c r="E58" s="17" t="inlineStr">
        <is>
          <t>UNIVPHOTO</t>
        </is>
      </c>
      <c r="F58" s="18" t="inlineStr">
        <is>
          <t>Universus Photo Imagings Ltd</t>
        </is>
      </c>
      <c r="G58" s="18" t="inlineStr">
        <is>
          <t>consumer discretionary</t>
        </is>
      </c>
      <c r="H58" s="19" t="n">
        <v>672.12</v>
      </c>
    </row>
    <row r="59">
      <c r="A59" s="16" t="n">
        <v>13</v>
      </c>
      <c r="B59" s="29" t="n">
        <v>93</v>
      </c>
      <c r="C59" s="28" t="n">
        <v>41.59</v>
      </c>
      <c r="D59" s="28" t="n">
        <v>270</v>
      </c>
      <c r="E59" s="17" t="inlineStr">
        <is>
          <t>BAFNAPH</t>
        </is>
      </c>
      <c r="F59" s="18" t="inlineStr">
        <is>
          <t>Bafna Pharmaceuticals Ltd</t>
        </is>
      </c>
      <c r="G59" s="18" t="inlineStr">
        <is>
          <t>healthcare</t>
        </is>
      </c>
      <c r="H59" s="19" t="n">
        <v>735.71</v>
      </c>
    </row>
    <row r="60">
      <c r="A60" s="16" t="n">
        <v>14</v>
      </c>
      <c r="B60" s="29" t="n">
        <v>93</v>
      </c>
      <c r="C60" s="28" t="n">
        <v>39.34</v>
      </c>
      <c r="D60" s="28" t="n">
        <v>272</v>
      </c>
      <c r="E60" s="17" t="inlineStr">
        <is>
          <t>SHILPAMED</t>
        </is>
      </c>
      <c r="F60" s="18" t="inlineStr">
        <is>
          <t>Shilpa Medicare Limited</t>
        </is>
      </c>
      <c r="G60" s="18" t="inlineStr">
        <is>
          <t>healthcare</t>
        </is>
      </c>
      <c r="H60" s="19" t="n">
        <v>18743.58</v>
      </c>
    </row>
    <row r="61">
      <c r="A61" s="16" t="n">
        <v>15</v>
      </c>
      <c r="B61" s="29" t="n">
        <v>92</v>
      </c>
      <c r="C61" s="28" t="n">
        <v>39.33</v>
      </c>
      <c r="D61" s="28" t="n">
        <v>267</v>
      </c>
      <c r="E61" s="17" t="inlineStr">
        <is>
          <t>KPL</t>
        </is>
      </c>
      <c r="F61" s="18" t="inlineStr">
        <is>
          <t>Kwality Pharmaceuticals Limited</t>
        </is>
      </c>
      <c r="G61" s="18" t="inlineStr">
        <is>
          <t>Healthcare</t>
        </is>
      </c>
      <c r="H61" s="19" t="n">
        <v>3581.19</v>
      </c>
    </row>
    <row r="62">
      <c r="A62" s="16" t="n">
        <v>16</v>
      </c>
      <c r="B62" s="29" t="n">
        <v>92</v>
      </c>
      <c r="C62" s="28" t="n">
        <v>38.65</v>
      </c>
      <c r="D62" s="28" t="n">
        <v>273</v>
      </c>
      <c r="E62" s="17" t="inlineStr">
        <is>
          <t>CYIENTDLM</t>
        </is>
      </c>
      <c r="F62" s="18" t="inlineStr">
        <is>
          <t>Cyient DLM Ltd</t>
        </is>
      </c>
      <c r="G62" s="18" t="inlineStr">
        <is>
          <t>aerospace &amp; defence</t>
        </is>
      </c>
      <c r="H62" s="19" t="n">
        <v>7092.9</v>
      </c>
    </row>
    <row r="63">
      <c r="A63" s="16" t="n">
        <v>17</v>
      </c>
      <c r="B63" s="29" t="n">
        <v>91</v>
      </c>
      <c r="C63" s="28" t="n">
        <v>38.38</v>
      </c>
      <c r="D63" s="28" t="n">
        <v>257</v>
      </c>
      <c r="E63" s="17" t="inlineStr">
        <is>
          <t>SHUKRAPHAR</t>
        </is>
      </c>
      <c r="F63" s="18" t="inlineStr">
        <is>
          <t>Shukra Pharmaceuticals Limited</t>
        </is>
      </c>
      <c r="G63" s="18" t="inlineStr">
        <is>
          <t>Healthcare</t>
        </is>
      </c>
      <c r="H63" s="19" t="n">
        <v>2391.71</v>
      </c>
    </row>
    <row r="64">
      <c r="A64" s="16" t="n">
        <v>18</v>
      </c>
      <c r="B64" s="29" t="n">
        <v>91</v>
      </c>
      <c r="C64" s="28" t="n">
        <v>37.88</v>
      </c>
      <c r="D64" s="28" t="n">
        <v>268</v>
      </c>
      <c r="E64" s="17" t="inlineStr">
        <is>
          <t>INDORAMA</t>
        </is>
      </c>
      <c r="F64" s="18" t="inlineStr">
        <is>
          <t>Indo Rama Synthetics (india) Limited</t>
        </is>
      </c>
      <c r="G64" s="18" t="inlineStr">
        <is>
          <t>textiles</t>
        </is>
      </c>
      <c r="H64" s="19" t="n">
        <v>2328.87</v>
      </c>
    </row>
    <row r="65">
      <c r="A65" s="16" t="n">
        <v>19</v>
      </c>
      <c r="B65" s="29" t="n">
        <v>90</v>
      </c>
      <c r="C65" s="28" t="n">
        <v>36.21</v>
      </c>
      <c r="D65" s="28" t="n">
        <v>282</v>
      </c>
      <c r="E65" s="17" t="inlineStr">
        <is>
          <t>SAKAR</t>
        </is>
      </c>
      <c r="F65" s="18" t="inlineStr">
        <is>
          <t>Sakar Healthcare Ltd</t>
        </is>
      </c>
      <c r="G65" s="18" t="inlineStr">
        <is>
          <t>healthcare</t>
        </is>
      </c>
      <c r="H65" s="19" t="n">
        <v>2513.24</v>
      </c>
    </row>
    <row r="66">
      <c r="A66" s="16" t="n">
        <v>20</v>
      </c>
      <c r="B66" s="29" t="n">
        <v>90</v>
      </c>
      <c r="C66" s="28" t="n">
        <v>36.15</v>
      </c>
      <c r="D66" s="28" t="n">
        <v>287</v>
      </c>
      <c r="E66" s="17" t="inlineStr">
        <is>
          <t>TFCILTD</t>
        </is>
      </c>
      <c r="F66" s="18" t="inlineStr">
        <is>
          <t>Tourism Finance Corporation Of India Limited</t>
        </is>
      </c>
      <c r="G66" s="18" t="inlineStr">
        <is>
          <t>financials</t>
        </is>
      </c>
      <c r="H66" s="19" t="n">
        <v>6438.16</v>
      </c>
    </row>
    <row r="67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ASTEC</t>
        </is>
      </c>
      <c r="B2" s="31" t="inlineStr">
        <is>
          <t>Astec Lifesciences Limited</t>
        </is>
      </c>
      <c r="C2" s="31" t="inlineStr">
        <is>
          <t>chemicals</t>
        </is>
      </c>
      <c r="D2" s="31" t="inlineStr">
        <is>
          <t>pesticides / agrochemicals - indian</t>
        </is>
      </c>
      <c r="E2" s="31" t="inlineStr">
        <is>
          <t>smallcap</t>
        </is>
      </c>
      <c r="F2" s="31" t="n">
        <v>1682.69</v>
      </c>
      <c r="G2" s="31" t="n">
        <v>755.15</v>
      </c>
      <c r="H2" s="31" t="n">
        <v>14.08</v>
      </c>
      <c r="I2" s="31" t="n">
        <v>994540</v>
      </c>
      <c r="J2" s="31" t="inlineStr">
        <is>
          <t>533138</t>
        </is>
      </c>
    </row>
    <row r="3">
      <c r="A3" s="31" t="inlineStr">
        <is>
          <t>TEGA</t>
        </is>
      </c>
      <c r="B3" s="31" t="inlineStr">
        <is>
          <t>Tega Industries Ltd</t>
        </is>
      </c>
      <c r="C3" s="31" t="inlineStr">
        <is>
          <t>industrials</t>
        </is>
      </c>
      <c r="D3" s="31" t="inlineStr">
        <is>
          <t>engineering</t>
        </is>
      </c>
      <c r="E3" s="31" t="inlineStr">
        <is>
          <t>midcap</t>
        </is>
      </c>
      <c r="F3" s="31" t="n">
        <v>14424.52</v>
      </c>
      <c r="G3" s="31" t="n">
        <v>1920</v>
      </c>
      <c r="H3" s="31" t="n">
        <v>11.82</v>
      </c>
      <c r="I3" s="31" t="n">
        <v>3909542</v>
      </c>
      <c r="J3" s="31" t="inlineStr">
        <is>
          <t>543413</t>
        </is>
      </c>
    </row>
    <row r="4">
      <c r="A4" s="31" t="inlineStr">
        <is>
          <t>SHAREINDIA</t>
        </is>
      </c>
      <c r="B4" s="31" t="inlineStr">
        <is>
          <t>Share India Securities Ltd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smallcap</t>
        </is>
      </c>
      <c r="F4" s="31" t="n">
        <v>4780.02</v>
      </c>
      <c r="G4" s="31" t="n">
        <v>218.44</v>
      </c>
      <c r="H4" s="31" t="n">
        <v>11.42</v>
      </c>
      <c r="I4" s="31" t="n">
        <v>28924428</v>
      </c>
      <c r="J4" s="31" t="inlineStr">
        <is>
          <t>540725</t>
        </is>
      </c>
    </row>
    <row r="5">
      <c r="A5" s="31" t="inlineStr">
        <is>
          <t>TREL</t>
        </is>
      </c>
      <c r="B5" s="31" t="inlineStr">
        <is>
          <t>TransIndia Real Estate Ltd</t>
        </is>
      </c>
      <c r="C5" s="31" t="inlineStr">
        <is>
          <t>transportation</t>
        </is>
      </c>
      <c r="D5" s="31" t="inlineStr">
        <is>
          <t>miscellaneous</t>
        </is>
      </c>
      <c r="E5" s="31" t="inlineStr">
        <is>
          <t>smallcap</t>
        </is>
      </c>
      <c r="F5" s="31" t="n">
        <v>731.4400000000001</v>
      </c>
      <c r="G5" s="31" t="n">
        <v>29.77</v>
      </c>
      <c r="H5" s="31" t="n">
        <v>10.14</v>
      </c>
      <c r="I5" s="31" t="n">
        <v>726901</v>
      </c>
      <c r="J5" s="31" t="inlineStr">
        <is>
          <t>543955</t>
        </is>
      </c>
    </row>
    <row r="6">
      <c r="A6" s="31" t="inlineStr">
        <is>
          <t>VENUSPIPES</t>
        </is>
      </c>
      <c r="B6" s="31" t="inlineStr">
        <is>
          <t>Venus Pipes &amp; Tubes Ltd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smallcap</t>
        </is>
      </c>
      <c r="F6" s="31" t="n">
        <v>4416.05</v>
      </c>
      <c r="G6" s="31" t="n">
        <v>2131.7</v>
      </c>
      <c r="H6" s="31" t="n">
        <v>9.99</v>
      </c>
      <c r="I6" s="31" t="n">
        <v>1296328</v>
      </c>
      <c r="J6" s="31" t="inlineStr">
        <is>
          <t>543528</t>
        </is>
      </c>
    </row>
    <row r="7">
      <c r="A7" s="31" t="inlineStr">
        <is>
          <t>AXISCADES</t>
        </is>
      </c>
      <c r="B7" s="31" t="inlineStr">
        <is>
          <t>AXISCADES Technologies Ltd</t>
        </is>
      </c>
      <c r="C7" s="31" t="inlineStr">
        <is>
          <t>aerospace &amp; defence</t>
        </is>
      </c>
      <c r="D7" s="31" t="inlineStr">
        <is>
          <t>computers - software - medium / small</t>
        </is>
      </c>
      <c r="E7" s="31" t="inlineStr">
        <is>
          <t>midcap</t>
        </is>
      </c>
      <c r="F7" s="31" t="n">
        <v>7878.02</v>
      </c>
      <c r="G7" s="31" t="n">
        <v>1852.3</v>
      </c>
      <c r="H7" s="31" t="n">
        <v>9.960000000000001</v>
      </c>
      <c r="I7" s="31" t="n">
        <v>443978</v>
      </c>
      <c r="J7" s="31" t="inlineStr">
        <is>
          <t>532395</t>
        </is>
      </c>
    </row>
    <row r="8">
      <c r="A8" s="31" t="inlineStr">
        <is>
          <t>YATHARTH</t>
        </is>
      </c>
      <c r="B8" s="31" t="inlineStr">
        <is>
          <t>Yatharth Hospital &amp; Trauma Care Services Ltd</t>
        </is>
      </c>
      <c r="C8" s="31" t="inlineStr">
        <is>
          <t>healthcare</t>
        </is>
      </c>
      <c r="D8" s="31" t="inlineStr">
        <is>
          <t>healthcare</t>
        </is>
      </c>
      <c r="E8" s="31" t="inlineStr">
        <is>
          <t>midcap</t>
        </is>
      </c>
      <c r="F8" s="31" t="n">
        <v>10333.04</v>
      </c>
      <c r="G8" s="31" t="n">
        <v>1072.4</v>
      </c>
      <c r="H8" s="31" t="n">
        <v>9.17</v>
      </c>
      <c r="I8" s="31" t="n">
        <v>3679332</v>
      </c>
      <c r="J8" s="31" t="inlineStr">
        <is>
          <t>543950</t>
        </is>
      </c>
    </row>
    <row r="9">
      <c r="A9" s="31" t="inlineStr">
        <is>
          <t>AHCL</t>
        </is>
      </c>
      <c r="B9" s="31" t="inlineStr">
        <is>
          <t>Anlon Healthcare Ltd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smallcap</t>
        </is>
      </c>
      <c r="F9" s="31" t="n">
        <v>1160.83</v>
      </c>
      <c r="G9" s="31" t="n">
        <v>21.84</v>
      </c>
      <c r="H9" s="31" t="n">
        <v>8.98</v>
      </c>
      <c r="I9" s="31" t="n">
        <v>49745313</v>
      </c>
      <c r="J9" s="31" t="inlineStr">
        <is>
          <t>544497</t>
        </is>
      </c>
    </row>
    <row r="10">
      <c r="A10" s="31" t="inlineStr">
        <is>
          <t>GNFC</t>
        </is>
      </c>
      <c r="B10" s="31" t="inlineStr">
        <is>
          <t>Gujarat Narmada Valley Fertilizers And Chemicals Limited</t>
        </is>
      </c>
      <c r="C10" s="31" t="inlineStr">
        <is>
          <t>chemicals</t>
        </is>
      </c>
      <c r="D10" s="31" t="inlineStr">
        <is>
          <t>chemicals</t>
        </is>
      </c>
      <c r="E10" s="31" t="inlineStr">
        <is>
          <t>midcap</t>
        </is>
      </c>
      <c r="F10" s="31" t="n">
        <v>8593.83</v>
      </c>
      <c r="G10" s="31" t="n">
        <v>584.85</v>
      </c>
      <c r="H10" s="31" t="n">
        <v>8.359999999999999</v>
      </c>
      <c r="I10" s="31" t="n">
        <v>8250274</v>
      </c>
      <c r="J10" s="31" t="inlineStr">
        <is>
          <t>500670</t>
        </is>
      </c>
    </row>
    <row r="11">
      <c r="A11" s="31" t="inlineStr">
        <is>
          <t>MOTISONS</t>
        </is>
      </c>
      <c r="B11" s="31" t="inlineStr">
        <is>
          <t>Motisons Jewellers Ltd</t>
        </is>
      </c>
      <c r="C11" s="31" t="inlineStr">
        <is>
          <t>consumer discretionary</t>
        </is>
      </c>
      <c r="D11" s="31" t="inlineStr">
        <is>
          <t>diamond cutting / jewellery</t>
        </is>
      </c>
      <c r="E11" s="31" t="inlineStr">
        <is>
          <t>smallcap</t>
        </is>
      </c>
      <c r="F11" s="31" t="n">
        <v>2040.69</v>
      </c>
      <c r="G11" s="31" t="n">
        <v>17.94</v>
      </c>
      <c r="H11" s="31" t="n">
        <v>7.94</v>
      </c>
      <c r="I11" s="31" t="n">
        <v>236263034</v>
      </c>
      <c r="J11" s="31" t="inlineStr">
        <is>
          <t>544053</t>
        </is>
      </c>
    </row>
    <row r="12">
      <c r="A12" s="31" t="inlineStr">
        <is>
          <t>IRISDOREME</t>
        </is>
      </c>
      <c r="B12" s="31" t="inlineStr">
        <is>
          <t>Iris Clothings Ltd</t>
        </is>
      </c>
      <c r="C12" s="31" t="inlineStr">
        <is>
          <t>consumer discretionary</t>
        </is>
      </c>
      <c r="D12" s="31" t="inlineStr">
        <is>
          <t>textiles - products</t>
        </is>
      </c>
      <c r="E12" s="31" t="inlineStr">
        <is>
          <t>smallcap</t>
        </is>
      </c>
      <c r="F12" s="31" t="n">
        <v>1190.52</v>
      </c>
      <c r="G12" s="31" t="n">
        <v>62.55</v>
      </c>
      <c r="H12" s="31" t="n">
        <v>7.51</v>
      </c>
      <c r="I12" s="31" t="n">
        <v>1031078</v>
      </c>
      <c r="J12" s="31" t="inlineStr">
        <is>
          <t>535123</t>
        </is>
      </c>
    </row>
    <row r="13">
      <c r="A13" s="31" t="inlineStr">
        <is>
          <t>KROSS</t>
        </is>
      </c>
      <c r="B13" s="31" t="inlineStr">
        <is>
          <t>Kross Ltd</t>
        </is>
      </c>
      <c r="C13" s="31" t="inlineStr">
        <is>
          <t>auto</t>
        </is>
      </c>
      <c r="D13" s="31" t="inlineStr">
        <is>
          <t>auto ancillaries</t>
        </is>
      </c>
      <c r="E13" s="31" t="inlineStr">
        <is>
          <t>smallcap</t>
        </is>
      </c>
      <c r="F13" s="31" t="n">
        <v>1561.45</v>
      </c>
      <c r="G13" s="31" t="n">
        <v>242.05</v>
      </c>
      <c r="H13" s="31" t="n">
        <v>7.17</v>
      </c>
      <c r="I13" s="31" t="n">
        <v>1745433</v>
      </c>
      <c r="J13" s="31" t="inlineStr">
        <is>
          <t>544253</t>
        </is>
      </c>
    </row>
    <row r="14">
      <c r="A14" s="31" t="inlineStr">
        <is>
          <t>SYRMA</t>
        </is>
      </c>
      <c r="B14" s="31" t="inlineStr">
        <is>
          <t>Syrma SGS Technology Ltd</t>
        </is>
      </c>
      <c r="C14" s="31" t="inlineStr">
        <is>
          <t>consumer discretionary</t>
        </is>
      </c>
      <c r="D14" s="31" t="inlineStr">
        <is>
          <t>electronics - components</t>
        </is>
      </c>
      <c r="E14" s="31" t="inlineStr">
        <is>
          <t>largecap</t>
        </is>
      </c>
      <c r="F14" s="31" t="n">
        <v>31194.19</v>
      </c>
      <c r="G14" s="31" t="n">
        <v>1617.7</v>
      </c>
      <c r="H14" s="31" t="n">
        <v>7.05</v>
      </c>
      <c r="I14" s="31" t="n">
        <v>9182371</v>
      </c>
      <c r="J14" s="31" t="inlineStr">
        <is>
          <t>543573</t>
        </is>
      </c>
    </row>
    <row r="15">
      <c r="A15" s="31" t="inlineStr">
        <is>
          <t>GOCLCORP</t>
        </is>
      </c>
      <c r="B15" s="31" t="inlineStr">
        <is>
          <t>Gocl Corporation Limited</t>
        </is>
      </c>
      <c r="C15" s="31" t="inlineStr">
        <is>
          <t>miscellaneous</t>
        </is>
      </c>
      <c r="D15" s="31" t="inlineStr">
        <is>
          <t>diversified - medium / small</t>
        </is>
      </c>
      <c r="E15" s="31" t="inlineStr">
        <is>
          <t>smallcap</t>
        </is>
      </c>
      <c r="F15" s="31" t="n">
        <v>2261.25</v>
      </c>
      <c r="G15" s="31" t="n">
        <v>456.15</v>
      </c>
      <c r="H15" s="31" t="n">
        <v>6.48</v>
      </c>
      <c r="I15" s="31" t="n">
        <v>1122429</v>
      </c>
      <c r="J15" s="31" t="inlineStr">
        <is>
          <t>506480</t>
        </is>
      </c>
    </row>
    <row r="16">
      <c r="A16" s="31" t="inlineStr">
        <is>
          <t>DOLPHIN</t>
        </is>
      </c>
      <c r="B16" s="31" t="inlineStr">
        <is>
          <t>Dolphin Offshore Enterprises (India) Ltd</t>
        </is>
      </c>
      <c r="C16" s="31" t="inlineStr">
        <is>
          <t>energy</t>
        </is>
      </c>
      <c r="D16" s="31" t="inlineStr">
        <is>
          <t>oil drilling / allied services</t>
        </is>
      </c>
      <c r="E16" s="31" t="inlineStr">
        <is>
          <t>smallcap</t>
        </is>
      </c>
      <c r="F16" s="31" t="n">
        <v>2695.11</v>
      </c>
      <c r="G16" s="31" t="n">
        <v>673.7</v>
      </c>
      <c r="H16" s="31" t="n">
        <v>6.08</v>
      </c>
      <c r="I16" s="31" t="n">
        <v>54699</v>
      </c>
      <c r="J16" s="31" t="inlineStr">
        <is>
          <t>522261</t>
        </is>
      </c>
    </row>
    <row r="17">
      <c r="A17" s="31" t="inlineStr">
        <is>
          <t>RAMRAT</t>
        </is>
      </c>
      <c r="B17" s="31" t="inlineStr">
        <is>
          <t>Ram Ratna Wires Ltd</t>
        </is>
      </c>
      <c r="C17" s="31" t="inlineStr">
        <is>
          <t>metals &amp; mining</t>
        </is>
      </c>
      <c r="D17" s="31" t="inlineStr">
        <is>
          <t>mining / minerals / metals</t>
        </is>
      </c>
      <c r="E17" s="31" t="inlineStr">
        <is>
          <t>midcap</t>
        </is>
      </c>
      <c r="F17" s="31" t="n">
        <v>5205.14</v>
      </c>
      <c r="G17" s="31" t="n">
        <v>557.6</v>
      </c>
      <c r="H17" s="31" t="n">
        <v>6.05</v>
      </c>
      <c r="I17" s="31" t="n">
        <v>326151</v>
      </c>
      <c r="J17" s="31" t="inlineStr">
        <is>
          <t>522281</t>
        </is>
      </c>
    </row>
    <row r="18">
      <c r="A18" s="31" t="inlineStr">
        <is>
          <t>QUADFUTURE</t>
        </is>
      </c>
      <c r="B18" s="31" t="inlineStr">
        <is>
          <t>Quadrant Future Tek Ltd</t>
        </is>
      </c>
      <c r="C18" s="31" t="inlineStr">
        <is>
          <t>industrials</t>
        </is>
      </c>
      <c r="D18" s="31" t="inlineStr">
        <is>
          <t>cables - power</t>
        </is>
      </c>
      <c r="E18" s="31" t="inlineStr">
        <is>
          <t>smallcap</t>
        </is>
      </c>
      <c r="F18" s="31" t="n">
        <v>2086</v>
      </c>
      <c r="G18" s="31" t="n">
        <v>521.5</v>
      </c>
      <c r="H18" s="31" t="n">
        <v>6.01</v>
      </c>
      <c r="I18" s="31" t="n">
        <v>2251310</v>
      </c>
      <c r="J18" s="31" t="inlineStr">
        <is>
          <t>544336</t>
        </is>
      </c>
    </row>
    <row r="19">
      <c r="A19" s="31" t="inlineStr">
        <is>
          <t>RATNAVEER</t>
        </is>
      </c>
      <c r="B19" s="31" t="inlineStr">
        <is>
          <t>Ratnaveer Precision Engineering Ltd</t>
        </is>
      </c>
      <c r="C19" s="31" t="inlineStr">
        <is>
          <t>metals &amp; mining</t>
        </is>
      </c>
      <c r="D19" s="31" t="inlineStr">
        <is>
          <t>steel - medium / small</t>
        </is>
      </c>
      <c r="E19" s="31" t="inlineStr">
        <is>
          <t>smallcap</t>
        </is>
      </c>
      <c r="F19" s="31" t="n">
        <v>2170.3</v>
      </c>
      <c r="G19" s="31" t="n">
        <v>303.85</v>
      </c>
      <c r="H19" s="31" t="n">
        <v>5.96</v>
      </c>
      <c r="I19" s="31" t="n">
        <v>21339407</v>
      </c>
      <c r="J19" s="31" t="inlineStr">
        <is>
          <t>543978</t>
        </is>
      </c>
    </row>
    <row r="20">
      <c r="A20" s="31" t="inlineStr">
        <is>
          <t>VINCOFE</t>
        </is>
      </c>
      <c r="B20" s="31" t="inlineStr">
        <is>
          <t>Vintage Coffee &amp; Beverages Ltd</t>
        </is>
      </c>
      <c r="C20" s="31" t="inlineStr">
        <is>
          <t>consumer discretionary</t>
        </is>
      </c>
      <c r="D20" s="31" t="inlineStr">
        <is>
          <t>trading</t>
        </is>
      </c>
      <c r="E20" s="31" t="inlineStr">
        <is>
          <t>smallcap</t>
        </is>
      </c>
      <c r="F20" s="31" t="n">
        <v>2563.53</v>
      </c>
      <c r="G20" s="31" t="n">
        <v>175.96</v>
      </c>
      <c r="H20" s="31" t="n">
        <v>5.2</v>
      </c>
      <c r="I20" s="31" t="n">
        <v>2256156</v>
      </c>
      <c r="J20" s="31" t="inlineStr">
        <is>
          <t>538920</t>
        </is>
      </c>
    </row>
    <row r="21">
      <c r="A21" s="31" t="inlineStr">
        <is>
          <t>JASH</t>
        </is>
      </c>
      <c r="B21" s="31" t="inlineStr">
        <is>
          <t>Jash Engineering Ltd</t>
        </is>
      </c>
      <c r="C21" s="31" t="inlineStr">
        <is>
          <t>industrials</t>
        </is>
      </c>
      <c r="D21" s="31" t="inlineStr">
        <is>
          <t>engineering</t>
        </is>
      </c>
      <c r="E21" s="31" t="inlineStr">
        <is>
          <t>smallcap</t>
        </is>
      </c>
      <c r="F21" s="31" t="n">
        <v>3248.16</v>
      </c>
      <c r="G21" s="31" t="n">
        <v>514</v>
      </c>
      <c r="H21" s="31" t="n">
        <v>5.13</v>
      </c>
      <c r="I21" s="31" t="n">
        <v>159181</v>
      </c>
      <c r="J21" s="31" t="inlineStr">
        <is>
          <t>535019</t>
        </is>
      </c>
    </row>
    <row r="22">
      <c r="A22" s="31" t="inlineStr">
        <is>
          <t>MOREPENLAB</t>
        </is>
      </c>
      <c r="B22" s="31" t="inlineStr">
        <is>
          <t>Morepen Laboratories Limited</t>
        </is>
      </c>
      <c r="C22" s="31" t="inlineStr">
        <is>
          <t>healthcare</t>
        </is>
      </c>
      <c r="D22" s="31" t="inlineStr">
        <is>
          <t>pharmaceuticals - indian - bulk drugs &amp; formln</t>
        </is>
      </c>
      <c r="E22" s="31" t="inlineStr">
        <is>
          <t>midcap</t>
        </is>
      </c>
      <c r="F22" s="31" t="n">
        <v>6606.13</v>
      </c>
      <c r="G22" s="31" t="n">
        <v>120.56</v>
      </c>
      <c r="H22" s="31" t="n">
        <v>5.08</v>
      </c>
      <c r="I22" s="31" t="n">
        <v>27513682</v>
      </c>
      <c r="J22" s="31" t="inlineStr">
        <is>
          <t>500288</t>
        </is>
      </c>
    </row>
    <row r="23">
      <c r="A23" s="31" t="inlineStr">
        <is>
          <t>ONEPOINT</t>
        </is>
      </c>
      <c r="B23" s="31" t="inlineStr">
        <is>
          <t>One Point One Solutions Ltd</t>
        </is>
      </c>
      <c r="C23" s="31" t="inlineStr">
        <is>
          <t>i.t</t>
        </is>
      </c>
      <c r="D23" s="31" t="inlineStr">
        <is>
          <t>computers - software - medium / small</t>
        </is>
      </c>
      <c r="E23" s="31" t="inlineStr">
        <is>
          <t>smallcap</t>
        </is>
      </c>
      <c r="F23" s="31" t="n">
        <v>1555.01</v>
      </c>
      <c r="G23" s="31" t="n">
        <v>59.14</v>
      </c>
      <c r="H23" s="31" t="n">
        <v>5.08</v>
      </c>
      <c r="I23" s="31" t="n">
        <v>2680184</v>
      </c>
      <c r="J23" s="31" t="inlineStr">
        <is>
          <t>535039</t>
        </is>
      </c>
    </row>
    <row r="24">
      <c r="A24" s="31" t="inlineStr">
        <is>
          <t>TBZ</t>
        </is>
      </c>
      <c r="B24" s="31" t="inlineStr">
        <is>
          <t>Tribhovandas Bhimji Zaveri Limited</t>
        </is>
      </c>
      <c r="C24" s="31" t="inlineStr">
        <is>
          <t>consumer discretionary</t>
        </is>
      </c>
      <c r="D24" s="31" t="inlineStr">
        <is>
          <t>diamond cutting / jewellery</t>
        </is>
      </c>
      <c r="E24" s="31" t="inlineStr">
        <is>
          <t>smallcap</t>
        </is>
      </c>
      <c r="F24" s="31" t="n">
        <v>3836.01</v>
      </c>
      <c r="G24" s="31" t="n">
        <v>574.85</v>
      </c>
      <c r="H24" s="31" t="n">
        <v>5</v>
      </c>
      <c r="I24" s="31" t="n">
        <v>268358</v>
      </c>
      <c r="J24" s="31" t="inlineStr">
        <is>
          <t>534369</t>
        </is>
      </c>
    </row>
    <row r="25">
      <c r="A25" s="31" t="inlineStr">
        <is>
          <t>MBECL</t>
        </is>
      </c>
      <c r="B25" s="31" t="inlineStr">
        <is>
          <t>Mcnally Bharat Engineering Company Limited</t>
        </is>
      </c>
      <c r="C25" s="31" t="inlineStr">
        <is>
          <t>realty</t>
        </is>
      </c>
      <c r="D25" s="31" t="inlineStr">
        <is>
          <t>engineering - turnkey services</t>
        </is>
      </c>
      <c r="E25" s="31" t="inlineStr">
        <is>
          <t>smallcap</t>
        </is>
      </c>
      <c r="F25" s="31" t="n">
        <v>1274.9</v>
      </c>
      <c r="G25" s="31" t="n">
        <v>382.47</v>
      </c>
      <c r="H25" s="31" t="n">
        <v>5</v>
      </c>
      <c r="I25" s="31" t="n">
        <v>2294</v>
      </c>
      <c r="J25" s="31" t="inlineStr">
        <is>
          <t>532629</t>
        </is>
      </c>
    </row>
    <row r="26">
      <c r="A26" s="31" t="inlineStr">
        <is>
          <t>BHAGYANGR</t>
        </is>
      </c>
      <c r="B26" s="31" t="inlineStr">
        <is>
          <t>Bhagyanagar India</t>
        </is>
      </c>
      <c r="C26" s="31" t="inlineStr">
        <is>
          <t>power &amp; utilities</t>
        </is>
      </c>
      <c r="D26" s="31" t="inlineStr">
        <is>
          <t>power generation and supply</t>
        </is>
      </c>
      <c r="E26" s="31" t="inlineStr">
        <is>
          <t>smallcap</t>
        </is>
      </c>
      <c r="F26" s="31" t="n">
        <v>1495.62</v>
      </c>
      <c r="G26" s="31" t="n">
        <v>446.5</v>
      </c>
      <c r="H26" s="31" t="n">
        <v>5</v>
      </c>
      <c r="I26" s="31" t="n">
        <v>66357</v>
      </c>
      <c r="J26" s="31" t="inlineStr">
        <is>
          <t>512296</t>
        </is>
      </c>
    </row>
    <row r="27">
      <c r="A27" s="31" t="inlineStr">
        <is>
          <t>VALIANTLAB</t>
        </is>
      </c>
      <c r="B27" s="31" t="inlineStr">
        <is>
          <t>Valiant Laboratories Ltd</t>
        </is>
      </c>
      <c r="C27" s="31" t="inlineStr">
        <is>
          <t>healthcare</t>
        </is>
      </c>
      <c r="D27" s="31" t="inlineStr">
        <is>
          <t>pharmaceuticals - indian - bulk drugs &amp; formln</t>
        </is>
      </c>
      <c r="E27" s="31" t="inlineStr">
        <is>
          <t>smallcap</t>
        </is>
      </c>
      <c r="F27" s="31" t="n">
        <v>666.6900000000001</v>
      </c>
      <c r="G27" s="31" t="n">
        <v>122.75</v>
      </c>
      <c r="H27" s="31" t="n">
        <v>5</v>
      </c>
      <c r="I27" s="31" t="n">
        <v>67876</v>
      </c>
      <c r="J27" s="31" t="n"/>
    </row>
    <row r="28">
      <c r="A28" s="31" t="inlineStr">
        <is>
          <t>SALSTEEL</t>
        </is>
      </c>
      <c r="B28" s="31" t="inlineStr">
        <is>
          <t>SAL Steel</t>
        </is>
      </c>
      <c r="C28" s="31" t="inlineStr">
        <is>
          <t>metals &amp; mining</t>
        </is>
      </c>
      <c r="D28" s="31" t="inlineStr">
        <is>
          <t>steel - sponge iron</t>
        </is>
      </c>
      <c r="E28" s="31" t="inlineStr">
        <is>
          <t>smallcap</t>
        </is>
      </c>
      <c r="F28" s="31" t="n">
        <v>1134.25</v>
      </c>
      <c r="G28" s="31" t="n">
        <v>78.34999999999999</v>
      </c>
      <c r="H28" s="31" t="n">
        <v>5</v>
      </c>
      <c r="I28" s="31" t="n">
        <v>243492</v>
      </c>
      <c r="J28" s="31" t="inlineStr">
        <is>
          <t>532604</t>
        </is>
      </c>
    </row>
    <row r="29">
      <c r="A29" s="31" t="inlineStr">
        <is>
          <t>ANUHPHR</t>
        </is>
      </c>
      <c r="B29" s="31" t="inlineStr">
        <is>
          <t>Anuh Pharma Ltd</t>
        </is>
      </c>
      <c r="C29" s="31" t="inlineStr">
        <is>
          <t>healthcare</t>
        </is>
      </c>
      <c r="D29" s="31" t="inlineStr">
        <is>
          <t>pharmaceuticals - indian - bulk drugs</t>
        </is>
      </c>
      <c r="E29" s="31" t="inlineStr">
        <is>
          <t>smallcap</t>
        </is>
      </c>
      <c r="F29" s="31" t="n">
        <v>938.9</v>
      </c>
      <c r="G29" s="31" t="n">
        <v>93.68000000000001</v>
      </c>
      <c r="H29" s="31" t="n">
        <v>5</v>
      </c>
      <c r="I29" s="31" t="n">
        <v>322234</v>
      </c>
      <c r="J29" s="31" t="inlineStr">
        <is>
          <t>506260</t>
        </is>
      </c>
    </row>
    <row r="30">
      <c r="A30" s="31" t="inlineStr">
        <is>
          <t>BODALCHEM</t>
        </is>
      </c>
      <c r="B30" s="31" t="inlineStr">
        <is>
          <t>Bodal Chemicals Limited</t>
        </is>
      </c>
      <c r="C30" s="31" t="inlineStr">
        <is>
          <t>chemicals</t>
        </is>
      </c>
      <c r="D30" s="31" t="inlineStr">
        <is>
          <t>dyes and pigments</t>
        </is>
      </c>
      <c r="E30" s="31" t="inlineStr">
        <is>
          <t>smallcap</t>
        </is>
      </c>
      <c r="F30" s="31" t="n">
        <v>2293.82</v>
      </c>
      <c r="G30" s="31" t="n">
        <v>182.13</v>
      </c>
      <c r="H30" s="31" t="n">
        <v>5</v>
      </c>
      <c r="I30" s="31" t="n">
        <v>2362229</v>
      </c>
      <c r="J30" s="31" t="inlineStr">
        <is>
          <t>524370</t>
        </is>
      </c>
    </row>
    <row r="31">
      <c r="A31" s="31" t="inlineStr">
        <is>
          <t>VALIANTORG</t>
        </is>
      </c>
      <c r="B31" s="31" t="inlineStr">
        <is>
          <t>Valiant Organics Ltd</t>
        </is>
      </c>
      <c r="C31" s="31" t="inlineStr">
        <is>
          <t>chemicals</t>
        </is>
      </c>
      <c r="D31" s="31" t="inlineStr">
        <is>
          <t>chemicals</t>
        </is>
      </c>
      <c r="E31" s="31" t="inlineStr">
        <is>
          <t>smallcap</t>
        </is>
      </c>
      <c r="F31" s="31" t="n">
        <v>1145.07</v>
      </c>
      <c r="G31" s="31" t="n">
        <v>408.45</v>
      </c>
      <c r="H31" s="31" t="n">
        <v>5</v>
      </c>
      <c r="I31" s="31" t="n">
        <v>79412</v>
      </c>
      <c r="J31" s="31" t="inlineStr">
        <is>
          <t>540145</t>
        </is>
      </c>
    </row>
    <row r="32">
      <c r="A32" s="31" t="inlineStr">
        <is>
          <t>SOFTTECH</t>
        </is>
      </c>
      <c r="B32" s="31" t="inlineStr">
        <is>
          <t>Softtech Engineers Ltd</t>
        </is>
      </c>
      <c r="C32" s="31" t="inlineStr">
        <is>
          <t>i.t</t>
        </is>
      </c>
      <c r="D32" s="31" t="inlineStr">
        <is>
          <t>computers - software - medium / small</t>
        </is>
      </c>
      <c r="E32" s="31" t="inlineStr">
        <is>
          <t>smallcap</t>
        </is>
      </c>
      <c r="F32" s="31" t="n">
        <v>693.08</v>
      </c>
      <c r="G32" s="31" t="n">
        <v>500.7</v>
      </c>
      <c r="H32" s="31" t="n">
        <v>4.99</v>
      </c>
      <c r="I32" s="31" t="n">
        <v>18047</v>
      </c>
      <c r="J32" s="31" t="inlineStr">
        <is>
          <t>535078</t>
        </is>
      </c>
    </row>
    <row r="33">
      <c r="A33" s="31" t="inlineStr">
        <is>
          <t>BHAGERIA</t>
        </is>
      </c>
      <c r="B33" s="31" t="inlineStr">
        <is>
          <t>Bhageria Industries Limited</t>
        </is>
      </c>
      <c r="C33" s="31" t="inlineStr">
        <is>
          <t>chemicals</t>
        </is>
      </c>
      <c r="D33" s="31" t="inlineStr">
        <is>
          <t>dyes and pigments</t>
        </is>
      </c>
      <c r="E33" s="31" t="inlineStr">
        <is>
          <t>smallcap</t>
        </is>
      </c>
      <c r="F33" s="31" t="n">
        <v>1391.59</v>
      </c>
      <c r="G33" s="31" t="n">
        <v>318.85</v>
      </c>
      <c r="H33" s="31" t="n">
        <v>4.99</v>
      </c>
      <c r="I33" s="31" t="n">
        <v>65522</v>
      </c>
      <c r="J33" s="31" t="inlineStr">
        <is>
          <t>530803</t>
        </is>
      </c>
    </row>
    <row r="34">
      <c r="A34" s="31" t="inlineStr">
        <is>
          <t>BIRLACABLE</t>
        </is>
      </c>
      <c r="B34" s="31" t="inlineStr">
        <is>
          <t>Birla Cable Limited</t>
        </is>
      </c>
      <c r="C34" s="31" t="inlineStr">
        <is>
          <t>industrials</t>
        </is>
      </c>
      <c r="D34" s="31" t="inlineStr">
        <is>
          <t>cables - telephone</t>
        </is>
      </c>
      <c r="E34" s="31" t="inlineStr">
        <is>
          <t>smallcap</t>
        </is>
      </c>
      <c r="F34" s="31" t="n">
        <v>1204.95</v>
      </c>
      <c r="G34" s="31" t="n">
        <v>401.65</v>
      </c>
      <c r="H34" s="31" t="n">
        <v>4.99</v>
      </c>
      <c r="I34" s="31" t="n">
        <v>431704</v>
      </c>
      <c r="J34" s="31" t="inlineStr">
        <is>
          <t>500060</t>
        </is>
      </c>
    </row>
    <row r="35">
      <c r="A35" s="31" t="inlineStr">
        <is>
          <t>STLNETWORK</t>
        </is>
      </c>
      <c r="B35" s="31" t="inlineStr">
        <is>
          <t>STL Networks Ltd</t>
        </is>
      </c>
      <c r="C35" s="31" t="inlineStr">
        <is>
          <t>telecom-service</t>
        </is>
      </c>
      <c r="D35" s="31" t="inlineStr">
        <is>
          <t>telecommunications - service provider</t>
        </is>
      </c>
      <c r="E35" s="31" t="inlineStr">
        <is>
          <t>smallcap</t>
        </is>
      </c>
      <c r="F35" s="31" t="n">
        <v>1996.72</v>
      </c>
      <c r="G35" s="31" t="n">
        <v>40.91</v>
      </c>
      <c r="H35" s="31" t="n">
        <v>4.98</v>
      </c>
      <c r="I35" s="31" t="n">
        <v>5830611</v>
      </c>
      <c r="J35" s="31" t="inlineStr">
        <is>
          <t>544395</t>
        </is>
      </c>
    </row>
    <row r="36">
      <c r="A36" s="31" t="inlineStr">
        <is>
          <t>MAZDA</t>
        </is>
      </c>
      <c r="B36" s="31" t="inlineStr">
        <is>
          <t>Mazda Limited</t>
        </is>
      </c>
      <c r="C36" s="31" t="inlineStr">
        <is>
          <t>industrials</t>
        </is>
      </c>
      <c r="D36" s="31" t="inlineStr">
        <is>
          <t>engineering</t>
        </is>
      </c>
      <c r="E36" s="31" t="inlineStr">
        <is>
          <t>smallcap</t>
        </is>
      </c>
      <c r="F36" s="31" t="n">
        <v>527.5599999999999</v>
      </c>
      <c r="G36" s="31" t="n">
        <v>263.45</v>
      </c>
      <c r="H36" s="31" t="n">
        <v>4.98</v>
      </c>
      <c r="I36" s="31" t="n">
        <v>10263</v>
      </c>
      <c r="J36" s="31" t="inlineStr">
        <is>
          <t>523792</t>
        </is>
      </c>
    </row>
    <row r="37">
      <c r="A37" s="31" t="inlineStr">
        <is>
          <t>STEL</t>
        </is>
      </c>
      <c r="B37" s="31" t="inlineStr">
        <is>
          <t>Stel Holdings Limited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smallcap</t>
        </is>
      </c>
      <c r="F37" s="31" t="n">
        <v>1166.2</v>
      </c>
      <c r="G37" s="31" t="n">
        <v>631.9</v>
      </c>
      <c r="H37" s="31" t="n">
        <v>4.96</v>
      </c>
      <c r="I37" s="31" t="n">
        <v>5198</v>
      </c>
      <c r="J37" s="31" t="n"/>
    </row>
    <row r="38">
      <c r="A38" s="31" t="inlineStr">
        <is>
          <t>NORTHARC</t>
        </is>
      </c>
      <c r="B38" s="31" t="inlineStr">
        <is>
          <t>Northern ARC Capital Ltd</t>
        </is>
      </c>
      <c r="C38" s="31" t="inlineStr">
        <is>
          <t>financials</t>
        </is>
      </c>
      <c r="D38" s="31" t="inlineStr">
        <is>
          <t>finance &amp; investments</t>
        </is>
      </c>
      <c r="E38" s="31" t="inlineStr">
        <is>
          <t>midcap</t>
        </is>
      </c>
      <c r="F38" s="31" t="n">
        <v>5018.87</v>
      </c>
      <c r="G38" s="31" t="n">
        <v>310.55</v>
      </c>
      <c r="H38" s="31" t="n">
        <v>4.95</v>
      </c>
      <c r="I38" s="31" t="n">
        <v>2358970</v>
      </c>
      <c r="J38" s="31" t="n"/>
    </row>
    <row r="39">
      <c r="A39" s="31" t="inlineStr">
        <is>
          <t>OMAXE</t>
        </is>
      </c>
      <c r="B39" s="31" t="inlineStr">
        <is>
          <t>Omaxe Limited</t>
        </is>
      </c>
      <c r="C39" s="31" t="inlineStr">
        <is>
          <t>realty</t>
        </is>
      </c>
      <c r="D39" s="31" t="inlineStr">
        <is>
          <t>construction</t>
        </is>
      </c>
      <c r="E39" s="31" t="inlineStr">
        <is>
          <t>smallcap</t>
        </is>
      </c>
      <c r="F39" s="31" t="n">
        <v>2208.71</v>
      </c>
      <c r="G39" s="31" t="n">
        <v>120.76</v>
      </c>
      <c r="H39" s="31" t="n">
        <v>4.94</v>
      </c>
      <c r="I39" s="31" t="n">
        <v>755723</v>
      </c>
      <c r="J39" s="31" t="inlineStr">
        <is>
          <t>532880</t>
        </is>
      </c>
    </row>
    <row r="40">
      <c r="A40" s="31" t="inlineStr">
        <is>
          <t>SIGMAADV</t>
        </is>
      </c>
      <c r="B40" s="31" t="inlineStr">
        <is>
          <t>Sigma Advanced System Ltd</t>
        </is>
      </c>
      <c r="C40" s="31" t="inlineStr">
        <is>
          <t>aerospace &amp; defence</t>
        </is>
      </c>
      <c r="D40" s="31" t="inlineStr">
        <is>
          <t>electronics - components</t>
        </is>
      </c>
      <c r="E40" s="31" t="inlineStr">
        <is>
          <t>midcap</t>
        </is>
      </c>
      <c r="F40" s="31" t="n">
        <v>16247.4</v>
      </c>
      <c r="G40" s="31" t="n">
        <v>857.4</v>
      </c>
      <c r="H40" s="31" t="n">
        <v>4.94</v>
      </c>
      <c r="I40" s="31" t="n">
        <v>292634</v>
      </c>
      <c r="J40" s="31" t="inlineStr">
        <is>
          <t>532408</t>
        </is>
      </c>
    </row>
    <row r="41">
      <c r="A41" s="31" t="inlineStr">
        <is>
          <t>PAISALO</t>
        </is>
      </c>
      <c r="B41" s="31" t="inlineStr">
        <is>
          <t>Paisalo Digital Ltd</t>
        </is>
      </c>
      <c r="C41" s="31" t="inlineStr">
        <is>
          <t>financials</t>
        </is>
      </c>
      <c r="D41" s="31" t="inlineStr">
        <is>
          <t>finance &amp; investments</t>
        </is>
      </c>
      <c r="E41" s="31" t="inlineStr">
        <is>
          <t>midcap</t>
        </is>
      </c>
      <c r="F41" s="31" t="n">
        <v>8070.19</v>
      </c>
      <c r="G41" s="31" t="n">
        <v>88.73</v>
      </c>
      <c r="H41" s="31" t="n">
        <v>4.89</v>
      </c>
      <c r="I41" s="31" t="n">
        <v>26502335</v>
      </c>
      <c r="J41" s="31" t="inlineStr">
        <is>
          <t>532900</t>
        </is>
      </c>
    </row>
    <row r="42">
      <c r="A42" s="31" t="inlineStr">
        <is>
          <t>ACE</t>
        </is>
      </c>
      <c r="B42" s="31" t="inlineStr">
        <is>
          <t>Action Construction Equipment Limited</t>
        </is>
      </c>
      <c r="C42" s="31" t="inlineStr">
        <is>
          <t>industrials</t>
        </is>
      </c>
      <c r="D42" s="31" t="inlineStr">
        <is>
          <t>engineering</t>
        </is>
      </c>
      <c r="E42" s="31" t="inlineStr">
        <is>
          <t>midcap</t>
        </is>
      </c>
      <c r="F42" s="31" t="n">
        <v>14356.67</v>
      </c>
      <c r="G42" s="31" t="n">
        <v>1205.6</v>
      </c>
      <c r="H42" s="31" t="n">
        <v>4.86</v>
      </c>
      <c r="I42" s="31" t="n">
        <v>685925</v>
      </c>
      <c r="J42" s="31" t="inlineStr">
        <is>
          <t>532762</t>
        </is>
      </c>
    </row>
    <row r="43">
      <c r="A43" s="31" t="inlineStr">
        <is>
          <t>ONWARDTEC</t>
        </is>
      </c>
      <c r="B43" s="31" t="inlineStr">
        <is>
          <t>Onward Technologies Limited</t>
        </is>
      </c>
      <c r="C43" s="31" t="inlineStr">
        <is>
          <t>i.t</t>
        </is>
      </c>
      <c r="D43" s="31" t="inlineStr">
        <is>
          <t>computers - software - medium / small</t>
        </is>
      </c>
      <c r="E43" s="31" t="inlineStr">
        <is>
          <t>smallcap</t>
        </is>
      </c>
      <c r="F43" s="31" t="n">
        <v>648.9400000000001</v>
      </c>
      <c r="G43" s="31" t="n">
        <v>291.75</v>
      </c>
      <c r="H43" s="31" t="n">
        <v>4.72</v>
      </c>
      <c r="I43" s="31" t="n">
        <v>72827</v>
      </c>
      <c r="J43" s="31" t="inlineStr">
        <is>
          <t>517536</t>
        </is>
      </c>
    </row>
    <row r="44">
      <c r="A44" s="31" t="inlineStr">
        <is>
          <t>VIJAYA</t>
        </is>
      </c>
      <c r="B44" s="31" t="inlineStr">
        <is>
          <t>Vijaya Diagnostic Centre Ltd</t>
        </is>
      </c>
      <c r="C44" s="31" t="inlineStr">
        <is>
          <t>healthcare</t>
        </is>
      </c>
      <c r="D44" s="31" t="inlineStr">
        <is>
          <t>healthcare</t>
        </is>
      </c>
      <c r="E44" s="31" t="inlineStr">
        <is>
          <t>midcap</t>
        </is>
      </c>
      <c r="F44" s="31" t="n">
        <v>15497.28</v>
      </c>
      <c r="G44" s="31" t="n">
        <v>1506.1</v>
      </c>
      <c r="H44" s="31" t="n">
        <v>4.71</v>
      </c>
      <c r="I44" s="31" t="n">
        <v>196070</v>
      </c>
      <c r="J44" s="31" t="inlineStr">
        <is>
          <t>543350</t>
        </is>
      </c>
    </row>
    <row r="45">
      <c r="A45" s="31" t="inlineStr">
        <is>
          <t>QPOWER</t>
        </is>
      </c>
      <c r="B45" s="31" t="inlineStr">
        <is>
          <t>Quality Power Electrical Equipments Ltd</t>
        </is>
      </c>
      <c r="C45" s="31" t="inlineStr">
        <is>
          <t>industrials</t>
        </is>
      </c>
      <c r="D45" s="31" t="inlineStr">
        <is>
          <t>electric equipment</t>
        </is>
      </c>
      <c r="E45" s="31" t="inlineStr">
        <is>
          <t>midcap</t>
        </is>
      </c>
      <c r="F45" s="31" t="n">
        <v>11537.62</v>
      </c>
      <c r="G45" s="31" t="n">
        <v>1489.8</v>
      </c>
      <c r="H45" s="31" t="n">
        <v>4.7</v>
      </c>
      <c r="I45" s="31" t="n">
        <v>728624</v>
      </c>
      <c r="J45" s="31" t="inlineStr">
        <is>
          <t>544367</t>
        </is>
      </c>
    </row>
    <row r="46">
      <c r="A46" s="31" t="inlineStr">
        <is>
          <t>RGL</t>
        </is>
      </c>
      <c r="B46" s="31" t="inlineStr">
        <is>
          <t>Renaissance Global Ltd</t>
        </is>
      </c>
      <c r="C46" s="31" t="inlineStr">
        <is>
          <t>consumer discretionary</t>
        </is>
      </c>
      <c r="D46" s="31" t="inlineStr">
        <is>
          <t>diamond cutting / jewellery</t>
        </is>
      </c>
      <c r="E46" s="31" t="inlineStr">
        <is>
          <t>smallcap</t>
        </is>
      </c>
      <c r="F46" s="31" t="n">
        <v>1680.21</v>
      </c>
      <c r="G46" s="31" t="n">
        <v>156.49</v>
      </c>
      <c r="H46" s="31" t="n">
        <v>4.68</v>
      </c>
      <c r="I46" s="31" t="n">
        <v>777575</v>
      </c>
      <c r="J46" s="31" t="inlineStr">
        <is>
          <t>532923</t>
        </is>
      </c>
    </row>
    <row r="47">
      <c r="A47" s="31" t="inlineStr">
        <is>
          <t>WELSPUNLIV</t>
        </is>
      </c>
      <c r="B47" s="31" t="inlineStr">
        <is>
          <t>Welspun Living Ltd</t>
        </is>
      </c>
      <c r="C47" s="31" t="inlineStr">
        <is>
          <t>textiles</t>
        </is>
      </c>
      <c r="D47" s="31" t="inlineStr">
        <is>
          <t>textiles - products</t>
        </is>
      </c>
      <c r="E47" s="31" t="inlineStr">
        <is>
          <t>largecap</t>
        </is>
      </c>
      <c r="F47" s="31" t="n">
        <v>20052.37</v>
      </c>
      <c r="G47" s="31" t="n">
        <v>212.25</v>
      </c>
      <c r="H47" s="31" t="n">
        <v>4.65</v>
      </c>
      <c r="I47" s="31" t="n">
        <v>5153292</v>
      </c>
      <c r="J47" s="31" t="inlineStr">
        <is>
          <t>514162</t>
        </is>
      </c>
    </row>
    <row r="48">
      <c r="A48" s="31" t="inlineStr">
        <is>
          <t>AEGISVOPAK</t>
        </is>
      </c>
      <c r="B48" s="31" t="inlineStr">
        <is>
          <t>Aegis Vopak Terminals Ltd</t>
        </is>
      </c>
      <c r="C48" s="31" t="inlineStr">
        <is>
          <t>transportation</t>
        </is>
      </c>
      <c r="D48" s="31" t="inlineStr">
        <is>
          <t>miscellaneous</t>
        </is>
      </c>
      <c r="E48" s="31" t="inlineStr">
        <is>
          <t>largecap</t>
        </is>
      </c>
      <c r="F48" s="31" t="n">
        <v>34425.3</v>
      </c>
      <c r="G48" s="31" t="n">
        <v>310.7</v>
      </c>
      <c r="H48" s="31" t="n">
        <v>4.63</v>
      </c>
      <c r="I48" s="31" t="n">
        <v>6087355</v>
      </c>
      <c r="J48" s="31" t="inlineStr">
        <is>
          <t>544407</t>
        </is>
      </c>
    </row>
    <row r="49">
      <c r="A49" s="31" t="inlineStr">
        <is>
          <t>PFOCUS</t>
        </is>
      </c>
      <c r="B49" s="31" t="inlineStr">
        <is>
          <t>Prime Focus Limited</t>
        </is>
      </c>
      <c r="C49" s="31" t="inlineStr">
        <is>
          <t>realty</t>
        </is>
      </c>
      <c r="D49" s="31" t="inlineStr">
        <is>
          <t>miscellaneous</t>
        </is>
      </c>
      <c r="E49" s="31" t="inlineStr">
        <is>
          <t>largecap</t>
        </is>
      </c>
      <c r="F49" s="31" t="n">
        <v>26008.55</v>
      </c>
      <c r="G49" s="31" t="n">
        <v>334.95</v>
      </c>
      <c r="H49" s="31" t="n">
        <v>4.52</v>
      </c>
      <c r="I49" s="31" t="n">
        <v>6593481</v>
      </c>
      <c r="J49" s="31" t="inlineStr">
        <is>
          <t>532748</t>
        </is>
      </c>
    </row>
    <row r="50">
      <c r="A50" s="31" t="inlineStr">
        <is>
          <t>NOVARTIND</t>
        </is>
      </c>
      <c r="B50" s="31" t="inlineStr">
        <is>
          <t>Novartis India Ltd</t>
        </is>
      </c>
      <c r="C50" s="31" t="inlineStr">
        <is>
          <t>healthcare</t>
        </is>
      </c>
      <c r="D50" s="31" t="inlineStr">
        <is>
          <t>pharmaceuticals - multinational</t>
        </is>
      </c>
      <c r="E50" s="31" t="inlineStr">
        <is>
          <t>midcap</t>
        </is>
      </c>
      <c r="F50" s="31" t="n">
        <v>5141.12</v>
      </c>
      <c r="G50" s="31" t="n">
        <v>2082.2</v>
      </c>
      <c r="H50" s="31" t="n">
        <v>4.34</v>
      </c>
      <c r="I50" s="31" t="n">
        <v>153168</v>
      </c>
      <c r="J50" s="31" t="inlineStr">
        <is>
          <t>500672</t>
        </is>
      </c>
    </row>
    <row r="51">
      <c r="A51" s="31" t="inlineStr">
        <is>
          <t>APARINDS</t>
        </is>
      </c>
      <c r="B51" s="31" t="inlineStr">
        <is>
          <t>Apar Industries Limited</t>
        </is>
      </c>
      <c r="C51" s="31" t="inlineStr">
        <is>
          <t>industrials</t>
        </is>
      </c>
      <c r="D51" s="31" t="inlineStr">
        <is>
          <t>electric equipment</t>
        </is>
      </c>
      <c r="E51" s="31" t="inlineStr">
        <is>
          <t>largecap</t>
        </is>
      </c>
      <c r="F51" s="31" t="n">
        <v>74536.95</v>
      </c>
      <c r="G51" s="31" t="n">
        <v>17801</v>
      </c>
      <c r="H51" s="31" t="n">
        <v>4.25</v>
      </c>
      <c r="I51" s="31" t="n">
        <v>195609</v>
      </c>
      <c r="J51" s="31" t="inlineStr">
        <is>
          <t>532259</t>
        </is>
      </c>
    </row>
    <row r="52">
      <c r="A52" s="31" t="inlineStr">
        <is>
          <t>SOLARA</t>
        </is>
      </c>
      <c r="B52" s="31" t="inlineStr">
        <is>
          <t>Solara Active Pharma Sciences Ltd</t>
        </is>
      </c>
      <c r="C52" s="31" t="inlineStr">
        <is>
          <t>healthcare</t>
        </is>
      </c>
      <c r="D52" s="31" t="inlineStr">
        <is>
          <t>pharmaceuticals - indian - bulk drugs &amp; formln</t>
        </is>
      </c>
      <c r="E52" s="31" t="inlineStr">
        <is>
          <t>smallcap</t>
        </is>
      </c>
      <c r="F52" s="31" t="n">
        <v>3578.41</v>
      </c>
      <c r="G52" s="31" t="n">
        <v>741.7</v>
      </c>
      <c r="H52" s="31" t="n">
        <v>4.24</v>
      </c>
      <c r="I52" s="31" t="n">
        <v>504562</v>
      </c>
      <c r="J52" s="31" t="inlineStr">
        <is>
          <t>541540</t>
        </is>
      </c>
    </row>
    <row r="53">
      <c r="A53" s="31" t="inlineStr">
        <is>
          <t>INDORAMA</t>
        </is>
      </c>
      <c r="B53" s="31" t="inlineStr">
        <is>
          <t>Indo Rama Synthetics (india) Limited</t>
        </is>
      </c>
      <c r="C53" s="31" t="inlineStr">
        <is>
          <t>textiles</t>
        </is>
      </c>
      <c r="D53" s="31" t="inlineStr">
        <is>
          <t>textiles - manmade</t>
        </is>
      </c>
      <c r="E53" s="31" t="inlineStr">
        <is>
          <t>smallcap</t>
        </is>
      </c>
      <c r="F53" s="31" t="n">
        <v>2328.87</v>
      </c>
      <c r="G53" s="31" t="n">
        <v>89.19</v>
      </c>
      <c r="H53" s="31" t="n">
        <v>4.19</v>
      </c>
      <c r="I53" s="31" t="n">
        <v>1774157</v>
      </c>
      <c r="J53" s="31" t="inlineStr">
        <is>
          <t>500207</t>
        </is>
      </c>
    </row>
    <row r="54">
      <c r="A54" s="31" t="inlineStr">
        <is>
          <t>SMLMAH</t>
        </is>
      </c>
      <c r="B54" s="31" t="inlineStr">
        <is>
          <t>SML Mahindra Ltd</t>
        </is>
      </c>
      <c r="C54" s="31" t="inlineStr">
        <is>
          <t>auto</t>
        </is>
      </c>
      <c r="D54" s="31" t="inlineStr">
        <is>
          <t>automobiles - lcvs / hcvs</t>
        </is>
      </c>
      <c r="E54" s="31" t="inlineStr">
        <is>
          <t>midcap</t>
        </is>
      </c>
      <c r="F54" s="31" t="n">
        <v>9002.09</v>
      </c>
      <c r="G54" s="31" t="n">
        <v>6220.5</v>
      </c>
      <c r="H54" s="31" t="n">
        <v>4.17</v>
      </c>
      <c r="I54" s="31" t="n">
        <v>48450</v>
      </c>
      <c r="J54" s="31" t="inlineStr">
        <is>
          <t>505192</t>
        </is>
      </c>
    </row>
    <row r="55">
      <c r="A55" s="31" t="inlineStr">
        <is>
          <t>MANINDS</t>
        </is>
      </c>
      <c r="B55" s="31" t="inlineStr">
        <is>
          <t>Man Industries (india) Limited</t>
        </is>
      </c>
      <c r="C55" s="31" t="inlineStr">
        <is>
          <t>metals &amp; mining</t>
        </is>
      </c>
      <c r="D55" s="31" t="inlineStr">
        <is>
          <t>steel - medium / small</t>
        </is>
      </c>
      <c r="E55" s="31" t="inlineStr">
        <is>
          <t>midcap</t>
        </is>
      </c>
      <c r="F55" s="31" t="n">
        <v>6173.29</v>
      </c>
      <c r="G55" s="31" t="n">
        <v>823</v>
      </c>
      <c r="H55" s="31" t="n">
        <v>4.14</v>
      </c>
      <c r="I55" s="31" t="n">
        <v>1087714</v>
      </c>
      <c r="J55" s="31" t="inlineStr">
        <is>
          <t>513269</t>
        </is>
      </c>
    </row>
    <row r="56">
      <c r="A56" s="31" t="inlineStr">
        <is>
          <t>VHLTD</t>
        </is>
      </c>
      <c r="B56" s="31" t="inlineStr">
        <is>
          <t>Viceroy Hotels Ltd</t>
        </is>
      </c>
      <c r="C56" s="31" t="inlineStr">
        <is>
          <t>services</t>
        </is>
      </c>
      <c r="D56" s="31" t="inlineStr">
        <is>
          <t>hotels</t>
        </is>
      </c>
      <c r="E56" s="31" t="inlineStr">
        <is>
          <t>smallcap</t>
        </is>
      </c>
      <c r="F56" s="31" t="n">
        <v>892.58</v>
      </c>
      <c r="G56" s="31" t="n">
        <v>132.08</v>
      </c>
      <c r="H56" s="31" t="n">
        <v>4.12</v>
      </c>
      <c r="I56" s="31" t="n">
        <v>42536</v>
      </c>
      <c r="J56" s="31" t="inlineStr">
        <is>
          <t>523796</t>
        </is>
      </c>
    </row>
    <row r="57">
      <c r="A57" s="31" t="inlineStr">
        <is>
          <t>NEOGEN</t>
        </is>
      </c>
      <c r="B57" s="31" t="inlineStr">
        <is>
          <t>Neogen Chemicals Ltd</t>
        </is>
      </c>
      <c r="C57" s="31" t="inlineStr">
        <is>
          <t>chemicals</t>
        </is>
      </c>
      <c r="D57" s="31" t="inlineStr">
        <is>
          <t>chemicals</t>
        </is>
      </c>
      <c r="E57" s="31" t="inlineStr">
        <is>
          <t>midcap</t>
        </is>
      </c>
      <c r="F57" s="31" t="n">
        <v>6559.55</v>
      </c>
      <c r="G57" s="31" t="n">
        <v>2395.6</v>
      </c>
      <c r="H57" s="31" t="n">
        <v>4.05</v>
      </c>
      <c r="I57" s="31" t="n">
        <v>605450</v>
      </c>
      <c r="J57" s="31" t="inlineStr">
        <is>
          <t>542665</t>
        </is>
      </c>
    </row>
    <row r="58">
      <c r="A58" s="31" t="inlineStr">
        <is>
          <t>GANDHAR</t>
        </is>
      </c>
      <c r="B58" s="31" t="inlineStr">
        <is>
          <t>Gandhar Oil Refinery (India) Ltd</t>
        </is>
      </c>
      <c r="C58" s="31" t="inlineStr">
        <is>
          <t>energy</t>
        </is>
      </c>
      <c r="D58" s="31" t="inlineStr">
        <is>
          <t>refineries</t>
        </is>
      </c>
      <c r="E58" s="31" t="inlineStr">
        <is>
          <t>smallcap</t>
        </is>
      </c>
      <c r="F58" s="31" t="n">
        <v>2636.87</v>
      </c>
      <c r="G58" s="31" t="n">
        <v>269.4</v>
      </c>
      <c r="H58" s="31" t="n">
        <v>4.04</v>
      </c>
      <c r="I58" s="31" t="n">
        <v>661006</v>
      </c>
      <c r="J58" s="31" t="inlineStr">
        <is>
          <t>544029</t>
        </is>
      </c>
    </row>
    <row r="59">
      <c r="A59" s="31" t="inlineStr">
        <is>
          <t>IGPL</t>
        </is>
      </c>
      <c r="B59" s="31" t="inlineStr">
        <is>
          <t>Ig Petrochemicals Limited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smallcap</t>
        </is>
      </c>
      <c r="F59" s="31" t="n">
        <v>1707.73</v>
      </c>
      <c r="G59" s="31" t="n">
        <v>554.55</v>
      </c>
      <c r="H59" s="31" t="n">
        <v>3.98</v>
      </c>
      <c r="I59" s="31" t="n">
        <v>69270</v>
      </c>
      <c r="J59" s="31" t="inlineStr">
        <is>
          <t>500199</t>
        </is>
      </c>
    </row>
    <row r="60">
      <c r="A60" s="31" t="inlineStr">
        <is>
          <t>WINDLAS</t>
        </is>
      </c>
      <c r="B60" s="31" t="inlineStr">
        <is>
          <t>Windlas Biotech Ltd</t>
        </is>
      </c>
      <c r="C60" s="31" t="inlineStr">
        <is>
          <t>healthcare</t>
        </is>
      </c>
      <c r="D60" s="31" t="inlineStr">
        <is>
          <t>pharmaceuticals - indian - formulations</t>
        </is>
      </c>
      <c r="E60" s="31" t="inlineStr">
        <is>
          <t>smallcap</t>
        </is>
      </c>
      <c r="F60" s="31" t="n">
        <v>2306.31</v>
      </c>
      <c r="G60" s="31" t="n">
        <v>1117.6</v>
      </c>
      <c r="H60" s="31" t="n">
        <v>3.96</v>
      </c>
      <c r="I60" s="31" t="n">
        <v>117378</v>
      </c>
      <c r="J60" s="31" t="inlineStr">
        <is>
          <t>543329</t>
        </is>
      </c>
    </row>
    <row r="61">
      <c r="A61" s="31" t="inlineStr">
        <is>
          <t>MVGJL</t>
        </is>
      </c>
      <c r="B61" s="31" t="inlineStr">
        <is>
          <t>Manoj Vaibhav Gems N Jewellers Ltd</t>
        </is>
      </c>
      <c r="C61" s="31" t="inlineStr">
        <is>
          <t>consumer discretionary</t>
        </is>
      </c>
      <c r="D61" s="31" t="inlineStr">
        <is>
          <t>diamond cutting / jewellery</t>
        </is>
      </c>
      <c r="E61" s="31" t="inlineStr">
        <is>
          <t>smallcap</t>
        </is>
      </c>
      <c r="F61" s="31" t="n">
        <v>1052.03</v>
      </c>
      <c r="G61" s="31" t="n">
        <v>215.37</v>
      </c>
      <c r="H61" s="31" t="n">
        <v>3.96</v>
      </c>
      <c r="I61" s="31" t="n">
        <v>704297</v>
      </c>
      <c r="J61" s="31" t="inlineStr">
        <is>
          <t>543995</t>
        </is>
      </c>
    </row>
    <row r="62">
      <c r="A62" s="31" t="inlineStr">
        <is>
          <t>INDSWFTLAB</t>
        </is>
      </c>
      <c r="B62" s="31" t="inlineStr">
        <is>
          <t>Ind-swift Laboratories Limited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smallcap</t>
        </is>
      </c>
      <c r="F62" s="31" t="n">
        <v>3289.32</v>
      </c>
      <c r="G62" s="31" t="n">
        <v>378.25</v>
      </c>
      <c r="H62" s="31" t="n">
        <v>3.94</v>
      </c>
      <c r="I62" s="31" t="n">
        <v>545009</v>
      </c>
      <c r="J62" s="31" t="inlineStr">
        <is>
          <t>532305</t>
        </is>
      </c>
    </row>
    <row r="63">
      <c r="A63" s="31" t="inlineStr">
        <is>
          <t>MAHSEAMLES</t>
        </is>
      </c>
      <c r="B63" s="31" t="inlineStr">
        <is>
          <t>Maharashtra Seamless Limited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midcap</t>
        </is>
      </c>
      <c r="F63" s="31" t="n">
        <v>9650.629999999999</v>
      </c>
      <c r="G63" s="31" t="n">
        <v>720.2</v>
      </c>
      <c r="H63" s="31" t="n">
        <v>3.93</v>
      </c>
      <c r="I63" s="31" t="n">
        <v>436705</v>
      </c>
      <c r="J63" s="31" t="inlineStr">
        <is>
          <t>500265</t>
        </is>
      </c>
    </row>
    <row r="64">
      <c r="A64" s="31" t="inlineStr">
        <is>
          <t>TALBROAUTO</t>
        </is>
      </c>
      <c r="B64" s="31" t="inlineStr">
        <is>
          <t>Talbros Automotive Components Limited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smallcap</t>
        </is>
      </c>
      <c r="F64" s="31" t="n">
        <v>2686.41</v>
      </c>
      <c r="G64" s="31" t="n">
        <v>435.2</v>
      </c>
      <c r="H64" s="31" t="n">
        <v>3.92</v>
      </c>
      <c r="I64" s="31" t="n">
        <v>360775</v>
      </c>
      <c r="J64" s="31" t="inlineStr">
        <is>
          <t>505160</t>
        </is>
      </c>
    </row>
    <row r="65">
      <c r="A65" s="31" t="inlineStr">
        <is>
          <t>LUMAXTECH</t>
        </is>
      </c>
      <c r="B65" s="31" t="inlineStr">
        <is>
          <t>Lumax Auto Technologies Limited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midcap</t>
        </is>
      </c>
      <c r="F65" s="31" t="n">
        <v>13754.22</v>
      </c>
      <c r="G65" s="31" t="n">
        <v>2018</v>
      </c>
      <c r="H65" s="31" t="n">
        <v>3.92</v>
      </c>
      <c r="I65" s="31" t="n">
        <v>153301</v>
      </c>
      <c r="J65" s="31" t="inlineStr">
        <is>
          <t>532796</t>
        </is>
      </c>
    </row>
    <row r="66">
      <c r="A66" s="31" t="inlineStr">
        <is>
          <t>TATVA</t>
        </is>
      </c>
      <c r="B66" s="31" t="inlineStr">
        <is>
          <t>Tatva Chintan Pharma Chem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3999.11</v>
      </c>
      <c r="G66" s="31" t="n">
        <v>1709.6</v>
      </c>
      <c r="H66" s="31" t="n">
        <v>3.81</v>
      </c>
      <c r="I66" s="31" t="n">
        <v>89934</v>
      </c>
      <c r="J66" s="31" t="inlineStr">
        <is>
          <t>543321</t>
        </is>
      </c>
    </row>
    <row r="67">
      <c r="A67" s="31" t="inlineStr">
        <is>
          <t>ALEMBICLTD</t>
        </is>
      </c>
      <c r="B67" s="31" t="inlineStr">
        <is>
          <t>Alembic Limited</t>
        </is>
      </c>
      <c r="C67" s="31" t="inlineStr">
        <is>
          <t>realty</t>
        </is>
      </c>
      <c r="D67" s="31" t="inlineStr">
        <is>
          <t>construction</t>
        </is>
      </c>
      <c r="E67" s="31" t="inlineStr">
        <is>
          <t>smallcap</t>
        </is>
      </c>
      <c r="F67" s="31" t="n">
        <v>2637.66</v>
      </c>
      <c r="G67" s="31" t="n">
        <v>102.72</v>
      </c>
      <c r="H67" s="31" t="n">
        <v>3.81</v>
      </c>
      <c r="I67" s="31" t="n">
        <v>1416945</v>
      </c>
      <c r="J67" s="31" t="inlineStr">
        <is>
          <t>506235</t>
        </is>
      </c>
    </row>
    <row r="68">
      <c r="A68" s="31" t="inlineStr">
        <is>
          <t>PRIMESECU</t>
        </is>
      </c>
      <c r="B68" s="31" t="inlineStr">
        <is>
          <t>Prime Securities Limited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smallcap</t>
        </is>
      </c>
      <c r="F68" s="31" t="n">
        <v>998.02</v>
      </c>
      <c r="G68" s="31" t="n">
        <v>294.05</v>
      </c>
      <c r="H68" s="31" t="n">
        <v>3.63</v>
      </c>
      <c r="I68" s="31" t="n">
        <v>94994</v>
      </c>
      <c r="J68" s="31" t="inlineStr">
        <is>
          <t>500337</t>
        </is>
      </c>
    </row>
    <row r="69">
      <c r="A69" s="31" t="inlineStr">
        <is>
          <t>UNIMECH</t>
        </is>
      </c>
      <c r="B69" s="31" t="inlineStr">
        <is>
          <t>Unimech Aerospace and Manufacturing Ltd</t>
        </is>
      </c>
      <c r="C69" s="31" t="inlineStr">
        <is>
          <t>aerospace &amp; defence</t>
        </is>
      </c>
      <c r="D69" s="31" t="inlineStr">
        <is>
          <t>engineering</t>
        </is>
      </c>
      <c r="E69" s="31" t="inlineStr">
        <is>
          <t>midcap</t>
        </is>
      </c>
      <c r="F69" s="31" t="n">
        <v>7987.58</v>
      </c>
      <c r="G69" s="31" t="n">
        <v>1570.6</v>
      </c>
      <c r="H69" s="31" t="n">
        <v>3.62</v>
      </c>
      <c r="I69" s="31" t="n">
        <v>261719</v>
      </c>
      <c r="J69" s="31" t="inlineStr">
        <is>
          <t>544322</t>
        </is>
      </c>
    </row>
    <row r="70">
      <c r="A70" s="31" t="inlineStr">
        <is>
          <t>FILATEX</t>
        </is>
      </c>
      <c r="B70" s="31" t="inlineStr">
        <is>
          <t>Filatex India Limited</t>
        </is>
      </c>
      <c r="C70" s="31" t="inlineStr">
        <is>
          <t>textiles</t>
        </is>
      </c>
      <c r="D70" s="31" t="inlineStr">
        <is>
          <t>textiles - manmade</t>
        </is>
      </c>
      <c r="E70" s="31" t="inlineStr">
        <is>
          <t>smallcap</t>
        </is>
      </c>
      <c r="F70" s="31" t="n">
        <v>4012.07</v>
      </c>
      <c r="G70" s="31" t="n">
        <v>90.34999999999999</v>
      </c>
      <c r="H70" s="31" t="n">
        <v>3.59</v>
      </c>
      <c r="I70" s="31" t="n">
        <v>7738959</v>
      </c>
      <c r="J70" s="31" t="inlineStr">
        <is>
          <t>526227</t>
        </is>
      </c>
    </row>
    <row r="71">
      <c r="A71" s="31" t="inlineStr">
        <is>
          <t>KIMS</t>
        </is>
      </c>
      <c r="B71" s="31" t="inlineStr">
        <is>
          <t>Krishna Institute of Medical Sciences Ltd</t>
        </is>
      </c>
      <c r="C71" s="31" t="inlineStr">
        <is>
          <t>healthcare</t>
        </is>
      </c>
      <c r="D71" s="31" t="inlineStr">
        <is>
          <t>healthcare</t>
        </is>
      </c>
      <c r="E71" s="31" t="inlineStr">
        <is>
          <t>largecap</t>
        </is>
      </c>
      <c r="F71" s="31" t="n">
        <v>33258.21</v>
      </c>
      <c r="G71" s="31" t="n">
        <v>791.85</v>
      </c>
      <c r="H71" s="31" t="n">
        <v>3.29</v>
      </c>
      <c r="I71" s="31" t="n">
        <v>1082406</v>
      </c>
      <c r="J71" s="31" t="inlineStr">
        <is>
          <t>543307</t>
        </is>
      </c>
    </row>
    <row r="72">
      <c r="A72" s="31" t="inlineStr">
        <is>
          <t>PASUPTAC</t>
        </is>
      </c>
      <c r="B72" s="31" t="inlineStr">
        <is>
          <t>Pasupati Acrylon Ltd</t>
        </is>
      </c>
      <c r="C72" s="31" t="inlineStr">
        <is>
          <t>textiles</t>
        </is>
      </c>
      <c r="D72" s="31" t="inlineStr">
        <is>
          <t>textiles - manmade</t>
        </is>
      </c>
      <c r="E72" s="31" t="inlineStr">
        <is>
          <t>smallcap</t>
        </is>
      </c>
      <c r="F72" s="31" t="n">
        <v>626.7</v>
      </c>
      <c r="G72" s="31" t="n">
        <v>70.31</v>
      </c>
      <c r="H72" s="31" t="n">
        <v>3.29</v>
      </c>
      <c r="I72" s="31" t="n">
        <v>215392</v>
      </c>
      <c r="J72" s="31" t="inlineStr">
        <is>
          <t>500456</t>
        </is>
      </c>
    </row>
    <row r="73">
      <c r="A73" s="31" t="inlineStr">
        <is>
          <t>SBCL</t>
        </is>
      </c>
      <c r="B73" s="31" t="inlineStr">
        <is>
          <t>Shivalik Bimetal Controls Ltd</t>
        </is>
      </c>
      <c r="C73" s="31" t="inlineStr">
        <is>
          <t>metals &amp; mining</t>
        </is>
      </c>
      <c r="D73" s="31" t="inlineStr">
        <is>
          <t>mining / minerals / metals</t>
        </is>
      </c>
      <c r="E73" s="31" t="inlineStr">
        <is>
          <t>midcap</t>
        </is>
      </c>
      <c r="F73" s="31" t="n">
        <v>6289.23</v>
      </c>
      <c r="G73" s="31" t="n">
        <v>1091.8</v>
      </c>
      <c r="H73" s="31" t="n">
        <v>3.29</v>
      </c>
      <c r="I73" s="31" t="n">
        <v>279880</v>
      </c>
      <c r="J73" s="31" t="inlineStr">
        <is>
          <t>513097</t>
        </is>
      </c>
    </row>
    <row r="74">
      <c r="A74" s="31" t="inlineStr">
        <is>
          <t>SHILPAMED</t>
        </is>
      </c>
      <c r="B74" s="31" t="inlineStr">
        <is>
          <t>Shilpa Medicare Limited</t>
        </is>
      </c>
      <c r="C74" s="31" t="inlineStr">
        <is>
          <t>healthcare</t>
        </is>
      </c>
      <c r="D74" s="31" t="inlineStr">
        <is>
          <t>pharmaceuticals - indian - formulations</t>
        </is>
      </c>
      <c r="E74" s="31" t="inlineStr">
        <is>
          <t>midcap</t>
        </is>
      </c>
      <c r="F74" s="31" t="n">
        <v>18743.58</v>
      </c>
      <c r="G74" s="31" t="n">
        <v>958.35</v>
      </c>
      <c r="H74" s="31" t="n">
        <v>3.26</v>
      </c>
      <c r="I74" s="31" t="n">
        <v>819680</v>
      </c>
      <c r="J74" s="31" t="inlineStr">
        <is>
          <t>530549</t>
        </is>
      </c>
    </row>
    <row r="75">
      <c r="A75" s="31" t="inlineStr">
        <is>
          <t>INDGN</t>
        </is>
      </c>
      <c r="B75" s="31" t="inlineStr">
        <is>
          <t>Indegene Ltd</t>
        </is>
      </c>
      <c r="C75" s="31" t="inlineStr">
        <is>
          <t>healthcare</t>
        </is>
      </c>
      <c r="D75" s="31" t="inlineStr">
        <is>
          <t>miscellaneous</t>
        </is>
      </c>
      <c r="E75" s="31" t="inlineStr">
        <is>
          <t>midcap</t>
        </is>
      </c>
      <c r="F75" s="31" t="n">
        <v>14258.47</v>
      </c>
      <c r="G75" s="31" t="n">
        <v>591.75</v>
      </c>
      <c r="H75" s="31" t="n">
        <v>3.24</v>
      </c>
      <c r="I75" s="31" t="n">
        <v>272889</v>
      </c>
      <c r="J75" s="31" t="inlineStr">
        <is>
          <t>544172</t>
        </is>
      </c>
    </row>
    <row r="76">
      <c r="A76" s="31" t="inlineStr">
        <is>
          <t>VIDHIING</t>
        </is>
      </c>
      <c r="B76" s="31" t="inlineStr">
        <is>
          <t>Vidhi Specialty Food Ingredients</t>
        </is>
      </c>
      <c r="C76" s="31" t="inlineStr">
        <is>
          <t>chemicals</t>
        </is>
      </c>
      <c r="D76" s="31" t="inlineStr">
        <is>
          <t>dyes and pigments</t>
        </is>
      </c>
      <c r="E76" s="31" t="inlineStr">
        <is>
          <t>smallcap</t>
        </is>
      </c>
      <c r="F76" s="31" t="n">
        <v>1739.58</v>
      </c>
      <c r="G76" s="31" t="n">
        <v>348.3</v>
      </c>
      <c r="H76" s="31" t="n">
        <v>3.23</v>
      </c>
      <c r="I76" s="31" t="n">
        <v>27013</v>
      </c>
      <c r="J76" s="31" t="inlineStr">
        <is>
          <t>531717</t>
        </is>
      </c>
    </row>
    <row r="77">
      <c r="A77" s="31" t="inlineStr">
        <is>
          <t>JTLIND</t>
        </is>
      </c>
      <c r="B77" s="31" t="inlineStr">
        <is>
          <t>JTL Industries Ltd</t>
        </is>
      </c>
      <c r="C77" s="31" t="inlineStr">
        <is>
          <t>metals &amp; mining</t>
        </is>
      </c>
      <c r="D77" s="31" t="inlineStr">
        <is>
          <t>steel - medium / small</t>
        </is>
      </c>
      <c r="E77" s="31" t="inlineStr">
        <is>
          <t>smallcap</t>
        </is>
      </c>
      <c r="F77" s="31" t="n">
        <v>3432.39</v>
      </c>
      <c r="G77" s="31" t="n">
        <v>87.31999999999999</v>
      </c>
      <c r="H77" s="31" t="n">
        <v>3.22</v>
      </c>
      <c r="I77" s="31" t="n">
        <v>2352512</v>
      </c>
      <c r="J77" s="31" t="inlineStr">
        <is>
          <t>534600</t>
        </is>
      </c>
    </row>
    <row r="78">
      <c r="A78" s="31" t="inlineStr">
        <is>
          <t>UNIVPHOTO</t>
        </is>
      </c>
      <c r="B78" s="31" t="inlineStr">
        <is>
          <t>Universus Photo Imagings Ltd</t>
        </is>
      </c>
      <c r="C78" s="31" t="inlineStr">
        <is>
          <t>consumer discretionary</t>
        </is>
      </c>
      <c r="D78" s="31" t="inlineStr">
        <is>
          <t>photographic and allied products</t>
        </is>
      </c>
      <c r="E78" s="31" t="inlineStr">
        <is>
          <t>smallcap</t>
        </is>
      </c>
      <c r="F78" s="31" t="n">
        <v>672.12</v>
      </c>
      <c r="G78" s="31" t="n">
        <v>614</v>
      </c>
      <c r="H78" s="31" t="n">
        <v>3.18</v>
      </c>
      <c r="I78" s="31" t="n">
        <v>3110</v>
      </c>
      <c r="J78" s="31" t="inlineStr">
        <is>
          <t>542933</t>
        </is>
      </c>
    </row>
    <row r="79">
      <c r="A79" s="31" t="inlineStr">
        <is>
          <t>UNIPARTS</t>
        </is>
      </c>
      <c r="B79" s="31" t="inlineStr">
        <is>
          <t>Uniparts India Ltd</t>
        </is>
      </c>
      <c r="C79" s="31" t="inlineStr">
        <is>
          <t>industrials</t>
        </is>
      </c>
      <c r="D79" s="31" t="inlineStr">
        <is>
          <t>engineering</t>
        </is>
      </c>
      <c r="E79" s="31" t="inlineStr">
        <is>
          <t>smallcap</t>
        </is>
      </c>
      <c r="F79" s="31" t="n">
        <v>3963.79</v>
      </c>
      <c r="G79" s="31" t="n">
        <v>878.05</v>
      </c>
      <c r="H79" s="31" t="n">
        <v>3.16</v>
      </c>
      <c r="I79" s="31" t="n">
        <v>81783</v>
      </c>
      <c r="J79" s="31" t="inlineStr">
        <is>
          <t>543689</t>
        </is>
      </c>
    </row>
    <row r="80">
      <c r="A80" s="31" t="inlineStr">
        <is>
          <t>RPGLIFE</t>
        </is>
      </c>
      <c r="B80" s="31" t="inlineStr">
        <is>
          <t>Rpg Life Sciences Limited</t>
        </is>
      </c>
      <c r="C80" s="31" t="inlineStr">
        <is>
          <t>healthcare</t>
        </is>
      </c>
      <c r="D80" s="31" t="inlineStr">
        <is>
          <t>pharmaceuticals - indian - bulk drugs &amp; formln</t>
        </is>
      </c>
      <c r="E80" s="31" t="inlineStr">
        <is>
          <t>smallcap</t>
        </is>
      </c>
      <c r="F80" s="31" t="n">
        <v>4671.44</v>
      </c>
      <c r="G80" s="31" t="n">
        <v>2824.5</v>
      </c>
      <c r="H80" s="31" t="n">
        <v>3.12</v>
      </c>
      <c r="I80" s="31" t="n">
        <v>18681</v>
      </c>
      <c r="J80" s="31" t="inlineStr">
        <is>
          <t>532983</t>
        </is>
      </c>
    </row>
    <row r="81">
      <c r="A81" s="31" t="inlineStr">
        <is>
          <t>REDINGTON</t>
        </is>
      </c>
      <c r="B81" s="31" t="inlineStr">
        <is>
          <t>Redington (india) Limited</t>
        </is>
      </c>
      <c r="C81" s="31" t="inlineStr">
        <is>
          <t>services</t>
        </is>
      </c>
      <c r="D81" s="31" t="inlineStr">
        <is>
          <t>trading</t>
        </is>
      </c>
      <c r="E81" s="31" t="inlineStr">
        <is>
          <t>largecap</t>
        </is>
      </c>
      <c r="F81" s="31" t="n">
        <v>31278.8</v>
      </c>
      <c r="G81" s="31" t="n">
        <v>400.1</v>
      </c>
      <c r="H81" s="31" t="n">
        <v>3.08</v>
      </c>
      <c r="I81" s="31" t="n">
        <v>7092777</v>
      </c>
      <c r="J81" s="31" t="inlineStr">
        <is>
          <t>532805</t>
        </is>
      </c>
    </row>
    <row r="82">
      <c r="A82" s="31" t="inlineStr">
        <is>
          <t>CREST</t>
        </is>
      </c>
      <c r="B82" s="31" t="inlineStr">
        <is>
          <t>Crest Ventures Limited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smallcap</t>
        </is>
      </c>
      <c r="F82" s="31" t="n">
        <v>1055.49</v>
      </c>
      <c r="G82" s="31" t="n">
        <v>371</v>
      </c>
      <c r="H82" s="31" t="n">
        <v>3.07</v>
      </c>
      <c r="I82" s="31" t="n">
        <v>1809</v>
      </c>
      <c r="J82" s="31" t="inlineStr">
        <is>
          <t>511413</t>
        </is>
      </c>
    </row>
    <row r="83">
      <c r="A83" s="31" t="inlineStr">
        <is>
          <t>CYIENTDLM</t>
        </is>
      </c>
      <c r="B83" s="31" t="inlineStr">
        <is>
          <t>Cyient DLM Ltd</t>
        </is>
      </c>
      <c r="C83" s="31" t="inlineStr">
        <is>
          <t>aerospace &amp; defence</t>
        </is>
      </c>
      <c r="D83" s="31" t="inlineStr">
        <is>
          <t>electronics - components</t>
        </is>
      </c>
      <c r="E83" s="31" t="inlineStr">
        <is>
          <t>midcap</t>
        </is>
      </c>
      <c r="F83" s="31" t="n">
        <v>7092.9</v>
      </c>
      <c r="G83" s="31" t="n">
        <v>893.5</v>
      </c>
      <c r="H83" s="31" t="n">
        <v>3.01</v>
      </c>
      <c r="I83" s="31" t="n">
        <v>1059462</v>
      </c>
      <c r="J83" s="31" t="inlineStr">
        <is>
          <t>543933</t>
        </is>
      </c>
    </row>
    <row r="84">
      <c r="A84" s="31" t="inlineStr">
        <is>
          <t>ABSLAMC</t>
        </is>
      </c>
      <c r="B84" s="31" t="inlineStr">
        <is>
          <t>Aditya Birla Sun Life AMC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largecap</t>
        </is>
      </c>
      <c r="F84" s="31" t="n">
        <v>31482.76</v>
      </c>
      <c r="G84" s="31" t="n">
        <v>1090.1</v>
      </c>
      <c r="H84" s="31" t="n">
        <v>3</v>
      </c>
      <c r="I84" s="31" t="n">
        <v>206442</v>
      </c>
      <c r="J84" s="31" t="inlineStr">
        <is>
          <t>543374</t>
        </is>
      </c>
    </row>
    <row r="85">
      <c r="A85" s="31" t="inlineStr">
        <is>
          <t>IBULLSLTD</t>
        </is>
      </c>
      <c r="B85" s="31" t="inlineStr">
        <is>
          <t>Indiabulls Limited</t>
        </is>
      </c>
      <c r="C85" s="31" t="inlineStr">
        <is>
          <t>miscellaneous</t>
        </is>
      </c>
      <c r="D85" s="31" t="inlineStr">
        <is>
          <t>diversified - medium / small</t>
        </is>
      </c>
      <c r="E85" s="31" t="inlineStr">
        <is>
          <t>midcap</t>
        </is>
      </c>
      <c r="F85" s="31" t="n">
        <v>6907.1</v>
      </c>
      <c r="G85" s="31" t="n">
        <v>29.65</v>
      </c>
      <c r="H85" s="31" t="n">
        <v>2.99</v>
      </c>
      <c r="I85" s="31" t="n">
        <v>30372525</v>
      </c>
      <c r="J85" s="31" t="inlineStr">
        <is>
          <t>533520</t>
        </is>
      </c>
    </row>
    <row r="86">
      <c r="A86" s="31" t="inlineStr">
        <is>
          <t>DICIND</t>
        </is>
      </c>
      <c r="B86" s="31" t="inlineStr">
        <is>
          <t>Dic India Limited</t>
        </is>
      </c>
      <c r="C86" s="31" t="inlineStr">
        <is>
          <t>chemicals</t>
        </is>
      </c>
      <c r="D86" s="31" t="inlineStr">
        <is>
          <t>chemicals</t>
        </is>
      </c>
      <c r="E86" s="31" t="inlineStr">
        <is>
          <t>smallcap</t>
        </is>
      </c>
      <c r="F86" s="31" t="n">
        <v>576.85</v>
      </c>
      <c r="G86" s="31" t="n">
        <v>628.45</v>
      </c>
      <c r="H86" s="31" t="n">
        <v>2.97</v>
      </c>
      <c r="I86" s="31" t="n">
        <v>11357</v>
      </c>
      <c r="J86" s="31" t="inlineStr">
        <is>
          <t>500089</t>
        </is>
      </c>
    </row>
    <row r="87">
      <c r="A87" s="31" t="inlineStr">
        <is>
          <t>KOPRAN</t>
        </is>
      </c>
      <c r="B87" s="31" t="inlineStr">
        <is>
          <t>Kopran Limited</t>
        </is>
      </c>
      <c r="C87" s="31" t="inlineStr">
        <is>
          <t>healthcare</t>
        </is>
      </c>
      <c r="D87" s="31" t="inlineStr">
        <is>
          <t>pharmaceuticals - indian - bulk drugs &amp; formln</t>
        </is>
      </c>
      <c r="E87" s="31" t="inlineStr">
        <is>
          <t>smallcap</t>
        </is>
      </c>
      <c r="F87" s="31" t="n">
        <v>1296.9</v>
      </c>
      <c r="G87" s="31" t="n">
        <v>268.59</v>
      </c>
      <c r="H87" s="31" t="n">
        <v>2.96</v>
      </c>
      <c r="I87" s="31" t="n">
        <v>3137443</v>
      </c>
      <c r="J87" s="31" t="inlineStr">
        <is>
          <t>524280</t>
        </is>
      </c>
    </row>
    <row r="88">
      <c r="A88" s="31" t="inlineStr">
        <is>
          <t>3IINFOLTD</t>
        </is>
      </c>
      <c r="B88" s="31" t="inlineStr">
        <is>
          <t>3i Infotech Ltd</t>
        </is>
      </c>
      <c r="C88" s="31" t="inlineStr">
        <is>
          <t>i.t</t>
        </is>
      </c>
      <c r="D88" s="31" t="inlineStr">
        <is>
          <t>computers - software - medium / small</t>
        </is>
      </c>
      <c r="E88" s="31" t="inlineStr">
        <is>
          <t>smallcap</t>
        </is>
      </c>
      <c r="F88" s="31" t="n">
        <v>534.27</v>
      </c>
      <c r="G88" s="31" t="n">
        <v>25.76</v>
      </c>
      <c r="H88" s="31" t="n">
        <v>2.96</v>
      </c>
      <c r="I88" s="31" t="n">
        <v>428053</v>
      </c>
      <c r="J88" s="31" t="inlineStr">
        <is>
          <t>532628</t>
        </is>
      </c>
    </row>
    <row r="89">
      <c r="A89" s="31" t="inlineStr">
        <is>
          <t>KRYSTAL</t>
        </is>
      </c>
      <c r="B89" s="31" t="inlineStr">
        <is>
          <t>Krystal Integrated Services Ltd</t>
        </is>
      </c>
      <c r="C89" s="31" t="inlineStr">
        <is>
          <t>miscellaneous</t>
        </is>
      </c>
      <c r="D89" s="31" t="inlineStr">
        <is>
          <t>miscellaneous</t>
        </is>
      </c>
      <c r="E89" s="31" t="inlineStr">
        <is>
          <t>smallcap</t>
        </is>
      </c>
      <c r="F89" s="31" t="n">
        <v>942.97</v>
      </c>
      <c r="G89" s="31" t="n">
        <v>674.9</v>
      </c>
      <c r="H89" s="31" t="n">
        <v>2.94</v>
      </c>
      <c r="I89" s="31" t="n">
        <v>185098</v>
      </c>
      <c r="J89" s="31" t="inlineStr">
        <is>
          <t>544149</t>
        </is>
      </c>
    </row>
    <row r="90">
      <c r="A90" s="31" t="inlineStr">
        <is>
          <t>63MOONS</t>
        </is>
      </c>
      <c r="B90" s="31" t="inlineStr">
        <is>
          <t>63 Moons Technologies Ltd</t>
        </is>
      </c>
      <c r="C90" s="31" t="inlineStr">
        <is>
          <t>i.t</t>
        </is>
      </c>
      <c r="D90" s="31" t="inlineStr">
        <is>
          <t>computers - software - medium / small</t>
        </is>
      </c>
      <c r="E90" s="31" t="inlineStr">
        <is>
          <t>smallcap</t>
        </is>
      </c>
      <c r="F90" s="31" t="n">
        <v>4021.04</v>
      </c>
      <c r="G90" s="31" t="n">
        <v>872.65</v>
      </c>
      <c r="H90" s="31" t="n">
        <v>2.89</v>
      </c>
      <c r="I90" s="31" t="n">
        <v>268694</v>
      </c>
      <c r="J90" s="31" t="inlineStr">
        <is>
          <t>526881</t>
        </is>
      </c>
    </row>
    <row r="91">
      <c r="A91" s="31" t="inlineStr">
        <is>
          <t>OPTIEMUS</t>
        </is>
      </c>
      <c r="B91" s="31" t="inlineStr">
        <is>
          <t>Optiemus Infracom Ltd</t>
        </is>
      </c>
      <c r="C91" s="31" t="inlineStr">
        <is>
          <t>telecom</t>
        </is>
      </c>
      <c r="D91" s="31" t="inlineStr">
        <is>
          <t>trading</t>
        </is>
      </c>
      <c r="E91" s="31" t="inlineStr">
        <is>
          <t>midcap</t>
        </is>
      </c>
      <c r="F91" s="31" t="n">
        <v>5500.15</v>
      </c>
      <c r="G91" s="31" t="n">
        <v>610</v>
      </c>
      <c r="H91" s="31" t="n">
        <v>2.89</v>
      </c>
      <c r="I91" s="31" t="n">
        <v>356119</v>
      </c>
      <c r="J91" s="31" t="inlineStr">
        <is>
          <t>530135</t>
        </is>
      </c>
    </row>
    <row r="92">
      <c r="A92" s="31" t="inlineStr">
        <is>
          <t>ORIENTCER</t>
        </is>
      </c>
      <c r="B92" s="31" t="inlineStr">
        <is>
          <t>Orient Ceratech Ltd</t>
        </is>
      </c>
      <c r="C92" s="31" t="inlineStr">
        <is>
          <t>building materials</t>
        </is>
      </c>
      <c r="D92" s="31" t="inlineStr">
        <is>
          <t>refractories / intermediates</t>
        </is>
      </c>
      <c r="E92" s="31" t="inlineStr">
        <is>
          <t>smallcap</t>
        </is>
      </c>
      <c r="F92" s="31" t="n">
        <v>551.66</v>
      </c>
      <c r="G92" s="31" t="n">
        <v>46.11</v>
      </c>
      <c r="H92" s="31" t="n">
        <v>2.88</v>
      </c>
      <c r="I92" s="31" t="n">
        <v>62071</v>
      </c>
      <c r="J92" s="31" t="inlineStr">
        <is>
          <t>504879</t>
        </is>
      </c>
    </row>
    <row r="93">
      <c r="A93" s="31" t="inlineStr">
        <is>
          <t>GLAND</t>
        </is>
      </c>
      <c r="B93" s="31" t="inlineStr">
        <is>
          <t>Gland Pharma Ltd</t>
        </is>
      </c>
      <c r="C93" s="31" t="inlineStr">
        <is>
          <t>healthcare</t>
        </is>
      </c>
      <c r="D93" s="31" t="inlineStr">
        <is>
          <t>pharmaceuticals - indian - formulations</t>
        </is>
      </c>
      <c r="E93" s="31" t="inlineStr">
        <is>
          <t>largecap</t>
        </is>
      </c>
      <c r="F93" s="31" t="n">
        <v>47966.98</v>
      </c>
      <c r="G93" s="31" t="n">
        <v>2907.8</v>
      </c>
      <c r="H93" s="31" t="n">
        <v>2.87</v>
      </c>
      <c r="I93" s="31" t="n">
        <v>678985</v>
      </c>
      <c r="J93" s="31" t="inlineStr">
        <is>
          <t>543245</t>
        </is>
      </c>
    </row>
    <row r="94">
      <c r="A94" s="31" t="inlineStr">
        <is>
          <t>AUROPHARMA</t>
        </is>
      </c>
      <c r="B94" s="31" t="inlineStr">
        <is>
          <t>Aurobindo Pharma Limited</t>
        </is>
      </c>
      <c r="C94" s="31" t="inlineStr">
        <is>
          <t>healthcare</t>
        </is>
      </c>
      <c r="D94" s="31" t="inlineStr">
        <is>
          <t>pharmaceuticals - indian - bulk drugs &amp; formln</t>
        </is>
      </c>
      <c r="E94" s="31" t="inlineStr">
        <is>
          <t>largecap</t>
        </is>
      </c>
      <c r="F94" s="31" t="n">
        <v>97238.86</v>
      </c>
      <c r="G94" s="31" t="n">
        <v>1690</v>
      </c>
      <c r="H94" s="31" t="n">
        <v>2.86</v>
      </c>
      <c r="I94" s="31" t="n">
        <v>758827</v>
      </c>
      <c r="J94" s="31" t="inlineStr">
        <is>
          <t>524804</t>
        </is>
      </c>
    </row>
    <row r="95">
      <c r="A95" s="31" t="inlineStr">
        <is>
          <t>SMCGLOBAL</t>
        </is>
      </c>
      <c r="B95" s="31" t="inlineStr">
        <is>
          <t>SMC Global Securities Ltd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smallcap</t>
        </is>
      </c>
      <c r="F95" s="31" t="n">
        <v>1735.3</v>
      </c>
      <c r="G95" s="31" t="n">
        <v>82.87</v>
      </c>
      <c r="H95" s="31" t="n">
        <v>2.85</v>
      </c>
      <c r="I95" s="31" t="n">
        <v>1239264</v>
      </c>
      <c r="J95" s="31" t="inlineStr">
        <is>
          <t>543263</t>
        </is>
      </c>
    </row>
    <row r="96">
      <c r="A96" s="31" t="inlineStr">
        <is>
          <t>SHYAMMETL</t>
        </is>
      </c>
      <c r="B96" s="31" t="inlineStr">
        <is>
          <t>Shyam Metalics &amp; Energy Ltd</t>
        </is>
      </c>
      <c r="C96" s="31" t="inlineStr">
        <is>
          <t>metals &amp; mining</t>
        </is>
      </c>
      <c r="D96" s="31" t="inlineStr">
        <is>
          <t>steel - large</t>
        </is>
      </c>
      <c r="E96" s="31" t="inlineStr">
        <is>
          <t>largecap</t>
        </is>
      </c>
      <c r="F96" s="31" t="n">
        <v>30062.5</v>
      </c>
      <c r="G96" s="31" t="n">
        <v>1077</v>
      </c>
      <c r="H96" s="31" t="n">
        <v>2.77</v>
      </c>
      <c r="I96" s="31" t="n">
        <v>439035</v>
      </c>
      <c r="J96" s="31" t="inlineStr">
        <is>
          <t>543299</t>
        </is>
      </c>
    </row>
    <row r="97">
      <c r="A97" s="31" t="inlineStr">
        <is>
          <t>UNITEDPOLY</t>
        </is>
      </c>
      <c r="B97" s="31" t="inlineStr">
        <is>
          <t>United Polyfab Gujarat Ltd</t>
        </is>
      </c>
      <c r="C97" s="31" t="inlineStr">
        <is>
          <t>textiles</t>
        </is>
      </c>
      <c r="D97" s="31" t="inlineStr">
        <is>
          <t>textiles - products</t>
        </is>
      </c>
      <c r="E97" s="31" t="inlineStr">
        <is>
          <t>smallcap</t>
        </is>
      </c>
      <c r="F97" s="31" t="n">
        <v>1018.13</v>
      </c>
      <c r="G97" s="31" t="n">
        <v>44.36</v>
      </c>
      <c r="H97" s="31" t="n">
        <v>2.71</v>
      </c>
      <c r="I97" s="31" t="n">
        <v>413271</v>
      </c>
      <c r="J97" s="31" t="inlineStr">
        <is>
          <t>533024</t>
        </is>
      </c>
    </row>
    <row r="98">
      <c r="A98" s="31" t="inlineStr">
        <is>
          <t>PITTIENG</t>
        </is>
      </c>
      <c r="B98" s="31" t="inlineStr">
        <is>
          <t>Pitti Engineering Ltd</t>
        </is>
      </c>
      <c r="C98" s="31" t="inlineStr">
        <is>
          <t>industrials</t>
        </is>
      </c>
      <c r="D98" s="31" t="inlineStr">
        <is>
          <t>engineering</t>
        </is>
      </c>
      <c r="E98" s="31" t="inlineStr">
        <is>
          <t>smallcap</t>
        </is>
      </c>
      <c r="F98" s="31" t="n">
        <v>4259</v>
      </c>
      <c r="G98" s="31" t="n">
        <v>1131.1</v>
      </c>
      <c r="H98" s="31" t="n">
        <v>2.7</v>
      </c>
      <c r="I98" s="31" t="n">
        <v>108599</v>
      </c>
      <c r="J98" s="31" t="inlineStr">
        <is>
          <t>513519</t>
        </is>
      </c>
    </row>
    <row r="99">
      <c r="A99" s="31" t="inlineStr">
        <is>
          <t>SMSPHARMA</t>
        </is>
      </c>
      <c r="B99" s="31" t="inlineStr">
        <is>
          <t>Sms Pharmaceuticals Limited</t>
        </is>
      </c>
      <c r="C99" s="31" t="inlineStr">
        <is>
          <t>healthcare</t>
        </is>
      </c>
      <c r="D99" s="31" t="inlineStr">
        <is>
          <t>pharmaceuticals - indian - bulk drugs</t>
        </is>
      </c>
      <c r="E99" s="31" t="inlineStr">
        <is>
          <t>smallcap</t>
        </is>
      </c>
      <c r="F99" s="31" t="n">
        <v>3874.85</v>
      </c>
      <c r="G99" s="31" t="n">
        <v>413.75</v>
      </c>
      <c r="H99" s="31" t="n">
        <v>2.68</v>
      </c>
      <c r="I99" s="31" t="n">
        <v>672288</v>
      </c>
      <c r="J99" s="31" t="inlineStr">
        <is>
          <t>532815</t>
        </is>
      </c>
    </row>
    <row r="100">
      <c r="A100" s="31" t="inlineStr">
        <is>
          <t>MENONBE</t>
        </is>
      </c>
      <c r="B100" s="31" t="inlineStr">
        <is>
          <t>Menon Bearings Limited</t>
        </is>
      </c>
      <c r="C100" s="31" t="inlineStr">
        <is>
          <t>auto</t>
        </is>
      </c>
      <c r="D100" s="31" t="inlineStr">
        <is>
          <t>auto ancillaries</t>
        </is>
      </c>
      <c r="E100" s="31" t="inlineStr">
        <is>
          <t>smallcap</t>
        </is>
      </c>
      <c r="F100" s="31" t="n">
        <v>1709.5</v>
      </c>
      <c r="G100" s="31" t="n">
        <v>305.05</v>
      </c>
      <c r="H100" s="31" t="n">
        <v>2.66</v>
      </c>
      <c r="I100" s="31" t="n">
        <v>29338</v>
      </c>
      <c r="J100" s="31" t="inlineStr">
        <is>
          <t>523828</t>
        </is>
      </c>
    </row>
    <row r="101">
      <c r="A101" s="31" t="inlineStr">
        <is>
          <t>RISHABH</t>
        </is>
      </c>
      <c r="B101" s="31" t="inlineStr">
        <is>
          <t>Rishabh Instruments Ltd</t>
        </is>
      </c>
      <c r="C101" s="31" t="inlineStr">
        <is>
          <t>industrials</t>
        </is>
      </c>
      <c r="D101" s="31" t="inlineStr">
        <is>
          <t>electric equipment</t>
        </is>
      </c>
      <c r="E101" s="31" t="inlineStr">
        <is>
          <t>smallcap</t>
        </is>
      </c>
      <c r="F101" s="31" t="n">
        <v>3000.23</v>
      </c>
      <c r="G101" s="31" t="n">
        <v>778.35</v>
      </c>
      <c r="H101" s="31" t="n">
        <v>2.61</v>
      </c>
      <c r="I101" s="31" t="n">
        <v>225313</v>
      </c>
      <c r="J101" s="31" t="inlineStr">
        <is>
          <t>543977</t>
        </is>
      </c>
    </row>
    <row r="102">
      <c r="A102" s="31" t="inlineStr">
        <is>
          <t>SUPRIYA</t>
        </is>
      </c>
      <c r="B102" s="31" t="inlineStr">
        <is>
          <t>Supriya Lifescience Ltd</t>
        </is>
      </c>
      <c r="C102" s="31" t="inlineStr">
        <is>
          <t>healthcare</t>
        </is>
      </c>
      <c r="D102" s="31" t="inlineStr">
        <is>
          <t>pharmaceuticals - indian - bulk drugs &amp; formln</t>
        </is>
      </c>
      <c r="E102" s="31" t="inlineStr">
        <is>
          <t>midcap</t>
        </is>
      </c>
      <c r="F102" s="31" t="n">
        <v>7248.68</v>
      </c>
      <c r="G102" s="31" t="n">
        <v>900.65</v>
      </c>
      <c r="H102" s="31" t="n">
        <v>2.6</v>
      </c>
      <c r="I102" s="31" t="n">
        <v>126854</v>
      </c>
      <c r="J102" s="31" t="inlineStr">
        <is>
          <t>543434</t>
        </is>
      </c>
    </row>
    <row r="103">
      <c r="A103" s="31" t="inlineStr">
        <is>
          <t>MBAPL</t>
        </is>
      </c>
      <c r="B103" s="31" t="inlineStr">
        <is>
          <t>Madhya Bharat Agro Products Ltd</t>
        </is>
      </c>
      <c r="C103" s="31" t="inlineStr">
        <is>
          <t>chemicals</t>
        </is>
      </c>
      <c r="D103" s="31" t="inlineStr">
        <is>
          <t>fertilizers</t>
        </is>
      </c>
      <c r="E103" s="31" t="inlineStr">
        <is>
          <t>smallcap</t>
        </is>
      </c>
      <c r="F103" s="31" t="n">
        <v>1436.21</v>
      </c>
      <c r="G103" s="31" t="n">
        <v>163.9</v>
      </c>
      <c r="H103" s="31" t="n">
        <v>2.55</v>
      </c>
      <c r="I103" s="31" t="n">
        <v>1856013</v>
      </c>
      <c r="J103" s="31" t="inlineStr">
        <is>
          <t>538370</t>
        </is>
      </c>
    </row>
    <row r="104">
      <c r="A104" s="31" t="inlineStr">
        <is>
          <t>EBGNG</t>
        </is>
      </c>
      <c r="B104" s="31" t="inlineStr">
        <is>
          <t>GNG Electronics Ltd</t>
        </is>
      </c>
      <c r="C104" s="31" t="inlineStr">
        <is>
          <t>services</t>
        </is>
      </c>
      <c r="D104" s="31" t="inlineStr">
        <is>
          <t>trading</t>
        </is>
      </c>
      <c r="E104" s="31" t="inlineStr">
        <is>
          <t>midcap</t>
        </is>
      </c>
      <c r="F104" s="31" t="n">
        <v>7543.57</v>
      </c>
      <c r="G104" s="31" t="n">
        <v>661.65</v>
      </c>
      <c r="H104" s="31" t="n">
        <v>2.49</v>
      </c>
      <c r="I104" s="31" t="n">
        <v>529510</v>
      </c>
      <c r="J104" s="31" t="inlineStr">
        <is>
          <t>544455</t>
        </is>
      </c>
    </row>
    <row r="105">
      <c r="A105" s="31" t="inlineStr">
        <is>
          <t>FINCABLES</t>
        </is>
      </c>
      <c r="B105" s="31" t="inlineStr">
        <is>
          <t>Finolex Cables Limited</t>
        </is>
      </c>
      <c r="C105" s="31" t="inlineStr">
        <is>
          <t>industrials</t>
        </is>
      </c>
      <c r="D105" s="31" t="inlineStr">
        <is>
          <t>cables - power</t>
        </is>
      </c>
      <c r="E105" s="31" t="inlineStr">
        <is>
          <t>largecap</t>
        </is>
      </c>
      <c r="F105" s="31" t="n">
        <v>21347.27</v>
      </c>
      <c r="G105" s="31" t="n">
        <v>1395.8</v>
      </c>
      <c r="H105" s="31" t="n">
        <v>2.44</v>
      </c>
      <c r="I105" s="31" t="n">
        <v>1123026</v>
      </c>
      <c r="J105" s="31" t="inlineStr">
        <is>
          <t>500144</t>
        </is>
      </c>
    </row>
    <row r="106">
      <c r="A106" s="31" t="inlineStr">
        <is>
          <t>NOCIL</t>
        </is>
      </c>
      <c r="B106" s="31" t="inlineStr">
        <is>
          <t>Nocil Limited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smallcap</t>
        </is>
      </c>
      <c r="F106" s="31" t="n">
        <v>3112.68</v>
      </c>
      <c r="G106" s="31" t="n">
        <v>186.36</v>
      </c>
      <c r="H106" s="31" t="n">
        <v>2.42</v>
      </c>
      <c r="I106" s="31" t="n">
        <v>2002880</v>
      </c>
      <c r="J106" s="31" t="inlineStr">
        <is>
          <t>500730</t>
        </is>
      </c>
    </row>
    <row r="107">
      <c r="A107" s="31" t="inlineStr">
        <is>
          <t>SANSTAR</t>
        </is>
      </c>
      <c r="B107" s="31" t="inlineStr">
        <is>
          <t>Sanstar Ltd</t>
        </is>
      </c>
      <c r="C107" s="31" t="inlineStr">
        <is>
          <t>fmcg</t>
        </is>
      </c>
      <c r="D107" s="31" t="inlineStr">
        <is>
          <t>miscellaneous</t>
        </is>
      </c>
      <c r="E107" s="31" t="inlineStr">
        <is>
          <t>smallcap</t>
        </is>
      </c>
      <c r="F107" s="31" t="n">
        <v>2313.9</v>
      </c>
      <c r="G107" s="31" t="n">
        <v>115.54</v>
      </c>
      <c r="H107" s="31" t="n">
        <v>2.42</v>
      </c>
      <c r="I107" s="31" t="n">
        <v>348381</v>
      </c>
      <c r="J107" s="31" t="inlineStr">
        <is>
          <t>544217</t>
        </is>
      </c>
    </row>
    <row r="108">
      <c r="A108" s="31" t="inlineStr">
        <is>
          <t>MANBA</t>
        </is>
      </c>
      <c r="B108" s="31" t="inlineStr">
        <is>
          <t>Manba Finance Ltd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smallcap</t>
        </is>
      </c>
      <c r="F108" s="31" t="n">
        <v>672</v>
      </c>
      <c r="G108" s="31" t="n">
        <v>133.76</v>
      </c>
      <c r="H108" s="31" t="n">
        <v>2.36</v>
      </c>
      <c r="I108" s="31" t="n">
        <v>78718</v>
      </c>
      <c r="J108" s="31" t="inlineStr">
        <is>
          <t>544262</t>
        </is>
      </c>
    </row>
    <row r="109">
      <c r="A109" s="31" t="inlineStr">
        <is>
          <t>NRL</t>
        </is>
      </c>
      <c r="B109" s="31" t="inlineStr">
        <is>
          <t>Nupur Recyclers Ltd</t>
        </is>
      </c>
      <c r="C109" s="31" t="inlineStr">
        <is>
          <t>services</t>
        </is>
      </c>
      <c r="D109" s="31" t="inlineStr">
        <is>
          <t>trading</t>
        </is>
      </c>
      <c r="E109" s="31" t="inlineStr">
        <is>
          <t>smallcap</t>
        </is>
      </c>
      <c r="F109" s="31" t="n">
        <v>947.14</v>
      </c>
      <c r="G109" s="31" t="n">
        <v>137.13</v>
      </c>
      <c r="H109" s="31" t="n">
        <v>2.35</v>
      </c>
      <c r="I109" s="31" t="n">
        <v>56822</v>
      </c>
      <c r="J109" s="31" t="inlineStr">
        <is>
          <t>535413</t>
        </is>
      </c>
    </row>
    <row r="110">
      <c r="A110" s="31" t="inlineStr">
        <is>
          <t>EMIL</t>
        </is>
      </c>
      <c r="B110" s="31" t="inlineStr">
        <is>
          <t>Electronics Mart India Ltd</t>
        </is>
      </c>
      <c r="C110" s="31" t="inlineStr">
        <is>
          <t>consumer discretionary</t>
        </is>
      </c>
      <c r="D110" s="31" t="inlineStr">
        <is>
          <t>trading</t>
        </is>
      </c>
      <c r="E110" s="31" t="inlineStr">
        <is>
          <t>midcap</t>
        </is>
      </c>
      <c r="F110" s="31" t="n">
        <v>7120.55</v>
      </c>
      <c r="G110" s="31" t="n">
        <v>185.07</v>
      </c>
      <c r="H110" s="31" t="n">
        <v>2.29</v>
      </c>
      <c r="I110" s="31" t="n">
        <v>1962550</v>
      </c>
      <c r="J110" s="31" t="inlineStr">
        <is>
          <t>543626</t>
        </is>
      </c>
    </row>
    <row r="111">
      <c r="A111" s="31" t="inlineStr">
        <is>
          <t>LAURUSLABS</t>
        </is>
      </c>
      <c r="B111" s="31" t="inlineStr">
        <is>
          <t>Laurus Labs Limited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largecap</t>
        </is>
      </c>
      <c r="F111" s="31" t="n">
        <v>105246.02</v>
      </c>
      <c r="G111" s="31" t="n">
        <v>1948.1</v>
      </c>
      <c r="H111" s="31" t="n">
        <v>2.24</v>
      </c>
      <c r="I111" s="31" t="n">
        <v>1645108</v>
      </c>
      <c r="J111" s="31" t="inlineStr">
        <is>
          <t>540222</t>
        </is>
      </c>
    </row>
    <row r="112">
      <c r="A112" s="31" t="inlineStr">
        <is>
          <t>CGCL</t>
        </is>
      </c>
      <c r="B112" s="31" t="inlineStr">
        <is>
          <t>Capri Global Capital Limited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largecap</t>
        </is>
      </c>
      <c r="F112" s="31" t="n">
        <v>25242.11</v>
      </c>
      <c r="G112" s="31" t="n">
        <v>262.35</v>
      </c>
      <c r="H112" s="31" t="n">
        <v>2.22</v>
      </c>
      <c r="I112" s="31" t="n">
        <v>2591024</v>
      </c>
      <c r="J112" s="31" t="inlineStr">
        <is>
          <t>531595</t>
        </is>
      </c>
    </row>
    <row r="113">
      <c r="A113" s="31" t="inlineStr">
        <is>
          <t>VISHNU</t>
        </is>
      </c>
      <c r="B113" s="31" t="inlineStr">
        <is>
          <t>Vishnu Chemicals Limited</t>
        </is>
      </c>
      <c r="C113" s="31" t="inlineStr">
        <is>
          <t>chemicals</t>
        </is>
      </c>
      <c r="D113" s="31" t="inlineStr">
        <is>
          <t>chemicals</t>
        </is>
      </c>
      <c r="E113" s="31" t="inlineStr">
        <is>
          <t>smallcap</t>
        </is>
      </c>
      <c r="F113" s="31" t="n">
        <v>4773.33</v>
      </c>
      <c r="G113" s="31" t="n">
        <v>709.1</v>
      </c>
      <c r="H113" s="31" t="n">
        <v>2.19</v>
      </c>
      <c r="I113" s="31" t="n">
        <v>87175</v>
      </c>
      <c r="J113" s="31" t="inlineStr">
        <is>
          <t>516072</t>
        </is>
      </c>
    </row>
    <row r="114">
      <c r="A114" s="31" t="inlineStr">
        <is>
          <t>SAKAR</t>
        </is>
      </c>
      <c r="B114" s="31" t="inlineStr">
        <is>
          <t>Sakar Healthcare Ltd</t>
        </is>
      </c>
      <c r="C114" s="31" t="inlineStr">
        <is>
          <t>healthcare</t>
        </is>
      </c>
      <c r="D114" s="31" t="inlineStr">
        <is>
          <t>pharmaceuticals - indian - bulk drugs &amp; formln</t>
        </is>
      </c>
      <c r="E114" s="31" t="inlineStr">
        <is>
          <t>smallcap</t>
        </is>
      </c>
      <c r="F114" s="31" t="n">
        <v>2513.24</v>
      </c>
      <c r="G114" s="31" t="n">
        <v>1129.55</v>
      </c>
      <c r="H114" s="31" t="n">
        <v>2.18</v>
      </c>
      <c r="I114" s="31" t="n">
        <v>72715</v>
      </c>
      <c r="J114" s="31" t="inlineStr">
        <is>
          <t>538377</t>
        </is>
      </c>
    </row>
    <row r="115">
      <c r="A115" s="31" t="inlineStr">
        <is>
          <t>SEAMECLTD</t>
        </is>
      </c>
      <c r="B115" s="31" t="inlineStr">
        <is>
          <t>Seamec Limited</t>
        </is>
      </c>
      <c r="C115" s="31" t="inlineStr">
        <is>
          <t>miscellaneous</t>
        </is>
      </c>
      <c r="D115" s="31" t="inlineStr">
        <is>
          <t>miscellaneous</t>
        </is>
      </c>
      <c r="E115" s="31" t="inlineStr">
        <is>
          <t>smallcap</t>
        </is>
      </c>
      <c r="F115" s="31" t="n">
        <v>4420.14</v>
      </c>
      <c r="G115" s="31" t="n">
        <v>1738.5</v>
      </c>
      <c r="H115" s="31" t="n">
        <v>2.17</v>
      </c>
      <c r="I115" s="31" t="n">
        <v>34655</v>
      </c>
      <c r="J115" s="31" t="inlineStr">
        <is>
          <t>526807</t>
        </is>
      </c>
    </row>
    <row r="116">
      <c r="A116" s="31" t="inlineStr">
        <is>
          <t>GMMPFAUDLR</t>
        </is>
      </c>
      <c r="B116" s="31" t="inlineStr">
        <is>
          <t>GMM Pfaudler Ltd</t>
        </is>
      </c>
      <c r="C116" s="31" t="inlineStr">
        <is>
          <t>industrials</t>
        </is>
      </c>
      <c r="D116" s="31" t="inlineStr">
        <is>
          <t>engineering</t>
        </is>
      </c>
      <c r="E116" s="31" t="inlineStr">
        <is>
          <t>midcap</t>
        </is>
      </c>
      <c r="F116" s="31" t="n">
        <v>6129.47</v>
      </c>
      <c r="G116" s="31" t="n">
        <v>1363.4</v>
      </c>
      <c r="H116" s="31" t="n">
        <v>2.13</v>
      </c>
      <c r="I116" s="31" t="n">
        <v>547415</v>
      </c>
      <c r="J116" s="31" t="inlineStr">
        <is>
          <t>505255</t>
        </is>
      </c>
    </row>
    <row r="117">
      <c r="A117" s="31" t="inlineStr">
        <is>
          <t>ANTHEM</t>
        </is>
      </c>
      <c r="B117" s="31" t="inlineStr">
        <is>
          <t>Anthem Biosciences Ltd</t>
        </is>
      </c>
      <c r="C117" s="31" t="inlineStr">
        <is>
          <t>healthcare</t>
        </is>
      </c>
      <c r="D117" s="31" t="inlineStr">
        <is>
          <t>pharmaceuticals - indian - bulk drugs &amp; formln</t>
        </is>
      </c>
      <c r="E117" s="31" t="inlineStr">
        <is>
          <t>largecap</t>
        </is>
      </c>
      <c r="F117" s="31" t="n">
        <v>52248.3</v>
      </c>
      <c r="G117" s="31" t="n">
        <v>927.4</v>
      </c>
      <c r="H117" s="31" t="n">
        <v>2.09</v>
      </c>
      <c r="I117" s="31" t="n">
        <v>460389</v>
      </c>
      <c r="J117" s="31" t="inlineStr">
        <is>
          <t>544449</t>
        </is>
      </c>
    </row>
    <row r="118">
      <c r="A118" s="31" t="inlineStr">
        <is>
          <t>MMP</t>
        </is>
      </c>
      <c r="B118" s="31" t="inlineStr">
        <is>
          <t>MMP Industries Ltd</t>
        </is>
      </c>
      <c r="C118" s="31" t="inlineStr">
        <is>
          <t>metals &amp; mining</t>
        </is>
      </c>
      <c r="D118" s="31" t="inlineStr">
        <is>
          <t>aluminium and aluminium products</t>
        </is>
      </c>
      <c r="E118" s="31" t="inlineStr">
        <is>
          <t>smallcap</t>
        </is>
      </c>
      <c r="F118" s="31" t="n">
        <v>881.14</v>
      </c>
      <c r="G118" s="31" t="n">
        <v>465.7</v>
      </c>
      <c r="H118" s="31" t="n">
        <v>2.05</v>
      </c>
      <c r="I118" s="31" t="n">
        <v>59161</v>
      </c>
      <c r="J118" s="31" t="inlineStr">
        <is>
          <t>535071</t>
        </is>
      </c>
    </row>
    <row r="119">
      <c r="A119" s="31" t="inlineStr">
        <is>
          <t>AVL</t>
        </is>
      </c>
      <c r="B119" s="31" t="inlineStr">
        <is>
          <t>Aditya Vision Ltd</t>
        </is>
      </c>
      <c r="C119" s="31" t="inlineStr">
        <is>
          <t>consumer discretionary</t>
        </is>
      </c>
      <c r="D119" s="31" t="inlineStr">
        <is>
          <t>trading</t>
        </is>
      </c>
      <c r="E119" s="31" t="inlineStr">
        <is>
          <t>midcap</t>
        </is>
      </c>
      <c r="F119" s="31" t="n">
        <v>8177.67</v>
      </c>
      <c r="G119" s="31" t="n">
        <v>633.25</v>
      </c>
      <c r="H119" s="31" t="n">
        <v>2.04</v>
      </c>
      <c r="I119" s="31" t="n">
        <v>68801</v>
      </c>
      <c r="J119" s="31" t="inlineStr">
        <is>
          <t>540205</t>
        </is>
      </c>
    </row>
    <row r="120">
      <c r="A120" s="31" t="inlineStr">
        <is>
          <t>CUB</t>
        </is>
      </c>
      <c r="B120" s="31" t="inlineStr">
        <is>
          <t>City Union Bank Limited</t>
        </is>
      </c>
      <c r="C120" s="31" t="inlineStr">
        <is>
          <t>bank</t>
        </is>
      </c>
      <c r="D120" s="31" t="inlineStr">
        <is>
          <t>banks - private sector</t>
        </is>
      </c>
      <c r="E120" s="31" t="inlineStr">
        <is>
          <t>largecap</t>
        </is>
      </c>
      <c r="F120" s="31" t="n">
        <v>22968.43</v>
      </c>
      <c r="G120" s="31" t="n">
        <v>231.82</v>
      </c>
      <c r="H120" s="31" t="n">
        <v>2.02</v>
      </c>
      <c r="I120" s="31" t="n">
        <v>2026127</v>
      </c>
      <c r="J120" s="31" t="inlineStr">
        <is>
          <t>532210</t>
        </is>
      </c>
    </row>
    <row r="121">
      <c r="A121" s="31" t="inlineStr">
        <is>
          <t>SYNCOMF</t>
        </is>
      </c>
      <c r="B121" s="31" t="inlineStr">
        <is>
          <t>Syncom Formulations (India) Ltd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smallcap</t>
        </is>
      </c>
      <c r="F121" s="31" t="n">
        <v>1765.32</v>
      </c>
      <c r="G121" s="31" t="n">
        <v>18.78</v>
      </c>
      <c r="H121" s="31" t="n">
        <v>2.01</v>
      </c>
      <c r="I121" s="31" t="n">
        <v>5134471</v>
      </c>
      <c r="J121" s="31" t="inlineStr">
        <is>
          <t>524470</t>
        </is>
      </c>
    </row>
    <row r="122">
      <c r="A122" s="31" t="inlineStr">
        <is>
          <t>WELINV</t>
        </is>
      </c>
      <c r="B122" s="31" t="inlineStr">
        <is>
          <t>Welspun Investments And Commercials Limited</t>
        </is>
      </c>
      <c r="C122" s="31" t="inlineStr">
        <is>
          <t>financials</t>
        </is>
      </c>
      <c r="D122" s="31" t="inlineStr">
        <is>
          <t>finance &amp; investments</t>
        </is>
      </c>
      <c r="E122" s="31" t="inlineStr">
        <is>
          <t>smallcap</t>
        </is>
      </c>
      <c r="F122" s="31" t="n">
        <v>831.39</v>
      </c>
      <c r="G122" s="31" t="n">
        <v>2275</v>
      </c>
      <c r="H122" s="31" t="n">
        <v>2</v>
      </c>
      <c r="I122" s="31" t="n">
        <v>379</v>
      </c>
      <c r="J122" s="31" t="inlineStr">
        <is>
          <t>533252</t>
        </is>
      </c>
    </row>
    <row r="123">
      <c r="A123" s="31" t="inlineStr">
        <is>
          <t>KSL</t>
        </is>
      </c>
      <c r="B123" s="31" t="inlineStr">
        <is>
          <t>Kalyani Steels Limited</t>
        </is>
      </c>
      <c r="C123" s="31" t="inlineStr">
        <is>
          <t>metals &amp; mining</t>
        </is>
      </c>
      <c r="D123" s="31" t="inlineStr">
        <is>
          <t>steel - medium / small</t>
        </is>
      </c>
      <c r="E123" s="31" t="inlineStr">
        <is>
          <t>smallcap</t>
        </is>
      </c>
      <c r="F123" s="31" t="n">
        <v>4236.75</v>
      </c>
      <c r="G123" s="31" t="n">
        <v>970.55</v>
      </c>
      <c r="H123" s="31" t="n">
        <v>1.95</v>
      </c>
      <c r="I123" s="31" t="n">
        <v>309254</v>
      </c>
      <c r="J123" s="31" t="inlineStr">
        <is>
          <t>500235</t>
        </is>
      </c>
    </row>
    <row r="124">
      <c r="A124" s="31" t="inlineStr">
        <is>
          <t>SOMANYCERA</t>
        </is>
      </c>
      <c r="B124" s="31" t="inlineStr">
        <is>
          <t>Somany Ceramics Limited</t>
        </is>
      </c>
      <c r="C124" s="31" t="inlineStr">
        <is>
          <t>building materials</t>
        </is>
      </c>
      <c r="D124" s="31" t="inlineStr">
        <is>
          <t>ceramics - tiles / sanitaryware</t>
        </is>
      </c>
      <c r="E124" s="31" t="inlineStr">
        <is>
          <t>smallcap</t>
        </is>
      </c>
      <c r="F124" s="31" t="n">
        <v>2320.71</v>
      </c>
      <c r="G124" s="31" t="n">
        <v>565.85</v>
      </c>
      <c r="H124" s="31" t="n">
        <v>1.93</v>
      </c>
      <c r="I124" s="31" t="n">
        <v>85673</v>
      </c>
      <c r="J124" s="31" t="inlineStr">
        <is>
          <t>531548</t>
        </is>
      </c>
    </row>
    <row r="125">
      <c r="A125" s="31" t="inlineStr">
        <is>
          <t>DIVISLAB</t>
        </is>
      </c>
      <c r="B125" s="31" t="inlineStr">
        <is>
          <t>Divi's Laboratories Limited</t>
        </is>
      </c>
      <c r="C125" s="31" t="inlineStr">
        <is>
          <t>healthcare</t>
        </is>
      </c>
      <c r="D125" s="31" t="inlineStr">
        <is>
          <t>pharmaceuticals - indian - bulk drugs</t>
        </is>
      </c>
      <c r="E125" s="31" t="inlineStr">
        <is>
          <t>largecap</t>
        </is>
      </c>
      <c r="F125" s="31" t="n">
        <v>247496.36</v>
      </c>
      <c r="G125" s="31" t="n">
        <v>9323</v>
      </c>
      <c r="H125" s="31" t="n">
        <v>1.8</v>
      </c>
      <c r="I125" s="31" t="n">
        <v>494167</v>
      </c>
      <c r="J125" s="31" t="inlineStr">
        <is>
          <t>532488</t>
        </is>
      </c>
    </row>
    <row r="126">
      <c r="A126" s="31" t="inlineStr">
        <is>
          <t>SPLPETRO</t>
        </is>
      </c>
      <c r="B126" s="31" t="inlineStr">
        <is>
          <t>Supreme Petrochem Ltd</t>
        </is>
      </c>
      <c r="C126" s="31" t="inlineStr">
        <is>
          <t>energy</t>
        </is>
      </c>
      <c r="D126" s="31" t="inlineStr">
        <is>
          <t>petrochemicals</t>
        </is>
      </c>
      <c r="E126" s="31" t="inlineStr">
        <is>
          <t>midcap</t>
        </is>
      </c>
      <c r="F126" s="31" t="n">
        <v>15174.94</v>
      </c>
      <c r="G126" s="31" t="n">
        <v>807</v>
      </c>
      <c r="H126" s="31" t="n">
        <v>1.8</v>
      </c>
      <c r="I126" s="31" t="n">
        <v>113748</v>
      </c>
      <c r="J126" s="31" t="inlineStr">
        <is>
          <t>500405</t>
        </is>
      </c>
    </row>
    <row r="127">
      <c r="A127" s="31" t="inlineStr">
        <is>
          <t>SVLL</t>
        </is>
      </c>
      <c r="B127" s="31" t="inlineStr">
        <is>
          <t>Shree Vasu Logistics Ltd</t>
        </is>
      </c>
      <c r="C127" s="31" t="inlineStr">
        <is>
          <t>transportation</t>
        </is>
      </c>
      <c r="D127" s="31" t="inlineStr">
        <is>
          <t>miscellaneous</t>
        </is>
      </c>
      <c r="E127" s="31" t="inlineStr">
        <is>
          <t>smallcap</t>
        </is>
      </c>
      <c r="F127" s="31" t="n">
        <v>940.59</v>
      </c>
      <c r="G127" s="31" t="n">
        <v>818.35</v>
      </c>
      <c r="H127" s="31" t="n">
        <v>1.76</v>
      </c>
      <c r="I127" s="31" t="n">
        <v>1207</v>
      </c>
      <c r="J127" s="31" t="inlineStr">
        <is>
          <t>535084</t>
        </is>
      </c>
    </row>
    <row r="128">
      <c r="A128" s="31" t="inlineStr">
        <is>
          <t>ORIENTHOT</t>
        </is>
      </c>
      <c r="B128" s="31" t="inlineStr">
        <is>
          <t>Oriental Hotels Limited</t>
        </is>
      </c>
      <c r="C128" s="31" t="inlineStr">
        <is>
          <t>services</t>
        </is>
      </c>
      <c r="D128" s="31" t="inlineStr">
        <is>
          <t>hotels</t>
        </is>
      </c>
      <c r="E128" s="31" t="inlineStr">
        <is>
          <t>smallcap</t>
        </is>
      </c>
      <c r="F128" s="31" t="n">
        <v>2518.43</v>
      </c>
      <c r="G128" s="31" t="n">
        <v>141.01</v>
      </c>
      <c r="H128" s="31" t="n">
        <v>1.75</v>
      </c>
      <c r="I128" s="31" t="n">
        <v>497650</v>
      </c>
      <c r="J128" s="31" t="inlineStr">
        <is>
          <t>500314</t>
        </is>
      </c>
    </row>
    <row r="129">
      <c r="A129" s="31" t="inlineStr">
        <is>
          <t>INDNIPPON</t>
        </is>
      </c>
      <c r="B129" s="31" t="inlineStr">
        <is>
          <t>India Nippon Electricals Limited</t>
        </is>
      </c>
      <c r="C129" s="31" t="inlineStr">
        <is>
          <t>auto</t>
        </is>
      </c>
      <c r="D129" s="31" t="inlineStr">
        <is>
          <t>auto ancillaries</t>
        </is>
      </c>
      <c r="E129" s="31" t="inlineStr">
        <is>
          <t>smallcap</t>
        </is>
      </c>
      <c r="F129" s="31" t="n">
        <v>2855.05</v>
      </c>
      <c r="G129" s="31" t="n">
        <v>1262.1</v>
      </c>
      <c r="H129" s="31" t="n">
        <v>1.74</v>
      </c>
      <c r="I129" s="31" t="n">
        <v>83039</v>
      </c>
      <c r="J129" s="31" t="inlineStr">
        <is>
          <t>532240</t>
        </is>
      </c>
    </row>
    <row r="130">
      <c r="A130" s="31" t="inlineStr">
        <is>
          <t>KAMDHENU</t>
        </is>
      </c>
      <c r="B130" s="31" t="inlineStr">
        <is>
          <t>Kamdhenu Limited</t>
        </is>
      </c>
      <c r="C130" s="31" t="inlineStr">
        <is>
          <t>metals &amp; mining</t>
        </is>
      </c>
      <c r="D130" s="31" t="inlineStr">
        <is>
          <t>steel - medium / small</t>
        </is>
      </c>
      <c r="E130" s="31" t="inlineStr">
        <is>
          <t>smallcap</t>
        </is>
      </c>
      <c r="F130" s="31" t="n">
        <v>1113.44</v>
      </c>
      <c r="G130" s="31" t="n">
        <v>39.5</v>
      </c>
      <c r="H130" s="31" t="n">
        <v>1.73</v>
      </c>
      <c r="I130" s="31" t="n">
        <v>738033</v>
      </c>
      <c r="J130" s="31" t="inlineStr">
        <is>
          <t>532741</t>
        </is>
      </c>
    </row>
    <row r="131">
      <c r="A131" s="31" t="inlineStr">
        <is>
          <t>MACPOWER</t>
        </is>
      </c>
      <c r="B131" s="31" t="inlineStr">
        <is>
          <t>Macpower CNC Machines Ltd</t>
        </is>
      </c>
      <c r="C131" s="31" t="inlineStr">
        <is>
          <t>industrials</t>
        </is>
      </c>
      <c r="D131" s="31" t="inlineStr">
        <is>
          <t>engineering</t>
        </is>
      </c>
      <c r="E131" s="31" t="inlineStr">
        <is>
          <t>smallcap</t>
        </is>
      </c>
      <c r="F131" s="31" t="n">
        <v>1922.4</v>
      </c>
      <c r="G131" s="31" t="n">
        <v>1921.6</v>
      </c>
      <c r="H131" s="31" t="n">
        <v>1.69</v>
      </c>
      <c r="I131" s="31" t="n">
        <v>94021</v>
      </c>
      <c r="J131" s="31" t="inlineStr">
        <is>
          <t>535057</t>
        </is>
      </c>
    </row>
    <row r="132">
      <c r="A132" s="31" t="inlineStr">
        <is>
          <t>MCX</t>
        </is>
      </c>
      <c r="B132" s="31" t="inlineStr">
        <is>
          <t>Multi Commodity Exchange Of India Limited</t>
        </is>
      </c>
      <c r="C132" s="31" t="inlineStr">
        <is>
          <t>financials</t>
        </is>
      </c>
      <c r="D132" s="31" t="inlineStr">
        <is>
          <t>miscellaneous</t>
        </is>
      </c>
      <c r="E132" s="31" t="inlineStr">
        <is>
          <t>largecap</t>
        </is>
      </c>
      <c r="F132" s="31" t="n">
        <v>83259.94</v>
      </c>
      <c r="G132" s="31" t="n">
        <v>3265.2</v>
      </c>
      <c r="H132" s="31" t="n">
        <v>1.68</v>
      </c>
      <c r="I132" s="31" t="n">
        <v>1530935</v>
      </c>
      <c r="J132" s="31" t="inlineStr">
        <is>
          <t>534091</t>
        </is>
      </c>
    </row>
    <row r="133">
      <c r="A133" s="31" t="inlineStr">
        <is>
          <t>SUBEXLTD</t>
        </is>
      </c>
      <c r="B133" s="31" t="inlineStr">
        <is>
          <t>Subex Ltd</t>
        </is>
      </c>
      <c r="C133" s="31" t="inlineStr">
        <is>
          <t>i.t</t>
        </is>
      </c>
      <c r="D133" s="31" t="inlineStr">
        <is>
          <t>computers - software - medium / small</t>
        </is>
      </c>
      <c r="E133" s="31" t="inlineStr">
        <is>
          <t>smallcap</t>
        </is>
      </c>
      <c r="F133" s="31" t="n">
        <v>1118.39</v>
      </c>
      <c r="G133" s="31" t="n">
        <v>19.9</v>
      </c>
      <c r="H133" s="31" t="n">
        <v>1.58</v>
      </c>
      <c r="I133" s="31" t="n">
        <v>10284365</v>
      </c>
      <c r="J133" s="31" t="inlineStr">
        <is>
          <t>532348</t>
        </is>
      </c>
    </row>
    <row r="134">
      <c r="A134" s="31" t="inlineStr">
        <is>
          <t>CENTUM</t>
        </is>
      </c>
      <c r="B134" s="31" t="inlineStr">
        <is>
          <t>Centum Electronics Limited</t>
        </is>
      </c>
      <c r="C134" s="31" t="inlineStr">
        <is>
          <t>aerospace &amp; defence</t>
        </is>
      </c>
      <c r="D134" s="31" t="inlineStr">
        <is>
          <t>electronics - components</t>
        </is>
      </c>
      <c r="E134" s="31" t="inlineStr">
        <is>
          <t>midcap</t>
        </is>
      </c>
      <c r="F134" s="31" t="n">
        <v>6410.43</v>
      </c>
      <c r="G134" s="31" t="n">
        <v>4343.4</v>
      </c>
      <c r="H134" s="31" t="n">
        <v>1.57</v>
      </c>
      <c r="I134" s="31" t="n">
        <v>62333</v>
      </c>
      <c r="J134" s="31" t="inlineStr">
        <is>
          <t>517544</t>
        </is>
      </c>
    </row>
    <row r="135">
      <c r="A135" s="31" t="inlineStr">
        <is>
          <t>SRHHYPOLTD</t>
        </is>
      </c>
      <c r="B135" s="31" t="inlineStr">
        <is>
          <t>Sree Rayalaseema Hi-strength Hypo Limited</t>
        </is>
      </c>
      <c r="C135" s="31" t="inlineStr">
        <is>
          <t>chemicals</t>
        </is>
      </c>
      <c r="D135" s="31" t="inlineStr">
        <is>
          <t>chemicals</t>
        </is>
      </c>
      <c r="E135" s="31" t="inlineStr">
        <is>
          <t>smallcap</t>
        </is>
      </c>
      <c r="F135" s="31" t="n">
        <v>888.45</v>
      </c>
      <c r="G135" s="31" t="n">
        <v>517.6</v>
      </c>
      <c r="H135" s="31" t="n">
        <v>1.55</v>
      </c>
      <c r="I135" s="31" t="n">
        <v>19885</v>
      </c>
      <c r="J135" s="31" t="inlineStr">
        <is>
          <t>532842</t>
        </is>
      </c>
    </row>
    <row r="136">
      <c r="A136" s="31" t="inlineStr">
        <is>
          <t>LALPATHLAB</t>
        </is>
      </c>
      <c r="B136" s="31" t="inlineStr">
        <is>
          <t>Dr. Lal Path Labs Ltd.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largecap</t>
        </is>
      </c>
      <c r="F136" s="31" t="n">
        <v>32265.24</v>
      </c>
      <c r="G136" s="31" t="n">
        <v>1924.7</v>
      </c>
      <c r="H136" s="31" t="n">
        <v>1.53</v>
      </c>
      <c r="I136" s="31" t="n">
        <v>354166</v>
      </c>
      <c r="J136" s="31" t="inlineStr">
        <is>
          <t>539524</t>
        </is>
      </c>
    </row>
    <row r="137">
      <c r="A137" s="31" t="inlineStr">
        <is>
          <t>CASTROLIND</t>
        </is>
      </c>
      <c r="B137" s="31" t="inlineStr">
        <is>
          <t>Castrol India Limited</t>
        </is>
      </c>
      <c r="C137" s="31" t="inlineStr">
        <is>
          <t>chemicals</t>
        </is>
      </c>
      <c r="D137" s="31" t="inlineStr">
        <is>
          <t>chemicals</t>
        </is>
      </c>
      <c r="E137" s="31" t="inlineStr">
        <is>
          <t>midcap</t>
        </is>
      </c>
      <c r="F137" s="31" t="n">
        <v>18963.45</v>
      </c>
      <c r="G137" s="31" t="n">
        <v>191.72</v>
      </c>
      <c r="H137" s="31" t="n">
        <v>1.53</v>
      </c>
      <c r="I137" s="31" t="n">
        <v>4924285</v>
      </c>
      <c r="J137" s="31" t="inlineStr">
        <is>
          <t>500870</t>
        </is>
      </c>
    </row>
    <row r="138">
      <c r="A138" s="31" t="inlineStr">
        <is>
          <t>IOLCP</t>
        </is>
      </c>
      <c r="B138" s="31" t="inlineStr">
        <is>
          <t>Iol Chemicals And Pharmaceuticals Limited</t>
        </is>
      </c>
      <c r="C138" s="31" t="inlineStr">
        <is>
          <t>healthcare</t>
        </is>
      </c>
      <c r="D138" s="31" t="inlineStr">
        <is>
          <t>pharmaceuticals - indian - bulk drugs &amp; formln</t>
        </is>
      </c>
      <c r="E138" s="31" t="inlineStr">
        <is>
          <t>midcap</t>
        </is>
      </c>
      <c r="F138" s="31" t="n">
        <v>5796.87</v>
      </c>
      <c r="G138" s="31" t="n">
        <v>197.49</v>
      </c>
      <c r="H138" s="31" t="n">
        <v>1.5</v>
      </c>
      <c r="I138" s="31" t="n">
        <v>3478408</v>
      </c>
      <c r="J138" s="31" t="inlineStr">
        <is>
          <t>524164</t>
        </is>
      </c>
    </row>
    <row r="139">
      <c r="A139" s="31" t="inlineStr">
        <is>
          <t>BLISSGVS</t>
        </is>
      </c>
      <c r="B139" s="31" t="inlineStr">
        <is>
          <t>Bliss Gvs Pharma Limited</t>
        </is>
      </c>
      <c r="C139" s="31" t="inlineStr">
        <is>
          <t>healthcare</t>
        </is>
      </c>
      <c r="D139" s="31" t="inlineStr">
        <is>
          <t>pharmaceuticals - indian - formulations</t>
        </is>
      </c>
      <c r="E139" s="31" t="inlineStr">
        <is>
          <t>midcap</t>
        </is>
      </c>
      <c r="F139" s="31" t="n">
        <v>7324.77</v>
      </c>
      <c r="G139" s="31" t="n">
        <v>690.65</v>
      </c>
      <c r="H139" s="31" t="n">
        <v>1.49</v>
      </c>
      <c r="I139" s="31" t="n">
        <v>198123</v>
      </c>
      <c r="J139" s="31" t="inlineStr">
        <is>
          <t>506197</t>
        </is>
      </c>
    </row>
    <row r="140">
      <c r="A140" s="31" t="inlineStr">
        <is>
          <t>WELCORP</t>
        </is>
      </c>
      <c r="B140" s="31" t="inlineStr">
        <is>
          <t>Welspun Corp Limited</t>
        </is>
      </c>
      <c r="C140" s="31" t="inlineStr">
        <is>
          <t>industrials</t>
        </is>
      </c>
      <c r="D140" s="31" t="inlineStr">
        <is>
          <t>steel - large</t>
        </is>
      </c>
      <c r="E140" s="31" t="inlineStr">
        <is>
          <t>largecap</t>
        </is>
      </c>
      <c r="F140" s="31" t="n">
        <v>64900.41</v>
      </c>
      <c r="G140" s="31" t="n">
        <v>2460.3</v>
      </c>
      <c r="H140" s="31" t="n">
        <v>1.48</v>
      </c>
      <c r="I140" s="31" t="n">
        <v>1698993</v>
      </c>
      <c r="J140" s="31" t="inlineStr">
        <is>
          <t>532144</t>
        </is>
      </c>
    </row>
    <row r="141">
      <c r="A141" s="31" t="inlineStr">
        <is>
          <t>PVRINOX</t>
        </is>
      </c>
      <c r="B141" s="31" t="inlineStr">
        <is>
          <t>PVR Inox Ltd</t>
        </is>
      </c>
      <c r="C141" s="31" t="inlineStr">
        <is>
          <t>media</t>
        </is>
      </c>
      <c r="D141" s="31" t="inlineStr">
        <is>
          <t>entertainment / electronic media software</t>
        </is>
      </c>
      <c r="E141" s="31" t="inlineStr">
        <is>
          <t>midcap</t>
        </is>
      </c>
      <c r="F141" s="31" t="n">
        <v>12497.91</v>
      </c>
      <c r="G141" s="31" t="n">
        <v>1272.7</v>
      </c>
      <c r="H141" s="31" t="n">
        <v>1.44</v>
      </c>
      <c r="I141" s="31" t="n">
        <v>425001</v>
      </c>
      <c r="J141" s="31" t="inlineStr">
        <is>
          <t>532689</t>
        </is>
      </c>
    </row>
    <row r="142">
      <c r="A142" s="31" t="inlineStr">
        <is>
          <t>INNOVACAP</t>
        </is>
      </c>
      <c r="B142" s="31" t="inlineStr">
        <is>
          <t>Innova Captab Ltd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midcap</t>
        </is>
      </c>
      <c r="F142" s="31" t="n">
        <v>6578.01</v>
      </c>
      <c r="G142" s="31" t="n">
        <v>1149.5</v>
      </c>
      <c r="H142" s="31" t="n">
        <v>1.42</v>
      </c>
      <c r="I142" s="31" t="n">
        <v>33762</v>
      </c>
      <c r="J142" s="31" t="inlineStr">
        <is>
          <t>544067</t>
        </is>
      </c>
    </row>
    <row r="143">
      <c r="A143" s="31" t="inlineStr">
        <is>
          <t>WELENT</t>
        </is>
      </c>
      <c r="B143" s="31" t="inlineStr">
        <is>
          <t>Welspun Enterprises Limited</t>
        </is>
      </c>
      <c r="C143" s="31" t="inlineStr">
        <is>
          <t>realty</t>
        </is>
      </c>
      <c r="D143" s="31" t="inlineStr">
        <is>
          <t>construction</t>
        </is>
      </c>
      <c r="E143" s="31" t="inlineStr">
        <is>
          <t>midcap</t>
        </is>
      </c>
      <c r="F143" s="31" t="n">
        <v>10778.28</v>
      </c>
      <c r="G143" s="31" t="n">
        <v>778.7</v>
      </c>
      <c r="H143" s="31" t="n">
        <v>1.39</v>
      </c>
      <c r="I143" s="31" t="n">
        <v>376786</v>
      </c>
      <c r="J143" s="31" t="inlineStr">
        <is>
          <t>532553</t>
        </is>
      </c>
    </row>
    <row r="144">
      <c r="A144" s="31" t="inlineStr">
        <is>
          <t>STAR</t>
        </is>
      </c>
      <c r="B144" s="31" t="inlineStr">
        <is>
          <t>Strides Shasun Limited</t>
        </is>
      </c>
      <c r="C144" s="31" t="inlineStr">
        <is>
          <t>healthcare</t>
        </is>
      </c>
      <c r="D144" s="31" t="inlineStr">
        <is>
          <t>pharmaceuticals - indian - bulk drugs &amp; formln</t>
        </is>
      </c>
      <c r="E144" s="31" t="inlineStr">
        <is>
          <t>midcap</t>
        </is>
      </c>
      <c r="F144" s="31" t="n">
        <v>11062.57</v>
      </c>
      <c r="G144" s="31" t="n">
        <v>1200.2</v>
      </c>
      <c r="H144" s="31" t="n">
        <v>1.38</v>
      </c>
      <c r="I144" s="31" t="n">
        <v>225030</v>
      </c>
      <c r="J144" s="31" t="inlineStr">
        <is>
          <t>532531</t>
        </is>
      </c>
    </row>
    <row r="145">
      <c r="A145" s="31" t="inlineStr">
        <is>
          <t>SBC</t>
        </is>
      </c>
      <c r="B145" s="31" t="inlineStr">
        <is>
          <t>SBC Exports Ltd</t>
        </is>
      </c>
      <c r="C145" s="31" t="inlineStr">
        <is>
          <t>textiles</t>
        </is>
      </c>
      <c r="D145" s="31" t="inlineStr">
        <is>
          <t>textiles - products</t>
        </is>
      </c>
      <c r="E145" s="31" t="inlineStr">
        <is>
          <t>smallcap</t>
        </is>
      </c>
      <c r="F145" s="31" t="n">
        <v>2297.62</v>
      </c>
      <c r="G145" s="31" t="n">
        <v>48.25</v>
      </c>
      <c r="H145" s="31" t="n">
        <v>1.3</v>
      </c>
      <c r="I145" s="31" t="n">
        <v>7597720</v>
      </c>
      <c r="J145" s="31" t="inlineStr">
        <is>
          <t>542725</t>
        </is>
      </c>
    </row>
    <row r="146">
      <c r="A146" s="31" t="inlineStr">
        <is>
          <t>ALIVUS</t>
        </is>
      </c>
      <c r="B146" s="31" t="inlineStr">
        <is>
          <t>Alivus Life Sciences Ltd</t>
        </is>
      </c>
      <c r="C146" s="31" t="inlineStr">
        <is>
          <t>healthcare</t>
        </is>
      </c>
      <c r="D146" s="31" t="inlineStr">
        <is>
          <t>pharmaceuticals - indian - bulk drugs &amp; formln</t>
        </is>
      </c>
      <c r="E146" s="31" t="inlineStr">
        <is>
          <t>midcap</t>
        </is>
      </c>
      <c r="F146" s="31" t="n">
        <v>17033.35</v>
      </c>
      <c r="G146" s="31" t="n">
        <v>1387.8</v>
      </c>
      <c r="H146" s="31" t="n">
        <v>1.25</v>
      </c>
      <c r="I146" s="31" t="n">
        <v>72107</v>
      </c>
      <c r="J146" s="31" t="inlineStr">
        <is>
          <t>543322</t>
        </is>
      </c>
    </row>
    <row r="147">
      <c r="A147" s="31" t="inlineStr">
        <is>
          <t>SWANDEF</t>
        </is>
      </c>
      <c r="B147" s="31" t="inlineStr">
        <is>
          <t>Swan Defence and Heavy Industries Ltd</t>
        </is>
      </c>
      <c r="C147" s="31" t="inlineStr">
        <is>
          <t>transportation</t>
        </is>
      </c>
      <c r="D147" s="31" t="inlineStr">
        <is>
          <t>miscellaneous</t>
        </is>
      </c>
      <c r="E147" s="31" t="inlineStr">
        <is>
          <t>midcap</t>
        </is>
      </c>
      <c r="F147" s="31" t="n">
        <v>14333.76</v>
      </c>
      <c r="G147" s="31" t="n">
        <v>2720.8</v>
      </c>
      <c r="H147" s="31" t="n">
        <v>1.25</v>
      </c>
      <c r="I147" s="31" t="n">
        <v>20103</v>
      </c>
      <c r="J147" s="31" t="inlineStr">
        <is>
          <t>533107</t>
        </is>
      </c>
    </row>
    <row r="148">
      <c r="A148" s="31" t="inlineStr">
        <is>
          <t>THEJO</t>
        </is>
      </c>
      <c r="B148" s="31" t="inlineStr">
        <is>
          <t>Thejo Engineering Ltd</t>
        </is>
      </c>
      <c r="C148" s="31" t="inlineStr">
        <is>
          <t>industrials</t>
        </is>
      </c>
      <c r="D148" s="31" t="inlineStr">
        <is>
          <t>engineering</t>
        </is>
      </c>
      <c r="E148" s="31" t="inlineStr">
        <is>
          <t>smallcap</t>
        </is>
      </c>
      <c r="F148" s="31" t="n">
        <v>2368.44</v>
      </c>
      <c r="G148" s="31" t="n">
        <v>2183.4</v>
      </c>
      <c r="H148" s="31" t="n">
        <v>1.23</v>
      </c>
      <c r="I148" s="31" t="n">
        <v>10121</v>
      </c>
      <c r="J148" s="31" t="inlineStr">
        <is>
          <t>500492</t>
        </is>
      </c>
    </row>
    <row r="149">
      <c r="A149" s="31" t="inlineStr">
        <is>
          <t>CHEMBONDCH</t>
        </is>
      </c>
      <c r="B149" s="31" t="inlineStr">
        <is>
          <t>Chembond Chemicals Ltd</t>
        </is>
      </c>
      <c r="C149" s="31" t="inlineStr">
        <is>
          <t>chemicals</t>
        </is>
      </c>
      <c r="D149" s="31" t="inlineStr">
        <is>
          <t>chemicals</t>
        </is>
      </c>
      <c r="E149" s="31" t="inlineStr">
        <is>
          <t>smallcap</t>
        </is>
      </c>
      <c r="F149" s="31" t="n">
        <v>736.97</v>
      </c>
      <c r="G149" s="31" t="n">
        <v>274</v>
      </c>
      <c r="H149" s="31" t="n">
        <v>1.2</v>
      </c>
      <c r="I149" s="31" t="n">
        <v>12782</v>
      </c>
      <c r="J149" s="31" t="inlineStr">
        <is>
          <t>544450</t>
        </is>
      </c>
    </row>
    <row r="150">
      <c r="A150" s="31" t="inlineStr">
        <is>
          <t>WENDT</t>
        </is>
      </c>
      <c r="B150" s="31" t="inlineStr">
        <is>
          <t>Wendt (india) Limited</t>
        </is>
      </c>
      <c r="C150" s="31" t="inlineStr">
        <is>
          <t>industrials</t>
        </is>
      </c>
      <c r="D150" s="31" t="inlineStr">
        <is>
          <t>abrasives and grinding wheels</t>
        </is>
      </c>
      <c r="E150" s="31" t="inlineStr">
        <is>
          <t>smallcap</t>
        </is>
      </c>
      <c r="F150" s="31" t="n">
        <v>1753</v>
      </c>
      <c r="G150" s="31" t="n">
        <v>8765</v>
      </c>
      <c r="H150" s="31" t="n">
        <v>1.17</v>
      </c>
      <c r="I150" s="31" t="n">
        <v>10651</v>
      </c>
      <c r="J150" s="31" t="inlineStr">
        <is>
          <t>505412</t>
        </is>
      </c>
    </row>
    <row r="151">
      <c r="A151" s="31" t="inlineStr">
        <is>
          <t>SANSERA</t>
        </is>
      </c>
      <c r="B151" s="31" t="inlineStr">
        <is>
          <t>Sansera Engineering Ltd</t>
        </is>
      </c>
      <c r="C151" s="31" t="inlineStr">
        <is>
          <t>auto</t>
        </is>
      </c>
      <c r="D151" s="31" t="inlineStr">
        <is>
          <t>auto ancillaries</t>
        </is>
      </c>
      <c r="E151" s="31" t="inlineStr">
        <is>
          <t>largecap</t>
        </is>
      </c>
      <c r="F151" s="31" t="n">
        <v>25070.63</v>
      </c>
      <c r="G151" s="31" t="n">
        <v>4017.5</v>
      </c>
      <c r="H151" s="31" t="n">
        <v>1.17</v>
      </c>
      <c r="I151" s="31" t="n">
        <v>130544</v>
      </c>
      <c r="J151" s="31" t="inlineStr">
        <is>
          <t>543358</t>
        </is>
      </c>
    </row>
    <row r="152">
      <c r="A152" s="31" t="inlineStr">
        <is>
          <t>UFLEX</t>
        </is>
      </c>
      <c r="B152" s="31" t="inlineStr">
        <is>
          <t>Uflex Limited</t>
        </is>
      </c>
      <c r="C152" s="31" t="inlineStr">
        <is>
          <t>industrials</t>
        </is>
      </c>
      <c r="D152" s="31" t="inlineStr">
        <is>
          <t>packaging</t>
        </is>
      </c>
      <c r="E152" s="31" t="inlineStr">
        <is>
          <t>smallcap</t>
        </is>
      </c>
      <c r="F152" s="31" t="n">
        <v>4715.05</v>
      </c>
      <c r="G152" s="31" t="n">
        <v>652.95</v>
      </c>
      <c r="H152" s="31" t="n">
        <v>1.16</v>
      </c>
      <c r="I152" s="31" t="n">
        <v>154087</v>
      </c>
      <c r="J152" s="31" t="inlineStr">
        <is>
          <t>500148</t>
        </is>
      </c>
    </row>
    <row r="153">
      <c r="A153" s="31" t="inlineStr">
        <is>
          <t>STLTECH</t>
        </is>
      </c>
      <c r="B153" s="31" t="inlineStr">
        <is>
          <t>Sterlite Technologies Limited</t>
        </is>
      </c>
      <c r="C153" s="31" t="inlineStr">
        <is>
          <t>industrials</t>
        </is>
      </c>
      <c r="D153" s="31" t="inlineStr">
        <is>
          <t>cables - telephone</t>
        </is>
      </c>
      <c r="E153" s="31" t="inlineStr">
        <is>
          <t>largecap</t>
        </is>
      </c>
      <c r="F153" s="31" t="n">
        <v>42522.34</v>
      </c>
      <c r="G153" s="31" t="n">
        <v>827.45</v>
      </c>
      <c r="H153" s="31" t="n">
        <v>1.15</v>
      </c>
      <c r="I153" s="31" t="n">
        <v>1299034</v>
      </c>
      <c r="J153" s="31" t="inlineStr">
        <is>
          <t>532374</t>
        </is>
      </c>
    </row>
    <row r="154">
      <c r="A154" s="31" t="inlineStr">
        <is>
          <t>INDIQUBE</t>
        </is>
      </c>
      <c r="B154" s="31" t="inlineStr">
        <is>
          <t>Indiqube Spaces Ltd</t>
        </is>
      </c>
      <c r="C154" s="31" t="inlineStr">
        <is>
          <t>co-working</t>
        </is>
      </c>
      <c r="D154" s="31" t="inlineStr">
        <is>
          <t>miscellaneous</t>
        </is>
      </c>
      <c r="E154" s="31" t="inlineStr">
        <is>
          <t>smallcap</t>
        </is>
      </c>
      <c r="F154" s="31" t="n">
        <v>4291.89</v>
      </c>
      <c r="G154" s="31" t="n">
        <v>202.45</v>
      </c>
      <c r="H154" s="31" t="n">
        <v>1.15</v>
      </c>
      <c r="I154" s="31" t="n">
        <v>77034</v>
      </c>
      <c r="J154" s="31" t="inlineStr">
        <is>
          <t>544454</t>
        </is>
      </c>
    </row>
    <row r="155">
      <c r="A155" s="31" t="inlineStr">
        <is>
          <t>NRAIL</t>
        </is>
      </c>
      <c r="B155" s="31" t="inlineStr">
        <is>
          <t>N R Agarwal Industries Ltd</t>
        </is>
      </c>
      <c r="C155" s="31" t="inlineStr">
        <is>
          <t>building materials</t>
        </is>
      </c>
      <c r="D155" s="31" t="inlineStr">
        <is>
          <t>paper</t>
        </is>
      </c>
      <c r="E155" s="31" t="inlineStr">
        <is>
          <t>smallcap</t>
        </is>
      </c>
      <c r="F155" s="31" t="n">
        <v>1069.65</v>
      </c>
      <c r="G155" s="31" t="n">
        <v>628.5</v>
      </c>
      <c r="H155" s="31" t="n">
        <v>1.14</v>
      </c>
      <c r="I155" s="31" t="n">
        <v>11537</v>
      </c>
      <c r="J155" s="31" t="inlineStr">
        <is>
          <t>516082</t>
        </is>
      </c>
    </row>
    <row r="156">
      <c r="A156" s="31" t="inlineStr">
        <is>
          <t>GRAPHITE</t>
        </is>
      </c>
      <c r="B156" s="31" t="inlineStr">
        <is>
          <t>Graphite India Limited</t>
        </is>
      </c>
      <c r="C156" s="31" t="inlineStr">
        <is>
          <t>industrials</t>
        </is>
      </c>
      <c r="D156" s="31" t="inlineStr">
        <is>
          <t>electrodes - graphites</t>
        </is>
      </c>
      <c r="E156" s="31" t="inlineStr">
        <is>
          <t>midcap</t>
        </is>
      </c>
      <c r="F156" s="31" t="n">
        <v>15905.53</v>
      </c>
      <c r="G156" s="31" t="n">
        <v>814.1</v>
      </c>
      <c r="H156" s="31" t="n">
        <v>1.12</v>
      </c>
      <c r="I156" s="31" t="n">
        <v>2989509</v>
      </c>
      <c r="J156" s="31" t="inlineStr">
        <is>
          <t>509488</t>
        </is>
      </c>
    </row>
    <row r="157">
      <c r="A157" s="31" t="inlineStr">
        <is>
          <t>NPST</t>
        </is>
      </c>
      <c r="B157" s="31" t="inlineStr">
        <is>
          <t>Network People Services Technologies Ltd</t>
        </is>
      </c>
      <c r="C157" s="31" t="inlineStr">
        <is>
          <t>i.t</t>
        </is>
      </c>
      <c r="D157" s="31" t="inlineStr">
        <is>
          <t>computers - software - medium / small</t>
        </is>
      </c>
      <c r="E157" s="31" t="inlineStr">
        <is>
          <t>smallcap</t>
        </is>
      </c>
      <c r="F157" s="31" t="n">
        <v>3869.97</v>
      </c>
      <c r="G157" s="31" t="n">
        <v>1854.9</v>
      </c>
      <c r="H157" s="31" t="n">
        <v>1.11</v>
      </c>
      <c r="I157" s="31" t="n">
        <v>460726</v>
      </c>
      <c r="J157" s="31" t="inlineStr">
        <is>
          <t>535391</t>
        </is>
      </c>
    </row>
    <row r="158">
      <c r="A158" s="31" t="inlineStr">
        <is>
          <t>SHREEPUSHK</t>
        </is>
      </c>
      <c r="B158" s="31" t="inlineStr">
        <is>
          <t>Shree Pushkar Chemicals &amp; Fertilisers Limited</t>
        </is>
      </c>
      <c r="C158" s="31" t="inlineStr">
        <is>
          <t>chemicals</t>
        </is>
      </c>
      <c r="D158" s="31" t="inlineStr">
        <is>
          <t>dyes and pigments</t>
        </is>
      </c>
      <c r="E158" s="31" t="inlineStr">
        <is>
          <t>smallcap</t>
        </is>
      </c>
      <c r="F158" s="31" t="n">
        <v>1657.31</v>
      </c>
      <c r="G158" s="31" t="n">
        <v>512.5</v>
      </c>
      <c r="H158" s="31" t="n">
        <v>1.09</v>
      </c>
      <c r="I158" s="31" t="n">
        <v>69346</v>
      </c>
      <c r="J158" s="31" t="inlineStr">
        <is>
          <t>539334</t>
        </is>
      </c>
    </row>
    <row r="159">
      <c r="A159" s="31" t="inlineStr">
        <is>
          <t>RML</t>
        </is>
      </c>
      <c r="B159" s="31" t="inlineStr">
        <is>
          <t>Rane (madras) Limited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smallcap</t>
        </is>
      </c>
      <c r="F159" s="31" t="n">
        <v>3542.53</v>
      </c>
      <c r="G159" s="31" t="n">
        <v>1281.8</v>
      </c>
      <c r="H159" s="31" t="n">
        <v>1.08</v>
      </c>
      <c r="I159" s="31" t="n">
        <v>41572</v>
      </c>
      <c r="J159" s="31" t="inlineStr">
        <is>
          <t>532661</t>
        </is>
      </c>
    </row>
    <row r="160">
      <c r="A160" s="31" t="inlineStr">
        <is>
          <t>IPCALAB</t>
        </is>
      </c>
      <c r="B160" s="31" t="inlineStr">
        <is>
          <t>Ipca Laboratories Limited</t>
        </is>
      </c>
      <c r="C160" s="31" t="inlineStr">
        <is>
          <t>healthcare</t>
        </is>
      </c>
      <c r="D160" s="31" t="inlineStr">
        <is>
          <t>pharmaceuticals - indian - bulk drugs &amp; formln</t>
        </is>
      </c>
      <c r="E160" s="31" t="inlineStr">
        <is>
          <t>largecap</t>
        </is>
      </c>
      <c r="F160" s="31" t="n">
        <v>49987.34</v>
      </c>
      <c r="G160" s="31" t="n">
        <v>1970.3</v>
      </c>
      <c r="H160" s="31" t="n">
        <v>1</v>
      </c>
      <c r="I160" s="31" t="n">
        <v>555590</v>
      </c>
      <c r="J160" s="31" t="inlineStr">
        <is>
          <t>524494</t>
        </is>
      </c>
    </row>
    <row r="161">
      <c r="A161" s="31" t="inlineStr">
        <is>
          <t>GODREJAGRO</t>
        </is>
      </c>
      <c r="B161" s="31" t="inlineStr">
        <is>
          <t>Godrej Agrovet Ltd</t>
        </is>
      </c>
      <c r="C161" s="31" t="inlineStr">
        <is>
          <t>fmcg</t>
        </is>
      </c>
      <c r="D161" s="31" t="inlineStr">
        <is>
          <t>food - processing - indian</t>
        </is>
      </c>
      <c r="E161" s="31" t="inlineStr">
        <is>
          <t>midcap</t>
        </is>
      </c>
      <c r="F161" s="31" t="n">
        <v>12572.65</v>
      </c>
      <c r="G161" s="31" t="n">
        <v>653.6</v>
      </c>
      <c r="H161" s="31" t="n">
        <v>0.97</v>
      </c>
      <c r="I161" s="31" t="n">
        <v>117590</v>
      </c>
      <c r="J161" s="31" t="inlineStr">
        <is>
          <t>540743</t>
        </is>
      </c>
    </row>
    <row r="162">
      <c r="A162" s="31" t="inlineStr">
        <is>
          <t>JUBLPHARMA</t>
        </is>
      </c>
      <c r="B162" s="31" t="inlineStr">
        <is>
          <t>Jubilant Pharmova Ltd</t>
        </is>
      </c>
      <c r="C162" s="31" t="inlineStr">
        <is>
          <t>healthcare</t>
        </is>
      </c>
      <c r="D162" s="31" t="inlineStr">
        <is>
          <t>pharmaceuticals - indian - bulk drugs</t>
        </is>
      </c>
      <c r="E162" s="31" t="inlineStr">
        <is>
          <t>midcap</t>
        </is>
      </c>
      <c r="F162" s="31" t="n">
        <v>16120.84</v>
      </c>
      <c r="G162" s="31" t="n">
        <v>1012.1</v>
      </c>
      <c r="H162" s="31" t="n">
        <v>0.96</v>
      </c>
      <c r="I162" s="31" t="n">
        <v>87805</v>
      </c>
      <c r="J162" s="31" t="inlineStr">
        <is>
          <t>530019</t>
        </is>
      </c>
    </row>
    <row r="163">
      <c r="A163" s="31" t="inlineStr">
        <is>
          <t>MAXESTATES</t>
        </is>
      </c>
      <c r="B163" s="31" t="inlineStr">
        <is>
          <t>Max Estates Ltd</t>
        </is>
      </c>
      <c r="C163" s="31" t="inlineStr">
        <is>
          <t>realty</t>
        </is>
      </c>
      <c r="D163" s="31" t="inlineStr">
        <is>
          <t>construction</t>
        </is>
      </c>
      <c r="E163" s="31" t="inlineStr">
        <is>
          <t>midcap</t>
        </is>
      </c>
      <c r="F163" s="31" t="n">
        <v>9443.6</v>
      </c>
      <c r="G163" s="31" t="n">
        <v>577.6</v>
      </c>
      <c r="H163" s="31" t="n">
        <v>0.96</v>
      </c>
      <c r="I163" s="31" t="n">
        <v>113120</v>
      </c>
      <c r="J163" s="31" t="inlineStr">
        <is>
          <t>544008</t>
        </is>
      </c>
    </row>
    <row r="164">
      <c r="A164" s="31" t="inlineStr">
        <is>
          <t>OAL</t>
        </is>
      </c>
      <c r="B164" s="31" t="inlineStr">
        <is>
          <t>Oriental Aromatics Ltd</t>
        </is>
      </c>
      <c r="C164" s="31" t="inlineStr">
        <is>
          <t>chemicals</t>
        </is>
      </c>
      <c r="D164" s="31" t="inlineStr">
        <is>
          <t>chemicals</t>
        </is>
      </c>
      <c r="E164" s="31" t="inlineStr">
        <is>
          <t>smallcap</t>
        </is>
      </c>
      <c r="F164" s="31" t="n">
        <v>1728.11</v>
      </c>
      <c r="G164" s="31" t="n">
        <v>513.5</v>
      </c>
      <c r="H164" s="31" t="n">
        <v>0.91</v>
      </c>
      <c r="I164" s="31" t="n">
        <v>10254</v>
      </c>
      <c r="J164" s="31" t="inlineStr">
        <is>
          <t>500078</t>
        </is>
      </c>
    </row>
    <row r="165">
      <c r="A165" s="31" t="inlineStr">
        <is>
          <t>CYIENT</t>
        </is>
      </c>
      <c r="B165" s="31" t="inlineStr">
        <is>
          <t>Cyient Limited</t>
        </is>
      </c>
      <c r="C165" s="31" t="inlineStr">
        <is>
          <t>i.t</t>
        </is>
      </c>
      <c r="D165" s="31" t="inlineStr">
        <is>
          <t>computers - software - medium / small</t>
        </is>
      </c>
      <c r="E165" s="31" t="inlineStr">
        <is>
          <t>midcap</t>
        </is>
      </c>
      <c r="F165" s="31" t="n">
        <v>11144.53</v>
      </c>
      <c r="G165" s="31" t="n">
        <v>1064</v>
      </c>
      <c r="H165" s="31" t="n">
        <v>0.9</v>
      </c>
      <c r="I165" s="31" t="n">
        <v>332526</v>
      </c>
      <c r="J165" s="31" t="inlineStr">
        <is>
          <t>532175</t>
        </is>
      </c>
    </row>
    <row r="166">
      <c r="A166" s="31" t="inlineStr">
        <is>
          <t>ABDL</t>
        </is>
      </c>
      <c r="B166" s="31" t="inlineStr">
        <is>
          <t>Allied Blenders &amp; Distillers Ltd</t>
        </is>
      </c>
      <c r="C166" s="31" t="inlineStr">
        <is>
          <t>fmcg</t>
        </is>
      </c>
      <c r="D166" s="31" t="inlineStr">
        <is>
          <t>breweries &amp; distilleries</t>
        </is>
      </c>
      <c r="E166" s="31" t="inlineStr">
        <is>
          <t>midcap</t>
        </is>
      </c>
      <c r="F166" s="31" t="n">
        <v>18267.87</v>
      </c>
      <c r="G166" s="31" t="n">
        <v>653.1</v>
      </c>
      <c r="H166" s="31" t="n">
        <v>0.86</v>
      </c>
      <c r="I166" s="31" t="n">
        <v>560511</v>
      </c>
      <c r="J166" s="31" t="inlineStr">
        <is>
          <t>544203</t>
        </is>
      </c>
    </row>
    <row r="167">
      <c r="A167" s="31" t="inlineStr">
        <is>
          <t>CEIGALL</t>
        </is>
      </c>
      <c r="B167" s="31" t="inlineStr">
        <is>
          <t>Ceigall India Ltd</t>
        </is>
      </c>
      <c r="C167" s="31" t="inlineStr">
        <is>
          <t>realty</t>
        </is>
      </c>
      <c r="D167" s="31" t="inlineStr">
        <is>
          <t>construction</t>
        </is>
      </c>
      <c r="E167" s="31" t="inlineStr">
        <is>
          <t>midcap</t>
        </is>
      </c>
      <c r="F167" s="31" t="n">
        <v>6793.99</v>
      </c>
      <c r="G167" s="31" t="n">
        <v>390</v>
      </c>
      <c r="H167" s="31" t="n">
        <v>0.83</v>
      </c>
      <c r="I167" s="31" t="n">
        <v>283457</v>
      </c>
      <c r="J167" s="31" t="inlineStr">
        <is>
          <t>544223</t>
        </is>
      </c>
    </row>
    <row r="168">
      <c r="A168" s="31" t="inlineStr">
        <is>
          <t>ZIMLAB</t>
        </is>
      </c>
      <c r="B168" s="31" t="inlineStr">
        <is>
          <t>Zim Laboratories Ltd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smallcap</t>
        </is>
      </c>
      <c r="F168" s="31" t="n">
        <v>738.55</v>
      </c>
      <c r="G168" s="31" t="n">
        <v>137.92</v>
      </c>
      <c r="H168" s="31" t="n">
        <v>0.83</v>
      </c>
      <c r="I168" s="31" t="n">
        <v>230315</v>
      </c>
      <c r="J168" s="31" t="inlineStr">
        <is>
          <t>541400</t>
        </is>
      </c>
    </row>
    <row r="169">
      <c r="A169" s="31" t="inlineStr">
        <is>
          <t>WSTCSTPAPR</t>
        </is>
      </c>
      <c r="B169" s="31" t="inlineStr">
        <is>
          <t>West Coast Paper Mills Limited</t>
        </is>
      </c>
      <c r="C169" s="31" t="inlineStr">
        <is>
          <t>building materials</t>
        </is>
      </c>
      <c r="D169" s="31" t="inlineStr">
        <is>
          <t>paper</t>
        </is>
      </c>
      <c r="E169" s="31" t="inlineStr">
        <is>
          <t>smallcap</t>
        </is>
      </c>
      <c r="F169" s="31" t="n">
        <v>4732.07</v>
      </c>
      <c r="G169" s="31" t="n">
        <v>716.45</v>
      </c>
      <c r="H169" s="31" t="n">
        <v>0.77</v>
      </c>
      <c r="I169" s="31" t="n">
        <v>275342</v>
      </c>
      <c r="J169" s="31" t="inlineStr">
        <is>
          <t>500444</t>
        </is>
      </c>
    </row>
    <row r="170">
      <c r="A170" s="31" t="inlineStr">
        <is>
          <t>PTCIL</t>
        </is>
      </c>
      <c r="B170" s="31" t="inlineStr">
        <is>
          <t>PTC Industries Ltd</t>
        </is>
      </c>
      <c r="C170" s="31" t="inlineStr">
        <is>
          <t>industrials</t>
        </is>
      </c>
      <c r="D170" s="31" t="inlineStr">
        <is>
          <t>castings &amp; forgings</t>
        </is>
      </c>
      <c r="E170" s="31" t="inlineStr">
        <is>
          <t>largecap</t>
        </is>
      </c>
      <c r="F170" s="31" t="n">
        <v>33988.11</v>
      </c>
      <c r="G170" s="31" t="n">
        <v>22670</v>
      </c>
      <c r="H170" s="31" t="n">
        <v>0.76</v>
      </c>
      <c r="I170" s="31" t="n">
        <v>15271</v>
      </c>
      <c r="J170" s="31" t="inlineStr">
        <is>
          <t>539006</t>
        </is>
      </c>
    </row>
    <row r="171">
      <c r="A171" s="31" t="inlineStr">
        <is>
          <t>KABRAEXTRU</t>
        </is>
      </c>
      <c r="B171" s="31" t="inlineStr">
        <is>
          <t>Kabra Extrusion Technik Limited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smallcap</t>
        </is>
      </c>
      <c r="F171" s="31" t="n">
        <v>2212.91</v>
      </c>
      <c r="G171" s="31" t="n">
        <v>632.75</v>
      </c>
      <c r="H171" s="31" t="n">
        <v>0.74</v>
      </c>
      <c r="I171" s="31" t="n">
        <v>162222</v>
      </c>
      <c r="J171" s="31" t="inlineStr">
        <is>
          <t>524109</t>
        </is>
      </c>
    </row>
    <row r="172">
      <c r="A172" s="31" t="inlineStr">
        <is>
          <t>KIRLFER</t>
        </is>
      </c>
      <c r="B172" s="31" t="inlineStr">
        <is>
          <t>Kirloskar Ferrous Industries Ltd</t>
        </is>
      </c>
      <c r="C172" s="31" t="inlineStr">
        <is>
          <t>metals &amp; mining</t>
        </is>
      </c>
      <c r="D172" s="31" t="inlineStr">
        <is>
          <t>steel - large</t>
        </is>
      </c>
      <c r="E172" s="31" t="inlineStr">
        <is>
          <t>midcap</t>
        </is>
      </c>
      <c r="F172" s="31" t="n">
        <v>7826.41</v>
      </c>
      <c r="G172" s="31" t="n">
        <v>474.35</v>
      </c>
      <c r="H172" s="31" t="n">
        <v>0.73</v>
      </c>
      <c r="I172" s="31" t="n">
        <v>68163</v>
      </c>
      <c r="J172" s="31" t="inlineStr">
        <is>
          <t>500245</t>
        </is>
      </c>
    </row>
    <row r="173">
      <c r="A173" s="31" t="inlineStr">
        <is>
          <t>LGBBROSLTD</t>
        </is>
      </c>
      <c r="B173" s="31" t="inlineStr">
        <is>
          <t>Lg Balakrishnan &amp; Bros Limited</t>
        </is>
      </c>
      <c r="C173" s="31" t="inlineStr">
        <is>
          <t>auto</t>
        </is>
      </c>
      <c r="D173" s="31" t="inlineStr">
        <is>
          <t>bearings</t>
        </is>
      </c>
      <c r="E173" s="31" t="inlineStr">
        <is>
          <t>midcap</t>
        </is>
      </c>
      <c r="F173" s="31" t="n">
        <v>5480.71</v>
      </c>
      <c r="G173" s="31" t="n">
        <v>1718.5</v>
      </c>
      <c r="H173" s="31" t="n">
        <v>0.6899999999999999</v>
      </c>
      <c r="I173" s="31" t="n">
        <v>30530</v>
      </c>
      <c r="J173" s="31" t="inlineStr">
        <is>
          <t>500250</t>
        </is>
      </c>
    </row>
    <row r="174">
      <c r="A174" s="31" t="inlineStr">
        <is>
          <t>WHEELS</t>
        </is>
      </c>
      <c r="B174" s="31" t="inlineStr">
        <is>
          <t>Wheels India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5191.04</v>
      </c>
      <c r="G174" s="31" t="n">
        <v>2124.6</v>
      </c>
      <c r="H174" s="31" t="n">
        <v>0.67</v>
      </c>
      <c r="I174" s="31" t="n">
        <v>131049</v>
      </c>
      <c r="J174" s="31" t="inlineStr">
        <is>
          <t>590073</t>
        </is>
      </c>
    </row>
    <row r="175">
      <c r="A175" s="31" t="inlineStr">
        <is>
          <t>SURAKSHA</t>
        </is>
      </c>
      <c r="B175" s="31" t="inlineStr">
        <is>
          <t>Suraksha Diagnostic Ltd</t>
        </is>
      </c>
      <c r="C175" s="31" t="inlineStr">
        <is>
          <t>healthcare</t>
        </is>
      </c>
      <c r="D175" s="31" t="inlineStr">
        <is>
          <t>healthcare</t>
        </is>
      </c>
      <c r="E175" s="31" t="inlineStr">
        <is>
          <t>smallcap</t>
        </is>
      </c>
      <c r="F175" s="31" t="n">
        <v>1713.2</v>
      </c>
      <c r="G175" s="31" t="n">
        <v>328.95</v>
      </c>
      <c r="H175" s="31" t="n">
        <v>0.66</v>
      </c>
      <c r="I175" s="31" t="n">
        <v>96967</v>
      </c>
      <c r="J175" s="31" t="inlineStr">
        <is>
          <t>544293</t>
        </is>
      </c>
    </row>
    <row r="176">
      <c r="A176" s="31" t="inlineStr">
        <is>
          <t>BAFNAPH</t>
        </is>
      </c>
      <c r="B176" s="31" t="inlineStr">
        <is>
          <t>Bafna Pharmaceuticals Ltd</t>
        </is>
      </c>
      <c r="C176" s="31" t="inlineStr">
        <is>
          <t>healthcare</t>
        </is>
      </c>
      <c r="D176" s="31" t="inlineStr">
        <is>
          <t>pharmaceuticals - indian - formulations</t>
        </is>
      </c>
      <c r="E176" s="31" t="inlineStr">
        <is>
          <t>smallcap</t>
        </is>
      </c>
      <c r="F176" s="31" t="n">
        <v>735.71</v>
      </c>
      <c r="G176" s="31" t="n">
        <v>311</v>
      </c>
      <c r="H176" s="31" t="n">
        <v>0.65</v>
      </c>
      <c r="I176" s="31" t="n">
        <v>12918</v>
      </c>
      <c r="J176" s="31" t="inlineStr">
        <is>
          <t>532989</t>
        </is>
      </c>
    </row>
    <row r="177">
      <c r="A177" s="31" t="inlineStr">
        <is>
          <t>STOVEKRAFT</t>
        </is>
      </c>
      <c r="B177" s="31" t="inlineStr">
        <is>
          <t>Stove Kraft Ltd</t>
        </is>
      </c>
      <c r="C177" s="31" t="inlineStr">
        <is>
          <t>consumer discretionary</t>
        </is>
      </c>
      <c r="D177" s="31" t="inlineStr">
        <is>
          <t>domestic appliances</t>
        </is>
      </c>
      <c r="E177" s="31" t="inlineStr">
        <is>
          <t>smallcap</t>
        </is>
      </c>
      <c r="F177" s="31" t="n">
        <v>2759.99</v>
      </c>
      <c r="G177" s="31" t="n">
        <v>833.65</v>
      </c>
      <c r="H177" s="31" t="n">
        <v>0.62</v>
      </c>
      <c r="I177" s="31" t="n">
        <v>64463</v>
      </c>
      <c r="J177" s="31" t="inlineStr">
        <is>
          <t>543260</t>
        </is>
      </c>
    </row>
    <row r="178">
      <c r="A178" s="31" t="inlineStr">
        <is>
          <t>SUNDRMFAST</t>
        </is>
      </c>
      <c r="B178" s="31" t="inlineStr">
        <is>
          <t>Sundram Fasteners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largecap</t>
        </is>
      </c>
      <c r="F178" s="31" t="n">
        <v>25776.45</v>
      </c>
      <c r="G178" s="31" t="n">
        <v>1226.7</v>
      </c>
      <c r="H178" s="31" t="n">
        <v>0.5600000000000001</v>
      </c>
      <c r="I178" s="31" t="n">
        <v>81682</v>
      </c>
      <c r="J178" s="31" t="inlineStr">
        <is>
          <t>500403</t>
        </is>
      </c>
    </row>
    <row r="179">
      <c r="A179" s="31" t="inlineStr">
        <is>
          <t>ROSSTECH</t>
        </is>
      </c>
      <c r="B179" s="31" t="inlineStr">
        <is>
          <t>Rossell Techsys Ltd</t>
        </is>
      </c>
      <c r="C179" s="31" t="inlineStr">
        <is>
          <t>aerospace &amp; defence</t>
        </is>
      </c>
      <c r="D179" s="31" t="inlineStr">
        <is>
          <t>engineering</t>
        </is>
      </c>
      <c r="E179" s="31" t="inlineStr">
        <is>
          <t>midcap</t>
        </is>
      </c>
      <c r="F179" s="31" t="n">
        <v>5116.17</v>
      </c>
      <c r="G179" s="31" t="n">
        <v>1357.2</v>
      </c>
      <c r="H179" s="31" t="n">
        <v>0.54</v>
      </c>
      <c r="I179" s="31" t="n">
        <v>758996</v>
      </c>
      <c r="J179" s="31" t="inlineStr">
        <is>
          <t>544294</t>
        </is>
      </c>
    </row>
    <row r="180">
      <c r="A180" s="31" t="inlineStr">
        <is>
          <t>SESHAPAPER</t>
        </is>
      </c>
      <c r="B180" s="31" t="inlineStr">
        <is>
          <t>Seshasayee Paper And Boards Limited</t>
        </is>
      </c>
      <c r="C180" s="31" t="inlineStr">
        <is>
          <t>building materials</t>
        </is>
      </c>
      <c r="D180" s="31" t="inlineStr">
        <is>
          <t>paper</t>
        </is>
      </c>
      <c r="E180" s="31" t="inlineStr">
        <is>
          <t>smallcap</t>
        </is>
      </c>
      <c r="F180" s="31" t="n">
        <v>1562.95</v>
      </c>
      <c r="G180" s="31" t="n">
        <v>247.82</v>
      </c>
      <c r="H180" s="31" t="n">
        <v>0.45</v>
      </c>
      <c r="I180" s="31" t="n">
        <v>49766</v>
      </c>
      <c r="J180" s="31" t="inlineStr">
        <is>
          <t>502450</t>
        </is>
      </c>
    </row>
    <row r="181">
      <c r="A181" s="31" t="inlineStr">
        <is>
          <t>SAILIFE</t>
        </is>
      </c>
      <c r="B181" s="31" t="inlineStr">
        <is>
          <t>Sai Life Sciences Ltd</t>
        </is>
      </c>
      <c r="C181" s="31" t="inlineStr">
        <is>
          <t>healthcare</t>
        </is>
      </c>
      <c r="D181" s="31" t="inlineStr">
        <is>
          <t>pharmaceuticals - indian - bulk drugs &amp; formln</t>
        </is>
      </c>
      <c r="E181" s="31" t="inlineStr">
        <is>
          <t>largecap</t>
        </is>
      </c>
      <c r="F181" s="31" t="n">
        <v>32813.05</v>
      </c>
      <c r="G181" s="31" t="n">
        <v>1545.7</v>
      </c>
      <c r="H181" s="31" t="n">
        <v>0.43</v>
      </c>
      <c r="I181" s="31" t="n">
        <v>443745</v>
      </c>
      <c r="J181" s="31" t="inlineStr">
        <is>
          <t>544306</t>
        </is>
      </c>
    </row>
    <row r="182">
      <c r="A182" s="31" t="inlineStr">
        <is>
          <t>KOTAKBANK</t>
        </is>
      </c>
      <c r="B182" s="31" t="inlineStr">
        <is>
          <t>Kotak Mahindra Bank Limited</t>
        </is>
      </c>
      <c r="C182" s="31" t="inlineStr">
        <is>
          <t>bank</t>
        </is>
      </c>
      <c r="D182" s="31" t="inlineStr">
        <is>
          <t>banks - private sector</t>
        </is>
      </c>
      <c r="E182" s="31" t="inlineStr">
        <is>
          <t>largecap</t>
        </is>
      </c>
      <c r="F182" s="31" t="n">
        <v>414280.44</v>
      </c>
      <c r="G182" s="31" t="n">
        <v>416.5</v>
      </c>
      <c r="H182" s="31" t="n">
        <v>0.36</v>
      </c>
      <c r="I182" s="31" t="n">
        <v>11475105</v>
      </c>
      <c r="J182" s="31" t="inlineStr">
        <is>
          <t>500247</t>
        </is>
      </c>
    </row>
    <row r="183">
      <c r="A183" s="31" t="inlineStr">
        <is>
          <t>HINDOILEXP</t>
        </is>
      </c>
      <c r="B183" s="31" t="inlineStr">
        <is>
          <t>Hindustan Oil Exploration Company Limited</t>
        </is>
      </c>
      <c r="C183" s="31" t="inlineStr">
        <is>
          <t>energy</t>
        </is>
      </c>
      <c r="D183" s="31" t="inlineStr">
        <is>
          <t>oil drilling / allied services</t>
        </is>
      </c>
      <c r="E183" s="31" t="inlineStr">
        <is>
          <t>smallcap</t>
        </is>
      </c>
      <c r="F183" s="31" t="n">
        <v>2392.94</v>
      </c>
      <c r="G183" s="31" t="n">
        <v>180.95</v>
      </c>
      <c r="H183" s="31" t="n">
        <v>0.28</v>
      </c>
      <c r="I183" s="31" t="n">
        <v>701322</v>
      </c>
      <c r="J183" s="31" t="inlineStr">
        <is>
          <t>500186</t>
        </is>
      </c>
    </row>
    <row r="184">
      <c r="A184" s="31" t="inlineStr">
        <is>
          <t>RATNAMANI</t>
        </is>
      </c>
      <c r="B184" s="31" t="inlineStr">
        <is>
          <t>Ratnamani Metals &amp; Tubes Limited</t>
        </is>
      </c>
      <c r="C184" s="31" t="inlineStr">
        <is>
          <t>industrials</t>
        </is>
      </c>
      <c r="D184" s="31" t="inlineStr">
        <is>
          <t>steel - medium / small</t>
        </is>
      </c>
      <c r="E184" s="31" t="inlineStr">
        <is>
          <t>midcap</t>
        </is>
      </c>
      <c r="F184" s="31" t="n">
        <v>18943.06</v>
      </c>
      <c r="G184" s="31" t="n">
        <v>2702.6</v>
      </c>
      <c r="H184" s="31" t="n">
        <v>0.28</v>
      </c>
      <c r="I184" s="31" t="n">
        <v>39882</v>
      </c>
      <c r="J184" s="31" t="inlineStr">
        <is>
          <t>520111</t>
        </is>
      </c>
    </row>
    <row r="185">
      <c r="A185" s="31" t="inlineStr">
        <is>
          <t>CONFIPET</t>
        </is>
      </c>
      <c r="B185" s="31" t="inlineStr">
        <is>
          <t>Confidence Petroleum India Ltd</t>
        </is>
      </c>
      <c r="C185" s="31" t="inlineStr">
        <is>
          <t>miscellaneous</t>
        </is>
      </c>
      <c r="D185" s="31" t="inlineStr">
        <is>
          <t>miscellaneous</t>
        </is>
      </c>
      <c r="E185" s="31" t="inlineStr">
        <is>
          <t>smallcap</t>
        </is>
      </c>
      <c r="F185" s="31" t="n">
        <v>2882.52</v>
      </c>
      <c r="G185" s="31" t="n">
        <v>86.76000000000001</v>
      </c>
      <c r="H185" s="31" t="n">
        <v>0.21</v>
      </c>
      <c r="I185" s="31" t="n">
        <v>1445669</v>
      </c>
      <c r="J185" s="31" t="inlineStr">
        <is>
          <t>526829</t>
        </is>
      </c>
    </row>
    <row r="186">
      <c r="A186" s="31" t="inlineStr">
        <is>
          <t>GPTHEALTH</t>
        </is>
      </c>
      <c r="B186" s="31" t="inlineStr">
        <is>
          <t>GPT Healthcare Ltd</t>
        </is>
      </c>
      <c r="C186" s="31" t="inlineStr">
        <is>
          <t>healthcare</t>
        </is>
      </c>
      <c r="D186" s="31" t="inlineStr">
        <is>
          <t>healthcare</t>
        </is>
      </c>
      <c r="E186" s="31" t="inlineStr">
        <is>
          <t>smallcap</t>
        </is>
      </c>
      <c r="F186" s="31" t="n">
        <v>1342.5</v>
      </c>
      <c r="G186" s="31" t="n">
        <v>163.61</v>
      </c>
      <c r="H186" s="31" t="n">
        <v>0.19</v>
      </c>
      <c r="I186" s="31" t="n">
        <v>67940</v>
      </c>
      <c r="J186" s="31" t="inlineStr">
        <is>
          <t>544131</t>
        </is>
      </c>
    </row>
    <row r="187">
      <c r="A187" s="31" t="inlineStr">
        <is>
          <t>TFCILTD</t>
        </is>
      </c>
      <c r="B187" s="31" t="inlineStr">
        <is>
          <t>Tourism Finance Corporation Of India Limited</t>
        </is>
      </c>
      <c r="C187" s="31" t="inlineStr">
        <is>
          <t>financials</t>
        </is>
      </c>
      <c r="D187" s="31" t="inlineStr">
        <is>
          <t>finance - term-lending institutions</t>
        </is>
      </c>
      <c r="E187" s="31" t="inlineStr">
        <is>
          <t>midcap</t>
        </is>
      </c>
      <c r="F187" s="31" t="n">
        <v>6438.16</v>
      </c>
      <c r="G187" s="31" t="n">
        <v>139.06</v>
      </c>
      <c r="H187" s="31" t="n">
        <v>0.18</v>
      </c>
      <c r="I187" s="31" t="n">
        <v>12032665</v>
      </c>
      <c r="J187" s="31" t="inlineStr">
        <is>
          <t>526650</t>
        </is>
      </c>
    </row>
    <row r="188">
      <c r="A188" s="31" t="inlineStr">
        <is>
          <t>JKPAPER</t>
        </is>
      </c>
      <c r="B188" s="31" t="inlineStr">
        <is>
          <t>Jk Paper Limited</t>
        </is>
      </c>
      <c r="C188" s="31" t="inlineStr">
        <is>
          <t>building materials</t>
        </is>
      </c>
      <c r="D188" s="31" t="inlineStr">
        <is>
          <t>paper</t>
        </is>
      </c>
      <c r="E188" s="31" t="inlineStr">
        <is>
          <t>midcap</t>
        </is>
      </c>
      <c r="F188" s="31" t="n">
        <v>7580.03</v>
      </c>
      <c r="G188" s="31" t="n">
        <v>418.05</v>
      </c>
      <c r="H188" s="31" t="n">
        <v>0.17</v>
      </c>
      <c r="I188" s="31" t="n">
        <v>1832851</v>
      </c>
      <c r="J188" s="31" t="inlineStr">
        <is>
          <t>532162</t>
        </is>
      </c>
    </row>
    <row r="189">
      <c r="A189" s="31" t="inlineStr">
        <is>
          <t>SHREEJISPG</t>
        </is>
      </c>
      <c r="B189" s="31" t="inlineStr">
        <is>
          <t>Shreeji Shipping Global Ltd</t>
        </is>
      </c>
      <c r="C189" s="31" t="inlineStr">
        <is>
          <t>transportation</t>
        </is>
      </c>
      <c r="D189" s="31" t="inlineStr">
        <is>
          <t>shipping</t>
        </is>
      </c>
      <c r="E189" s="31" t="inlineStr">
        <is>
          <t>midcap</t>
        </is>
      </c>
      <c r="F189" s="31" t="n">
        <v>11257.65</v>
      </c>
      <c r="G189" s="31" t="n">
        <v>691</v>
      </c>
      <c r="H189" s="31" t="n">
        <v>0.12</v>
      </c>
      <c r="I189" s="31" t="n">
        <v>1140193</v>
      </c>
      <c r="J189" s="31" t="inlineStr">
        <is>
          <t>544490</t>
        </is>
      </c>
    </row>
    <row r="190">
      <c r="A190" s="31" t="inlineStr">
        <is>
          <t>ANANDRATHI</t>
        </is>
      </c>
      <c r="B190" s="31" t="inlineStr">
        <is>
          <t>Anand Rathi Wealth Ltd</t>
        </is>
      </c>
      <c r="C190" s="31" t="inlineStr">
        <is>
          <t>financials</t>
        </is>
      </c>
      <c r="D190" s="31" t="inlineStr">
        <is>
          <t>finance &amp; investments</t>
        </is>
      </c>
      <c r="E190" s="31" t="inlineStr">
        <is>
          <t>largecap</t>
        </is>
      </c>
      <c r="F190" s="31" t="n">
        <v>36651.95</v>
      </c>
      <c r="G190" s="31" t="n">
        <v>2207.4</v>
      </c>
      <c r="H190" s="31" t="n">
        <v>0.05</v>
      </c>
      <c r="I190" s="31" t="n">
        <v>140743</v>
      </c>
      <c r="J190" s="31" t="inlineStr">
        <is>
          <t>543415</t>
        </is>
      </c>
    </row>
    <row r="191">
      <c r="A191" s="31" t="inlineStr">
        <is>
          <t>VSSL</t>
        </is>
      </c>
      <c r="B191" s="31" t="inlineStr">
        <is>
          <t>Vardhman Special Steels Limited</t>
        </is>
      </c>
      <c r="C191" s="31" t="inlineStr">
        <is>
          <t>metals &amp; mining</t>
        </is>
      </c>
      <c r="D191" s="31" t="inlineStr">
        <is>
          <t>steel - medium / small</t>
        </is>
      </c>
      <c r="E191" s="31" t="inlineStr">
        <is>
          <t>smallcap</t>
        </is>
      </c>
      <c r="F191" s="31" t="n">
        <v>3925.92</v>
      </c>
      <c r="G191" s="31" t="n">
        <v>406.05</v>
      </c>
      <c r="H191" s="31" t="n">
        <v>0.05</v>
      </c>
      <c r="I191" s="31" t="n">
        <v>475918</v>
      </c>
      <c r="J191" s="31" t="inlineStr">
        <is>
          <t>534392</t>
        </is>
      </c>
    </row>
    <row r="192">
      <c r="A192" s="31" t="inlineStr">
        <is>
          <t>RBLBANK</t>
        </is>
      </c>
      <c r="B192" s="31" t="inlineStr">
        <is>
          <t>Rbl Bank Limited</t>
        </is>
      </c>
      <c r="C192" s="31" t="inlineStr">
        <is>
          <t>bank</t>
        </is>
      </c>
      <c r="D192" s="31" t="inlineStr">
        <is>
          <t>banks - private sector</t>
        </is>
      </c>
      <c r="E192" s="31" t="inlineStr">
        <is>
          <t>largecap</t>
        </is>
      </c>
      <c r="F192" s="31" t="n">
        <v>62584.97</v>
      </c>
      <c r="G192" s="31" t="n">
        <v>404.15</v>
      </c>
      <c r="H192" s="31" t="n">
        <v>0.04</v>
      </c>
      <c r="I192" s="31" t="n">
        <v>2254458</v>
      </c>
      <c r="J192" s="31" t="inlineStr">
        <is>
          <t>540065</t>
        </is>
      </c>
    </row>
    <row r="193">
      <c r="A193" s="31" t="inlineStr">
        <is>
          <t>KAPSTON</t>
        </is>
      </c>
      <c r="B193" s="31" t="inlineStr">
        <is>
          <t>Kapston Services Ltd</t>
        </is>
      </c>
      <c r="C193" s="31" t="inlineStr">
        <is>
          <t>miscellaneous</t>
        </is>
      </c>
      <c r="D193" s="31" t="inlineStr">
        <is>
          <t>miscellaneous</t>
        </is>
      </c>
      <c r="E193" s="31" t="inlineStr">
        <is>
          <t>smallcap</t>
        </is>
      </c>
      <c r="F193" s="31" t="n">
        <v>1756.85</v>
      </c>
      <c r="G193" s="31" t="n">
        <v>577.3</v>
      </c>
      <c r="H193" s="31" t="n">
        <v>0.03</v>
      </c>
      <c r="I193" s="31" t="n">
        <v>50003</v>
      </c>
      <c r="J193" s="31" t="inlineStr">
        <is>
          <t>535064</t>
        </is>
      </c>
    </row>
    <row r="194">
      <c r="A194" s="31" t="inlineStr">
        <is>
          <t>DEEPINDS</t>
        </is>
      </c>
      <c r="B194" s="31" t="inlineStr">
        <is>
          <t>Deep Industries Ltd</t>
        </is>
      </c>
      <c r="C194" s="31" t="inlineStr">
        <is>
          <t>energy</t>
        </is>
      </c>
      <c r="D194" s="31" t="inlineStr">
        <is>
          <t>oil drilling / allied services</t>
        </is>
      </c>
      <c r="E194" s="31" t="inlineStr">
        <is>
          <t>smallcap</t>
        </is>
      </c>
      <c r="F194" s="31" t="n">
        <v>4702.08</v>
      </c>
      <c r="G194" s="31" t="n">
        <v>734.7</v>
      </c>
      <c r="H194" s="31" t="n">
        <v>-0.06</v>
      </c>
      <c r="I194" s="31" t="n">
        <v>219051</v>
      </c>
      <c r="J194" s="31" t="inlineStr">
        <is>
          <t>543288</t>
        </is>
      </c>
    </row>
    <row r="195">
      <c r="A195" s="31" t="inlineStr">
        <is>
          <t>GCSL</t>
        </is>
      </c>
      <c r="B195" s="31" t="inlineStr">
        <is>
          <t>Gretex Corporate Services Ltd</t>
        </is>
      </c>
      <c r="C195" s="31" t="inlineStr">
        <is>
          <t>financials</t>
        </is>
      </c>
      <c r="D195" s="31" t="inlineStr">
        <is>
          <t>finance &amp; investments</t>
        </is>
      </c>
      <c r="E195" s="31" t="inlineStr">
        <is>
          <t>smallcap</t>
        </is>
      </c>
      <c r="F195" s="31" t="n">
        <v>1435.91</v>
      </c>
      <c r="G195" s="31" t="n">
        <v>594.35</v>
      </c>
      <c r="H195" s="31" t="n">
        <v>-0.07000000000000001</v>
      </c>
      <c r="I195" s="31" t="n">
        <v>611511</v>
      </c>
      <c r="J195" s="31" t="inlineStr">
        <is>
          <t>543324</t>
        </is>
      </c>
    </row>
    <row r="196">
      <c r="A196" s="31" t="inlineStr">
        <is>
          <t>KILITCH</t>
        </is>
      </c>
      <c r="B196" s="31" t="inlineStr">
        <is>
          <t>Kilitch Drugs (india) Limited</t>
        </is>
      </c>
      <c r="C196" s="31" t="inlineStr">
        <is>
          <t>healthcare</t>
        </is>
      </c>
      <c r="D196" s="31" t="inlineStr">
        <is>
          <t>pharmaceuticals - indian - formulations</t>
        </is>
      </c>
      <c r="E196" s="31" t="inlineStr">
        <is>
          <t>smallcap</t>
        </is>
      </c>
      <c r="F196" s="31" t="n">
        <v>659.62</v>
      </c>
      <c r="G196" s="31" t="n">
        <v>188.67</v>
      </c>
      <c r="H196" s="31" t="n">
        <v>-0.08</v>
      </c>
      <c r="I196" s="31" t="n">
        <v>18618</v>
      </c>
      <c r="J196" s="31" t="inlineStr">
        <is>
          <t>524500</t>
        </is>
      </c>
    </row>
    <row r="197">
      <c r="A197" s="31" t="inlineStr">
        <is>
          <t>MANALIPETC</t>
        </is>
      </c>
      <c r="B197" s="31" t="inlineStr">
        <is>
          <t>Manali Petrochemicals Limited</t>
        </is>
      </c>
      <c r="C197" s="31" t="inlineStr">
        <is>
          <t>energy</t>
        </is>
      </c>
      <c r="D197" s="31" t="inlineStr">
        <is>
          <t>petrochemicals</t>
        </is>
      </c>
      <c r="E197" s="31" t="inlineStr">
        <is>
          <t>smallcap</t>
        </is>
      </c>
      <c r="F197" s="31" t="n">
        <v>1415.55</v>
      </c>
      <c r="G197" s="31" t="n">
        <v>82.3</v>
      </c>
      <c r="H197" s="31" t="n">
        <v>-0.09</v>
      </c>
      <c r="I197" s="31" t="n">
        <v>892492</v>
      </c>
      <c r="J197" s="31" t="inlineStr">
        <is>
          <t>500268</t>
        </is>
      </c>
    </row>
    <row r="198">
      <c r="A198" s="31" t="inlineStr">
        <is>
          <t>GOODLUCK</t>
        </is>
      </c>
      <c r="B198" s="31" t="inlineStr">
        <is>
          <t>Goodluck India Limited</t>
        </is>
      </c>
      <c r="C198" s="31" t="inlineStr">
        <is>
          <t>metals &amp; mining</t>
        </is>
      </c>
      <c r="D198" s="31" t="inlineStr">
        <is>
          <t>steel - medium / small</t>
        </is>
      </c>
      <c r="E198" s="31" t="inlineStr">
        <is>
          <t>midcap</t>
        </is>
      </c>
      <c r="F198" s="31" t="n">
        <v>5083</v>
      </c>
      <c r="G198" s="31" t="n">
        <v>509.75</v>
      </c>
      <c r="H198" s="31" t="n">
        <v>-0.11</v>
      </c>
      <c r="I198" s="31" t="n">
        <v>344280</v>
      </c>
      <c r="J198" s="31" t="inlineStr">
        <is>
          <t>530655</t>
        </is>
      </c>
    </row>
    <row r="199">
      <c r="A199" s="31" t="inlineStr">
        <is>
          <t>FCL</t>
        </is>
      </c>
      <c r="B199" s="31" t="inlineStr">
        <is>
          <t>Fineotex Chemical Limited</t>
        </is>
      </c>
      <c r="C199" s="31" t="inlineStr">
        <is>
          <t>chemicals</t>
        </is>
      </c>
      <c r="D199" s="31" t="inlineStr">
        <is>
          <t>chemicals</t>
        </is>
      </c>
      <c r="E199" s="31" t="inlineStr">
        <is>
          <t>midcap</t>
        </is>
      </c>
      <c r="F199" s="31" t="n">
        <v>6170.69</v>
      </c>
      <c r="G199" s="31" t="n">
        <v>52.99</v>
      </c>
      <c r="H199" s="31" t="n">
        <v>-0.15</v>
      </c>
      <c r="I199" s="31" t="n">
        <v>15008357</v>
      </c>
      <c r="J199" s="31" t="inlineStr">
        <is>
          <t>533333</t>
        </is>
      </c>
    </row>
    <row r="200">
      <c r="A200" s="31" t="inlineStr">
        <is>
          <t>TNPETRO</t>
        </is>
      </c>
      <c r="B200" s="31" t="inlineStr">
        <is>
          <t>Tamilnadu Petroproducts Limited</t>
        </is>
      </c>
      <c r="C200" s="31" t="inlineStr">
        <is>
          <t>energy</t>
        </is>
      </c>
      <c r="D200" s="31" t="inlineStr">
        <is>
          <t>petrochemicals</t>
        </is>
      </c>
      <c r="E200" s="31" t="inlineStr">
        <is>
          <t>smallcap</t>
        </is>
      </c>
      <c r="F200" s="31" t="n">
        <v>1145.7</v>
      </c>
      <c r="G200" s="31" t="n">
        <v>127.34</v>
      </c>
      <c r="H200" s="31" t="n">
        <v>-0.3</v>
      </c>
      <c r="I200" s="31" t="n">
        <v>902146</v>
      </c>
      <c r="J200" s="31" t="inlineStr">
        <is>
          <t>500777</t>
        </is>
      </c>
    </row>
    <row r="201">
      <c r="A201" s="31" t="inlineStr">
        <is>
          <t>CUPID</t>
        </is>
      </c>
      <c r="B201" s="31" t="inlineStr">
        <is>
          <t>Cupid Limited</t>
        </is>
      </c>
      <c r="C201" s="31" t="inlineStr">
        <is>
          <t>fmcg</t>
        </is>
      </c>
      <c r="D201" s="31" t="inlineStr">
        <is>
          <t>personal care - indian</t>
        </is>
      </c>
      <c r="E201" s="31" t="inlineStr">
        <is>
          <t>largecap</t>
        </is>
      </c>
      <c r="F201" s="31" t="n">
        <v>37536.2</v>
      </c>
      <c r="G201" s="31" t="n">
        <v>279.15</v>
      </c>
      <c r="H201" s="31" t="n">
        <v>-0.3</v>
      </c>
      <c r="I201" s="31" t="n">
        <v>5922526</v>
      </c>
      <c r="J201" s="31" t="inlineStr">
        <is>
          <t>530843</t>
        </is>
      </c>
    </row>
    <row r="202">
      <c r="A202" s="31" t="inlineStr">
        <is>
          <t>TATACOMM</t>
        </is>
      </c>
      <c r="B202" s="31" t="inlineStr">
        <is>
          <t>Tata Communications Limited</t>
        </is>
      </c>
      <c r="C202" s="31" t="inlineStr">
        <is>
          <t>telecom-service</t>
        </is>
      </c>
      <c r="D202" s="31" t="inlineStr">
        <is>
          <t>telecommunications - service provider</t>
        </is>
      </c>
      <c r="E202" s="31" t="inlineStr">
        <is>
          <t>largecap</t>
        </is>
      </c>
      <c r="F202" s="31" t="n">
        <v>51063.6</v>
      </c>
      <c r="G202" s="31" t="n">
        <v>1791.6</v>
      </c>
      <c r="H202" s="31" t="n">
        <v>-0.43</v>
      </c>
      <c r="I202" s="31" t="n">
        <v>310186</v>
      </c>
      <c r="J202" s="31" t="inlineStr">
        <is>
          <t>500483</t>
        </is>
      </c>
    </row>
    <row r="203">
      <c r="A203" s="31" t="inlineStr">
        <is>
          <t>IONEXCHANG</t>
        </is>
      </c>
      <c r="B203" s="31" t="inlineStr">
        <is>
          <t>Ion Exchange (India) Ltd</t>
        </is>
      </c>
      <c r="C203" s="31" t="inlineStr">
        <is>
          <t>realty</t>
        </is>
      </c>
      <c r="D203" s="31" t="inlineStr">
        <is>
          <t>engineering - turnkey services</t>
        </is>
      </c>
      <c r="E203" s="31" t="inlineStr">
        <is>
          <t>midcap</t>
        </is>
      </c>
      <c r="F203" s="31" t="n">
        <v>6223.8</v>
      </c>
      <c r="G203" s="31" t="n">
        <v>424.35</v>
      </c>
      <c r="H203" s="31" t="n">
        <v>-0.45</v>
      </c>
      <c r="I203" s="31" t="n">
        <v>260929</v>
      </c>
      <c r="J203" s="31" t="inlineStr">
        <is>
          <t>500214</t>
        </is>
      </c>
    </row>
    <row r="204">
      <c r="A204" s="31" t="inlineStr">
        <is>
          <t>MATRIMONY</t>
        </is>
      </c>
      <c r="B204" s="31" t="inlineStr">
        <is>
          <t>Matrimony.com Ltd</t>
        </is>
      </c>
      <c r="C204" s="31" t="inlineStr">
        <is>
          <t>miscellaneous</t>
        </is>
      </c>
      <c r="D204" s="31" t="inlineStr">
        <is>
          <t>miscellaneous</t>
        </is>
      </c>
      <c r="E204" s="31" t="inlineStr">
        <is>
          <t>smallcap</t>
        </is>
      </c>
      <c r="F204" s="31" t="n">
        <v>1097.34</v>
      </c>
      <c r="G204" s="31" t="n">
        <v>530.8</v>
      </c>
      <c r="H204" s="31" t="n">
        <v>-0.49</v>
      </c>
      <c r="I204" s="31" t="n">
        <v>32549</v>
      </c>
      <c r="J204" s="31" t="inlineStr">
        <is>
          <t>540704</t>
        </is>
      </c>
    </row>
    <row r="205">
      <c r="A205" s="31" t="inlineStr">
        <is>
          <t>MGEL</t>
        </is>
      </c>
      <c r="B205" s="31" t="inlineStr">
        <is>
          <t>Mangalam Global Enterprise Ltd</t>
        </is>
      </c>
      <c r="C205" s="31" t="inlineStr">
        <is>
          <t>services</t>
        </is>
      </c>
      <c r="D205" s="31" t="inlineStr">
        <is>
          <t>trading</t>
        </is>
      </c>
      <c r="E205" s="31" t="inlineStr">
        <is>
          <t>smallcap</t>
        </is>
      </c>
      <c r="F205" s="31" t="n">
        <v>511.47</v>
      </c>
      <c r="G205" s="31" t="n">
        <v>15.52</v>
      </c>
      <c r="H205" s="31" t="n">
        <v>-0.51</v>
      </c>
      <c r="I205" s="31" t="n">
        <v>2126371</v>
      </c>
      <c r="J205" s="31" t="inlineStr">
        <is>
          <t>535349</t>
        </is>
      </c>
    </row>
    <row r="206">
      <c r="A206" s="31" t="inlineStr">
        <is>
          <t>SSWL</t>
        </is>
      </c>
      <c r="B206" s="31" t="inlineStr">
        <is>
          <t>Steel Strips Wheels Limited</t>
        </is>
      </c>
      <c r="C206" s="31" t="inlineStr">
        <is>
          <t>auto</t>
        </is>
      </c>
      <c r="D206" s="31" t="inlineStr">
        <is>
          <t>auto ancillaries</t>
        </is>
      </c>
      <c r="E206" s="31" t="inlineStr">
        <is>
          <t>midcap</t>
        </is>
      </c>
      <c r="F206" s="31" t="n">
        <v>5473.81</v>
      </c>
      <c r="G206" s="31" t="n">
        <v>348.25</v>
      </c>
      <c r="H206" s="31" t="n">
        <v>-0.51</v>
      </c>
      <c r="I206" s="31" t="n">
        <v>440929</v>
      </c>
      <c r="J206" s="31" t="inlineStr">
        <is>
          <t>513262</t>
        </is>
      </c>
    </row>
    <row r="207">
      <c r="A207" s="31" t="inlineStr">
        <is>
          <t>ARROWGREEN</t>
        </is>
      </c>
      <c r="B207" s="31" t="inlineStr">
        <is>
          <t>Arrow Greentech Limited</t>
        </is>
      </c>
      <c r="C207" s="31" t="inlineStr">
        <is>
          <t>plastic products</t>
        </is>
      </c>
      <c r="D207" s="31" t="inlineStr">
        <is>
          <t>plastics products</t>
        </is>
      </c>
      <c r="E207" s="31" t="inlineStr">
        <is>
          <t>smallcap</t>
        </is>
      </c>
      <c r="F207" s="31" t="n">
        <v>1361.69</v>
      </c>
      <c r="G207" s="31" t="n">
        <v>902.5</v>
      </c>
      <c r="H207" s="31" t="n">
        <v>-0.55</v>
      </c>
      <c r="I207" s="31" t="n">
        <v>57165</v>
      </c>
      <c r="J207" s="31" t="inlineStr">
        <is>
          <t>516064</t>
        </is>
      </c>
    </row>
    <row r="208">
      <c r="A208" s="31" t="inlineStr">
        <is>
          <t>COMSYN</t>
        </is>
      </c>
      <c r="B208" s="31" t="inlineStr">
        <is>
          <t>Commercial Syn Bags Ltd</t>
        </is>
      </c>
      <c r="C208" s="31" t="inlineStr">
        <is>
          <t>industrials</t>
        </is>
      </c>
      <c r="D208" s="31" t="inlineStr">
        <is>
          <t>packaging</t>
        </is>
      </c>
      <c r="E208" s="31" t="inlineStr">
        <is>
          <t>smallcap</t>
        </is>
      </c>
      <c r="F208" s="31" t="n">
        <v>1181.94</v>
      </c>
      <c r="G208" s="31" t="n">
        <v>293</v>
      </c>
      <c r="H208" s="31" t="n">
        <v>-0.59</v>
      </c>
      <c r="I208" s="31" t="n">
        <v>117045</v>
      </c>
      <c r="J208" s="31" t="inlineStr">
        <is>
          <t>539986</t>
        </is>
      </c>
    </row>
    <row r="209">
      <c r="A209" s="31" t="inlineStr">
        <is>
          <t>VARROC</t>
        </is>
      </c>
      <c r="B209" s="31" t="inlineStr">
        <is>
          <t>Varroc Engineering Ltd</t>
        </is>
      </c>
      <c r="C209" s="31" t="inlineStr">
        <is>
          <t>auto</t>
        </is>
      </c>
      <c r="D209" s="31" t="inlineStr">
        <is>
          <t>auto ancillaries</t>
        </is>
      </c>
      <c r="E209" s="31" t="inlineStr">
        <is>
          <t>midcap</t>
        </is>
      </c>
      <c r="F209" s="31" t="n">
        <v>12928.02</v>
      </c>
      <c r="G209" s="31" t="n">
        <v>846.15</v>
      </c>
      <c r="H209" s="31" t="n">
        <v>-0.59</v>
      </c>
      <c r="I209" s="31" t="n">
        <v>199305</v>
      </c>
      <c r="J209" s="31" t="inlineStr">
        <is>
          <t>541578</t>
        </is>
      </c>
    </row>
    <row r="210">
      <c r="A210" s="31" t="inlineStr">
        <is>
          <t>ARIES</t>
        </is>
      </c>
      <c r="B210" s="31" t="inlineStr">
        <is>
          <t>Aries Agro Limited</t>
        </is>
      </c>
      <c r="C210" s="31" t="inlineStr">
        <is>
          <t>chemicals</t>
        </is>
      </c>
      <c r="D210" s="31" t="inlineStr">
        <is>
          <t>fertilizers</t>
        </is>
      </c>
      <c r="E210" s="31" t="inlineStr">
        <is>
          <t>smallcap</t>
        </is>
      </c>
      <c r="F210" s="31" t="n">
        <v>621.09</v>
      </c>
      <c r="G210" s="31" t="n">
        <v>477.6</v>
      </c>
      <c r="H210" s="31" t="n">
        <v>-0.64</v>
      </c>
      <c r="I210" s="31" t="n">
        <v>7757</v>
      </c>
      <c r="J210" s="31" t="inlineStr">
        <is>
          <t>532935</t>
        </is>
      </c>
    </row>
    <row r="211">
      <c r="A211" s="31" t="inlineStr">
        <is>
          <t>DCBBANK</t>
        </is>
      </c>
      <c r="B211" s="31" t="inlineStr">
        <is>
          <t>Dcb Bank Limited</t>
        </is>
      </c>
      <c r="C211" s="31" t="inlineStr">
        <is>
          <t>bank</t>
        </is>
      </c>
      <c r="D211" s="31" t="inlineStr">
        <is>
          <t>banks - private sector</t>
        </is>
      </c>
      <c r="E211" s="31" t="inlineStr">
        <is>
          <t>midcap</t>
        </is>
      </c>
      <c r="F211" s="31" t="n">
        <v>7037.71</v>
      </c>
      <c r="G211" s="31" t="n">
        <v>218.51</v>
      </c>
      <c r="H211" s="31" t="n">
        <v>-0.65</v>
      </c>
      <c r="I211" s="31" t="n">
        <v>911516</v>
      </c>
      <c r="J211" s="31" t="inlineStr">
        <is>
          <t>532772</t>
        </is>
      </c>
    </row>
    <row r="212">
      <c r="A212" s="31" t="inlineStr">
        <is>
          <t>KANORICHEM</t>
        </is>
      </c>
      <c r="B212" s="31" t="inlineStr">
        <is>
          <t>Kanoria Chemicals &amp; Industries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smallcap</t>
        </is>
      </c>
      <c r="F212" s="31" t="n">
        <v>811.5599999999999</v>
      </c>
      <c r="G212" s="31" t="n">
        <v>185.74</v>
      </c>
      <c r="H212" s="31" t="n">
        <v>-0.66</v>
      </c>
      <c r="I212" s="31" t="n">
        <v>71591</v>
      </c>
      <c r="J212" s="31" t="inlineStr">
        <is>
          <t>506525</t>
        </is>
      </c>
    </row>
    <row r="213">
      <c r="A213" s="31" t="inlineStr">
        <is>
          <t>AKUMS</t>
        </is>
      </c>
      <c r="B213" s="31" t="inlineStr">
        <is>
          <t>Akums Drugs &amp; Pharmaceuticals Ltd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midcap</t>
        </is>
      </c>
      <c r="F213" s="31" t="n">
        <v>12067.4</v>
      </c>
      <c r="G213" s="31" t="n">
        <v>766.7</v>
      </c>
      <c r="H213" s="31" t="n">
        <v>-0.6899999999999999</v>
      </c>
      <c r="I213" s="31" t="n">
        <v>216030</v>
      </c>
      <c r="J213" s="31" t="inlineStr">
        <is>
          <t>544222</t>
        </is>
      </c>
    </row>
    <row r="214">
      <c r="A214" s="31" t="inlineStr">
        <is>
          <t>CONSOFINVT</t>
        </is>
      </c>
      <c r="B214" s="31" t="inlineStr">
        <is>
          <t>Consolidated Finvest &amp; Holdings Limited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971.73</v>
      </c>
      <c r="G214" s="31" t="n">
        <v>300.6</v>
      </c>
      <c r="H214" s="31" t="n">
        <v>-0.84</v>
      </c>
      <c r="I214" s="31" t="n">
        <v>6754</v>
      </c>
      <c r="J214" s="31" t="inlineStr">
        <is>
          <t>500226</t>
        </is>
      </c>
    </row>
    <row r="215">
      <c r="A215" s="31" t="inlineStr">
        <is>
          <t>RUBYMILLS</t>
        </is>
      </c>
      <c r="B215" s="31" t="inlineStr">
        <is>
          <t>The Ruby Mills Limited</t>
        </is>
      </c>
      <c r="C215" s="31" t="inlineStr">
        <is>
          <t>textiles</t>
        </is>
      </c>
      <c r="D215" s="31" t="inlineStr">
        <is>
          <t>textiles - composite</t>
        </is>
      </c>
      <c r="E215" s="31" t="inlineStr">
        <is>
          <t>smallcap</t>
        </is>
      </c>
      <c r="F215" s="31" t="n">
        <v>1530.21</v>
      </c>
      <c r="G215" s="31" t="n">
        <v>457.6</v>
      </c>
      <c r="H215" s="31" t="n">
        <v>-0.97</v>
      </c>
      <c r="I215" s="31" t="n">
        <v>25178</v>
      </c>
      <c r="J215" s="31" t="inlineStr">
        <is>
          <t>503169</t>
        </is>
      </c>
    </row>
    <row r="216">
      <c r="A216" s="31" t="inlineStr">
        <is>
          <t>YUKEN</t>
        </is>
      </c>
      <c r="B216" s="31" t="inlineStr">
        <is>
          <t>Yuken India Ltd</t>
        </is>
      </c>
      <c r="C216" s="31" t="inlineStr">
        <is>
          <t>industrials</t>
        </is>
      </c>
      <c r="D216" s="31" t="inlineStr">
        <is>
          <t>engineering</t>
        </is>
      </c>
      <c r="E216" s="31" t="inlineStr">
        <is>
          <t>smallcap</t>
        </is>
      </c>
      <c r="F216" s="31" t="n">
        <v>1525.62</v>
      </c>
      <c r="G216" s="31" t="n">
        <v>1123.1</v>
      </c>
      <c r="H216" s="31" t="n">
        <v>-1.04</v>
      </c>
      <c r="I216" s="31" t="n">
        <v>21238</v>
      </c>
      <c r="J216" s="31" t="inlineStr">
        <is>
          <t>522108</t>
        </is>
      </c>
    </row>
    <row r="217">
      <c r="A217" s="31" t="inlineStr">
        <is>
          <t>SPECTRUM</t>
        </is>
      </c>
      <c r="B217" s="31" t="inlineStr">
        <is>
          <t>Spectrum Electrical Industries Ltd</t>
        </is>
      </c>
      <c r="C217" s="31" t="inlineStr">
        <is>
          <t>industrials</t>
        </is>
      </c>
      <c r="D217" s="31" t="inlineStr">
        <is>
          <t>electric equipment</t>
        </is>
      </c>
      <c r="E217" s="31" t="inlineStr">
        <is>
          <t>smallcap</t>
        </is>
      </c>
      <c r="F217" s="31" t="n">
        <v>4793.35</v>
      </c>
      <c r="G217" s="31" t="n">
        <v>3050.4</v>
      </c>
      <c r="H217" s="31" t="n">
        <v>-1.08</v>
      </c>
      <c r="I217" s="31" t="n">
        <v>9635</v>
      </c>
      <c r="J217" s="31" t="inlineStr">
        <is>
          <t>535112</t>
        </is>
      </c>
    </row>
    <row r="218">
      <c r="A218" s="31" t="inlineStr">
        <is>
          <t>FOSECOIND</t>
        </is>
      </c>
      <c r="B218" s="31" t="inlineStr">
        <is>
          <t>Foseco India Limited</t>
        </is>
      </c>
      <c r="C218" s="31" t="inlineStr">
        <is>
          <t>chemicals</t>
        </is>
      </c>
      <c r="D218" s="31" t="inlineStr">
        <is>
          <t>chemicals</t>
        </is>
      </c>
      <c r="E218" s="31" t="inlineStr">
        <is>
          <t>midcap</t>
        </is>
      </c>
      <c r="F218" s="31" t="n">
        <v>5099.33</v>
      </c>
      <c r="G218" s="31" t="n">
        <v>6765.5</v>
      </c>
      <c r="H218" s="31" t="n">
        <v>-1.18</v>
      </c>
      <c r="I218" s="31" t="n">
        <v>292524</v>
      </c>
      <c r="J218" s="31" t="inlineStr">
        <is>
          <t>500150</t>
        </is>
      </c>
    </row>
    <row r="219">
      <c r="A219" s="31" t="inlineStr">
        <is>
          <t>BLACKBUCK</t>
        </is>
      </c>
      <c r="B219" s="31" t="inlineStr">
        <is>
          <t>BlackBuck Ltd</t>
        </is>
      </c>
      <c r="C219" s="31" t="inlineStr">
        <is>
          <t>transportation</t>
        </is>
      </c>
      <c r="D219" s="31" t="inlineStr">
        <is>
          <t>miscellaneous</t>
        </is>
      </c>
      <c r="E219" s="31" t="inlineStr">
        <is>
          <t>midcap</t>
        </is>
      </c>
      <c r="F219" s="31" t="n">
        <v>11137.77</v>
      </c>
      <c r="G219" s="31" t="n">
        <v>611.5</v>
      </c>
      <c r="H219" s="31" t="n">
        <v>-1.22</v>
      </c>
      <c r="I219" s="31" t="n">
        <v>549356</v>
      </c>
      <c r="J219" s="31" t="inlineStr">
        <is>
          <t>544288</t>
        </is>
      </c>
    </row>
    <row r="220">
      <c r="A220" s="31" t="inlineStr">
        <is>
          <t>BIL</t>
        </is>
      </c>
      <c r="B220" s="31" t="inlineStr">
        <is>
          <t>Bhartiya International Limited</t>
        </is>
      </c>
      <c r="C220" s="31" t="inlineStr">
        <is>
          <t>consumer discretionary</t>
        </is>
      </c>
      <c r="D220" s="31" t="inlineStr">
        <is>
          <t>leather / leather products</t>
        </is>
      </c>
      <c r="E220" s="31" t="inlineStr">
        <is>
          <t>smallcap</t>
        </is>
      </c>
      <c r="F220" s="31" t="n">
        <v>1372.49</v>
      </c>
      <c r="G220" s="31" t="n">
        <v>1023.45</v>
      </c>
      <c r="H220" s="31" t="n">
        <v>-1.24</v>
      </c>
      <c r="I220" s="31" t="n">
        <v>7093</v>
      </c>
      <c r="J220" s="31" t="inlineStr">
        <is>
          <t>526666</t>
        </is>
      </c>
    </row>
    <row r="221">
      <c r="A221" s="31" t="inlineStr">
        <is>
          <t>RACLGEAR</t>
        </is>
      </c>
      <c r="B221" s="31" t="inlineStr">
        <is>
          <t>RACL Geartech Ltd</t>
        </is>
      </c>
      <c r="C221" s="31" t="inlineStr">
        <is>
          <t>auto</t>
        </is>
      </c>
      <c r="D221" s="31" t="inlineStr">
        <is>
          <t>auto ancillaries</t>
        </is>
      </c>
      <c r="E221" s="31" t="inlineStr">
        <is>
          <t>smallcap</t>
        </is>
      </c>
      <c r="F221" s="31" t="n">
        <v>2156.04</v>
      </c>
      <c r="G221" s="31" t="n">
        <v>1829</v>
      </c>
      <c r="H221" s="31" t="n">
        <v>-1.26</v>
      </c>
      <c r="I221" s="31" t="n">
        <v>133875</v>
      </c>
      <c r="J221" s="31" t="inlineStr">
        <is>
          <t>520073</t>
        </is>
      </c>
    </row>
    <row r="222">
      <c r="A222" s="31" t="inlineStr">
        <is>
          <t>EIMCOELECO</t>
        </is>
      </c>
      <c r="B222" s="31" t="inlineStr">
        <is>
          <t>Eimco Elecon (india) Limited</t>
        </is>
      </c>
      <c r="C222" s="31" t="inlineStr">
        <is>
          <t>industrials</t>
        </is>
      </c>
      <c r="D222" s="31" t="inlineStr">
        <is>
          <t>engineering</t>
        </is>
      </c>
      <c r="E222" s="31" t="inlineStr">
        <is>
          <t>smallcap</t>
        </is>
      </c>
      <c r="F222" s="31" t="n">
        <v>1296.39</v>
      </c>
      <c r="G222" s="31" t="n">
        <v>2247.4</v>
      </c>
      <c r="H222" s="31" t="n">
        <v>-1.3</v>
      </c>
      <c r="I222" s="31" t="n">
        <v>17329</v>
      </c>
      <c r="J222" s="31" t="inlineStr">
        <is>
          <t>523708</t>
        </is>
      </c>
    </row>
    <row r="223">
      <c r="A223" s="31" t="inlineStr">
        <is>
          <t>GLOBAL</t>
        </is>
      </c>
      <c r="B223" s="31" t="inlineStr">
        <is>
          <t>Global Education Ltd</t>
        </is>
      </c>
      <c r="C223" s="31" t="inlineStr">
        <is>
          <t>services</t>
        </is>
      </c>
      <c r="D223" s="31" t="inlineStr">
        <is>
          <t>miscellaneous</t>
        </is>
      </c>
      <c r="E223" s="31" t="inlineStr">
        <is>
          <t>smallcap</t>
        </is>
      </c>
      <c r="F223" s="31" t="n">
        <v>647.3099999999999</v>
      </c>
      <c r="G223" s="31" t="n">
        <v>127.17</v>
      </c>
      <c r="H223" s="31" t="n">
        <v>-1.33</v>
      </c>
      <c r="I223" s="31" t="n">
        <v>171103</v>
      </c>
      <c r="J223" s="31" t="inlineStr">
        <is>
          <t>538406</t>
        </is>
      </c>
    </row>
    <row r="224">
      <c r="A224" s="31" t="inlineStr">
        <is>
          <t>LOTUSDEV</t>
        </is>
      </c>
      <c r="B224" s="31" t="inlineStr">
        <is>
          <t>Sri Lotus Developers &amp; Realty Ltd</t>
        </is>
      </c>
      <c r="C224" s="31" t="inlineStr">
        <is>
          <t>realty</t>
        </is>
      </c>
      <c r="D224" s="31" t="inlineStr">
        <is>
          <t>construction</t>
        </is>
      </c>
      <c r="E224" s="31" t="inlineStr">
        <is>
          <t>midcap</t>
        </is>
      </c>
      <c r="F224" s="31" t="n">
        <v>10428.88</v>
      </c>
      <c r="G224" s="31" t="n">
        <v>213.39</v>
      </c>
      <c r="H224" s="31" t="n">
        <v>-1.39</v>
      </c>
      <c r="I224" s="31" t="n">
        <v>883019</v>
      </c>
      <c r="J224" s="31" t="inlineStr">
        <is>
          <t>544469</t>
        </is>
      </c>
    </row>
    <row r="225">
      <c r="A225" s="31" t="inlineStr">
        <is>
          <t>EMUDHRA</t>
        </is>
      </c>
      <c r="B225" s="31" t="inlineStr">
        <is>
          <t>eMudhra Ltd</t>
        </is>
      </c>
      <c r="C225" s="31" t="inlineStr">
        <is>
          <t>i.t</t>
        </is>
      </c>
      <c r="D225" s="31" t="inlineStr">
        <is>
          <t>computers - software - medium / small</t>
        </is>
      </c>
      <c r="E225" s="31" t="inlineStr">
        <is>
          <t>midcap</t>
        </is>
      </c>
      <c r="F225" s="31" t="n">
        <v>5244.88</v>
      </c>
      <c r="G225" s="31" t="n">
        <v>633.35</v>
      </c>
      <c r="H225" s="31" t="n">
        <v>-1.39</v>
      </c>
      <c r="I225" s="31" t="n">
        <v>4759356</v>
      </c>
      <c r="J225" s="31" t="inlineStr">
        <is>
          <t>543533</t>
        </is>
      </c>
    </row>
    <row r="226">
      <c r="A226" s="31" t="inlineStr">
        <is>
          <t>PAYTM</t>
        </is>
      </c>
      <c r="B226" s="31" t="inlineStr">
        <is>
          <t>One 97 Communications Ltd</t>
        </is>
      </c>
      <c r="C226" s="31" t="inlineStr">
        <is>
          <t>i.t</t>
        </is>
      </c>
      <c r="D226" s="31" t="inlineStr">
        <is>
          <t>miscellaneous</t>
        </is>
      </c>
      <c r="E226" s="31" t="inlineStr">
        <is>
          <t>largecap</t>
        </is>
      </c>
      <c r="F226" s="31" t="n">
        <v>112891.41</v>
      </c>
      <c r="G226" s="31" t="n">
        <v>1763</v>
      </c>
      <c r="H226" s="31" t="n">
        <v>-1.51</v>
      </c>
      <c r="I226" s="31" t="n">
        <v>4085951</v>
      </c>
      <c r="J226" s="31" t="inlineStr">
        <is>
          <t>543396</t>
        </is>
      </c>
    </row>
    <row r="227">
      <c r="A227" s="31" t="inlineStr">
        <is>
          <t>RAYMOND</t>
        </is>
      </c>
      <c r="B227" s="31" t="inlineStr">
        <is>
          <t>Raymond Limited</t>
        </is>
      </c>
      <c r="C227" s="31" t="inlineStr">
        <is>
          <t>transportation</t>
        </is>
      </c>
      <c r="D227" s="31" t="inlineStr">
        <is>
          <t>transport - airlines</t>
        </is>
      </c>
      <c r="E227" s="31" t="inlineStr">
        <is>
          <t>midcap</t>
        </is>
      </c>
      <c r="F227" s="31" t="n">
        <v>6512.24</v>
      </c>
      <c r="G227" s="31" t="n">
        <v>978.2</v>
      </c>
      <c r="H227" s="31" t="n">
        <v>-1.58</v>
      </c>
      <c r="I227" s="31" t="n">
        <v>3634141</v>
      </c>
      <c r="J227" s="31" t="inlineStr">
        <is>
          <t>500330</t>
        </is>
      </c>
    </row>
    <row r="228">
      <c r="A228" s="31" t="inlineStr">
        <is>
          <t>ACMESOLAR</t>
        </is>
      </c>
      <c r="B228" s="31" t="inlineStr">
        <is>
          <t>ACME Solar Holdings Ltd</t>
        </is>
      </c>
      <c r="C228" s="31" t="inlineStr">
        <is>
          <t>realty</t>
        </is>
      </c>
      <c r="D228" s="31" t="inlineStr">
        <is>
          <t>engineering - turnkey services</t>
        </is>
      </c>
      <c r="E228" s="31" t="inlineStr">
        <is>
          <t>largecap</t>
        </is>
      </c>
      <c r="F228" s="31" t="n">
        <v>29073.74</v>
      </c>
      <c r="G228" s="31" t="n">
        <v>411.3</v>
      </c>
      <c r="H228" s="31" t="n">
        <v>-1.6</v>
      </c>
      <c r="I228" s="31" t="n">
        <v>1167673</v>
      </c>
      <c r="J228" s="31" t="inlineStr">
        <is>
          <t>544283</t>
        </is>
      </c>
    </row>
    <row r="229">
      <c r="A229" s="31" t="inlineStr">
        <is>
          <t>MANAKSTEEL</t>
        </is>
      </c>
      <c r="B229" s="31" t="inlineStr">
        <is>
          <t>Manaksia Steels Limited</t>
        </is>
      </c>
      <c r="C229" s="31" t="inlineStr">
        <is>
          <t>metals &amp; mining</t>
        </is>
      </c>
      <c r="D229" s="31" t="inlineStr">
        <is>
          <t>steel - medium / small</t>
        </is>
      </c>
      <c r="E229" s="31" t="inlineStr">
        <is>
          <t>smallcap</t>
        </is>
      </c>
      <c r="F229" s="31" t="n">
        <v>684.5700000000001</v>
      </c>
      <c r="G229" s="31" t="n">
        <v>104.46</v>
      </c>
      <c r="H229" s="31" t="n">
        <v>-1.84</v>
      </c>
      <c r="I229" s="31" t="n">
        <v>20557</v>
      </c>
      <c r="J229" s="31" t="inlineStr">
        <is>
          <t>539044</t>
        </is>
      </c>
    </row>
    <row r="230">
      <c r="A230" s="31" t="inlineStr">
        <is>
          <t>ANDHRAPAP</t>
        </is>
      </c>
      <c r="B230" s="31" t="inlineStr">
        <is>
          <t>Andhra Paper Ltd</t>
        </is>
      </c>
      <c r="C230" s="31" t="inlineStr">
        <is>
          <t>building materials</t>
        </is>
      </c>
      <c r="D230" s="31" t="inlineStr">
        <is>
          <t>paper</t>
        </is>
      </c>
      <c r="E230" s="31" t="inlineStr">
        <is>
          <t>smallcap</t>
        </is>
      </c>
      <c r="F230" s="31" t="n">
        <v>1429.34</v>
      </c>
      <c r="G230" s="31" t="n">
        <v>71.88</v>
      </c>
      <c r="H230" s="31" t="n">
        <v>-1.96</v>
      </c>
      <c r="I230" s="31" t="n">
        <v>941028</v>
      </c>
      <c r="J230" s="31" t="inlineStr">
        <is>
          <t>502330</t>
        </is>
      </c>
    </row>
    <row r="231">
      <c r="A231" s="31" t="inlineStr">
        <is>
          <t>SHANTIGEAR</t>
        </is>
      </c>
      <c r="B231" s="31" t="inlineStr">
        <is>
          <t>Shanthi Gears Limited</t>
        </is>
      </c>
      <c r="C231" s="31" t="inlineStr">
        <is>
          <t>industrials</t>
        </is>
      </c>
      <c r="D231" s="31" t="inlineStr">
        <is>
          <t>engineering</t>
        </is>
      </c>
      <c r="E231" s="31" t="inlineStr">
        <is>
          <t>midcap</t>
        </is>
      </c>
      <c r="F231" s="31" t="n">
        <v>5198.27</v>
      </c>
      <c r="G231" s="31" t="n">
        <v>677.6</v>
      </c>
      <c r="H231" s="31" t="n">
        <v>-2.02</v>
      </c>
      <c r="I231" s="31" t="n">
        <v>65634</v>
      </c>
      <c r="J231" s="31" t="inlineStr">
        <is>
          <t>522034</t>
        </is>
      </c>
    </row>
    <row r="232">
      <c r="A232" s="31" t="inlineStr">
        <is>
          <t>LIKHITHA</t>
        </is>
      </c>
      <c r="B232" s="31" t="inlineStr">
        <is>
          <t>Likhitha Infrastructure Ltd</t>
        </is>
      </c>
      <c r="C232" s="31" t="inlineStr">
        <is>
          <t>realty</t>
        </is>
      </c>
      <c r="D232" s="31" t="inlineStr">
        <is>
          <t>construction</t>
        </is>
      </c>
      <c r="E232" s="31" t="inlineStr">
        <is>
          <t>smallcap</t>
        </is>
      </c>
      <c r="F232" s="31" t="n">
        <v>878.28</v>
      </c>
      <c r="G232" s="31" t="n">
        <v>222.63</v>
      </c>
      <c r="H232" s="31" t="n">
        <v>-2.07</v>
      </c>
      <c r="I232" s="31" t="n">
        <v>42097</v>
      </c>
      <c r="J232" s="31" t="inlineStr">
        <is>
          <t>543240</t>
        </is>
      </c>
    </row>
    <row r="233">
      <c r="A233" s="31" t="inlineStr">
        <is>
          <t>DYNAMATECH</t>
        </is>
      </c>
      <c r="B233" s="31" t="inlineStr">
        <is>
          <t>Dynamatic Technologies Limited</t>
        </is>
      </c>
      <c r="C233" s="31" t="inlineStr">
        <is>
          <t>aerospace &amp; defence</t>
        </is>
      </c>
      <c r="D233" s="31" t="inlineStr">
        <is>
          <t>engineering</t>
        </is>
      </c>
      <c r="E233" s="31" t="inlineStr">
        <is>
          <t>midcap</t>
        </is>
      </c>
      <c r="F233" s="31" t="n">
        <v>8026.81</v>
      </c>
      <c r="G233" s="31" t="n">
        <v>11819</v>
      </c>
      <c r="H233" s="31" t="n">
        <v>-2.14</v>
      </c>
      <c r="I233" s="31" t="n">
        <v>22275</v>
      </c>
      <c r="J233" s="31" t="inlineStr">
        <is>
          <t>505242</t>
        </is>
      </c>
    </row>
    <row r="234">
      <c r="A234" s="31" t="inlineStr">
        <is>
          <t>PCJEWELLER</t>
        </is>
      </c>
      <c r="B234" s="31" t="inlineStr">
        <is>
          <t>Pc Jeweller Limited</t>
        </is>
      </c>
      <c r="C234" s="31" t="inlineStr">
        <is>
          <t>consumer discretionary</t>
        </is>
      </c>
      <c r="D234" s="31" t="inlineStr">
        <is>
          <t>diamond cutting / jewellery</t>
        </is>
      </c>
      <c r="E234" s="31" t="inlineStr">
        <is>
          <t>midcap</t>
        </is>
      </c>
      <c r="F234" s="31" t="n">
        <v>11992.51</v>
      </c>
      <c r="G234" s="31" t="n">
        <v>12.35</v>
      </c>
      <c r="H234" s="31" t="n">
        <v>-2.29</v>
      </c>
      <c r="I234" s="31" t="n">
        <v>225554471</v>
      </c>
      <c r="J234" s="31" t="inlineStr">
        <is>
          <t>534809</t>
        </is>
      </c>
    </row>
    <row r="235">
      <c r="A235" s="31" t="inlineStr">
        <is>
          <t>IL&amp;FSENGG</t>
        </is>
      </c>
      <c r="B235" s="31" t="inlineStr">
        <is>
          <t>Il&amp;fs Engineering And Construction Company Limited</t>
        </is>
      </c>
      <c r="C235" s="31" t="inlineStr">
        <is>
          <t>realty</t>
        </is>
      </c>
      <c r="D235" s="31" t="inlineStr">
        <is>
          <t>construction</t>
        </is>
      </c>
      <c r="E235" s="31" t="inlineStr">
        <is>
          <t>smallcap</t>
        </is>
      </c>
      <c r="F235" s="31" t="n">
        <v>511.37</v>
      </c>
      <c r="G235" s="31" t="n">
        <v>39</v>
      </c>
      <c r="H235" s="31" t="n">
        <v>-2.33</v>
      </c>
      <c r="I235" s="31" t="n">
        <v>32441</v>
      </c>
      <c r="J235" s="31" t="inlineStr">
        <is>
          <t>532907</t>
        </is>
      </c>
    </row>
    <row r="236">
      <c r="A236" s="31" t="inlineStr">
        <is>
          <t>PRABHA</t>
        </is>
      </c>
      <c r="B236" s="31" t="inlineStr">
        <is>
          <t>Prabha Energy Ltd</t>
        </is>
      </c>
      <c r="C236" s="31" t="inlineStr">
        <is>
          <t>energy</t>
        </is>
      </c>
      <c r="D236" s="31" t="inlineStr">
        <is>
          <t>oil drilling / allied services</t>
        </is>
      </c>
      <c r="E236" s="31" t="inlineStr">
        <is>
          <t>smallcap</t>
        </is>
      </c>
      <c r="F236" s="31" t="n">
        <v>3235.89</v>
      </c>
      <c r="G236" s="31" t="n">
        <v>220.77</v>
      </c>
      <c r="H236" s="31" t="n">
        <v>-2.56</v>
      </c>
      <c r="I236" s="31" t="n">
        <v>125409</v>
      </c>
      <c r="J236" s="31" t="inlineStr">
        <is>
          <t>544379</t>
        </is>
      </c>
    </row>
    <row r="237">
      <c r="A237" s="31" t="inlineStr">
        <is>
          <t>HATSUN</t>
        </is>
      </c>
      <c r="B237" s="31" t="inlineStr">
        <is>
          <t>Hatsun Agro Product Limited</t>
        </is>
      </c>
      <c r="C237" s="31" t="inlineStr">
        <is>
          <t>fmcg</t>
        </is>
      </c>
      <c r="D237" s="31" t="inlineStr">
        <is>
          <t>food - processing - indian</t>
        </is>
      </c>
      <c r="E237" s="31" t="inlineStr">
        <is>
          <t>largecap</t>
        </is>
      </c>
      <c r="F237" s="31" t="n">
        <v>26319.94</v>
      </c>
      <c r="G237" s="31" t="n">
        <v>1181.6</v>
      </c>
      <c r="H237" s="31" t="n">
        <v>-2.67</v>
      </c>
      <c r="I237" s="31" t="n">
        <v>46126</v>
      </c>
      <c r="J237" s="31" t="inlineStr">
        <is>
          <t>531531</t>
        </is>
      </c>
    </row>
    <row r="238">
      <c r="A238" s="31" t="inlineStr">
        <is>
          <t>ASIANHOTNR</t>
        </is>
      </c>
      <c r="B238" s="31" t="inlineStr">
        <is>
          <t>Asian Hotels (north) Limited</t>
        </is>
      </c>
      <c r="C238" s="31" t="inlineStr">
        <is>
          <t>services</t>
        </is>
      </c>
      <c r="D238" s="31" t="inlineStr">
        <is>
          <t>hotels</t>
        </is>
      </c>
      <c r="E238" s="31" t="inlineStr">
        <is>
          <t>smallcap</t>
        </is>
      </c>
      <c r="F238" s="31" t="n">
        <v>1602.16</v>
      </c>
      <c r="G238" s="31" t="n">
        <v>375.8</v>
      </c>
      <c r="H238" s="31" t="n">
        <v>-3.28</v>
      </c>
      <c r="I238" s="31" t="n">
        <v>8769</v>
      </c>
      <c r="J238" s="31" t="inlineStr">
        <is>
          <t>500023</t>
        </is>
      </c>
    </row>
    <row r="239">
      <c r="A239" s="31" t="inlineStr">
        <is>
          <t>ANTELOPUS</t>
        </is>
      </c>
      <c r="B239" s="31" t="inlineStr">
        <is>
          <t>Antelopus Selan Energy Ltd</t>
        </is>
      </c>
      <c r="C239" s="31" t="inlineStr">
        <is>
          <t>energy</t>
        </is>
      </c>
      <c r="D239" s="31" t="inlineStr">
        <is>
          <t>oil drilling / allied services</t>
        </is>
      </c>
      <c r="E239" s="31" t="inlineStr">
        <is>
          <t>smallcap</t>
        </is>
      </c>
      <c r="F239" s="31" t="n">
        <v>3976.34</v>
      </c>
      <c r="G239" s="31" t="n">
        <v>1130.85</v>
      </c>
      <c r="H239" s="31" t="n">
        <v>-3.42</v>
      </c>
      <c r="I239" s="31" t="n">
        <v>1030058</v>
      </c>
      <c r="J239" s="31" t="inlineStr">
        <is>
          <t>530075</t>
        </is>
      </c>
    </row>
    <row r="240">
      <c r="A240" s="31" t="inlineStr">
        <is>
          <t>DIACABS</t>
        </is>
      </c>
      <c r="B240" s="31" t="inlineStr">
        <is>
          <t>Diamond Power Infrastructure Ltd</t>
        </is>
      </c>
      <c r="C240" s="31" t="inlineStr">
        <is>
          <t>industrials</t>
        </is>
      </c>
      <c r="D240" s="31" t="inlineStr">
        <is>
          <t>cables - power</t>
        </is>
      </c>
      <c r="E240" s="31" t="inlineStr">
        <is>
          <t>largecap</t>
        </is>
      </c>
      <c r="F240" s="31" t="n">
        <v>22490.46</v>
      </c>
      <c r="G240" s="31" t="n">
        <v>376.05</v>
      </c>
      <c r="H240" s="31" t="n">
        <v>-4.74</v>
      </c>
      <c r="I240" s="31" t="n">
        <v>738512</v>
      </c>
      <c r="J240" s="31" t="inlineStr">
        <is>
          <t>522163</t>
        </is>
      </c>
    </row>
    <row r="241">
      <c r="A241" s="31" t="inlineStr">
        <is>
          <t>GAYAPROJ</t>
        </is>
      </c>
      <c r="B241" s="31" t="inlineStr">
        <is>
          <t>Gayatri Projects Limited</t>
        </is>
      </c>
      <c r="C241" s="31" t="inlineStr">
        <is>
          <t>realty</t>
        </is>
      </c>
      <c r="D241" s="31" t="inlineStr">
        <is>
          <t>construction</t>
        </is>
      </c>
      <c r="E241" s="31" t="inlineStr">
        <is>
          <t>smallcap</t>
        </is>
      </c>
      <c r="F241" s="31" t="n">
        <v>1096.67</v>
      </c>
      <c r="G241" s="31" t="n">
        <v>23.62</v>
      </c>
      <c r="H241" s="31" t="n">
        <v>-4.95</v>
      </c>
      <c r="I241" s="31" t="n">
        <v>1567518</v>
      </c>
      <c r="J241" s="31" t="inlineStr">
        <is>
          <t>532767</t>
        </is>
      </c>
    </row>
    <row r="242">
      <c r="A242" s="31" t="inlineStr">
        <is>
          <t>SETL</t>
        </is>
      </c>
      <c r="B242" s="31" t="inlineStr">
        <is>
          <t>Standard Enginnering Technology Ltd</t>
        </is>
      </c>
      <c r="C242" s="31" t="inlineStr">
        <is>
          <t>industrials</t>
        </is>
      </c>
      <c r="D242" s="31" t="inlineStr">
        <is>
          <t>engineering</t>
        </is>
      </c>
      <c r="E242" s="31" t="inlineStr">
        <is>
          <t>midcap</t>
        </is>
      </c>
      <c r="F242" s="31" t="n">
        <v>8008.59</v>
      </c>
      <c r="G242" s="31" t="n">
        <v>401.45</v>
      </c>
      <c r="H242" s="31" t="n">
        <v>-4.99</v>
      </c>
      <c r="I242" s="31" t="n">
        <v>2842075</v>
      </c>
      <c r="J242" s="31" t="inlineStr">
        <is>
          <t>544333</t>
        </is>
      </c>
    </row>
  </sheetData>
  <autoFilter ref="A1:J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IBULLSLTD</t>
        </is>
      </c>
      <c r="E2" s="31" t="inlineStr">
        <is>
          <t>Indiabulls Limited</t>
        </is>
      </c>
      <c r="F2" s="31" t="inlineStr">
        <is>
          <t>Diversified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25</v>
      </c>
      <c r="K2" s="31" t="n">
        <v>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TFCILTD</t>
        </is>
      </c>
      <c r="E3" s="31" t="inlineStr">
        <is>
          <t>Tourism Finance Corporation Of India Limited</t>
        </is>
      </c>
      <c r="F3" s="31" t="inlineStr">
        <is>
          <t>Finance - PSU Lending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19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VINCOFE</t>
        </is>
      </c>
      <c r="E4" s="31" t="inlineStr">
        <is>
          <t>Vintage Coffee &amp; Beverages Ltd</t>
        </is>
      </c>
      <c r="F4" s="31" t="inlineStr">
        <is>
          <t>FMCG - Coffee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21</v>
      </c>
      <c r="K4" s="31" t="n">
        <v>18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SYRMA</t>
        </is>
      </c>
      <c r="E5" s="31" t="inlineStr">
        <is>
          <t>Syrma SGS Technology Ltd</t>
        </is>
      </c>
      <c r="F5" s="31" t="inlineStr">
        <is>
          <t>Consumer Electronics - EMS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24</v>
      </c>
      <c r="K5" s="31" t="n">
        <v>21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TBZ</t>
        </is>
      </c>
      <c r="E6" s="31" t="inlineStr">
        <is>
          <t>Tribhovandas Bhimji Zaveri Limited</t>
        </is>
      </c>
      <c r="F6" s="31" t="inlineStr">
        <is>
          <t>Diamond, Gems &amp; Jewellery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23</v>
      </c>
      <c r="K6" s="31" t="n">
        <v>23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BHAGYANGR</t>
        </is>
      </c>
      <c r="E7" s="31" t="inlineStr">
        <is>
          <t>Bhagyanagar India</t>
        </is>
      </c>
      <c r="F7" s="31" t="inlineStr">
        <is>
          <t>Recycling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23</v>
      </c>
      <c r="K7" s="31" t="n">
        <v>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SHAREINDIA</t>
        </is>
      </c>
      <c r="E8" s="31" t="inlineStr">
        <is>
          <t>Share India Securities Ltd</t>
        </is>
      </c>
      <c r="F8" s="31" t="inlineStr">
        <is>
          <t>Finance - Capital Markets - Brokers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26</v>
      </c>
      <c r="K8" s="31" t="n">
        <v>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IOLCP</t>
        </is>
      </c>
      <c r="E9" s="31" t="inlineStr">
        <is>
          <t>Iol Chemicals And Pharmaceuticals Limited</t>
        </is>
      </c>
      <c r="F9" s="31" t="inlineStr">
        <is>
          <t>Pharma - API &amp; CRAMS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21</v>
      </c>
      <c r="K9" s="31" t="n">
        <v>26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SAKAR</t>
        </is>
      </c>
      <c r="E10" s="31" t="inlineStr">
        <is>
          <t>Sakar Healthcare Ltd</t>
        </is>
      </c>
      <c r="F10" s="31" t="inlineStr">
        <is>
          <t>Hospitals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22</v>
      </c>
      <c r="K10" s="31" t="n">
        <v>18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PAISALO</t>
        </is>
      </c>
      <c r="E11" s="31" t="inlineStr">
        <is>
          <t>Paisalo Digital Ltd</t>
        </is>
      </c>
      <c r="F11" s="31" t="inlineStr">
        <is>
          <t>Finance - Capital Markets - Brokers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11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KROSS</t>
        </is>
      </c>
      <c r="E12" s="31" t="inlineStr">
        <is>
          <t>Kross Ltd</t>
        </is>
      </c>
      <c r="F12" s="31" t="inlineStr">
        <is>
          <t>Auto Ancillaries - Transmission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18</v>
      </c>
      <c r="K12" s="31" t="n">
        <v>21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WHEELS</t>
        </is>
      </c>
      <c r="E13" s="31" t="inlineStr">
        <is>
          <t>Wheels India Limited</t>
        </is>
      </c>
      <c r="F13" s="31" t="inlineStr">
        <is>
          <t>Auto Ancillaries - Wheels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19</v>
      </c>
      <c r="K13" s="31" t="n">
        <v>20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MBECL</t>
        </is>
      </c>
      <c r="E14" s="31" t="inlineStr">
        <is>
          <t>Mcnally Bharat Engineering Company Limited</t>
        </is>
      </c>
      <c r="F14" s="31" t="inlineStr">
        <is>
          <t>Engineering - Turnkey Services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4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INDSWFTLAB</t>
        </is>
      </c>
      <c r="E15" s="31" t="inlineStr">
        <is>
          <t>Ind-swift Laboratories Limited</t>
        </is>
      </c>
      <c r="F15" s="31" t="inlineStr">
        <is>
          <t>Pharma - API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MOREPENLAB</t>
        </is>
      </c>
      <c r="E16" s="31" t="inlineStr">
        <is>
          <t>Morepen Laboratories Limited</t>
        </is>
      </c>
      <c r="F16" s="31" t="inlineStr">
        <is>
          <t>Pharma - API &amp; CRAMS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LOTUSDEV</t>
        </is>
      </c>
      <c r="E17" s="31" t="inlineStr">
        <is>
          <t>Sri Lotus Developers &amp; Realty Ltd</t>
        </is>
      </c>
      <c r="F17" s="31" t="inlineStr">
        <is>
          <t>Construction - Factories/Offices/Commercial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23</v>
      </c>
      <c r="K17" s="31" t="n">
        <v>16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UNIMECH</t>
        </is>
      </c>
      <c r="E18" s="31" t="inlineStr">
        <is>
          <t>Unimech Aerospace and Manufacturing Ltd</t>
        </is>
      </c>
      <c r="F18" s="31" t="inlineStr">
        <is>
          <t>Engineering - Heavy - General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FILATEX</t>
        </is>
      </c>
      <c r="E19" s="31" t="inlineStr">
        <is>
          <t>Filatex India Limited</t>
        </is>
      </c>
      <c r="F19" s="31" t="inlineStr">
        <is>
          <t>Textiles - Manmade Fibre - PFY/PSF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ARROWGREEN</t>
        </is>
      </c>
      <c r="E20" s="31" t="inlineStr">
        <is>
          <t>Arrow Greentech Limited</t>
        </is>
      </c>
      <c r="F20" s="31" t="inlineStr">
        <is>
          <t>Plastics - Plastic &amp; Plastic Products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19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CONFIPET</t>
        </is>
      </c>
      <c r="E21" s="31" t="inlineStr">
        <is>
          <t>Confidence Petroleum India Ltd</t>
        </is>
      </c>
      <c r="F21" s="31" t="inlineStr">
        <is>
          <t>LPG Bottling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GAYAPROJ</t>
        </is>
      </c>
      <c r="E22" s="31" t="inlineStr">
        <is>
          <t>Gayatri Projects Limited</t>
        </is>
      </c>
      <c r="F22" s="31" t="inlineStr">
        <is>
          <t>Construction - Civil/Turnkey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27</v>
      </c>
      <c r="K22" s="31" t="n">
        <v>20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IRISDOREME</t>
        </is>
      </c>
      <c r="E23" s="31" t="inlineStr">
        <is>
          <t>Iris Clothings Ltd</t>
        </is>
      </c>
      <c r="F23" s="31" t="inlineStr">
        <is>
          <t>Textiles - Readymade Apparel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28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WELSPUNLIV</t>
        </is>
      </c>
      <c r="E24" s="31" t="inlineStr">
        <is>
          <t>Welspun Living Ltd</t>
        </is>
      </c>
      <c r="F24" s="31" t="inlineStr">
        <is>
          <t>Textiles - Home Textile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25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UNIPARTS</t>
        </is>
      </c>
      <c r="E25" s="31" t="inlineStr">
        <is>
          <t>Uniparts India Ltd</t>
        </is>
      </c>
      <c r="F25" s="31" t="inlineStr">
        <is>
          <t>Castings, Forgings &amp; Fastners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MACPOWER</t>
        </is>
      </c>
      <c r="E26" s="31" t="inlineStr">
        <is>
          <t>Macpower CNC Machines Ltd</t>
        </is>
      </c>
      <c r="F26" s="31" t="inlineStr">
        <is>
          <t>CNC - Machines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BODALCHEM</t>
        </is>
      </c>
      <c r="E27" s="31" t="inlineStr">
        <is>
          <t>Bodal Chemicals Limited</t>
        </is>
      </c>
      <c r="F27" s="31" t="inlineStr">
        <is>
          <t>Dyes &amp; Pigments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31</v>
      </c>
      <c r="K27" s="31" t="n">
        <v>22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SHILPAMED</t>
        </is>
      </c>
      <c r="E28" s="31" t="inlineStr">
        <is>
          <t>Shilpa Medicare Limited</t>
        </is>
      </c>
      <c r="F28" s="31" t="inlineStr">
        <is>
          <t>Pharma - API &amp; CRAMS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22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26</v>
      </c>
      <c r="K29" s="31" t="n">
        <v>16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BIRLACABLE</t>
        </is>
      </c>
      <c r="E30" s="31" t="inlineStr">
        <is>
          <t>Birla Cable Limited</t>
        </is>
      </c>
      <c r="F30" s="31" t="inlineStr">
        <is>
          <t>Cables - Telecom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31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EBGNG</t>
        </is>
      </c>
      <c r="E31" s="31" t="inlineStr">
        <is>
          <t>GNG Electronics Ltd</t>
        </is>
      </c>
      <c r="F31" s="31" t="inlineStr">
        <is>
          <t>New age - Platform - E-Retail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22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QUADFUTURE</t>
        </is>
      </c>
      <c r="E32" s="31" t="inlineStr">
        <is>
          <t>Quadrant Future Tek Ltd</t>
        </is>
      </c>
      <c r="F32" s="31" t="inlineStr">
        <is>
          <t>Railways - Kavach/Springs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23</v>
      </c>
      <c r="K32" s="31" t="n">
        <v>20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FINCABLES</t>
        </is>
      </c>
      <c r="E33" s="31" t="inlineStr">
        <is>
          <t>Finolex Cables Limited</t>
        </is>
      </c>
      <c r="F33" s="31" t="inlineStr">
        <is>
          <t>Cables - Telecom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26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FOSECOIND</t>
        </is>
      </c>
      <c r="E34" s="31" t="inlineStr">
        <is>
          <t>Foseco India Limited</t>
        </is>
      </c>
      <c r="F34" s="31" t="inlineStr">
        <is>
          <t>Chemicals - Organic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KABRAEXTRU</t>
        </is>
      </c>
      <c r="E35" s="31" t="inlineStr">
        <is>
          <t>Kabra Extrusion Technik Limited</t>
        </is>
      </c>
      <c r="F35" s="31" t="inlineStr">
        <is>
          <t>Capital Goods - Engineering Heavy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SOLARA</t>
        </is>
      </c>
      <c r="E36" s="31" t="inlineStr">
        <is>
          <t>Solara Active Pharma Sciences Ltd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21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AHCL</t>
        </is>
      </c>
      <c r="E37" s="31" t="inlineStr">
        <is>
          <t>Anlon Healthcare Ltd</t>
        </is>
      </c>
      <c r="F37" s="31" t="inlineStr">
        <is>
          <t>Pharmaceuticals Bulk Drugs &amp; Formulation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19</v>
      </c>
      <c r="K37" s="31" t="n">
        <v>8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SANSERA</t>
        </is>
      </c>
      <c r="E38" s="31" t="inlineStr">
        <is>
          <t>Sansera Engineering Ltd</t>
        </is>
      </c>
      <c r="F38" s="31" t="inlineStr">
        <is>
          <t>Auto Ancillaries - Diversified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26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MENONBE</t>
        </is>
      </c>
      <c r="E39" s="31" t="inlineStr">
        <is>
          <t>Menon Bearings Limited</t>
        </is>
      </c>
      <c r="F39" s="31" t="inlineStr">
        <is>
          <t>Auto Ancillaries - Bearings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EMUDHRA</t>
        </is>
      </c>
      <c r="E40" s="31" t="inlineStr">
        <is>
          <t>eMudhra Ltd</t>
        </is>
      </c>
      <c r="F40" s="31" t="inlineStr">
        <is>
          <t>Services - Others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19</v>
      </c>
      <c r="K40" s="31" t="n">
        <v>3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RML</t>
        </is>
      </c>
      <c r="E41" s="31" t="inlineStr">
        <is>
          <t>Rane (madras) Limited</t>
        </is>
      </c>
      <c r="F41" s="31" t="inlineStr">
        <is>
          <t>Auto Ancillaries - Gears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18</v>
      </c>
      <c r="K41" s="31" t="n">
        <v>11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ACMESOLAR</t>
        </is>
      </c>
      <c r="E42" s="31" t="inlineStr">
        <is>
          <t>ACME Solar Holdings Ltd</t>
        </is>
      </c>
      <c r="F42" s="31" t="inlineStr">
        <is>
          <t>Engineering - Turnkey Services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RACLGEAR</t>
        </is>
      </c>
      <c r="E43" s="31" t="inlineStr">
        <is>
          <t>RACL Geartech Ltd</t>
        </is>
      </c>
      <c r="F43" s="31" t="inlineStr">
        <is>
          <t>Auto Ancillaries - Gears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19</v>
      </c>
      <c r="K43" s="31" t="n">
        <v>25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VALIANTORG</t>
        </is>
      </c>
      <c r="E44" s="31" t="inlineStr">
        <is>
          <t>Valiant Organics Ltd</t>
        </is>
      </c>
      <c r="F44" s="31" t="inlineStr">
        <is>
          <t>Chemicals - Organic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19</v>
      </c>
      <c r="K44" s="31" t="n">
        <v>13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RGL</t>
        </is>
      </c>
      <c r="E45" s="31" t="inlineStr">
        <is>
          <t>Renaissance Global Ltd</t>
        </is>
      </c>
      <c r="F45" s="31" t="inlineStr">
        <is>
          <t>Lab Grown Diamonds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21</v>
      </c>
      <c r="K45" s="31" t="n">
        <v>26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LAURUSLABS</t>
        </is>
      </c>
      <c r="E46" s="31" t="inlineStr">
        <is>
          <t>Laurus Labs Limited</t>
        </is>
      </c>
      <c r="F46" s="31" t="inlineStr">
        <is>
          <t>Pharma - API &amp; CRAMS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29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GCSL</t>
        </is>
      </c>
      <c r="E47" s="31" t="inlineStr">
        <is>
          <t>Gretex Corporate Services Ltd</t>
        </is>
      </c>
      <c r="F47" s="31" t="inlineStr">
        <is>
          <t>Finance &amp; Investments - Others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6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MVGJL</t>
        </is>
      </c>
      <c r="E48" s="31" t="inlineStr">
        <is>
          <t>Manoj Vaibhav Gems N Jewellers Ltd</t>
        </is>
      </c>
      <c r="F48" s="31" t="inlineStr">
        <is>
          <t>Diamond, Gems &amp; Jewellery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22</v>
      </c>
      <c r="K48" s="31" t="n">
        <v>11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DIACABS</t>
        </is>
      </c>
      <c r="E49" s="31" t="inlineStr">
        <is>
          <t>Diamond Power Infrastructure Ltd</t>
        </is>
      </c>
      <c r="F49" s="31" t="inlineStr">
        <is>
          <t>Cables - Power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23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GANDHAR</t>
        </is>
      </c>
      <c r="E50" s="31" t="inlineStr">
        <is>
          <t>Gandhar Oil Refinery (India) Ltd</t>
        </is>
      </c>
      <c r="F50" s="31" t="inlineStr">
        <is>
          <t>Refineries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24</v>
      </c>
      <c r="K50" s="31" t="n">
        <v>26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BHAGERIA</t>
        </is>
      </c>
      <c r="E51" s="31" t="inlineStr">
        <is>
          <t>Bhageria Industries Limited</t>
        </is>
      </c>
      <c r="F51" s="31" t="inlineStr">
        <is>
          <t>Dyes &amp; Pigments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26</v>
      </c>
      <c r="K51" s="31" t="n">
        <v>20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NRAIL</t>
        </is>
      </c>
      <c r="E52" s="31" t="inlineStr">
        <is>
          <t>N R Agarwal Industries Ltd</t>
        </is>
      </c>
      <c r="F52" s="31" t="inlineStr">
        <is>
          <t>Paper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SPECTRUM</t>
        </is>
      </c>
      <c r="E53" s="31" t="inlineStr">
        <is>
          <t>Spectrum Electrical Industries Ltd</t>
        </is>
      </c>
      <c r="F53" s="31" t="inlineStr">
        <is>
          <t>Capital Goods - Electric General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14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NEOGEN</t>
        </is>
      </c>
      <c r="E54" s="31" t="inlineStr">
        <is>
          <t>Neogen Chemicals Ltd</t>
        </is>
      </c>
      <c r="F54" s="31" t="inlineStr">
        <is>
          <t>Speciality Chemicals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20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MANINDS</t>
        </is>
      </c>
      <c r="E55" s="31" t="inlineStr">
        <is>
          <t>Man Industries (india) Limited</t>
        </is>
      </c>
      <c r="F55" s="31" t="inlineStr">
        <is>
          <t>Steel - Tubes/Pipes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25</v>
      </c>
      <c r="K55" s="31" t="n">
        <v>28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MMP</t>
        </is>
      </c>
      <c r="E56" s="31" t="inlineStr">
        <is>
          <t>MMP Industries Ltd</t>
        </is>
      </c>
      <c r="F56" s="31" t="inlineStr">
        <is>
          <t>Aluminium Products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23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TNPETRO</t>
        </is>
      </c>
      <c r="E57" s="31" t="inlineStr">
        <is>
          <t>Tamilnadu Petroproducts Limited</t>
        </is>
      </c>
      <c r="F57" s="31" t="inlineStr">
        <is>
          <t>Petrochem - Others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27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ANTELOPUS</t>
        </is>
      </c>
      <c r="E58" s="31" t="inlineStr">
        <is>
          <t>Antelopus Selan Energy Ltd</t>
        </is>
      </c>
      <c r="F58" s="31" t="inlineStr">
        <is>
          <t>Oil Drilling &amp; Exploration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29</v>
      </c>
      <c r="K58" s="31" t="n">
        <v>13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PAYTM</t>
        </is>
      </c>
      <c r="E59" s="31" t="inlineStr">
        <is>
          <t>One 97 Communications Ltd</t>
        </is>
      </c>
      <c r="F59" s="31" t="inlineStr">
        <is>
          <t>E-Commerce - Platform - Utility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MAHSEAMLES</t>
        </is>
      </c>
      <c r="E60" s="31" t="inlineStr">
        <is>
          <t>Maharashtra Seamless Limited</t>
        </is>
      </c>
      <c r="F60" s="31" t="inlineStr">
        <is>
          <t>Steel - Tubes/Pipes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DOLPHIN</t>
        </is>
      </c>
      <c r="E61" s="31" t="inlineStr">
        <is>
          <t>Dolphin Offshore Enterprises (India) Ltd</t>
        </is>
      </c>
      <c r="F61" s="31" t="inlineStr">
        <is>
          <t>Oil Drilling &amp; Exploration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20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STLTECH</t>
        </is>
      </c>
      <c r="E62" s="31" t="inlineStr">
        <is>
          <t>Sterlite Technologies Limited</t>
        </is>
      </c>
      <c r="F62" s="31" t="inlineStr">
        <is>
          <t>Cables - Telecom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22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DEEPINDS</t>
        </is>
      </c>
      <c r="E63" s="31" t="inlineStr">
        <is>
          <t>Deep Industries Ltd</t>
        </is>
      </c>
      <c r="F63" s="31" t="inlineStr">
        <is>
          <t>Oil Drilling &amp; Exploration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ROSSTECH</t>
        </is>
      </c>
      <c r="E64" s="31" t="inlineStr">
        <is>
          <t>Rossell Techsys Ltd</t>
        </is>
      </c>
      <c r="F64" s="31" t="inlineStr">
        <is>
          <t>Aerospace &amp; Defence - Equipments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SBC</t>
        </is>
      </c>
      <c r="E65" s="31" t="inlineStr">
        <is>
          <t>SBC Exports Ltd</t>
        </is>
      </c>
      <c r="F65" s="31" t="inlineStr">
        <is>
          <t>Textiles - Readymade Apparel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23</v>
      </c>
      <c r="K65" s="31" t="n">
        <v>16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GMMPFAUDLR</t>
        </is>
      </c>
      <c r="E66" s="31" t="inlineStr">
        <is>
          <t>GMM Pfaudler Ltd</t>
        </is>
      </c>
      <c r="F66" s="31" t="inlineStr">
        <is>
          <t>Glass - Others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13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CUPID</t>
        </is>
      </c>
      <c r="E67" s="31" t="inlineStr">
        <is>
          <t>Cupid Limited</t>
        </is>
      </c>
      <c r="F67" s="31" t="inlineStr">
        <is>
          <t>Contraceptives/Protectives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20</v>
      </c>
      <c r="K67" s="31" t="n">
        <v>29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JTLIND</t>
        </is>
      </c>
      <c r="E68" s="31" t="inlineStr">
        <is>
          <t>JTL Industries Ltd</t>
        </is>
      </c>
      <c r="F68" s="31" t="inlineStr">
        <is>
          <t>Steel - Tubes/Pipes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18</v>
      </c>
      <c r="K68" s="31" t="n">
        <v>18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RAMRAT</t>
        </is>
      </c>
      <c r="E69" s="31" t="inlineStr">
        <is>
          <t>Ram Ratna Wires Ltd</t>
        </is>
      </c>
      <c r="F69" s="31" t="inlineStr">
        <is>
          <t>Copper Wires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19</v>
      </c>
      <c r="K69" s="31" t="n">
        <v>28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PRABHA</t>
        </is>
      </c>
      <c r="E70" s="31" t="inlineStr">
        <is>
          <t>Prabha Energy Ltd</t>
        </is>
      </c>
      <c r="F70" s="31" t="inlineStr">
        <is>
          <t>Oil Exploration/Allied Services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13</v>
      </c>
    </row>
  </sheetData>
  <autoFilter ref="A1:K70"/>
  <conditionalFormatting sqref="G2:G7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IF(B2=0,"",RANK(B2,$B$2:$B$222,0))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 - medium / small</t>
        </is>
      </c>
      <c r="G2" s="31" t="inlineStr">
        <is>
          <t>midcap</t>
        </is>
      </c>
      <c r="H2" s="32" t="n">
        <v>6907.1</v>
      </c>
      <c r="I2" s="32" t="n">
        <v>29.65</v>
      </c>
      <c r="J2" s="32" t="n">
        <v>2.99</v>
      </c>
      <c r="K2" s="32" t="n">
        <v>30372525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64.95999999999999</v>
      </c>
      <c r="P2" s="32" t="n">
        <v>41.31</v>
      </c>
      <c r="Q2" s="32" t="n">
        <v>21.15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-8.119999999999999</v>
      </c>
      <c r="U2" s="32" t="n">
        <v>66.01000000000001</v>
      </c>
      <c r="V2" s="32" t="n">
        <v>80.68000000000001</v>
      </c>
      <c r="W2" s="32" t="n">
        <v>28.8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IF(B3=0,"",RANK(B3,$B$2:$B$222,0))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TALBROAUTO</t>
        </is>
      </c>
      <c r="D3" s="31" t="inlineStr">
        <is>
          <t>Talbros Automotive Components Limited</t>
        </is>
      </c>
      <c r="E3" s="31" t="inlineStr">
        <is>
          <t>auto</t>
        </is>
      </c>
      <c r="F3" s="31" t="inlineStr">
        <is>
          <t>auto ancillaries</t>
        </is>
      </c>
      <c r="G3" s="31" t="inlineStr">
        <is>
          <t>smallcap</t>
        </is>
      </c>
      <c r="H3" s="32" t="n">
        <v>2686.41</v>
      </c>
      <c r="I3" s="32" t="n">
        <v>435.2</v>
      </c>
      <c r="J3" s="32" t="n">
        <v>3.92</v>
      </c>
      <c r="K3" s="32" t="n">
        <v>360775</v>
      </c>
      <c r="L3" s="31" t="inlineStr"/>
      <c r="M3" s="31" t="inlineStr"/>
      <c r="N3" s="32">
        <f>IF(M3="Underperforming",-5,IF(L3&gt;=95,15,IF(L3&gt;=90,10,IF(L3&gt;=80,5,0))))</f>
        <v/>
      </c>
      <c r="O3" s="32" t="n">
        <v>68.5</v>
      </c>
      <c r="P3" s="32" t="n">
        <v>44.28</v>
      </c>
      <c r="Q3" s="32" t="n">
        <v>339.69</v>
      </c>
      <c r="R3" s="31" t="inlineStr">
        <is>
          <t>Near 52W High Breakout</t>
        </is>
      </c>
      <c r="S3" s="31" t="inlineStr">
        <is>
          <t>Nifty Auto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IF(B4=0,"",RANK(B4,$B$2:$B$222,0))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UNIVPHOTO</t>
        </is>
      </c>
      <c r="D4" s="31" t="inlineStr">
        <is>
          <t>Universus Photo Imagings Ltd</t>
        </is>
      </c>
      <c r="E4" s="31" t="inlineStr">
        <is>
          <t>consumer discretionary</t>
        </is>
      </c>
      <c r="F4" s="31" t="inlineStr">
        <is>
          <t>photographic and allied products</t>
        </is>
      </c>
      <c r="G4" s="31" t="inlineStr">
        <is>
          <t>smallcap</t>
        </is>
      </c>
      <c r="H4" s="32" t="n">
        <v>672.12</v>
      </c>
      <c r="I4" s="32" t="n">
        <v>614</v>
      </c>
      <c r="J4" s="32" t="n">
        <v>3.18</v>
      </c>
      <c r="K4" s="32" t="n">
        <v>3110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74.62</v>
      </c>
      <c r="P4" s="32" t="n">
        <v>21.89</v>
      </c>
      <c r="Q4" s="32" t="n">
        <v>459.29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-8.119999999999999</v>
      </c>
      <c r="U4" s="32" t="n">
        <v>137.39</v>
      </c>
      <c r="V4" s="32" t="n">
        <v>158.36</v>
      </c>
      <c r="W4" s="32" t="n">
        <v>42.87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IF(B5=0,"",RANK(B5,$B$2:$B$222,0))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VISHNU</t>
        </is>
      </c>
      <c r="D5" s="31" t="inlineStr">
        <is>
          <t>Vishnu Chemicals Limited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4773.33</v>
      </c>
      <c r="I5" s="32" t="n">
        <v>709.1</v>
      </c>
      <c r="J5" s="32" t="n">
        <v>2.19</v>
      </c>
      <c r="K5" s="32" t="n">
        <v>87175</v>
      </c>
      <c r="L5" s="31" t="n">
        <v>37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70.05</v>
      </c>
      <c r="P5" s="32" t="n">
        <v>44.89</v>
      </c>
      <c r="Q5" s="32" t="n">
        <v>576.23</v>
      </c>
      <c r="R5" s="31" t="inlineStr">
        <is>
          <t>Near 52W High Breakout</t>
        </is>
      </c>
      <c r="S5" s="31" t="inlineStr">
        <is>
          <t>Nifty 50</t>
        </is>
      </c>
      <c r="T5" s="32" t="n">
        <v>-8.119999999999999</v>
      </c>
      <c r="U5" s="32" t="n">
        <v>42.53</v>
      </c>
      <c r="V5" s="32" t="n">
        <v>55.12</v>
      </c>
      <c r="W5" s="32" t="n">
        <v>11.27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IF(B6=0,"",RANK(B6,$B$2:$B$222,0))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AUROPHARMA</t>
        </is>
      </c>
      <c r="D6" s="31" t="inlineStr">
        <is>
          <t>Aurobindo Pharma Limited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largecap</t>
        </is>
      </c>
      <c r="H6" s="32" t="n">
        <v>97238.86</v>
      </c>
      <c r="I6" s="32" t="n">
        <v>1690</v>
      </c>
      <c r="J6" s="32" t="n">
        <v>2.86</v>
      </c>
      <c r="K6" s="32" t="n">
        <v>758827</v>
      </c>
      <c r="L6" s="31" t="n">
        <v>38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71.67</v>
      </c>
      <c r="P6" s="32" t="n">
        <v>41.56</v>
      </c>
      <c r="Q6" s="32" t="n">
        <v>1461.91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17.16</v>
      </c>
      <c r="U6" s="32" t="n">
        <v>51</v>
      </c>
      <c r="V6" s="32" t="n">
        <v>28.89</v>
      </c>
      <c r="W6" s="32" t="n">
        <v>11.3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IF(B7=0,"",RANK(B7,$B$2:$B$222,0))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IPCALAB</t>
        </is>
      </c>
      <c r="D7" s="31" t="inlineStr">
        <is>
          <t>Ipca Laboratories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largecap</t>
        </is>
      </c>
      <c r="H7" s="32" t="n">
        <v>49987.34</v>
      </c>
      <c r="I7" s="32" t="n">
        <v>1970.3</v>
      </c>
      <c r="J7" s="32" t="n">
        <v>1</v>
      </c>
      <c r="K7" s="32" t="n">
        <v>555590</v>
      </c>
      <c r="L7" s="31" t="n">
        <v>39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69.59</v>
      </c>
      <c r="P7" s="32" t="n">
        <v>44.28</v>
      </c>
      <c r="Q7" s="32" t="n">
        <v>1612.69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17.16</v>
      </c>
      <c r="U7" s="32" t="n">
        <v>37.21</v>
      </c>
      <c r="V7" s="32" t="n">
        <v>17.11</v>
      </c>
      <c r="W7" s="32" t="n">
        <v>11.86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IF(B8=0,"",RANK(B8,$B$2:$B$222,0))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SYRMA</t>
        </is>
      </c>
      <c r="D8" s="31" t="inlineStr">
        <is>
          <t>Syrma SGS Technology Ltd</t>
        </is>
      </c>
      <c r="E8" s="31" t="inlineStr">
        <is>
          <t>consumer discretionary</t>
        </is>
      </c>
      <c r="F8" s="31" t="inlineStr">
        <is>
          <t>electronics - components</t>
        </is>
      </c>
      <c r="G8" s="31" t="inlineStr">
        <is>
          <t>largecap</t>
        </is>
      </c>
      <c r="H8" s="32" t="n">
        <v>31194.19</v>
      </c>
      <c r="I8" s="32" t="n">
        <v>1617.7</v>
      </c>
      <c r="J8" s="32" t="n">
        <v>7.05</v>
      </c>
      <c r="K8" s="32" t="n">
        <v>9182371</v>
      </c>
      <c r="L8" s="31" t="n">
        <v>69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73.34</v>
      </c>
      <c r="P8" s="32" t="n">
        <v>58.62</v>
      </c>
      <c r="Q8" s="32" t="n">
        <v>1249.4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-8.119999999999999</v>
      </c>
      <c r="U8" s="32" t="n">
        <v>95.68000000000001</v>
      </c>
      <c r="V8" s="32" t="n">
        <v>112.97</v>
      </c>
      <c r="W8" s="32" t="n">
        <v>21.71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IF(B9=0,"",RANK(B9,$B$2:$B$222,0))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TBZ</t>
        </is>
      </c>
      <c r="D9" s="31" t="inlineStr">
        <is>
          <t>Tribhovandas Bhimji Zaveri Limited</t>
        </is>
      </c>
      <c r="E9" s="31" t="inlineStr">
        <is>
          <t>consumer discretionary</t>
        </is>
      </c>
      <c r="F9" s="31" t="inlineStr">
        <is>
          <t>diamond cutting / jewellery</t>
        </is>
      </c>
      <c r="G9" s="31" t="inlineStr">
        <is>
          <t>smallcap</t>
        </is>
      </c>
      <c r="H9" s="32" t="n">
        <v>3836.01</v>
      </c>
      <c r="I9" s="32" t="n">
        <v>574.85</v>
      </c>
      <c r="J9" s="32" t="n">
        <v>5</v>
      </c>
      <c r="K9" s="32" t="n">
        <v>268358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91.15000000000001</v>
      </c>
      <c r="P9" s="32" t="n">
        <v>56.37</v>
      </c>
      <c r="Q9" s="32" t="n">
        <v>435.53</v>
      </c>
      <c r="R9" s="31" t="inlineStr">
        <is>
          <t>Near 52W High Breakout</t>
        </is>
      </c>
      <c r="S9" s="31" t="inlineStr">
        <is>
          <t>Nifty 50</t>
        </is>
      </c>
      <c r="T9" s="32" t="n">
        <v>-8.119999999999999</v>
      </c>
      <c r="U9" s="32" t="n">
        <v>207.85</v>
      </c>
      <c r="V9" s="32" t="n">
        <v>235.06</v>
      </c>
      <c r="W9" s="32" t="n">
        <v>85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IF(B10=0,"",RANK(B10,$B$2:$B$222,0))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BHAGYANGR</t>
        </is>
      </c>
      <c r="D10" s="31" t="inlineStr">
        <is>
          <t>Bhagyanagar India</t>
        </is>
      </c>
      <c r="E10" s="31" t="inlineStr">
        <is>
          <t>power &amp; utilities</t>
        </is>
      </c>
      <c r="F10" s="31" t="inlineStr">
        <is>
          <t>power generation and supply</t>
        </is>
      </c>
      <c r="G10" s="31" t="inlineStr">
        <is>
          <t>smallcap</t>
        </is>
      </c>
      <c r="H10" s="32" t="n">
        <v>1495.62</v>
      </c>
      <c r="I10" s="32" t="n">
        <v>446.5</v>
      </c>
      <c r="J10" s="32" t="n">
        <v>5</v>
      </c>
      <c r="K10" s="32" t="n">
        <v>66357</v>
      </c>
      <c r="L10" s="31" t="n">
        <v>95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70.94</v>
      </c>
      <c r="P10" s="32" t="n">
        <v>66.44</v>
      </c>
      <c r="Q10" s="32" t="n">
        <v>318.78</v>
      </c>
      <c r="R10" s="31" t="inlineStr">
        <is>
          <t>Near 52W High Breakout</t>
        </is>
      </c>
      <c r="S10" s="31" t="inlineStr">
        <is>
          <t>Nifty IT</t>
        </is>
      </c>
      <c r="T10" s="32" t="n">
        <v>-20.29</v>
      </c>
      <c r="U10" s="32" t="n">
        <v>381.09</v>
      </c>
      <c r="V10" s="32" t="n">
        <v>503.57</v>
      </c>
      <c r="W10" s="32" t="n">
        <v>49.89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IF(B11=0,"",RANK(B11,$B$2:$B$222,0))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PASUPTAC</t>
        </is>
      </c>
      <c r="D11" s="31" t="inlineStr">
        <is>
          <t>Pasupati Acrylon Ltd</t>
        </is>
      </c>
      <c r="E11" s="31" t="inlineStr">
        <is>
          <t>textiles</t>
        </is>
      </c>
      <c r="F11" s="31" t="inlineStr">
        <is>
          <t>textiles - manmade</t>
        </is>
      </c>
      <c r="G11" s="31" t="inlineStr">
        <is>
          <t>smallcap</t>
        </is>
      </c>
      <c r="H11" s="32" t="n">
        <v>626.7</v>
      </c>
      <c r="I11" s="32" t="n">
        <v>70.31</v>
      </c>
      <c r="J11" s="32" t="n">
        <v>3.29</v>
      </c>
      <c r="K11" s="32" t="n">
        <v>215392</v>
      </c>
      <c r="L11" s="31" t="n">
        <v>39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64.34</v>
      </c>
      <c r="P11" s="32" t="n">
        <v>46.9</v>
      </c>
      <c r="Q11" s="32" t="n">
        <v>51.77</v>
      </c>
      <c r="R11" s="31" t="inlineStr">
        <is>
          <t>Volume Spike / Accumulation</t>
        </is>
      </c>
      <c r="S11" s="31" t="inlineStr">
        <is>
          <t>Nifty 50</t>
        </is>
      </c>
      <c r="T11" s="32" t="n">
        <v>-8.119999999999999</v>
      </c>
      <c r="U11" s="32" t="n">
        <v>50.88</v>
      </c>
      <c r="V11" s="32" t="n">
        <v>64.20999999999999</v>
      </c>
      <c r="W11" s="32" t="n">
        <v>11.48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IF(B12=0,"",RANK(B12,$B$2:$B$222,0))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SWANDEF</t>
        </is>
      </c>
      <c r="D12" s="31" t="inlineStr">
        <is>
          <t>Swan Defence and Heavy Industries Ltd</t>
        </is>
      </c>
      <c r="E12" s="31" t="inlineStr">
        <is>
          <t>transportation</t>
        </is>
      </c>
      <c r="F12" s="31" t="inlineStr">
        <is>
          <t>miscellaneous</t>
        </is>
      </c>
      <c r="G12" s="31" t="inlineStr">
        <is>
          <t>midcap</t>
        </is>
      </c>
      <c r="H12" s="32" t="n">
        <v>14333.76</v>
      </c>
      <c r="I12" s="32" t="n">
        <v>2720.8</v>
      </c>
      <c r="J12" s="32" t="n">
        <v>1.25</v>
      </c>
      <c r="K12" s="32" t="n">
        <v>20103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68.13</v>
      </c>
      <c r="P12" s="32" t="n">
        <v>56.21</v>
      </c>
      <c r="Q12" s="32" t="n">
        <v>2070.76</v>
      </c>
      <c r="R12" s="31" t="inlineStr">
        <is>
          <t>Near 52W High Breakout</t>
        </is>
      </c>
      <c r="S12" s="31" t="inlineStr">
        <is>
          <t>Nifty 50</t>
        </is>
      </c>
      <c r="T12" s="32" t="n">
        <v>-8.119999999999999</v>
      </c>
      <c r="U12" s="32" t="n">
        <v>395.01</v>
      </c>
      <c r="V12" s="32" t="n">
        <v>438.75</v>
      </c>
      <c r="W12" s="32" t="n">
        <v>51.89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More than 1.2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IF(B13=0,"",RANK(B13,$B$2:$B$222,0))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GLAND</t>
        </is>
      </c>
      <c r="D13" s="31" t="inlineStr">
        <is>
          <t>Gland Pharma Ltd</t>
        </is>
      </c>
      <c r="E13" s="31" t="inlineStr">
        <is>
          <t>healthcare</t>
        </is>
      </c>
      <c r="F13" s="31" t="inlineStr">
        <is>
          <t>pharmaceuticals - indian - formulations</t>
        </is>
      </c>
      <c r="G13" s="31" t="inlineStr">
        <is>
          <t>largecap</t>
        </is>
      </c>
      <c r="H13" s="32" t="n">
        <v>47966.98</v>
      </c>
      <c r="I13" s="32" t="n">
        <v>2907.8</v>
      </c>
      <c r="J13" s="32" t="n">
        <v>2.87</v>
      </c>
      <c r="K13" s="32" t="n">
        <v>678985</v>
      </c>
      <c r="L13" s="31" t="n">
        <v>53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72.44</v>
      </c>
      <c r="P13" s="32" t="n">
        <v>62.73</v>
      </c>
      <c r="Q13" s="32" t="n">
        <v>2444.87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17.16</v>
      </c>
      <c r="U13" s="32" t="n">
        <v>44.84</v>
      </c>
      <c r="V13" s="32" t="n">
        <v>23.63</v>
      </c>
      <c r="W13" s="32" t="n">
        <v>16.32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IF(B14=0,"",RANK(B14,$B$2:$B$222,0))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SAKAR</t>
        </is>
      </c>
      <c r="D14" s="31" t="inlineStr">
        <is>
          <t>Sakar Healthcare Ltd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smallcap</t>
        </is>
      </c>
      <c r="H14" s="32" t="n">
        <v>2513.24</v>
      </c>
      <c r="I14" s="32" t="n">
        <v>1129.55</v>
      </c>
      <c r="J14" s="32" t="n">
        <v>2.18</v>
      </c>
      <c r="K14" s="32" t="n">
        <v>72715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73.42</v>
      </c>
      <c r="P14" s="32" t="n">
        <v>52.36</v>
      </c>
      <c r="Q14" s="32" t="n">
        <v>845.4400000000001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17.16</v>
      </c>
      <c r="U14" s="32" t="n">
        <v>228.64</v>
      </c>
      <c r="V14" s="32" t="n">
        <v>180.51</v>
      </c>
      <c r="W14" s="32" t="n">
        <v>36.21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IF(B15=0,"",RANK(B15,$B$2:$B$222,0))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IOLCP</t>
        </is>
      </c>
      <c r="D15" s="31" t="inlineStr">
        <is>
          <t>Iol Chemicals And Pharmaceuticals Limited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midcap</t>
        </is>
      </c>
      <c r="H15" s="32" t="n">
        <v>5796.87</v>
      </c>
      <c r="I15" s="32" t="n">
        <v>197.49</v>
      </c>
      <c r="J15" s="32" t="n">
        <v>1.5</v>
      </c>
      <c r="K15" s="32" t="n">
        <v>3478408</v>
      </c>
      <c r="L15" s="31" t="n">
        <v>80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76.04000000000001</v>
      </c>
      <c r="P15" s="32" t="n">
        <v>80.98</v>
      </c>
      <c r="Q15" s="32" t="n">
        <v>144.06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17.16</v>
      </c>
      <c r="U15" s="32" t="n">
        <v>66.90000000000001</v>
      </c>
      <c r="V15" s="32" t="n">
        <v>42.46</v>
      </c>
      <c r="W15" s="32" t="n">
        <v>27.73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IF(B16=0,"",RANK(B16,$B$2:$B$222,0))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INNOVACAP</t>
        </is>
      </c>
      <c r="D16" s="31" t="inlineStr">
        <is>
          <t>Innova Captab Ltd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midcap</t>
        </is>
      </c>
      <c r="H16" s="32" t="n">
        <v>6578.01</v>
      </c>
      <c r="I16" s="32" t="n">
        <v>1149.5</v>
      </c>
      <c r="J16" s="32" t="n">
        <v>1.42</v>
      </c>
      <c r="K16" s="32" t="n">
        <v>33762</v>
      </c>
      <c r="L16" s="31" t="n">
        <v>41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71.87</v>
      </c>
      <c r="P16" s="32" t="n">
        <v>62.71</v>
      </c>
      <c r="Q16" s="32" t="n">
        <v>912.13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17.16</v>
      </c>
      <c r="U16" s="32" t="n">
        <v>33.89</v>
      </c>
      <c r="V16" s="32" t="n">
        <v>14.28</v>
      </c>
      <c r="W16" s="32" t="n">
        <v>12.15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IF(B17=0,"",RANK(B17,$B$2:$B$222,0))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KROSS</t>
        </is>
      </c>
      <c r="D17" s="31" t="inlineStr">
        <is>
          <t>Kross Ltd</t>
        </is>
      </c>
      <c r="E17" s="31" t="inlineStr">
        <is>
          <t>auto</t>
        </is>
      </c>
      <c r="F17" s="31" t="inlineStr">
        <is>
          <t>auto ancillaries</t>
        </is>
      </c>
      <c r="G17" s="31" t="inlineStr">
        <is>
          <t>smallcap</t>
        </is>
      </c>
      <c r="H17" s="32" t="n">
        <v>1561.45</v>
      </c>
      <c r="I17" s="32" t="n">
        <v>242.05</v>
      </c>
      <c r="J17" s="32" t="n">
        <v>7.17</v>
      </c>
      <c r="K17" s="32" t="n">
        <v>1745433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66.98999999999999</v>
      </c>
      <c r="P17" s="32" t="n">
        <v>29.93</v>
      </c>
      <c r="Q17" s="32" t="n">
        <v>184.53</v>
      </c>
      <c r="R17" s="31" t="inlineStr">
        <is>
          <t>Near 52W High Breakout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IF(B18=0,"",RANK(B18,$B$2:$B$222,0))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VINCOFE</t>
        </is>
      </c>
      <c r="D18" s="31" t="inlineStr">
        <is>
          <t>Vintage Coffee &amp; Beverages Ltd</t>
        </is>
      </c>
      <c r="E18" s="31" t="inlineStr">
        <is>
          <t>consumer discretionary</t>
        </is>
      </c>
      <c r="F18" s="31" t="inlineStr">
        <is>
          <t>trading</t>
        </is>
      </c>
      <c r="G18" s="31" t="inlineStr">
        <is>
          <t>smallcap</t>
        </is>
      </c>
      <c r="H18" s="32" t="n">
        <v>2563.53</v>
      </c>
      <c r="I18" s="32" t="n">
        <v>175.96</v>
      </c>
      <c r="J18" s="32" t="n">
        <v>5.2</v>
      </c>
      <c r="K18" s="32" t="n">
        <v>2256156</v>
      </c>
      <c r="L18" s="31" t="n">
        <v>24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63.82</v>
      </c>
      <c r="P18" s="32" t="n">
        <v>28.86</v>
      </c>
      <c r="Q18" s="32" t="n">
        <v>132.21</v>
      </c>
      <c r="R18" s="31" t="inlineStr">
        <is>
          <t>Near 52W High Breakout</t>
        </is>
      </c>
      <c r="S18" s="31" t="inlineStr">
        <is>
          <t>Nifty 50</t>
        </is>
      </c>
      <c r="T18" s="32" t="n">
        <v>-8.119999999999999</v>
      </c>
      <c r="U18" s="32" t="n">
        <v>17.57</v>
      </c>
      <c r="V18" s="32" t="n">
        <v>27.95</v>
      </c>
      <c r="W18" s="32" t="n">
        <v>7.12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IF(B19=0,"",RANK(B19,$B$2:$B$222,0))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MBECL</t>
        </is>
      </c>
      <c r="D19" s="31" t="inlineStr">
        <is>
          <t>Mcnally Bharat Engineering Company Limited</t>
        </is>
      </c>
      <c r="E19" s="31" t="inlineStr">
        <is>
          <t>realty</t>
        </is>
      </c>
      <c r="F19" s="31" t="inlineStr">
        <is>
          <t>engineering - turnkey services</t>
        </is>
      </c>
      <c r="G19" s="31" t="inlineStr">
        <is>
          <t>smallcap</t>
        </is>
      </c>
      <c r="H19" s="32" t="n">
        <v>1274.9</v>
      </c>
      <c r="I19" s="32" t="n">
        <v>382.47</v>
      </c>
      <c r="J19" s="32" t="n">
        <v>5</v>
      </c>
      <c r="K19" s="32" t="n">
        <v>2294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99.97</v>
      </c>
      <c r="P19" s="32" t="n">
        <v>61.59</v>
      </c>
      <c r="Q19" s="32" t="n">
        <v>321.09</v>
      </c>
      <c r="R19" s="31" t="inlineStr">
        <is>
          <t>Volume Spike &amp; Near 52W High Breakout</t>
        </is>
      </c>
      <c r="S19" s="31" t="inlineStr">
        <is>
          <t>Nifty Realty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IF(B20=0,"",RANK(B20,$B$2:$B$222,0))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APARINDS</t>
        </is>
      </c>
      <c r="D20" s="31" t="inlineStr">
        <is>
          <t>Apar Industries Limited</t>
        </is>
      </c>
      <c r="E20" s="31" t="inlineStr">
        <is>
          <t>industrials</t>
        </is>
      </c>
      <c r="F20" s="31" t="inlineStr">
        <is>
          <t>electric equipment</t>
        </is>
      </c>
      <c r="G20" s="31" t="inlineStr">
        <is>
          <t>largecap</t>
        </is>
      </c>
      <c r="H20" s="32" t="n">
        <v>74536.95</v>
      </c>
      <c r="I20" s="32" t="n">
        <v>17801</v>
      </c>
      <c r="J20" s="32" t="n">
        <v>4.25</v>
      </c>
      <c r="K20" s="32" t="n">
        <v>195609</v>
      </c>
      <c r="L20" s="31" t="n">
        <v>64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73.27</v>
      </c>
      <c r="P20" s="32" t="n">
        <v>43.33</v>
      </c>
      <c r="Q20" s="32" t="n">
        <v>13517.48</v>
      </c>
      <c r="R20" s="31" t="inlineStr">
        <is>
          <t>Near 52W High Breakout</t>
        </is>
      </c>
      <c r="S20" s="31" t="inlineStr">
        <is>
          <t>Nifty 50</t>
        </is>
      </c>
      <c r="T20" s="32" t="n">
        <v>-8.119999999999999</v>
      </c>
      <c r="U20" s="32" t="n">
        <v>101.91</v>
      </c>
      <c r="V20" s="32" t="n">
        <v>119.75</v>
      </c>
      <c r="W20" s="32" t="n">
        <v>19.44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IF(B21=0,"",RANK(B21,$B$2:$B$222,0))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REDINGTON</t>
        </is>
      </c>
      <c r="D21" s="31" t="inlineStr">
        <is>
          <t>Redington (india) Limited</t>
        </is>
      </c>
      <c r="E21" s="31" t="inlineStr">
        <is>
          <t>services</t>
        </is>
      </c>
      <c r="F21" s="31" t="inlineStr">
        <is>
          <t>trading</t>
        </is>
      </c>
      <c r="G21" s="31" t="inlineStr">
        <is>
          <t>largecap</t>
        </is>
      </c>
      <c r="H21" s="32" t="n">
        <v>31278.8</v>
      </c>
      <c r="I21" s="32" t="n">
        <v>400.1</v>
      </c>
      <c r="J21" s="32" t="n">
        <v>3.08</v>
      </c>
      <c r="K21" s="32" t="n">
        <v>7092777</v>
      </c>
      <c r="L21" s="31" t="n">
        <v>59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75.08</v>
      </c>
      <c r="P21" s="32" t="n">
        <v>47.51</v>
      </c>
      <c r="Q21" s="32" t="n">
        <v>312.96</v>
      </c>
      <c r="R21" s="31" t="inlineStr">
        <is>
          <t>Near 52W High Breakout</t>
        </is>
      </c>
      <c r="S21" s="31" t="inlineStr">
        <is>
          <t>Nifty 50</t>
        </is>
      </c>
      <c r="T21" s="32" t="n">
        <v>-8.119999999999999</v>
      </c>
      <c r="U21" s="32" t="n">
        <v>36.42</v>
      </c>
      <c r="V21" s="32" t="n">
        <v>48.47</v>
      </c>
      <c r="W21" s="32" t="n">
        <v>18.22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IF(B22=0,"",RANK(B22,$B$2:$B$222,0))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NRL</t>
        </is>
      </c>
      <c r="D22" s="31" t="inlineStr">
        <is>
          <t>Nupur Recyclers Ltd</t>
        </is>
      </c>
      <c r="E22" s="31" t="inlineStr">
        <is>
          <t>services</t>
        </is>
      </c>
      <c r="F22" s="31" t="inlineStr">
        <is>
          <t>trading</t>
        </is>
      </c>
      <c r="G22" s="31" t="inlineStr">
        <is>
          <t>smallcap</t>
        </is>
      </c>
      <c r="H22" s="32" t="n">
        <v>947.14</v>
      </c>
      <c r="I22" s="32" t="n">
        <v>137.13</v>
      </c>
      <c r="J22" s="32" t="n">
        <v>2.35</v>
      </c>
      <c r="K22" s="32" t="n">
        <v>56822</v>
      </c>
      <c r="L22" s="31" t="n">
        <v>86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89.63</v>
      </c>
      <c r="P22" s="32" t="n">
        <v>71.15000000000001</v>
      </c>
      <c r="Q22" s="32" t="n">
        <v>113.64</v>
      </c>
      <c r="R22" s="31" t="inlineStr">
        <is>
          <t>Near 52W High Breakout</t>
        </is>
      </c>
      <c r="S22" s="31" t="inlineStr">
        <is>
          <t>Nifty 50</t>
        </is>
      </c>
      <c r="T22" s="32" t="n">
        <v>-8.119999999999999</v>
      </c>
      <c r="U22" s="32" t="n">
        <v>76.59999999999999</v>
      </c>
      <c r="V22" s="32" t="n">
        <v>92.20999999999999</v>
      </c>
      <c r="W22" s="32" t="n">
        <v>32.86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IF(B23=0,"",RANK(B23,$B$2:$B$222,0))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CEIGALL</t>
        </is>
      </c>
      <c r="D23" s="31" t="inlineStr">
        <is>
          <t>Ceigall India Ltd</t>
        </is>
      </c>
      <c r="E23" s="31" t="inlineStr">
        <is>
          <t>realty</t>
        </is>
      </c>
      <c r="F23" s="31" t="inlineStr">
        <is>
          <t>construction</t>
        </is>
      </c>
      <c r="G23" s="31" t="inlineStr">
        <is>
          <t>midcap</t>
        </is>
      </c>
      <c r="H23" s="32" t="n">
        <v>6793.99</v>
      </c>
      <c r="I23" s="32" t="n">
        <v>390</v>
      </c>
      <c r="J23" s="32" t="n">
        <v>0.83</v>
      </c>
      <c r="K23" s="32" t="n">
        <v>283457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66.41</v>
      </c>
      <c r="P23" s="32" t="n">
        <v>29.74</v>
      </c>
      <c r="Q23" s="32" t="n">
        <v>308.86</v>
      </c>
      <c r="R23" s="31" t="inlineStr">
        <is>
          <t>Near 52W High Breakout</t>
        </is>
      </c>
      <c r="S23" s="31" t="inlineStr">
        <is>
          <t>Nifty Realty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IF(B24=0,"",RANK(B24,$B$2:$B$222,0))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WHEELS</t>
        </is>
      </c>
      <c r="D24" s="31" t="inlineStr">
        <is>
          <t>Wheels India Limited</t>
        </is>
      </c>
      <c r="E24" s="31" t="inlineStr">
        <is>
          <t>auto</t>
        </is>
      </c>
      <c r="F24" s="31" t="inlineStr">
        <is>
          <t>auto ancillaries</t>
        </is>
      </c>
      <c r="G24" s="31" t="inlineStr">
        <is>
          <t>midcap</t>
        </is>
      </c>
      <c r="H24" s="32" t="n">
        <v>5191.04</v>
      </c>
      <c r="I24" s="32" t="n">
        <v>2124.6</v>
      </c>
      <c r="J24" s="32" t="n">
        <v>0.67</v>
      </c>
      <c r="K24" s="32" t="n">
        <v>131049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73.55</v>
      </c>
      <c r="P24" s="32" t="n">
        <v>57.13</v>
      </c>
      <c r="Q24" s="32" t="n">
        <v>1655.32</v>
      </c>
      <c r="R24" s="31" t="inlineStr">
        <is>
          <t>Near 52W High Breakout</t>
        </is>
      </c>
      <c r="S24" s="31" t="inlineStr">
        <is>
          <t>Nifty Auto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IF(B25=0,"",RANK(B25,$B$2:$B$222,0))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STOVEKRAFT</t>
        </is>
      </c>
      <c r="D25" s="31" t="inlineStr">
        <is>
          <t>Stove Kraft Ltd</t>
        </is>
      </c>
      <c r="E25" s="31" t="inlineStr">
        <is>
          <t>consumer discretionary</t>
        </is>
      </c>
      <c r="F25" s="31" t="inlineStr">
        <is>
          <t>domestic appliances</t>
        </is>
      </c>
      <c r="G25" s="31" t="inlineStr">
        <is>
          <t>smallcap</t>
        </is>
      </c>
      <c r="H25" s="32" t="n">
        <v>2759.99</v>
      </c>
      <c r="I25" s="32" t="n">
        <v>833.65</v>
      </c>
      <c r="J25" s="32" t="n">
        <v>0.62</v>
      </c>
      <c r="K25" s="32" t="n">
        <v>64463</v>
      </c>
      <c r="L25" s="31" t="n">
        <v>32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69.97</v>
      </c>
      <c r="P25" s="32" t="n">
        <v>49.43</v>
      </c>
      <c r="Q25" s="32" t="n">
        <v>647.3</v>
      </c>
      <c r="R25" s="31" t="inlineStr">
        <is>
          <t>Near 52W High Breakout</t>
        </is>
      </c>
      <c r="S25" s="31" t="inlineStr">
        <is>
          <t>Nifty 50</t>
        </is>
      </c>
      <c r="T25" s="32" t="n">
        <v>-8.119999999999999</v>
      </c>
      <c r="U25" s="32" t="n">
        <v>17.58</v>
      </c>
      <c r="V25" s="32" t="n">
        <v>27.98</v>
      </c>
      <c r="W25" s="32" t="n">
        <v>9.550000000000001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IF(B26=0,"",RANK(B26,$B$2:$B$222,0))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ARIES</t>
        </is>
      </c>
      <c r="D26" s="31" t="inlineStr">
        <is>
          <t>Aries Agro Limited</t>
        </is>
      </c>
      <c r="E26" s="31" t="inlineStr">
        <is>
          <t>chemicals</t>
        </is>
      </c>
      <c r="F26" s="31" t="inlineStr">
        <is>
          <t>fertilizers</t>
        </is>
      </c>
      <c r="G26" s="31" t="inlineStr">
        <is>
          <t>smallcap</t>
        </is>
      </c>
      <c r="H26" s="32" t="n">
        <v>621.09</v>
      </c>
      <c r="I26" s="32" t="n">
        <v>477.6</v>
      </c>
      <c r="J26" s="32" t="n">
        <v>-0.64</v>
      </c>
      <c r="K26" s="32" t="n">
        <v>7757</v>
      </c>
      <c r="L26" s="31" t="n">
        <v>49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71.8</v>
      </c>
      <c r="P26" s="32" t="n">
        <v>29.37</v>
      </c>
      <c r="Q26" s="32" t="n">
        <v>386.52</v>
      </c>
      <c r="R26" s="31" t="inlineStr">
        <is>
          <t>Near 52W High Breakout</t>
        </is>
      </c>
      <c r="S26" s="31" t="inlineStr">
        <is>
          <t>Nifty 50</t>
        </is>
      </c>
      <c r="T26" s="32" t="n">
        <v>-8.119999999999999</v>
      </c>
      <c r="U26" s="32" t="n">
        <v>16.26</v>
      </c>
      <c r="V26" s="32" t="n">
        <v>26.54</v>
      </c>
      <c r="W26" s="32" t="n">
        <v>14.4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IF(B27=0,"",RANK(B27,$B$2:$B$222,0))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IL&amp;FSENGG</t>
        </is>
      </c>
      <c r="D27" s="31" t="inlineStr">
        <is>
          <t>Il&amp;fs Engineering And Construction Company Limited</t>
        </is>
      </c>
      <c r="E27" s="31" t="inlineStr">
        <is>
          <t>realty</t>
        </is>
      </c>
      <c r="F27" s="31" t="inlineStr">
        <is>
          <t>construction</t>
        </is>
      </c>
      <c r="G27" s="31" t="inlineStr">
        <is>
          <t>smallcap</t>
        </is>
      </c>
      <c r="H27" s="32" t="n">
        <v>511.37</v>
      </c>
      <c r="I27" s="32" t="n">
        <v>39</v>
      </c>
      <c r="J27" s="32" t="n">
        <v>-2.33</v>
      </c>
      <c r="K27" s="32" t="n">
        <v>32441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67.18000000000001</v>
      </c>
      <c r="P27" s="32" t="n">
        <v>40.42</v>
      </c>
      <c r="Q27" s="32" t="n">
        <v>28.19</v>
      </c>
      <c r="R27" s="31" t="inlineStr">
        <is>
          <t>Near 52W High Breakout</t>
        </is>
      </c>
      <c r="S27" s="31" t="inlineStr">
        <is>
          <t>Nifty Realty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IF(B28=0,"",RANK(B28,$B$2:$B$222,0))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MOREPENLAB</t>
        </is>
      </c>
      <c r="D28" s="31" t="inlineStr">
        <is>
          <t>Morepen Laboratories Limited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6606.13</v>
      </c>
      <c r="I28" s="32" t="n">
        <v>120.56</v>
      </c>
      <c r="J28" s="32" t="n">
        <v>5.08</v>
      </c>
      <c r="K28" s="32" t="n">
        <v>27513682</v>
      </c>
      <c r="L28" s="31" t="n">
        <v>97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88.56</v>
      </c>
      <c r="P28" s="32" t="n">
        <v>54.03</v>
      </c>
      <c r="Q28" s="32" t="n">
        <v>89.76000000000001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17.16</v>
      </c>
      <c r="U28" s="32" t="n">
        <v>122.68</v>
      </c>
      <c r="V28" s="32" t="n">
        <v>90.06999999999999</v>
      </c>
      <c r="W28" s="32" t="n">
        <v>57.39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IF(B29=0,"",RANK(B29,$B$2:$B$222,0))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INDSWFTLAB</t>
        </is>
      </c>
      <c r="D29" s="31" t="inlineStr">
        <is>
          <t>Ind-swift Laboratories Limited</t>
        </is>
      </c>
      <c r="E29" s="31" t="inlineStr">
        <is>
          <t>healthcare</t>
        </is>
      </c>
      <c r="F29" s="31" t="inlineStr">
        <is>
          <t>pharmaceuticals - indian - bulk drugs &amp; formln</t>
        </is>
      </c>
      <c r="G29" s="31" t="inlineStr">
        <is>
          <t>smallcap</t>
        </is>
      </c>
      <c r="H29" s="32" t="n">
        <v>3289.32</v>
      </c>
      <c r="I29" s="32" t="n">
        <v>378.25</v>
      </c>
      <c r="J29" s="32" t="n">
        <v>3.94</v>
      </c>
      <c r="K29" s="32" t="n">
        <v>545009</v>
      </c>
      <c r="L29" s="31" t="n">
        <v>97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85.15000000000001</v>
      </c>
      <c r="P29" s="32" t="n">
        <v>74.68000000000001</v>
      </c>
      <c r="Q29" s="32" t="n">
        <v>283.05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17.16</v>
      </c>
      <c r="U29" s="32" t="n">
        <v>263.35</v>
      </c>
      <c r="V29" s="32" t="n">
        <v>210.14</v>
      </c>
      <c r="W29" s="32" t="n">
        <v>55.47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IF(B30=0,"",RANK(B30,$B$2:$B$222,0))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SUBEXLTD</t>
        </is>
      </c>
      <c r="D30" s="31" t="inlineStr">
        <is>
          <t>Subex Ltd</t>
        </is>
      </c>
      <c r="E30" s="31" t="inlineStr">
        <is>
          <t>i.t</t>
        </is>
      </c>
      <c r="F30" s="31" t="inlineStr">
        <is>
          <t>computers - software - medium / small</t>
        </is>
      </c>
      <c r="G30" s="31" t="inlineStr">
        <is>
          <t>smallcap</t>
        </is>
      </c>
      <c r="H30" s="32" t="n">
        <v>1118.39</v>
      </c>
      <c r="I30" s="32" t="n">
        <v>19.9</v>
      </c>
      <c r="J30" s="32" t="n">
        <v>1.58</v>
      </c>
      <c r="K30" s="32" t="n">
        <v>10284365</v>
      </c>
      <c r="L30" s="31" t="n">
        <v>82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71.66</v>
      </c>
      <c r="P30" s="32" t="n">
        <v>40.85</v>
      </c>
      <c r="Q30" s="32" t="n">
        <v>15.04</v>
      </c>
      <c r="R30" s="31" t="inlineStr">
        <is>
          <t>Volume Spike &amp; Near 52W High Breakout</t>
        </is>
      </c>
      <c r="S30" s="31" t="inlineStr">
        <is>
          <t>Nifty IT</t>
        </is>
      </c>
      <c r="T30" s="32" t="n">
        <v>-20.29</v>
      </c>
      <c r="U30" s="32" t="n">
        <v>50.76</v>
      </c>
      <c r="V30" s="32" t="n">
        <v>89.14</v>
      </c>
      <c r="W30" s="32" t="n">
        <v>29.33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IF(B31=0,"",RANK(B31,$B$2:$B$222,0))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ALIVUS</t>
        </is>
      </c>
      <c r="D31" s="31" t="inlineStr">
        <is>
          <t>Alivus Life Sciences Ltd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midcap</t>
        </is>
      </c>
      <c r="H31" s="32" t="n">
        <v>17033.35</v>
      </c>
      <c r="I31" s="32" t="n">
        <v>1387.8</v>
      </c>
      <c r="J31" s="32" t="n">
        <v>1.25</v>
      </c>
      <c r="K31" s="32" t="n">
        <v>72107</v>
      </c>
      <c r="L31" s="31" t="n">
        <v>44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75.41</v>
      </c>
      <c r="P31" s="32" t="n">
        <v>51.02</v>
      </c>
      <c r="Q31" s="32" t="n">
        <v>1127.14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17.16</v>
      </c>
      <c r="U31" s="32" t="n">
        <v>32.97</v>
      </c>
      <c r="V31" s="32" t="n">
        <v>13.49</v>
      </c>
      <c r="W31" s="32" t="n">
        <v>12.88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IF(B32=0,"",RANK(B32,$B$2:$B$222,0))</f>
        <v/>
      </c>
      <c r="B32" s="32">
        <f>SUM(N32,Y32,AA32,AC32,AE32,AG32,AI32,AK32,AM32,AO32,AQ32,AS32,AU32,AW32,AY32,BA32,BC32,BE32,BG32,BI32,BK32,BM32,BO32,BQ32,BS32,BU32,BW32,BY32,CA32,CC32,CE32)</f>
        <v/>
      </c>
      <c r="C32" s="33" t="inlineStr">
        <is>
          <t>GPTHEALTH</t>
        </is>
      </c>
      <c r="D32" s="33" t="inlineStr">
        <is>
          <t>GPT Healthcare Ltd</t>
        </is>
      </c>
      <c r="E32" s="31" t="inlineStr">
        <is>
          <t>healthcare</t>
        </is>
      </c>
      <c r="F32" s="31" t="inlineStr">
        <is>
          <t>healthcare</t>
        </is>
      </c>
      <c r="G32" s="31" t="inlineStr">
        <is>
          <t>smallcap</t>
        </is>
      </c>
      <c r="H32" s="32" t="n">
        <v>1342.5</v>
      </c>
      <c r="I32" s="32" t="n">
        <v>163.61</v>
      </c>
      <c r="J32" s="32" t="n">
        <v>0.19</v>
      </c>
      <c r="K32" s="32" t="n">
        <v>67940</v>
      </c>
      <c r="L32" s="31" t="n">
        <v>18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61.86</v>
      </c>
      <c r="P32" s="32" t="n">
        <v>49.79</v>
      </c>
      <c r="Q32" s="32" t="n">
        <v>140.2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17.16</v>
      </c>
      <c r="U32" s="32" t="n">
        <v>10.9</v>
      </c>
      <c r="V32" s="32" t="n">
        <v>-5.34</v>
      </c>
      <c r="W32" s="32" t="n">
        <v>5.19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IF(B33=0,"",RANK(B33,$B$2:$B$222,0))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AKUMS</t>
        </is>
      </c>
      <c r="D33" s="31" t="inlineStr">
        <is>
          <t>Akums Drugs &amp; Pharmaceuticals Ltd</t>
        </is>
      </c>
      <c r="E33" s="31" t="inlineStr">
        <is>
          <t>healthcare</t>
        </is>
      </c>
      <c r="F33" s="31" t="inlineStr">
        <is>
          <t>pharmaceuticals - indian - bulk drugs &amp; formln</t>
        </is>
      </c>
      <c r="G33" s="31" t="inlineStr">
        <is>
          <t>midcap</t>
        </is>
      </c>
      <c r="H33" s="32" t="n">
        <v>12067.4</v>
      </c>
      <c r="I33" s="32" t="n">
        <v>766.7</v>
      </c>
      <c r="J33" s="32" t="n">
        <v>-0.6899999999999999</v>
      </c>
      <c r="K33" s="32" t="n">
        <v>216030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71.69</v>
      </c>
      <c r="P33" s="32" t="n">
        <v>62.91</v>
      </c>
      <c r="Q33" s="32" t="n">
        <v>629.89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17.16</v>
      </c>
      <c r="U33" s="32" t="n">
        <v>61.66</v>
      </c>
      <c r="V33" s="32" t="n">
        <v>37.99</v>
      </c>
      <c r="W33" s="32" t="n">
        <v>16.54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IF(B34=0,"",RANK(B34,$B$2:$B$222,0))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MOTISONS</t>
        </is>
      </c>
      <c r="D34" s="31" t="inlineStr">
        <is>
          <t>Motisons Jewellers Ltd</t>
        </is>
      </c>
      <c r="E34" s="31" t="inlineStr">
        <is>
          <t>consumer discretionary</t>
        </is>
      </c>
      <c r="F34" s="31" t="inlineStr">
        <is>
          <t>diamond cutting / jewellery</t>
        </is>
      </c>
      <c r="G34" s="31" t="inlineStr">
        <is>
          <t>smallcap</t>
        </is>
      </c>
      <c r="H34" s="32" t="n">
        <v>2040.69</v>
      </c>
      <c r="I34" s="32" t="n">
        <v>17.94</v>
      </c>
      <c r="J34" s="32" t="n">
        <v>7.94</v>
      </c>
      <c r="K34" s="32" t="n">
        <v>236263034</v>
      </c>
      <c r="L34" s="31" t="n">
        <v>17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65.33</v>
      </c>
      <c r="P34" s="32" t="n">
        <v>21.72</v>
      </c>
      <c r="Q34" s="32" t="n">
        <v>12.3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-8.119999999999999</v>
      </c>
      <c r="U34" s="32" t="n">
        <v>-6.51</v>
      </c>
      <c r="V34" s="32" t="n">
        <v>1.75</v>
      </c>
      <c r="W34" s="32" t="n">
        <v>5.04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IF(B35=0,"",RANK(B35,$B$2:$B$222,0))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IRISDOREME</t>
        </is>
      </c>
      <c r="D35" s="31" t="inlineStr">
        <is>
          <t>Iris Clothings Ltd</t>
        </is>
      </c>
      <c r="E35" s="31" t="inlineStr">
        <is>
          <t>consumer discretionary</t>
        </is>
      </c>
      <c r="F35" s="31" t="inlineStr">
        <is>
          <t>textiles - products</t>
        </is>
      </c>
      <c r="G35" s="31" t="inlineStr">
        <is>
          <t>smallcap</t>
        </is>
      </c>
      <c r="H35" s="32" t="n">
        <v>1190.52</v>
      </c>
      <c r="I35" s="32" t="n">
        <v>62.55</v>
      </c>
      <c r="J35" s="32" t="n">
        <v>7.51</v>
      </c>
      <c r="K35" s="32" t="n">
        <v>1031078</v>
      </c>
      <c r="L35" s="31" t="n">
        <v>81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80.08</v>
      </c>
      <c r="P35" s="32" t="n">
        <v>54.68</v>
      </c>
      <c r="Q35" s="32" t="n">
        <v>49.81</v>
      </c>
      <c r="R35" s="31" t="inlineStr">
        <is>
          <t>Near 52W High Breakout</t>
        </is>
      </c>
      <c r="S35" s="31" t="inlineStr">
        <is>
          <t>Nifty 50</t>
        </is>
      </c>
      <c r="T35" s="32" t="n">
        <v>-8.119999999999999</v>
      </c>
      <c r="U35" s="32" t="n">
        <v>96.7</v>
      </c>
      <c r="V35" s="32" t="n">
        <v>114.08</v>
      </c>
      <c r="W35" s="32" t="n">
        <v>28.78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IF(B36=0,"",RANK(B36,$B$2:$B$222,0))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BODALCHEM</t>
        </is>
      </c>
      <c r="D36" s="31" t="inlineStr">
        <is>
          <t>Bodal Chemicals Limited</t>
        </is>
      </c>
      <c r="E36" s="31" t="inlineStr">
        <is>
          <t>chemicals</t>
        </is>
      </c>
      <c r="F36" s="31" t="inlineStr">
        <is>
          <t>dyes and pigments</t>
        </is>
      </c>
      <c r="G36" s="31" t="inlineStr">
        <is>
          <t>smallcap</t>
        </is>
      </c>
      <c r="H36" s="32" t="n">
        <v>2293.82</v>
      </c>
      <c r="I36" s="32" t="n">
        <v>182.13</v>
      </c>
      <c r="J36" s="32" t="n">
        <v>5</v>
      </c>
      <c r="K36" s="32" t="n">
        <v>2362229</v>
      </c>
      <c r="L36" s="31" t="n">
        <v>98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89.69</v>
      </c>
      <c r="P36" s="32" t="n">
        <v>40.82</v>
      </c>
      <c r="Q36" s="32" t="n">
        <v>142.32</v>
      </c>
      <c r="R36" s="31" t="inlineStr">
        <is>
          <t>Near 52W High Breakout</t>
        </is>
      </c>
      <c r="S36" s="31" t="inlineStr">
        <is>
          <t>Nifty 50</t>
        </is>
      </c>
      <c r="T36" s="32" t="n">
        <v>-8.119999999999999</v>
      </c>
      <c r="U36" s="32" t="n">
        <v>175.25</v>
      </c>
      <c r="V36" s="32" t="n">
        <v>199.57</v>
      </c>
      <c r="W36" s="32" t="n">
        <v>65.62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IF(B37=0,"",RANK(B37,$B$2:$B$222,0))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BIRLACABLE</t>
        </is>
      </c>
      <c r="D37" s="31" t="inlineStr">
        <is>
          <t>Birla Cable Limited</t>
        </is>
      </c>
      <c r="E37" s="31" t="inlineStr">
        <is>
          <t>industrials</t>
        </is>
      </c>
      <c r="F37" s="31" t="inlineStr">
        <is>
          <t>cables - telephone</t>
        </is>
      </c>
      <c r="G37" s="31" t="inlineStr">
        <is>
          <t>smallcap</t>
        </is>
      </c>
      <c r="H37" s="32" t="n">
        <v>1204.95</v>
      </c>
      <c r="I37" s="32" t="n">
        <v>401.65</v>
      </c>
      <c r="J37" s="32" t="n">
        <v>4.99</v>
      </c>
      <c r="K37" s="32" t="n">
        <v>431704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81.31</v>
      </c>
      <c r="P37" s="32" t="n">
        <v>52.8</v>
      </c>
      <c r="Q37" s="32" t="n">
        <v>295.03</v>
      </c>
      <c r="R37" s="31" t="inlineStr">
        <is>
          <t>Volume Spike &amp; Near 52W High Breakout</t>
        </is>
      </c>
      <c r="S37" s="31" t="inlineStr">
        <is>
          <t>Nifty Infra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IF(B38=0,"",RANK(B38,$B$2:$B$222,0))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OMAXE</t>
        </is>
      </c>
      <c r="D38" s="31" t="inlineStr">
        <is>
          <t>Omaxe Limited</t>
        </is>
      </c>
      <c r="E38" s="31" t="inlineStr">
        <is>
          <t>realty</t>
        </is>
      </c>
      <c r="F38" s="31" t="inlineStr">
        <is>
          <t>construction</t>
        </is>
      </c>
      <c r="G38" s="31" t="inlineStr">
        <is>
          <t>smallcap</t>
        </is>
      </c>
      <c r="H38" s="32" t="n">
        <v>2208.71</v>
      </c>
      <c r="I38" s="32" t="n">
        <v>120.76</v>
      </c>
      <c r="J38" s="32" t="n">
        <v>4.94</v>
      </c>
      <c r="K38" s="32" t="n">
        <v>755723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66.7</v>
      </c>
      <c r="P38" s="32" t="n">
        <v>43.96</v>
      </c>
      <c r="Q38" s="32" t="n">
        <v>96.72</v>
      </c>
      <c r="R38" s="31" t="inlineStr">
        <is>
          <t>Earnings / Momentum Support</t>
        </is>
      </c>
      <c r="S38" s="31" t="inlineStr">
        <is>
          <t>Nifty Realty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IF(B39=0,"",RANK(B39,$B$2:$B$222,0))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WELSPUNLIV</t>
        </is>
      </c>
      <c r="D39" s="31" t="inlineStr">
        <is>
          <t>Welspun Living Ltd</t>
        </is>
      </c>
      <c r="E39" s="31" t="inlineStr">
        <is>
          <t>textiles</t>
        </is>
      </c>
      <c r="F39" s="31" t="inlineStr">
        <is>
          <t>textiles - products</t>
        </is>
      </c>
      <c r="G39" s="31" t="inlineStr">
        <is>
          <t>largecap</t>
        </is>
      </c>
      <c r="H39" s="32" t="n">
        <v>20052.37</v>
      </c>
      <c r="I39" s="32" t="n">
        <v>212.25</v>
      </c>
      <c r="J39" s="32" t="n">
        <v>4.65</v>
      </c>
      <c r="K39" s="32" t="n">
        <v>5153292</v>
      </c>
      <c r="L39" s="31" t="n">
        <v>62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79.22</v>
      </c>
      <c r="P39" s="32" t="n">
        <v>42.65</v>
      </c>
      <c r="Q39" s="32" t="n">
        <v>169.53</v>
      </c>
      <c r="R39" s="31" t="inlineStr">
        <is>
          <t>Near 52W High Breakout</t>
        </is>
      </c>
      <c r="S39" s="31" t="inlineStr">
        <is>
          <t>Nifty 50</t>
        </is>
      </c>
      <c r="T39" s="32" t="n">
        <v>-8.119999999999999</v>
      </c>
      <c r="U39" s="32" t="n">
        <v>70.70999999999999</v>
      </c>
      <c r="V39" s="32" t="n">
        <v>85.79000000000001</v>
      </c>
      <c r="W39" s="32" t="n">
        <v>19.39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IF(B40=0,"",RANK(B40,$B$2:$B$222,0))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IGPL</t>
        </is>
      </c>
      <c r="D40" s="31" t="inlineStr">
        <is>
          <t>Ig Petrochemicals Limited</t>
        </is>
      </c>
      <c r="E40" s="31" t="inlineStr">
        <is>
          <t>chemicals</t>
        </is>
      </c>
      <c r="F40" s="31" t="inlineStr">
        <is>
          <t>chemicals</t>
        </is>
      </c>
      <c r="G40" s="31" t="inlineStr">
        <is>
          <t>smallcap</t>
        </is>
      </c>
      <c r="H40" s="32" t="n">
        <v>1707.73</v>
      </c>
      <c r="I40" s="32" t="n">
        <v>554.55</v>
      </c>
      <c r="J40" s="32" t="n">
        <v>3.98</v>
      </c>
      <c r="K40" s="32" t="n">
        <v>69270</v>
      </c>
      <c r="L40" s="31" t="n">
        <v>35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67.43000000000001</v>
      </c>
      <c r="P40" s="32" t="n">
        <v>31.78</v>
      </c>
      <c r="Q40" s="32" t="n">
        <v>442.94</v>
      </c>
      <c r="R40" s="31" t="inlineStr">
        <is>
          <t>Near 52W High Breakout</t>
        </is>
      </c>
      <c r="S40" s="31" t="inlineStr">
        <is>
          <t>Nifty 50</t>
        </is>
      </c>
      <c r="T40" s="32" t="n">
        <v>-8.119999999999999</v>
      </c>
      <c r="U40" s="32" t="n">
        <v>27.83</v>
      </c>
      <c r="V40" s="32" t="n">
        <v>39.13</v>
      </c>
      <c r="W40" s="32" t="n">
        <v>10.9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IF(B41=0,"",RANK(B41,$B$2:$B$222,0))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UNIMECH</t>
        </is>
      </c>
      <c r="D41" s="31" t="inlineStr">
        <is>
          <t>Unimech Aerospace and Manufacturing Ltd</t>
        </is>
      </c>
      <c r="E41" s="31" t="inlineStr">
        <is>
          <t>aerospace &amp; defence</t>
        </is>
      </c>
      <c r="F41" s="31" t="inlineStr">
        <is>
          <t>engineering</t>
        </is>
      </c>
      <c r="G41" s="31" t="inlineStr">
        <is>
          <t>midcap</t>
        </is>
      </c>
      <c r="H41" s="32" t="n">
        <v>7987.58</v>
      </c>
      <c r="I41" s="32" t="n">
        <v>1570.6</v>
      </c>
      <c r="J41" s="32" t="n">
        <v>3.62</v>
      </c>
      <c r="K41" s="32" t="n">
        <v>261719</v>
      </c>
      <c r="L41" s="31" t="n">
        <v>54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72.91</v>
      </c>
      <c r="P41" s="32" t="n">
        <v>44.72</v>
      </c>
      <c r="Q41" s="32" t="n">
        <v>1230.56</v>
      </c>
      <c r="R41" s="31" t="inlineStr">
        <is>
          <t>Near 52W High Breakout</t>
        </is>
      </c>
      <c r="S41" s="31" t="inlineStr">
        <is>
          <t>Nifty 50</t>
        </is>
      </c>
      <c r="T41" s="32" t="n">
        <v>-8.119999999999999</v>
      </c>
      <c r="U41" s="32" t="n">
        <v>42.42</v>
      </c>
      <c r="V41" s="32" t="n">
        <v>55.01</v>
      </c>
      <c r="W41" s="32" t="n">
        <v>16.55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IF(B42=0,"",RANK(B42,$B$2:$B$222,0))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FILATEX</t>
        </is>
      </c>
      <c r="D42" s="31" t="inlineStr">
        <is>
          <t>Filatex India Limited</t>
        </is>
      </c>
      <c r="E42" s="31" t="inlineStr">
        <is>
          <t>textiles</t>
        </is>
      </c>
      <c r="F42" s="31" t="inlineStr">
        <is>
          <t>textiles - manmade</t>
        </is>
      </c>
      <c r="G42" s="31" t="inlineStr">
        <is>
          <t>smallcap</t>
        </is>
      </c>
      <c r="H42" s="32" t="n">
        <v>4012.07</v>
      </c>
      <c r="I42" s="32" t="n">
        <v>90.34999999999999</v>
      </c>
      <c r="J42" s="32" t="n">
        <v>3.59</v>
      </c>
      <c r="K42" s="32" t="n">
        <v>7738959</v>
      </c>
      <c r="L42" s="31" t="n">
        <v>78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77.03</v>
      </c>
      <c r="P42" s="32" t="n">
        <v>44.67</v>
      </c>
      <c r="Q42" s="32" t="n">
        <v>66.29000000000001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-8.119999999999999</v>
      </c>
      <c r="U42" s="32" t="n">
        <v>59.22</v>
      </c>
      <c r="V42" s="32" t="n">
        <v>73.29000000000001</v>
      </c>
      <c r="W42" s="32" t="n">
        <v>26.94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IF(B43=0,"",RANK(B43,$B$2:$B$222,0))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UNIPARTS</t>
        </is>
      </c>
      <c r="D43" s="31" t="inlineStr">
        <is>
          <t>Uniparts India Ltd</t>
        </is>
      </c>
      <c r="E43" s="31" t="inlineStr">
        <is>
          <t>industrials</t>
        </is>
      </c>
      <c r="F43" s="31" t="inlineStr">
        <is>
          <t>engineering</t>
        </is>
      </c>
      <c r="G43" s="31" t="inlineStr">
        <is>
          <t>smallcap</t>
        </is>
      </c>
      <c r="H43" s="32" t="n">
        <v>3963.79</v>
      </c>
      <c r="I43" s="32" t="n">
        <v>878.05</v>
      </c>
      <c r="J43" s="32" t="n">
        <v>3.16</v>
      </c>
      <c r="K43" s="32" t="n">
        <v>81783</v>
      </c>
      <c r="L43" s="31" t="n">
        <v>77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78.97</v>
      </c>
      <c r="P43" s="32" t="n">
        <v>69.43000000000001</v>
      </c>
      <c r="Q43" s="32" t="n">
        <v>725.2</v>
      </c>
      <c r="R43" s="31" t="inlineStr">
        <is>
          <t>Near 52W High Breakout</t>
        </is>
      </c>
      <c r="S43" s="31" t="inlineStr">
        <is>
          <t>Nifty 50</t>
        </is>
      </c>
      <c r="T43" s="32" t="n">
        <v>-8.119999999999999</v>
      </c>
      <c r="U43" s="32" t="n">
        <v>129.08</v>
      </c>
      <c r="V43" s="32" t="n">
        <v>149.33</v>
      </c>
      <c r="W43" s="32" t="n">
        <v>25.97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IF(B44=0,"",RANK(B44,$B$2:$B$222,0))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CYIENTDLM</t>
        </is>
      </c>
      <c r="D44" s="31" t="inlineStr">
        <is>
          <t>Cyient DLM Ltd</t>
        </is>
      </c>
      <c r="E44" s="31" t="inlineStr">
        <is>
          <t>aerospace &amp; defence</t>
        </is>
      </c>
      <c r="F44" s="31" t="inlineStr">
        <is>
          <t>electronics - components</t>
        </is>
      </c>
      <c r="G44" s="31" t="inlineStr">
        <is>
          <t>midcap</t>
        </is>
      </c>
      <c r="H44" s="32" t="n">
        <v>7092.9</v>
      </c>
      <c r="I44" s="32" t="n">
        <v>893.5</v>
      </c>
      <c r="J44" s="32" t="n">
        <v>3.01</v>
      </c>
      <c r="K44" s="32" t="n">
        <v>1059462</v>
      </c>
      <c r="L44" s="31" t="n">
        <v>92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88.73999999999999</v>
      </c>
      <c r="P44" s="32" t="n">
        <v>75.36</v>
      </c>
      <c r="Q44" s="32" t="n">
        <v>687.71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-8.119999999999999</v>
      </c>
      <c r="U44" s="32" t="n">
        <v>86.53</v>
      </c>
      <c r="V44" s="32" t="n">
        <v>103.02</v>
      </c>
      <c r="W44" s="32" t="n">
        <v>38.65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IF(B45=0,"",RANK(B45,$B$2:$B$222,0))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KRYSTAL</t>
        </is>
      </c>
      <c r="D45" s="31" t="inlineStr">
        <is>
          <t>Krystal Integrated Services Ltd</t>
        </is>
      </c>
      <c r="E45" s="31" t="inlineStr">
        <is>
          <t>miscellaneous</t>
        </is>
      </c>
      <c r="F45" s="31" t="inlineStr">
        <is>
          <t>miscellaneous</t>
        </is>
      </c>
      <c r="G45" s="31" t="inlineStr">
        <is>
          <t>smallcap</t>
        </is>
      </c>
      <c r="H45" s="32" t="n">
        <v>942.97</v>
      </c>
      <c r="I45" s="32" t="n">
        <v>674.9</v>
      </c>
      <c r="J45" s="32" t="n">
        <v>2.94</v>
      </c>
      <c r="K45" s="32" t="n">
        <v>185098</v>
      </c>
      <c r="L45" s="31" t="n">
        <v>14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64.13</v>
      </c>
      <c r="P45" s="32" t="n">
        <v>38.65</v>
      </c>
      <c r="Q45" s="32" t="n">
        <v>546.53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-8.119999999999999</v>
      </c>
      <c r="U45" s="32" t="n">
        <v>3.52</v>
      </c>
      <c r="V45" s="32" t="n">
        <v>12.67</v>
      </c>
      <c r="W45" s="32" t="n">
        <v>3.63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IF(B46=0,"",RANK(B46,$B$2:$B$222,0))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FINCABLES</t>
        </is>
      </c>
      <c r="D46" s="31" t="inlineStr">
        <is>
          <t>Finolex Cables Limited</t>
        </is>
      </c>
      <c r="E46" s="31" t="inlineStr">
        <is>
          <t>industrials</t>
        </is>
      </c>
      <c r="F46" s="31" t="inlineStr">
        <is>
          <t>cables - power</t>
        </is>
      </c>
      <c r="G46" s="31" t="inlineStr">
        <is>
          <t>largecap</t>
        </is>
      </c>
      <c r="H46" s="32" t="n">
        <v>21347.27</v>
      </c>
      <c r="I46" s="32" t="n">
        <v>1395.8</v>
      </c>
      <c r="J46" s="32" t="n">
        <v>2.44</v>
      </c>
      <c r="K46" s="32" t="n">
        <v>1123026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68.28</v>
      </c>
      <c r="P46" s="32" t="n">
        <v>37.6</v>
      </c>
      <c r="Q46" s="32" t="n">
        <v>1069.71</v>
      </c>
      <c r="R46" s="31" t="inlineStr">
        <is>
          <t>Near 52W High Breakout</t>
        </is>
      </c>
      <c r="S46" s="31" t="inlineStr">
        <is>
          <t>Nifty Energy</t>
        </is>
      </c>
      <c r="T46" s="32" t="inlineStr"/>
      <c r="U46" s="32" t="inlineStr"/>
      <c r="V46" s="32" t="inlineStr"/>
      <c r="W46" s="32" t="inlineStr"/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IF(B47=0,"",RANK(B47,$B$2:$B$222,0))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AVL</t>
        </is>
      </c>
      <c r="D47" s="31" t="inlineStr">
        <is>
          <t>Aditya Vision Ltd</t>
        </is>
      </c>
      <c r="E47" s="31" t="inlineStr">
        <is>
          <t>consumer discretionary</t>
        </is>
      </c>
      <c r="F47" s="31" t="inlineStr">
        <is>
          <t>trading</t>
        </is>
      </c>
      <c r="G47" s="31" t="inlineStr">
        <is>
          <t>midcap</t>
        </is>
      </c>
      <c r="H47" s="32" t="n">
        <v>8177.67</v>
      </c>
      <c r="I47" s="32" t="n">
        <v>633.25</v>
      </c>
      <c r="J47" s="32" t="n">
        <v>2.04</v>
      </c>
      <c r="K47" s="32" t="n">
        <v>68801</v>
      </c>
      <c r="L47" s="31" t="n">
        <v>14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61.07</v>
      </c>
      <c r="P47" s="32" t="n">
        <v>47.78</v>
      </c>
      <c r="Q47" s="32" t="n">
        <v>532.47</v>
      </c>
      <c r="R47" s="31" t="inlineStr">
        <is>
          <t>Near 52W High Breakout</t>
        </is>
      </c>
      <c r="S47" s="31" t="inlineStr">
        <is>
          <t>Nifty 50</t>
        </is>
      </c>
      <c r="T47" s="32" t="n">
        <v>-8.119999999999999</v>
      </c>
      <c r="U47" s="32" t="n">
        <v>10.69</v>
      </c>
      <c r="V47" s="32" t="n">
        <v>20.47</v>
      </c>
      <c r="W47" s="32" t="n">
        <v>3.61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IF(B48=0,"",RANK(B48,$B$2:$B$222,0))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MACPOWER</t>
        </is>
      </c>
      <c r="D48" s="31" t="inlineStr">
        <is>
          <t>Macpower CNC Machines Ltd</t>
        </is>
      </c>
      <c r="E48" s="31" t="inlineStr">
        <is>
          <t>industrials</t>
        </is>
      </c>
      <c r="F48" s="31" t="inlineStr">
        <is>
          <t>engineering</t>
        </is>
      </c>
      <c r="G48" s="31" t="inlineStr">
        <is>
          <t>smallcap</t>
        </is>
      </c>
      <c r="H48" s="32" t="n">
        <v>1922.4</v>
      </c>
      <c r="I48" s="32" t="n">
        <v>1921.6</v>
      </c>
      <c r="J48" s="32" t="n">
        <v>1.69</v>
      </c>
      <c r="K48" s="32" t="n">
        <v>94021</v>
      </c>
      <c r="L48" s="31" t="n">
        <v>87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71.84999999999999</v>
      </c>
      <c r="P48" s="32" t="n">
        <v>48.33</v>
      </c>
      <c r="Q48" s="32" t="n">
        <v>1452.17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-8.119999999999999</v>
      </c>
      <c r="U48" s="32" t="n">
        <v>121.48</v>
      </c>
      <c r="V48" s="32" t="n">
        <v>141.06</v>
      </c>
      <c r="W48" s="32" t="n">
        <v>32.93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IF(B49=0,"",RANK(B49,$B$2:$B$222,0))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CENTUM</t>
        </is>
      </c>
      <c r="D49" s="31" t="inlineStr">
        <is>
          <t>Centum Electronics Limited</t>
        </is>
      </c>
      <c r="E49" s="31" t="inlineStr">
        <is>
          <t>aerospace &amp; defence</t>
        </is>
      </c>
      <c r="F49" s="31" t="inlineStr">
        <is>
          <t>electronics - components</t>
        </is>
      </c>
      <c r="G49" s="31" t="inlineStr">
        <is>
          <t>midcap</t>
        </is>
      </c>
      <c r="H49" s="32" t="n">
        <v>6410.43</v>
      </c>
      <c r="I49" s="32" t="n">
        <v>4343.4</v>
      </c>
      <c r="J49" s="32" t="n">
        <v>1.57</v>
      </c>
      <c r="K49" s="32" t="n">
        <v>62333</v>
      </c>
      <c r="L49" s="31" t="n">
        <v>52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71.84</v>
      </c>
      <c r="P49" s="32" t="n">
        <v>51.81</v>
      </c>
      <c r="Q49" s="32" t="n">
        <v>3272.69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-8.119999999999999</v>
      </c>
      <c r="U49" s="32" t="n">
        <v>53.59</v>
      </c>
      <c r="V49" s="32" t="n">
        <v>67.16</v>
      </c>
      <c r="W49" s="32" t="n">
        <v>15.67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IF(B50=0,"",RANK(B50,$B$2:$B$222,0))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CONFIPET</t>
        </is>
      </c>
      <c r="D50" s="31" t="inlineStr">
        <is>
          <t>Confidence Petroleum India Ltd</t>
        </is>
      </c>
      <c r="E50" s="31" t="inlineStr">
        <is>
          <t>miscellaneous</t>
        </is>
      </c>
      <c r="F50" s="31" t="inlineStr">
        <is>
          <t>miscellaneous</t>
        </is>
      </c>
      <c r="G50" s="31" t="inlineStr">
        <is>
          <t>smallcap</t>
        </is>
      </c>
      <c r="H50" s="32" t="n">
        <v>2882.52</v>
      </c>
      <c r="I50" s="32" t="n">
        <v>86.76000000000001</v>
      </c>
      <c r="J50" s="32" t="n">
        <v>0.21</v>
      </c>
      <c r="K50" s="32" t="n">
        <v>1445669</v>
      </c>
      <c r="L50" s="31" t="n">
        <v>71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67.98</v>
      </c>
      <c r="P50" s="32" t="n">
        <v>59.56</v>
      </c>
      <c r="Q50" s="32" t="n">
        <v>62.7</v>
      </c>
      <c r="R50" s="31" t="inlineStr">
        <is>
          <t>Near 52W High Breakout</t>
        </is>
      </c>
      <c r="S50" s="31" t="inlineStr">
        <is>
          <t>Nifty 50</t>
        </is>
      </c>
      <c r="T50" s="32" t="n">
        <v>-8.119999999999999</v>
      </c>
      <c r="U50" s="32" t="n">
        <v>82.47</v>
      </c>
      <c r="V50" s="32" t="n">
        <v>98.59</v>
      </c>
      <c r="W50" s="32" t="n">
        <v>23.66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IF(B51=0,"",RANK(B51,$B$2:$B$222,0))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JKPAPER</t>
        </is>
      </c>
      <c r="D51" s="31" t="inlineStr">
        <is>
          <t>Jk Paper Limited</t>
        </is>
      </c>
      <c r="E51" s="31" t="inlineStr">
        <is>
          <t>building materials</t>
        </is>
      </c>
      <c r="F51" s="31" t="inlineStr">
        <is>
          <t>paper</t>
        </is>
      </c>
      <c r="G51" s="31" t="inlineStr">
        <is>
          <t>midcap</t>
        </is>
      </c>
      <c r="H51" s="32" t="n">
        <v>7580.03</v>
      </c>
      <c r="I51" s="32" t="n">
        <v>418.05</v>
      </c>
      <c r="J51" s="32" t="n">
        <v>0.17</v>
      </c>
      <c r="K51" s="32" t="n">
        <v>1832851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67.06999999999999</v>
      </c>
      <c r="P51" s="32" t="n">
        <v>36.04</v>
      </c>
      <c r="Q51" s="32" t="n">
        <v>336.38</v>
      </c>
      <c r="R51" s="31" t="inlineStr">
        <is>
          <t>Near 52W High Breakout</t>
        </is>
      </c>
      <c r="S51" s="31" t="inlineStr">
        <is>
          <t>Nifty Infra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IF(B52=0,"",RANK(B52,$B$2:$B$222,0))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SSWL</t>
        </is>
      </c>
      <c r="D52" s="31" t="inlineStr">
        <is>
          <t>Steel Strips Wheels Limited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midcap</t>
        </is>
      </c>
      <c r="H52" s="32" t="n">
        <v>5473.81</v>
      </c>
      <c r="I52" s="32" t="n">
        <v>348.25</v>
      </c>
      <c r="J52" s="32" t="n">
        <v>-0.51</v>
      </c>
      <c r="K52" s="32" t="n">
        <v>440929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70.48</v>
      </c>
      <c r="P52" s="32" t="n">
        <v>43.9</v>
      </c>
      <c r="Q52" s="32" t="n">
        <v>291.51</v>
      </c>
      <c r="R52" s="31" t="inlineStr">
        <is>
          <t>Earnings / Momentum Support</t>
        </is>
      </c>
      <c r="S52" s="31" t="inlineStr">
        <is>
          <t>Nifty Auto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IF(B53=0,"",RANK(B53,$B$2:$B$222,0))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ARROWGREEN</t>
        </is>
      </c>
      <c r="D53" s="31" t="inlineStr">
        <is>
          <t>Arrow Greentech Limited</t>
        </is>
      </c>
      <c r="E53" s="31" t="inlineStr">
        <is>
          <t>plastic products</t>
        </is>
      </c>
      <c r="F53" s="31" t="inlineStr">
        <is>
          <t>plastics products</t>
        </is>
      </c>
      <c r="G53" s="31" t="inlineStr">
        <is>
          <t>smallcap</t>
        </is>
      </c>
      <c r="H53" s="32" t="n">
        <v>1361.69</v>
      </c>
      <c r="I53" s="32" t="n">
        <v>902.5</v>
      </c>
      <c r="J53" s="32" t="n">
        <v>-0.55</v>
      </c>
      <c r="K53" s="32" t="n">
        <v>57165</v>
      </c>
      <c r="L53" s="31" t="n">
        <v>75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71.67</v>
      </c>
      <c r="P53" s="32" t="n">
        <v>45.61</v>
      </c>
      <c r="Q53" s="32" t="n">
        <v>670.45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-8.119999999999999</v>
      </c>
      <c r="U53" s="32" t="n">
        <v>59.41</v>
      </c>
      <c r="V53" s="32" t="n">
        <v>73.5</v>
      </c>
      <c r="W53" s="32" t="n">
        <v>25.27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IF(B54=0,"",RANK(B54,$B$2:$B$222,0))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KANORICHEM</t>
        </is>
      </c>
      <c r="D54" s="31" t="inlineStr">
        <is>
          <t>Kanoria Chemicals &amp; Industries Limited</t>
        </is>
      </c>
      <c r="E54" s="31" t="inlineStr">
        <is>
          <t>chemicals</t>
        </is>
      </c>
      <c r="F54" s="31" t="inlineStr">
        <is>
          <t>chemicals</t>
        </is>
      </c>
      <c r="G54" s="31" t="inlineStr">
        <is>
          <t>smallcap</t>
        </is>
      </c>
      <c r="H54" s="32" t="n">
        <v>811.5599999999999</v>
      </c>
      <c r="I54" s="32" t="n">
        <v>185.74</v>
      </c>
      <c r="J54" s="32" t="n">
        <v>-0.66</v>
      </c>
      <c r="K54" s="32" t="n">
        <v>71591</v>
      </c>
      <c r="L54" s="31" t="n">
        <v>89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78.05</v>
      </c>
      <c r="P54" s="32" t="n">
        <v>69.19</v>
      </c>
      <c r="Q54" s="32" t="n">
        <v>139.42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-8.119999999999999</v>
      </c>
      <c r="U54" s="32" t="n">
        <v>124.05</v>
      </c>
      <c r="V54" s="32" t="n">
        <v>143.85</v>
      </c>
      <c r="W54" s="32" t="n">
        <v>34.85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IF(B55=0,"",RANK(B55,$B$2:$B$222,0))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LOTUSDEV</t>
        </is>
      </c>
      <c r="D55" s="31" t="inlineStr">
        <is>
          <t>Sri Lotus Developers &amp; Realty Ltd</t>
        </is>
      </c>
      <c r="E55" s="31" t="inlineStr">
        <is>
          <t>realty</t>
        </is>
      </c>
      <c r="F55" s="31" t="inlineStr">
        <is>
          <t>construction</t>
        </is>
      </c>
      <c r="G55" s="31" t="inlineStr">
        <is>
          <t>midcap</t>
        </is>
      </c>
      <c r="H55" s="32" t="n">
        <v>10428.88</v>
      </c>
      <c r="I55" s="32" t="n">
        <v>213.39</v>
      </c>
      <c r="J55" s="32" t="n">
        <v>-1.39</v>
      </c>
      <c r="K55" s="32" t="n">
        <v>883019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66.45</v>
      </c>
      <c r="P55" s="32" t="n">
        <v>23.68</v>
      </c>
      <c r="Q55" s="32" t="n">
        <v>161.03</v>
      </c>
      <c r="R55" s="31" t="inlineStr">
        <is>
          <t>Near 52W High Breakout</t>
        </is>
      </c>
      <c r="S55" s="31" t="inlineStr">
        <is>
          <t>Nifty Realty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IF(B56=0,"",RANK(B56,$B$2:$B$222,0))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ASIANHOTNR</t>
        </is>
      </c>
      <c r="D56" s="31" t="inlineStr">
        <is>
          <t>Asian Hotels (north) Limited</t>
        </is>
      </c>
      <c r="E56" s="31" t="inlineStr">
        <is>
          <t>services</t>
        </is>
      </c>
      <c r="F56" s="31" t="inlineStr">
        <is>
          <t>hotels</t>
        </is>
      </c>
      <c r="G56" s="31" t="inlineStr">
        <is>
          <t>smallcap</t>
        </is>
      </c>
      <c r="H56" s="32" t="n">
        <v>1602.16</v>
      </c>
      <c r="I56" s="32" t="n">
        <v>375.8</v>
      </c>
      <c r="J56" s="32" t="n">
        <v>-3.28</v>
      </c>
      <c r="K56" s="32" t="n">
        <v>8769</v>
      </c>
      <c r="L56" s="31" t="n">
        <v>29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66.95</v>
      </c>
      <c r="P56" s="32" t="n">
        <v>38.62</v>
      </c>
      <c r="Q56" s="32" t="n">
        <v>272.97</v>
      </c>
      <c r="R56" s="31" t="inlineStr">
        <is>
          <t>Near 52W High Breakout</t>
        </is>
      </c>
      <c r="S56" s="31" t="inlineStr">
        <is>
          <t>Nifty 50</t>
        </is>
      </c>
      <c r="T56" s="32" t="n">
        <v>-8.119999999999999</v>
      </c>
      <c r="U56" s="32" t="n">
        <v>15.65</v>
      </c>
      <c r="V56" s="32" t="n">
        <v>25.87</v>
      </c>
      <c r="W56" s="32" t="n">
        <v>8.800000000000001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IF(B57=0,"",RANK(B57,$B$2:$B$222,0))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GAYAPROJ</t>
        </is>
      </c>
      <c r="D57" s="31" t="inlineStr">
        <is>
          <t>Gayatri Projects Limited</t>
        </is>
      </c>
      <c r="E57" s="31" t="inlineStr">
        <is>
          <t>realty</t>
        </is>
      </c>
      <c r="F57" s="31" t="inlineStr">
        <is>
          <t>construction</t>
        </is>
      </c>
      <c r="G57" s="31" t="inlineStr">
        <is>
          <t>smallcap</t>
        </is>
      </c>
      <c r="H57" s="32" t="n">
        <v>1096.67</v>
      </c>
      <c r="I57" s="32" t="n">
        <v>23.62</v>
      </c>
      <c r="J57" s="32" t="n">
        <v>-4.95</v>
      </c>
      <c r="K57" s="32" t="n">
        <v>1567518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62.33</v>
      </c>
      <c r="P57" s="32" t="n">
        <v>29.31</v>
      </c>
      <c r="Q57" s="32" t="n">
        <v>19.15</v>
      </c>
      <c r="R57" s="31" t="inlineStr">
        <is>
          <t>Volume Spike / Accumulation</t>
        </is>
      </c>
      <c r="S57" s="31" t="inlineStr">
        <is>
          <t>Nifty Realty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IF(B58=0,"",RANK(B58,$B$2:$B$222,0))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VIJAYA</t>
        </is>
      </c>
      <c r="D58" s="31" t="inlineStr">
        <is>
          <t>Vijaya Diagnostic Centre Ltd</t>
        </is>
      </c>
      <c r="E58" s="31" t="inlineStr">
        <is>
          <t>healthcare</t>
        </is>
      </c>
      <c r="F58" s="31" t="inlineStr">
        <is>
          <t>healthcare</t>
        </is>
      </c>
      <c r="G58" s="31" t="inlineStr">
        <is>
          <t>midcap</t>
        </is>
      </c>
      <c r="H58" s="32" t="n">
        <v>15497.28</v>
      </c>
      <c r="I58" s="32" t="n">
        <v>1506.1</v>
      </c>
      <c r="J58" s="32" t="n">
        <v>4.71</v>
      </c>
      <c r="K58" s="32" t="n">
        <v>196070</v>
      </c>
      <c r="L58" s="31" t="n">
        <v>38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68.34</v>
      </c>
      <c r="P58" s="32" t="n">
        <v>59.86</v>
      </c>
      <c r="Q58" s="32" t="n">
        <v>1196.72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17.16</v>
      </c>
      <c r="U58" s="32" t="n">
        <v>42.56</v>
      </c>
      <c r="V58" s="32" t="n">
        <v>21.69</v>
      </c>
      <c r="W58" s="32" t="n">
        <v>11.38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IF(B59=0,"",RANK(B59,$B$2:$B$222,0))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SHILPAMED</t>
        </is>
      </c>
      <c r="D59" s="31" t="inlineStr">
        <is>
          <t>Shilpa Medicare Limited</t>
        </is>
      </c>
      <c r="E59" s="31" t="inlineStr">
        <is>
          <t>healthcare</t>
        </is>
      </c>
      <c r="F59" s="31" t="inlineStr">
        <is>
          <t>pharmaceuticals - indian - formulations</t>
        </is>
      </c>
      <c r="G59" s="31" t="inlineStr">
        <is>
          <t>midcap</t>
        </is>
      </c>
      <c r="H59" s="32" t="n">
        <v>18743.58</v>
      </c>
      <c r="I59" s="32" t="n">
        <v>958.35</v>
      </c>
      <c r="J59" s="32" t="n">
        <v>3.26</v>
      </c>
      <c r="K59" s="32" t="n">
        <v>819680</v>
      </c>
      <c r="L59" s="31" t="n">
        <v>93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90.19</v>
      </c>
      <c r="P59" s="32" t="n">
        <v>79.16</v>
      </c>
      <c r="Q59" s="32" t="n">
        <v>778.02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17.16</v>
      </c>
      <c r="U59" s="32" t="n">
        <v>132.47</v>
      </c>
      <c r="V59" s="32" t="n">
        <v>98.43000000000001</v>
      </c>
      <c r="W59" s="32" t="n">
        <v>39.34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IF(B60=0,"",RANK(B60,$B$2:$B$222,0))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DIVISLAB</t>
        </is>
      </c>
      <c r="D60" s="31" t="inlineStr">
        <is>
          <t>Divi's Laboratories Limited</t>
        </is>
      </c>
      <c r="E60" s="31" t="inlineStr">
        <is>
          <t>healthcare</t>
        </is>
      </c>
      <c r="F60" s="31" t="inlineStr">
        <is>
          <t>pharmaceuticals - indian - bulk drugs</t>
        </is>
      </c>
      <c r="G60" s="31" t="inlineStr">
        <is>
          <t>largecap</t>
        </is>
      </c>
      <c r="H60" s="32" t="n">
        <v>247496.36</v>
      </c>
      <c r="I60" s="32" t="n">
        <v>9323</v>
      </c>
      <c r="J60" s="32" t="n">
        <v>1.8</v>
      </c>
      <c r="K60" s="32" t="n">
        <v>494167</v>
      </c>
      <c r="L60" s="31" t="n">
        <v>57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84.86</v>
      </c>
      <c r="P60" s="32" t="n">
        <v>48.65</v>
      </c>
      <c r="Q60" s="32" t="n">
        <v>8113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17.16</v>
      </c>
      <c r="U60" s="32" t="n">
        <v>50.99</v>
      </c>
      <c r="V60" s="32" t="n">
        <v>28.88</v>
      </c>
      <c r="W60" s="32" t="n">
        <v>17.37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IF(B61=0,"",RANK(B61,$B$2:$B$222,0))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BLISSGVS</t>
        </is>
      </c>
      <c r="D61" s="31" t="inlineStr">
        <is>
          <t>Bliss Gvs Pharma Limited</t>
        </is>
      </c>
      <c r="E61" s="31" t="inlineStr">
        <is>
          <t>healthcare</t>
        </is>
      </c>
      <c r="F61" s="31" t="inlineStr">
        <is>
          <t>pharmaceuticals - indian - formulations</t>
        </is>
      </c>
      <c r="G61" s="31" t="inlineStr">
        <is>
          <t>midcap</t>
        </is>
      </c>
      <c r="H61" s="32" t="n">
        <v>7324.77</v>
      </c>
      <c r="I61" s="32" t="n">
        <v>690.65</v>
      </c>
      <c r="J61" s="32" t="n">
        <v>1.49</v>
      </c>
      <c r="K61" s="32" t="n">
        <v>198123</v>
      </c>
      <c r="L61" s="31" t="n">
        <v>96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81.62</v>
      </c>
      <c r="P61" s="32" t="n">
        <v>73.23999999999999</v>
      </c>
      <c r="Q61" s="32" t="n">
        <v>561.84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17.16</v>
      </c>
      <c r="U61" s="32" t="n">
        <v>360.71</v>
      </c>
      <c r="V61" s="32" t="n">
        <v>293.23</v>
      </c>
      <c r="W61" s="32" t="n">
        <v>50.53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Between 12 to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IF(B62=0,"",RANK(B62,$B$2:$B$222,0))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ZIMLAB</t>
        </is>
      </c>
      <c r="D62" s="31" t="inlineStr">
        <is>
          <t>Zim Laboratories Ltd</t>
        </is>
      </c>
      <c r="E62" s="31" t="inlineStr">
        <is>
          <t>healthcare</t>
        </is>
      </c>
      <c r="F62" s="31" t="inlineStr">
        <is>
          <t>pharmaceuticals - indian - bulk drugs &amp; formln</t>
        </is>
      </c>
      <c r="G62" s="31" t="inlineStr">
        <is>
          <t>smallcap</t>
        </is>
      </c>
      <c r="H62" s="32" t="n">
        <v>738.55</v>
      </c>
      <c r="I62" s="32" t="n">
        <v>137.92</v>
      </c>
      <c r="J62" s="32" t="n">
        <v>0.83</v>
      </c>
      <c r="K62" s="32" t="n">
        <v>230315</v>
      </c>
      <c r="L62" s="31" t="n">
        <v>63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71.45</v>
      </c>
      <c r="P62" s="32" t="n">
        <v>60.01</v>
      </c>
      <c r="Q62" s="32" t="n">
        <v>101.15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17.16</v>
      </c>
      <c r="U62" s="32" t="n">
        <v>83.36</v>
      </c>
      <c r="V62" s="32" t="n">
        <v>56.5</v>
      </c>
      <c r="W62" s="32" t="n">
        <v>19.43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IF(B63=0,"",RANK(B63,$B$2:$B$222,0))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BAFNAPH</t>
        </is>
      </c>
      <c r="D63" s="31" t="inlineStr">
        <is>
          <t>Bafna Pharmaceuticals Ltd</t>
        </is>
      </c>
      <c r="E63" s="31" t="inlineStr">
        <is>
          <t>healthcare</t>
        </is>
      </c>
      <c r="F63" s="31" t="inlineStr">
        <is>
          <t>pharmaceuticals - indian - formulations</t>
        </is>
      </c>
      <c r="G63" s="31" t="inlineStr">
        <is>
          <t>smallcap</t>
        </is>
      </c>
      <c r="H63" s="32" t="n">
        <v>735.71</v>
      </c>
      <c r="I63" s="32" t="n">
        <v>311</v>
      </c>
      <c r="J63" s="32" t="n">
        <v>0.65</v>
      </c>
      <c r="K63" s="32" t="n">
        <v>12918</v>
      </c>
      <c r="L63" s="31" t="n">
        <v>93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73.54000000000001</v>
      </c>
      <c r="P63" s="32" t="n">
        <v>59.37</v>
      </c>
      <c r="Q63" s="32" t="n">
        <v>240.69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17.16</v>
      </c>
      <c r="U63" s="32" t="n">
        <v>125.05</v>
      </c>
      <c r="V63" s="32" t="n">
        <v>92.09</v>
      </c>
      <c r="W63" s="32" t="n">
        <v>41.59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IF(B64=0,"",RANK(B64,$B$2:$B$222,0))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GOCLCORP</t>
        </is>
      </c>
      <c r="D64" s="31" t="inlineStr">
        <is>
          <t>Gocl Corporation Limited</t>
        </is>
      </c>
      <c r="E64" s="31" t="inlineStr">
        <is>
          <t>miscellaneous</t>
        </is>
      </c>
      <c r="F64" s="31" t="inlineStr">
        <is>
          <t>diversified - medium / small</t>
        </is>
      </c>
      <c r="G64" s="31" t="inlineStr">
        <is>
          <t>smallcap</t>
        </is>
      </c>
      <c r="H64" s="32" t="n">
        <v>2261.25</v>
      </c>
      <c r="I64" s="32" t="n">
        <v>456.15</v>
      </c>
      <c r="J64" s="32" t="n">
        <v>6.48</v>
      </c>
      <c r="K64" s="32" t="n">
        <v>1122429</v>
      </c>
      <c r="L64" s="31" t="n">
        <v>36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66.12</v>
      </c>
      <c r="P64" s="32" t="n">
        <v>47.74</v>
      </c>
      <c r="Q64" s="32" t="n">
        <v>349.73</v>
      </c>
      <c r="R64" s="31" t="inlineStr">
        <is>
          <t>Near 52W High Breakout</t>
        </is>
      </c>
      <c r="S64" s="31" t="inlineStr">
        <is>
          <t>Nifty 50</t>
        </is>
      </c>
      <c r="T64" s="32" t="n">
        <v>-8.119999999999999</v>
      </c>
      <c r="U64" s="32" t="n">
        <v>24.87</v>
      </c>
      <c r="V64" s="32" t="n">
        <v>35.9</v>
      </c>
      <c r="W64" s="32" t="n">
        <v>10.91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IF(B65=0,"",RANK(B65,$B$2:$B$222,0))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QUADFUTURE</t>
        </is>
      </c>
      <c r="D65" s="31" t="inlineStr">
        <is>
          <t>Quadrant Future Tek Ltd</t>
        </is>
      </c>
      <c r="E65" s="31" t="inlineStr">
        <is>
          <t>industrials</t>
        </is>
      </c>
      <c r="F65" s="31" t="inlineStr">
        <is>
          <t>cables - power</t>
        </is>
      </c>
      <c r="G65" s="31" t="inlineStr">
        <is>
          <t>smallcap</t>
        </is>
      </c>
      <c r="H65" s="32" t="n">
        <v>2086</v>
      </c>
      <c r="I65" s="32" t="n">
        <v>521.5</v>
      </c>
      <c r="J65" s="32" t="n">
        <v>6.01</v>
      </c>
      <c r="K65" s="32" t="n">
        <v>2251310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69.87</v>
      </c>
      <c r="P65" s="32" t="n">
        <v>39.63</v>
      </c>
      <c r="Q65" s="32" t="n">
        <v>366.9</v>
      </c>
      <c r="R65" s="31" t="inlineStr">
        <is>
          <t>Near 52W High Breakout</t>
        </is>
      </c>
      <c r="S65" s="31" t="inlineStr">
        <is>
          <t>Nifty Energy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IF(B66=0,"",RANK(B66,$B$2:$B$222,0))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ACE</t>
        </is>
      </c>
      <c r="D66" s="31" t="inlineStr">
        <is>
          <t>Action Construction Equipment Limited</t>
        </is>
      </c>
      <c r="E66" s="31" t="inlineStr">
        <is>
          <t>industrials</t>
        </is>
      </c>
      <c r="F66" s="31" t="inlineStr">
        <is>
          <t>engineering</t>
        </is>
      </c>
      <c r="G66" s="31" t="inlineStr">
        <is>
          <t>midcap</t>
        </is>
      </c>
      <c r="H66" s="32" t="n">
        <v>14356.67</v>
      </c>
      <c r="I66" s="32" t="n">
        <v>1205.6</v>
      </c>
      <c r="J66" s="32" t="n">
        <v>4.86</v>
      </c>
      <c r="K66" s="32" t="n">
        <v>685925</v>
      </c>
      <c r="L66" s="31" t="n">
        <v>24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71.41</v>
      </c>
      <c r="P66" s="32" t="n">
        <v>36.45</v>
      </c>
      <c r="Q66" s="32" t="n">
        <v>975.17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-8.119999999999999</v>
      </c>
      <c r="U66" s="32" t="n">
        <v>5.03</v>
      </c>
      <c r="V66" s="32" t="n">
        <v>14.31</v>
      </c>
      <c r="W66" s="32" t="n">
        <v>7.06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IF(B67=0,"",RANK(B67,$B$2:$B$222,0))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INDORAMA</t>
        </is>
      </c>
      <c r="D67" s="31" t="inlineStr">
        <is>
          <t>Indo Rama Synthetics (india) Limited</t>
        </is>
      </c>
      <c r="E67" s="31" t="inlineStr">
        <is>
          <t>textiles</t>
        </is>
      </c>
      <c r="F67" s="31" t="inlineStr">
        <is>
          <t>textiles - manmade</t>
        </is>
      </c>
      <c r="G67" s="31" t="inlineStr">
        <is>
          <t>smallcap</t>
        </is>
      </c>
      <c r="H67" s="32" t="n">
        <v>2328.87</v>
      </c>
      <c r="I67" s="32" t="n">
        <v>89.19</v>
      </c>
      <c r="J67" s="32" t="n">
        <v>4.19</v>
      </c>
      <c r="K67" s="32" t="n">
        <v>1774157</v>
      </c>
      <c r="L67" s="31" t="n">
        <v>91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83.42</v>
      </c>
      <c r="P67" s="32" t="n">
        <v>56.45</v>
      </c>
      <c r="Q67" s="32" t="n">
        <v>65.02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-8.119999999999999</v>
      </c>
      <c r="U67" s="32" t="n">
        <v>67.81</v>
      </c>
      <c r="V67" s="32" t="n">
        <v>82.64</v>
      </c>
      <c r="W67" s="32" t="n">
        <v>37.88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More than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IF(B68=0,"",RANK(B68,$B$2:$B$222,0))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NOCIL</t>
        </is>
      </c>
      <c r="D68" s="31" t="inlineStr">
        <is>
          <t>Nocil Limited</t>
        </is>
      </c>
      <c r="E68" s="31" t="inlineStr">
        <is>
          <t>chemicals</t>
        </is>
      </c>
      <c r="F68" s="31" t="inlineStr">
        <is>
          <t>chemicals</t>
        </is>
      </c>
      <c r="G68" s="31" t="inlineStr">
        <is>
          <t>smallcap</t>
        </is>
      </c>
      <c r="H68" s="32" t="n">
        <v>3112.68</v>
      </c>
      <c r="I68" s="32" t="n">
        <v>186.36</v>
      </c>
      <c r="J68" s="32" t="n">
        <v>2.42</v>
      </c>
      <c r="K68" s="32" t="n">
        <v>2002880</v>
      </c>
      <c r="L68" s="31" t="n">
        <v>18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60.34</v>
      </c>
      <c r="P68" s="32" t="n">
        <v>24.41</v>
      </c>
      <c r="Q68" s="32" t="n">
        <v>146.22</v>
      </c>
      <c r="R68" s="31" t="inlineStr">
        <is>
          <t>Near 52W High Breakout</t>
        </is>
      </c>
      <c r="S68" s="31" t="inlineStr">
        <is>
          <t>Nifty 50</t>
        </is>
      </c>
      <c r="T68" s="32" t="n">
        <v>-8.119999999999999</v>
      </c>
      <c r="U68" s="32" t="n">
        <v>3.81</v>
      </c>
      <c r="V68" s="32" t="n">
        <v>12.98</v>
      </c>
      <c r="W68" s="32" t="n">
        <v>5.09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IF(B69=0,"",RANK(B69,$B$2:$B$222,0))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CASTROLIND</t>
        </is>
      </c>
      <c r="D69" s="31" t="inlineStr">
        <is>
          <t>Castrol India Limited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midcap</t>
        </is>
      </c>
      <c r="H69" s="32" t="n">
        <v>18963.45</v>
      </c>
      <c r="I69" s="32" t="n">
        <v>191.72</v>
      </c>
      <c r="J69" s="32" t="n">
        <v>1.53</v>
      </c>
      <c r="K69" s="32" t="n">
        <v>4924285</v>
      </c>
      <c r="L69" s="31" t="n">
        <v>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67.06</v>
      </c>
      <c r="P69" s="32" t="n">
        <v>34.5</v>
      </c>
      <c r="Q69" s="32" t="n">
        <v>176.51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-8.119999999999999</v>
      </c>
      <c r="U69" s="32" t="n">
        <v>0.6</v>
      </c>
      <c r="V69" s="32" t="n">
        <v>9.49</v>
      </c>
      <c r="W69" s="32" t="n">
        <v>1.6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IF(B70=0,"",RANK(B70,$B$2:$B$222,0))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SHREEPUSHK</t>
        </is>
      </c>
      <c r="D70" s="31" t="inlineStr">
        <is>
          <t>Shree Pushkar Chemicals &amp; Fertilisers Limited</t>
        </is>
      </c>
      <c r="E70" s="31" t="inlineStr">
        <is>
          <t>chemicals</t>
        </is>
      </c>
      <c r="F70" s="31" t="inlineStr">
        <is>
          <t>dyes and pigments</t>
        </is>
      </c>
      <c r="G70" s="31" t="inlineStr">
        <is>
          <t>smallcap</t>
        </is>
      </c>
      <c r="H70" s="32" t="n">
        <v>1657.31</v>
      </c>
      <c r="I70" s="32" t="n">
        <v>512.5</v>
      </c>
      <c r="J70" s="32" t="n">
        <v>1.09</v>
      </c>
      <c r="K70" s="32" t="n">
        <v>69346</v>
      </c>
      <c r="L70" s="31" t="n">
        <v>47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71.31</v>
      </c>
      <c r="P70" s="32" t="n">
        <v>41.42</v>
      </c>
      <c r="Q70" s="32" t="n">
        <v>378.55</v>
      </c>
      <c r="R70" s="31" t="inlineStr">
        <is>
          <t>Near 52W High Breakout</t>
        </is>
      </c>
      <c r="S70" s="31" t="inlineStr">
        <is>
          <t>Nifty 50</t>
        </is>
      </c>
      <c r="T70" s="32" t="n">
        <v>-8.119999999999999</v>
      </c>
      <c r="U70" s="32" t="n">
        <v>33.39</v>
      </c>
      <c r="V70" s="32" t="n">
        <v>45.18</v>
      </c>
      <c r="W70" s="32" t="n">
        <v>13.77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IF(B71=0,"",RANK(B71,$B$2:$B$222,0))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WSTCSTPAPR</t>
        </is>
      </c>
      <c r="D71" s="31" t="inlineStr">
        <is>
          <t>West Coast Paper Mills Limited</t>
        </is>
      </c>
      <c r="E71" s="31" t="inlineStr">
        <is>
          <t>building materials</t>
        </is>
      </c>
      <c r="F71" s="31" t="inlineStr">
        <is>
          <t>paper</t>
        </is>
      </c>
      <c r="G71" s="31" t="inlineStr">
        <is>
          <t>smallcap</t>
        </is>
      </c>
      <c r="H71" s="32" t="n">
        <v>4732.07</v>
      </c>
      <c r="I71" s="32" t="n">
        <v>716.45</v>
      </c>
      <c r="J71" s="32" t="n">
        <v>0.77</v>
      </c>
      <c r="K71" s="32" t="n">
        <v>275342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76.3</v>
      </c>
      <c r="P71" s="32" t="n">
        <v>54.94</v>
      </c>
      <c r="Q71" s="32" t="n">
        <v>570.23</v>
      </c>
      <c r="R71" s="31" t="inlineStr">
        <is>
          <t>Near 52W High Breakout</t>
        </is>
      </c>
      <c r="S71" s="31" t="inlineStr">
        <is>
          <t>Nifty Infra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IF(B72=0,"",RANK(B72,$B$2:$B$222,0))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KABRAEXTRU</t>
        </is>
      </c>
      <c r="D72" s="31" t="inlineStr">
        <is>
          <t>Kabra Extrusion Technik Limited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2212.91</v>
      </c>
      <c r="I72" s="32" t="n">
        <v>632.75</v>
      </c>
      <c r="J72" s="32" t="n">
        <v>0.74</v>
      </c>
      <c r="K72" s="32" t="n">
        <v>162222</v>
      </c>
      <c r="L72" s="31" t="n">
        <v>98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73.59999999999999</v>
      </c>
      <c r="P72" s="32" t="n">
        <v>61.02</v>
      </c>
      <c r="Q72" s="32" t="n">
        <v>541.88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-8.119999999999999</v>
      </c>
      <c r="U72" s="32" t="n">
        <v>134.44</v>
      </c>
      <c r="V72" s="32" t="n">
        <v>155.16</v>
      </c>
      <c r="W72" s="32" t="n">
        <v>64.52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IF(B73=0,"",RANK(B73,$B$2:$B$222,0))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KAPSTON</t>
        </is>
      </c>
      <c r="D73" s="31" t="inlineStr">
        <is>
          <t>Kapston Services Ltd</t>
        </is>
      </c>
      <c r="E73" s="31" t="inlineStr">
        <is>
          <t>miscellaneous</t>
        </is>
      </c>
      <c r="F73" s="31" t="inlineStr">
        <is>
          <t>miscellaneous</t>
        </is>
      </c>
      <c r="G73" s="31" t="inlineStr">
        <is>
          <t>smallcap</t>
        </is>
      </c>
      <c r="H73" s="32" t="n">
        <v>1756.85</v>
      </c>
      <c r="I73" s="32" t="n">
        <v>577.3</v>
      </c>
      <c r="J73" s="32" t="n">
        <v>0.03</v>
      </c>
      <c r="K73" s="32" t="n">
        <v>50003</v>
      </c>
      <c r="L73" s="31" t="n">
        <v>88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72.23999999999999</v>
      </c>
      <c r="P73" s="32" t="n">
        <v>41.01</v>
      </c>
      <c r="Q73" s="32" t="n">
        <v>449.41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-8.119999999999999</v>
      </c>
      <c r="U73" s="32" t="n">
        <v>134.67</v>
      </c>
      <c r="V73" s="32" t="n">
        <v>155.4</v>
      </c>
      <c r="W73" s="32" t="n">
        <v>34.33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IF(B74=0,"",RANK(B74,$B$2:$B$222,0))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RUBYMILLS</t>
        </is>
      </c>
      <c r="D74" s="31" t="inlineStr">
        <is>
          <t>The Ruby Mills Limited</t>
        </is>
      </c>
      <c r="E74" s="31" t="inlineStr">
        <is>
          <t>textiles</t>
        </is>
      </c>
      <c r="F74" s="31" t="inlineStr">
        <is>
          <t>textiles - composite</t>
        </is>
      </c>
      <c r="G74" s="31" t="inlineStr">
        <is>
          <t>smallcap</t>
        </is>
      </c>
      <c r="H74" s="32" t="n">
        <v>1530.21</v>
      </c>
      <c r="I74" s="32" t="n">
        <v>457.6</v>
      </c>
      <c r="J74" s="32" t="n">
        <v>-0.97</v>
      </c>
      <c r="K74" s="32" t="n">
        <v>25178</v>
      </c>
      <c r="L74" s="31" t="n">
        <v>74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74.69</v>
      </c>
      <c r="P74" s="32" t="n">
        <v>53.14</v>
      </c>
      <c r="Q74" s="32" t="n">
        <v>327.94</v>
      </c>
      <c r="R74" s="31" t="inlineStr">
        <is>
          <t>Near 52W High Breakout</t>
        </is>
      </c>
      <c r="S74" s="31" t="inlineStr">
        <is>
          <t>Nifty 50</t>
        </is>
      </c>
      <c r="T74" s="32" t="n">
        <v>-8.119999999999999</v>
      </c>
      <c r="U74" s="32" t="n">
        <v>95.42</v>
      </c>
      <c r="V74" s="32" t="n">
        <v>112.69</v>
      </c>
      <c r="W74" s="32" t="n">
        <v>24.92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IF(B75=0,"",RANK(B75,$B$2:$B$222,0))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FOSECOIND</t>
        </is>
      </c>
      <c r="D75" s="31" t="inlineStr">
        <is>
          <t>Foseco India Limited</t>
        </is>
      </c>
      <c r="E75" s="31" t="inlineStr">
        <is>
          <t>chemicals</t>
        </is>
      </c>
      <c r="F75" s="31" t="inlineStr">
        <is>
          <t>chemicals</t>
        </is>
      </c>
      <c r="G75" s="31" t="inlineStr">
        <is>
          <t>midcap</t>
        </is>
      </c>
      <c r="H75" s="32" t="n">
        <v>5099.33</v>
      </c>
      <c r="I75" s="32" t="n">
        <v>6765.5</v>
      </c>
      <c r="J75" s="32" t="n">
        <v>-1.18</v>
      </c>
      <c r="K75" s="32" t="n">
        <v>292524</v>
      </c>
      <c r="L75" s="31" t="n">
        <v>30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72.31999999999999</v>
      </c>
      <c r="P75" s="32" t="n">
        <v>30.75</v>
      </c>
      <c r="Q75" s="32" t="n">
        <v>5225.29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-8.119999999999999</v>
      </c>
      <c r="U75" s="32" t="n">
        <v>12.67</v>
      </c>
      <c r="V75" s="32" t="n">
        <v>22.63</v>
      </c>
      <c r="W75" s="32" t="n">
        <v>9.17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IF(B76=0,"",RANK(B76,$B$2:$B$222,0))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AHCL</t>
        </is>
      </c>
      <c r="D76" s="31" t="inlineStr">
        <is>
          <t>Anlon Healthcare Ltd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smallcap</t>
        </is>
      </c>
      <c r="H76" s="32" t="n">
        <v>1160.83</v>
      </c>
      <c r="I76" s="32" t="n">
        <v>21.84</v>
      </c>
      <c r="J76" s="32" t="n">
        <v>8.98</v>
      </c>
      <c r="K76" s="32" t="n">
        <v>49745313</v>
      </c>
      <c r="L76" s="31" t="n">
        <v>60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77.81</v>
      </c>
      <c r="P76" s="32" t="n">
        <v>42.02</v>
      </c>
      <c r="Q76" s="32" t="n">
        <v>16.51</v>
      </c>
      <c r="R76" s="31" t="inlineStr">
        <is>
          <t>Volume Spike &amp; Near 52W High Breakout</t>
        </is>
      </c>
      <c r="S76" s="31" t="inlineStr">
        <is>
          <t>Nifty Pharma</t>
        </is>
      </c>
      <c r="T76" s="32" t="n">
        <v>17.16</v>
      </c>
      <c r="U76" s="32" t="n">
        <v>62.37</v>
      </c>
      <c r="V76" s="32" t="n">
        <v>38.59</v>
      </c>
      <c r="W76" s="32" t="n">
        <v>18.58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IF(B77=0,"",RANK(B77,$B$2:$B$222,0))</f>
        <v/>
      </c>
      <c r="B77" s="32">
        <f>SUM(N77,Y77,AA77,AC77,AE77,AG77,AI77,AK77,AM77,AO77,AQ77,AS77,AU77,AW77,AY77,BA77,BC77,BE77,BG77,BI77,BK77,BM77,BO77,BQ77,BS77,BU77,BW77,BY77,CA77,CC77,CE77)</f>
        <v/>
      </c>
      <c r="C77" s="33" t="inlineStr">
        <is>
          <t>SOLARA</t>
        </is>
      </c>
      <c r="D77" s="33" t="inlineStr">
        <is>
          <t>Solara Active Pharma Sciences Ltd</t>
        </is>
      </c>
      <c r="E77" s="31" t="inlineStr">
        <is>
          <t>healthcare</t>
        </is>
      </c>
      <c r="F77" s="31" t="inlineStr">
        <is>
          <t>pharmaceuticals - indian - bulk drugs &amp; formln</t>
        </is>
      </c>
      <c r="G77" s="31" t="inlineStr">
        <is>
          <t>smallcap</t>
        </is>
      </c>
      <c r="H77" s="32" t="n">
        <v>3578.41</v>
      </c>
      <c r="I77" s="32" t="n">
        <v>741.7</v>
      </c>
      <c r="J77" s="32" t="n">
        <v>4.24</v>
      </c>
      <c r="K77" s="32" t="n">
        <v>504562</v>
      </c>
      <c r="L77" s="31" t="n">
        <v>34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70.77</v>
      </c>
      <c r="P77" s="32" t="n">
        <v>30.01</v>
      </c>
      <c r="Q77" s="32" t="n">
        <v>556.0599999999999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17.16</v>
      </c>
      <c r="U77" s="32" t="n">
        <v>9.859999999999999</v>
      </c>
      <c r="V77" s="32" t="n">
        <v>-6.23</v>
      </c>
      <c r="W77" s="32" t="n">
        <v>10.39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IF(B78=0,"",RANK(B78,$B$2:$B$222,0))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3IINFOLTD</t>
        </is>
      </c>
      <c r="D78" s="31" t="inlineStr">
        <is>
          <t>3i Infotech Ltd</t>
        </is>
      </c>
      <c r="E78" s="31" t="inlineStr">
        <is>
          <t>i.t</t>
        </is>
      </c>
      <c r="F78" s="31" t="inlineStr">
        <is>
          <t>computers - software - medium / small</t>
        </is>
      </c>
      <c r="G78" s="31" t="inlineStr">
        <is>
          <t>smallcap</t>
        </is>
      </c>
      <c r="H78" s="32" t="n">
        <v>534.27</v>
      </c>
      <c r="I78" s="32" t="n">
        <v>25.76</v>
      </c>
      <c r="J78" s="32" t="n">
        <v>2.96</v>
      </c>
      <c r="K78" s="32" t="n">
        <v>428053</v>
      </c>
      <c r="L78" s="31" t="n">
        <v>51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66.90000000000001</v>
      </c>
      <c r="P78" s="32" t="n">
        <v>41.63</v>
      </c>
      <c r="Q78" s="32" t="n">
        <v>20.94</v>
      </c>
      <c r="R78" s="31" t="inlineStr">
        <is>
          <t>Near 52W High Breakout</t>
        </is>
      </c>
      <c r="S78" s="31" t="inlineStr">
        <is>
          <t>Nifty IT</t>
        </is>
      </c>
      <c r="T78" s="32" t="n">
        <v>-20.29</v>
      </c>
      <c r="U78" s="32" t="n">
        <v>8.630000000000001</v>
      </c>
      <c r="V78" s="32" t="n">
        <v>36.29</v>
      </c>
      <c r="W78" s="32" t="n">
        <v>15.2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IF(B79=0,"",RANK(B79,$B$2:$B$222,0))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63MOONS</t>
        </is>
      </c>
      <c r="D79" s="31" t="inlineStr">
        <is>
          <t>63 Moons Technologies Ltd</t>
        </is>
      </c>
      <c r="E79" s="31" t="inlineStr">
        <is>
          <t>i.t</t>
        </is>
      </c>
      <c r="F79" s="31" t="inlineStr">
        <is>
          <t>computers - software - medium / small</t>
        </is>
      </c>
      <c r="G79" s="31" t="inlineStr">
        <is>
          <t>smallcap</t>
        </is>
      </c>
      <c r="H79" s="32" t="n">
        <v>4021.04</v>
      </c>
      <c r="I79" s="32" t="n">
        <v>872.65</v>
      </c>
      <c r="J79" s="32" t="n">
        <v>2.89</v>
      </c>
      <c r="K79" s="32" t="n">
        <v>268694</v>
      </c>
      <c r="L79" s="31" t="n">
        <v>27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59.86</v>
      </c>
      <c r="P79" s="32" t="n">
        <v>32.11</v>
      </c>
      <c r="Q79" s="32" t="n">
        <v>665.11</v>
      </c>
      <c r="R79" s="31" t="inlineStr">
        <is>
          <t>Earnings / Momentum Support</t>
        </is>
      </c>
      <c r="S79" s="31" t="inlineStr">
        <is>
          <t>Nifty IT</t>
        </is>
      </c>
      <c r="T79" s="32" t="n">
        <v>-20.29</v>
      </c>
      <c r="U79" s="32" t="n">
        <v>-5.83</v>
      </c>
      <c r="V79" s="32" t="n">
        <v>18.15</v>
      </c>
      <c r="W79" s="32" t="n">
        <v>7.74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IF(B80=0,"",RANK(B80,$B$2:$B$222,0))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SANSTAR</t>
        </is>
      </c>
      <c r="D80" s="31" t="inlineStr">
        <is>
          <t>Sanstar Ltd</t>
        </is>
      </c>
      <c r="E80" s="31" t="inlineStr">
        <is>
          <t>fmcg</t>
        </is>
      </c>
      <c r="F80" s="31" t="inlineStr">
        <is>
          <t>miscellaneous</t>
        </is>
      </c>
      <c r="G80" s="31" t="inlineStr">
        <is>
          <t>smallcap</t>
        </is>
      </c>
      <c r="H80" s="32" t="n">
        <v>2313.9</v>
      </c>
      <c r="I80" s="32" t="n">
        <v>115.54</v>
      </c>
      <c r="J80" s="32" t="n">
        <v>2.42</v>
      </c>
      <c r="K80" s="32" t="n">
        <v>348381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59.99</v>
      </c>
      <c r="P80" s="32" t="n">
        <v>43.34</v>
      </c>
      <c r="Q80" s="32" t="n">
        <v>97.86</v>
      </c>
      <c r="R80" s="31" t="inlineStr">
        <is>
          <t>Earnings / Momentum Support</t>
        </is>
      </c>
      <c r="S80" s="31" t="inlineStr">
        <is>
          <t>Nifty FMCG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IF(B81=0,"",RANK(B81,$B$2:$B$222,0))</f>
        <v/>
      </c>
      <c r="B81" s="32">
        <f>SUM(N81,Y81,AA81,AC81,AE81,AG81,AI81,AK81,AM81,AO81,AQ81,AS81,AU81,AW81,AY81,BA81,BC81,BE81,BG81,BI81,BK81,BM81,BO81,BQ81,BS81,BU81,BW81,BY81,CA81,CC81,CE81)</f>
        <v/>
      </c>
      <c r="C81" s="33" t="inlineStr">
        <is>
          <t>LALPATHLAB</t>
        </is>
      </c>
      <c r="D81" s="33" t="inlineStr">
        <is>
          <t>Dr. Lal Path Labs Ltd.</t>
        </is>
      </c>
      <c r="E81" s="31" t="inlineStr">
        <is>
          <t>healthcare</t>
        </is>
      </c>
      <c r="F81" s="31" t="inlineStr">
        <is>
          <t>healthcare</t>
        </is>
      </c>
      <c r="G81" s="31" t="inlineStr">
        <is>
          <t>largecap</t>
        </is>
      </c>
      <c r="H81" s="32" t="n">
        <v>32265.24</v>
      </c>
      <c r="I81" s="32" t="n">
        <v>1924.7</v>
      </c>
      <c r="J81" s="32" t="n">
        <v>1.53</v>
      </c>
      <c r="K81" s="32" t="n">
        <v>354166</v>
      </c>
      <c r="L81" s="31" t="n">
        <v>25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68.81999999999999</v>
      </c>
      <c r="P81" s="32" t="n">
        <v>45.85</v>
      </c>
      <c r="Q81" s="32" t="n">
        <v>1611.46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17.16</v>
      </c>
      <c r="U81" s="32" t="n">
        <v>11.92</v>
      </c>
      <c r="V81" s="32" t="n">
        <v>-4.48</v>
      </c>
      <c r="W81" s="32" t="n">
        <v>7.22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IF(B82=0,"",RANK(B82,$B$2:$B$222,0))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NPST</t>
        </is>
      </c>
      <c r="D82" s="31" t="inlineStr">
        <is>
          <t>Network People Services Technologies Ltd</t>
        </is>
      </c>
      <c r="E82" s="31" t="inlineStr">
        <is>
          <t>i.t</t>
        </is>
      </c>
      <c r="F82" s="31" t="inlineStr">
        <is>
          <t>computers - software - medium / small</t>
        </is>
      </c>
      <c r="G82" s="31" t="inlineStr">
        <is>
          <t>smallcap</t>
        </is>
      </c>
      <c r="H82" s="32" t="n">
        <v>3869.97</v>
      </c>
      <c r="I82" s="32" t="n">
        <v>1854.9</v>
      </c>
      <c r="J82" s="32" t="n">
        <v>1.11</v>
      </c>
      <c r="K82" s="32" t="n">
        <v>460726</v>
      </c>
      <c r="L82" s="31" t="n">
        <v>17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65.47</v>
      </c>
      <c r="P82" s="32" t="n">
        <v>32.64</v>
      </c>
      <c r="Q82" s="32" t="n">
        <v>1307.62</v>
      </c>
      <c r="R82" s="31" t="inlineStr">
        <is>
          <t>Volume Spike / Accumulation</t>
        </is>
      </c>
      <c r="S82" s="31" t="inlineStr">
        <is>
          <t>Nifty IT</t>
        </is>
      </c>
      <c r="T82" s="32" t="n">
        <v>-20.29</v>
      </c>
      <c r="U82" s="32" t="n">
        <v>-10.05</v>
      </c>
      <c r="V82" s="32" t="n">
        <v>12.85</v>
      </c>
      <c r="W82" s="32" t="n">
        <v>4.99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IF(B83=0,"",RANK(B83,$B$2:$B$222,0))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EMUDHRA</t>
        </is>
      </c>
      <c r="D83" s="31" t="inlineStr">
        <is>
          <t>eMudhra Ltd</t>
        </is>
      </c>
      <c r="E83" s="31" t="inlineStr">
        <is>
          <t>i.t</t>
        </is>
      </c>
      <c r="F83" s="31" t="inlineStr">
        <is>
          <t>computers - software - medium / small</t>
        </is>
      </c>
      <c r="G83" s="31" t="inlineStr">
        <is>
          <t>midcap</t>
        </is>
      </c>
      <c r="H83" s="32" t="n">
        <v>5244.88</v>
      </c>
      <c r="I83" s="32" t="n">
        <v>633.35</v>
      </c>
      <c r="J83" s="32" t="n">
        <v>-1.39</v>
      </c>
      <c r="K83" s="32" t="n">
        <v>4759356</v>
      </c>
      <c r="L83" s="31" t="n">
        <v>30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66.34999999999999</v>
      </c>
      <c r="P83" s="32" t="n">
        <v>22.71</v>
      </c>
      <c r="Q83" s="32" t="n">
        <v>481.03</v>
      </c>
      <c r="R83" s="31" t="inlineStr">
        <is>
          <t>Volume Spike / Accumulation</t>
        </is>
      </c>
      <c r="S83" s="31" t="inlineStr">
        <is>
          <t>Nifty IT</t>
        </is>
      </c>
      <c r="T83" s="32" t="n">
        <v>-20.29</v>
      </c>
      <c r="U83" s="32" t="n">
        <v>-7.2</v>
      </c>
      <c r="V83" s="32" t="n">
        <v>16.43</v>
      </c>
      <c r="W83" s="32" t="n">
        <v>9.08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Between 1.5 to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IF(B84=0,"",RANK(B84,$B$2:$B$222,0))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VALIANTORG</t>
        </is>
      </c>
      <c r="D84" s="31" t="inlineStr">
        <is>
          <t>Valiant Organics Ltd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smallcap</t>
        </is>
      </c>
      <c r="H84" s="32" t="n">
        <v>1145.07</v>
      </c>
      <c r="I84" s="32" t="n">
        <v>408.45</v>
      </c>
      <c r="J84" s="32" t="n">
        <v>5</v>
      </c>
      <c r="K84" s="32" t="n">
        <v>79412</v>
      </c>
      <c r="L84" s="31" t="n">
        <v>41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71.41</v>
      </c>
      <c r="P84" s="32" t="n">
        <v>39.03</v>
      </c>
      <c r="Q84" s="32" t="n">
        <v>302.1</v>
      </c>
      <c r="R84" s="31" t="inlineStr">
        <is>
          <t>Near 52W High Breakout</t>
        </is>
      </c>
      <c r="S84" s="31" t="inlineStr">
        <is>
          <t>Nifty 50</t>
        </is>
      </c>
      <c r="T84" s="32" t="n">
        <v>-8.119999999999999</v>
      </c>
      <c r="U84" s="32" t="n">
        <v>10.21</v>
      </c>
      <c r="V84" s="32" t="n">
        <v>19.95</v>
      </c>
      <c r="W84" s="32" t="n">
        <v>12.43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IF(B85=0,"",RANK(B85,$B$2:$B$222,0))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RGL</t>
        </is>
      </c>
      <c r="D85" s="31" t="inlineStr">
        <is>
          <t>Renaissance Global Ltd</t>
        </is>
      </c>
      <c r="E85" s="31" t="inlineStr">
        <is>
          <t>consumer discretionary</t>
        </is>
      </c>
      <c r="F85" s="31" t="inlineStr">
        <is>
          <t>diamond cutting / jewellery</t>
        </is>
      </c>
      <c r="G85" s="31" t="inlineStr">
        <is>
          <t>smallcap</t>
        </is>
      </c>
      <c r="H85" s="32" t="n">
        <v>1680.21</v>
      </c>
      <c r="I85" s="32" t="n">
        <v>156.49</v>
      </c>
      <c r="J85" s="32" t="n">
        <v>4.68</v>
      </c>
      <c r="K85" s="32" t="n">
        <v>777575</v>
      </c>
      <c r="L85" s="31" t="n">
        <v>53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74.92</v>
      </c>
      <c r="P85" s="32" t="n">
        <v>28.29</v>
      </c>
      <c r="Q85" s="32" t="n">
        <v>116.32</v>
      </c>
      <c r="R85" s="31" t="inlineStr">
        <is>
          <t>Near 52W High Breakout</t>
        </is>
      </c>
      <c r="S85" s="31" t="inlineStr">
        <is>
          <t>Nifty 50</t>
        </is>
      </c>
      <c r="T85" s="32" t="n">
        <v>-8.119999999999999</v>
      </c>
      <c r="U85" s="32" t="n">
        <v>30.15</v>
      </c>
      <c r="V85" s="32" t="n">
        <v>41.65</v>
      </c>
      <c r="W85" s="32" t="n">
        <v>15.97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IF(B86=0,"",RANK(B86,$B$2:$B$222,0))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AEGISVOPAK</t>
        </is>
      </c>
      <c r="D86" s="31" t="inlineStr">
        <is>
          <t>Aegis Vopak Terminals Ltd</t>
        </is>
      </c>
      <c r="E86" s="31" t="inlineStr">
        <is>
          <t>transportation</t>
        </is>
      </c>
      <c r="F86" s="31" t="inlineStr">
        <is>
          <t>miscellaneous</t>
        </is>
      </c>
      <c r="G86" s="31" t="inlineStr">
        <is>
          <t>largecap</t>
        </is>
      </c>
      <c r="H86" s="32" t="n">
        <v>34425.3</v>
      </c>
      <c r="I86" s="32" t="n">
        <v>310.7</v>
      </c>
      <c r="J86" s="32" t="n">
        <v>4.63</v>
      </c>
      <c r="K86" s="32" t="n">
        <v>6087355</v>
      </c>
      <c r="L86" s="31" t="n">
        <v>49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66.06999999999999</v>
      </c>
      <c r="P86" s="32" t="n">
        <v>44.91</v>
      </c>
      <c r="Q86" s="32" t="n">
        <v>231.48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-8.119999999999999</v>
      </c>
      <c r="U86" s="32" t="n">
        <v>28.23</v>
      </c>
      <c r="V86" s="32" t="n">
        <v>39.56</v>
      </c>
      <c r="W86" s="32" t="n">
        <v>14.09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IF(B87=0,"",RANK(B87,$B$2:$B$222,0))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TATVA</t>
        </is>
      </c>
      <c r="D87" s="31" t="inlineStr">
        <is>
          <t>Tatva Chintan Pharma Chem Ltd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smallcap</t>
        </is>
      </c>
      <c r="H87" s="32" t="n">
        <v>3999.11</v>
      </c>
      <c r="I87" s="32" t="n">
        <v>1709.6</v>
      </c>
      <c r="J87" s="32" t="n">
        <v>3.81</v>
      </c>
      <c r="K87" s="32" t="n">
        <v>89934</v>
      </c>
      <c r="L87" s="31" t="n">
        <v>64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64.84999999999999</v>
      </c>
      <c r="P87" s="32" t="n">
        <v>35.8</v>
      </c>
      <c r="Q87" s="32" t="n">
        <v>1345.57</v>
      </c>
      <c r="R87" s="31" t="inlineStr">
        <is>
          <t>Near 52W High Breakout</t>
        </is>
      </c>
      <c r="S87" s="31" t="inlineStr">
        <is>
          <t>Nifty 50</t>
        </is>
      </c>
      <c r="T87" s="32" t="n">
        <v>-8.119999999999999</v>
      </c>
      <c r="U87" s="32" t="n">
        <v>54.86</v>
      </c>
      <c r="V87" s="32" t="n">
        <v>68.54000000000001</v>
      </c>
      <c r="W87" s="32" t="n">
        <v>19.96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IF(B88=0,"",RANK(B88,$B$2:$B$222,0))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VIDHIING</t>
        </is>
      </c>
      <c r="D88" s="31" t="inlineStr">
        <is>
          <t>Vidhi Specialty Food Ingredients</t>
        </is>
      </c>
      <c r="E88" s="31" t="inlineStr">
        <is>
          <t>chemicals</t>
        </is>
      </c>
      <c r="F88" s="31" t="inlineStr">
        <is>
          <t>dyes and pigments</t>
        </is>
      </c>
      <c r="G88" s="31" t="inlineStr">
        <is>
          <t>smallcap</t>
        </is>
      </c>
      <c r="H88" s="32" t="n">
        <v>1739.58</v>
      </c>
      <c r="I88" s="32" t="n">
        <v>348.3</v>
      </c>
      <c r="J88" s="32" t="n">
        <v>3.23</v>
      </c>
      <c r="K88" s="32" t="n">
        <v>27013</v>
      </c>
      <c r="L88" s="31" t="n">
        <v>15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59.68</v>
      </c>
      <c r="P88" s="32" t="n">
        <v>21.19</v>
      </c>
      <c r="Q88" s="32" t="n">
        <v>273.17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-8.119999999999999</v>
      </c>
      <c r="U88" s="32" t="n">
        <v>-6.79</v>
      </c>
      <c r="V88" s="32" t="n">
        <v>1.45</v>
      </c>
      <c r="W88" s="32" t="n">
        <v>3.98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IF(B89=0,"",RANK(B89,$B$2:$B$222,0))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ORIENTCER</t>
        </is>
      </c>
      <c r="D89" s="31" t="inlineStr">
        <is>
          <t>Orient Ceratech Ltd</t>
        </is>
      </c>
      <c r="E89" s="31" t="inlineStr">
        <is>
          <t>building materials</t>
        </is>
      </c>
      <c r="F89" s="31" t="inlineStr">
        <is>
          <t>refractories / intermediates</t>
        </is>
      </c>
      <c r="G89" s="31" t="inlineStr">
        <is>
          <t>smallcap</t>
        </is>
      </c>
      <c r="H89" s="32" t="n">
        <v>551.66</v>
      </c>
      <c r="I89" s="32" t="n">
        <v>46.11</v>
      </c>
      <c r="J89" s="32" t="n">
        <v>2.88</v>
      </c>
      <c r="K89" s="32" t="n">
        <v>62071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59.88</v>
      </c>
      <c r="P89" s="32" t="n">
        <v>32.51</v>
      </c>
      <c r="Q89" s="32" t="n">
        <v>34.21</v>
      </c>
      <c r="R89" s="31" t="inlineStr">
        <is>
          <t>Earnings / Momentum Support</t>
        </is>
      </c>
      <c r="S89" s="31" t="inlineStr">
        <is>
          <t>Nifty Infra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IF(B90=0,"",RANK(B90,$B$2:$B$222,0))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MENONBE</t>
        </is>
      </c>
      <c r="D90" s="31" t="inlineStr">
        <is>
          <t>Menon Bearings Limited</t>
        </is>
      </c>
      <c r="E90" s="31" t="inlineStr">
        <is>
          <t>auto</t>
        </is>
      </c>
      <c r="F90" s="31" t="inlineStr">
        <is>
          <t>auto ancillaries</t>
        </is>
      </c>
      <c r="G90" s="31" t="inlineStr">
        <is>
          <t>smallcap</t>
        </is>
      </c>
      <c r="H90" s="32" t="n">
        <v>1709.5</v>
      </c>
      <c r="I90" s="32" t="n">
        <v>305.05</v>
      </c>
      <c r="J90" s="32" t="n">
        <v>2.66</v>
      </c>
      <c r="K90" s="32" t="n">
        <v>29338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76.92</v>
      </c>
      <c r="P90" s="32" t="n">
        <v>65.25</v>
      </c>
      <c r="Q90" s="32" t="n">
        <v>241.1</v>
      </c>
      <c r="R90" s="31" t="inlineStr">
        <is>
          <t>Earnings / Momentum Support</t>
        </is>
      </c>
      <c r="S90" s="31" t="inlineStr">
        <is>
          <t>Nifty Auto</t>
        </is>
      </c>
      <c r="T90" s="32" t="inlineStr"/>
      <c r="U90" s="32" t="inlineStr"/>
      <c r="V90" s="32" t="inlineStr"/>
      <c r="W90" s="32" t="inlineStr"/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IF(B91=0,"",RANK(B91,$B$2:$B$222,0))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EBGNG</t>
        </is>
      </c>
      <c r="D91" s="31" t="inlineStr">
        <is>
          <t>GNG Electronics Ltd</t>
        </is>
      </c>
      <c r="E91" s="31" t="inlineStr">
        <is>
          <t>services</t>
        </is>
      </c>
      <c r="F91" s="31" t="inlineStr">
        <is>
          <t>trading</t>
        </is>
      </c>
      <c r="G91" s="31" t="inlineStr">
        <is>
          <t>midcap</t>
        </is>
      </c>
      <c r="H91" s="32" t="n">
        <v>7543.57</v>
      </c>
      <c r="I91" s="32" t="n">
        <v>661.65</v>
      </c>
      <c r="J91" s="32" t="n">
        <v>2.49</v>
      </c>
      <c r="K91" s="32" t="n">
        <v>529510</v>
      </c>
      <c r="L91" s="31" t="n">
        <v>65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65.93000000000001</v>
      </c>
      <c r="P91" s="32" t="n">
        <v>37.69</v>
      </c>
      <c r="Q91" s="32" t="n">
        <v>477.44</v>
      </c>
      <c r="R91" s="31" t="inlineStr">
        <is>
          <t>Near 52W High Breakout</t>
        </is>
      </c>
      <c r="S91" s="31" t="inlineStr">
        <is>
          <t>Nifty 50</t>
        </is>
      </c>
      <c r="T91" s="32" t="n">
        <v>-8.119999999999999</v>
      </c>
      <c r="U91" s="32" t="n">
        <v>75.09</v>
      </c>
      <c r="V91" s="32" t="n">
        <v>90.56</v>
      </c>
      <c r="W91" s="32" t="n">
        <v>20.32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IF(B92=0,"",RANK(B92,$B$2:$B$222,0))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SOMANYCERA</t>
        </is>
      </c>
      <c r="D92" s="31" t="inlineStr">
        <is>
          <t>Somany Ceramics Limited</t>
        </is>
      </c>
      <c r="E92" s="31" t="inlineStr">
        <is>
          <t>building materials</t>
        </is>
      </c>
      <c r="F92" s="31" t="inlineStr">
        <is>
          <t>ceramics - tiles / sanitaryware</t>
        </is>
      </c>
      <c r="G92" s="31" t="inlineStr">
        <is>
          <t>smallcap</t>
        </is>
      </c>
      <c r="H92" s="32" t="n">
        <v>2320.71</v>
      </c>
      <c r="I92" s="32" t="n">
        <v>565.85</v>
      </c>
      <c r="J92" s="32" t="n">
        <v>1.93</v>
      </c>
      <c r="K92" s="32" t="n">
        <v>85673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65.94</v>
      </c>
      <c r="P92" s="32" t="n">
        <v>32.55</v>
      </c>
      <c r="Q92" s="32" t="n">
        <v>449.51</v>
      </c>
      <c r="R92" s="31" t="inlineStr">
        <is>
          <t>Near 52W High Breakout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IF(B93=0,"",RANK(B93,$B$2:$B$222,0))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ORIENTHOT</t>
        </is>
      </c>
      <c r="D93" s="31" t="inlineStr">
        <is>
          <t>Oriental Hotels Limited</t>
        </is>
      </c>
      <c r="E93" s="31" t="inlineStr">
        <is>
          <t>services</t>
        </is>
      </c>
      <c r="F93" s="31" t="inlineStr">
        <is>
          <t>hotels</t>
        </is>
      </c>
      <c r="G93" s="31" t="inlineStr">
        <is>
          <t>smallcap</t>
        </is>
      </c>
      <c r="H93" s="32" t="n">
        <v>2518.43</v>
      </c>
      <c r="I93" s="32" t="n">
        <v>141.01</v>
      </c>
      <c r="J93" s="32" t="n">
        <v>1.75</v>
      </c>
      <c r="K93" s="32" t="n">
        <v>497650</v>
      </c>
      <c r="L93" s="31" t="n">
        <v>19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63.34</v>
      </c>
      <c r="P93" s="32" t="n">
        <v>41.77</v>
      </c>
      <c r="Q93" s="32" t="n">
        <v>106.91</v>
      </c>
      <c r="R93" s="31" t="inlineStr">
        <is>
          <t>Near 52W High Breakout</t>
        </is>
      </c>
      <c r="S93" s="31" t="inlineStr">
        <is>
          <t>Nifty 50</t>
        </is>
      </c>
      <c r="T93" s="32" t="n">
        <v>-8.119999999999999</v>
      </c>
      <c r="U93" s="32" t="n">
        <v>2.92</v>
      </c>
      <c r="V93" s="32" t="n">
        <v>12.01</v>
      </c>
      <c r="W93" s="32" t="n">
        <v>6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IF(B94=0,"",RANK(B94,$B$2:$B$222,0))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INDNIPPON</t>
        </is>
      </c>
      <c r="D94" s="31" t="inlineStr">
        <is>
          <t>India Nippon Electricals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smallcap</t>
        </is>
      </c>
      <c r="H94" s="32" t="n">
        <v>2855.05</v>
      </c>
      <c r="I94" s="32" t="n">
        <v>1262.1</v>
      </c>
      <c r="J94" s="32" t="n">
        <v>1.74</v>
      </c>
      <c r="K94" s="32" t="n">
        <v>83039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65.54000000000001</v>
      </c>
      <c r="P94" s="32" t="n">
        <v>48.53</v>
      </c>
      <c r="Q94" s="32" t="n">
        <v>1009.87</v>
      </c>
      <c r="R94" s="31" t="inlineStr">
        <is>
          <t>Earnings / Momentum Support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IF(B95=0,"",RANK(B95,$B$2:$B$222,0))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THEJO</t>
        </is>
      </c>
      <c r="D95" s="31" t="inlineStr">
        <is>
          <t>Thejo Engineering Ltd</t>
        </is>
      </c>
      <c r="E95" s="31" t="inlineStr">
        <is>
          <t>industrials</t>
        </is>
      </c>
      <c r="F95" s="31" t="inlineStr">
        <is>
          <t>engineering</t>
        </is>
      </c>
      <c r="G95" s="31" t="inlineStr">
        <is>
          <t>smallcap</t>
        </is>
      </c>
      <c r="H95" s="32" t="n">
        <v>2368.44</v>
      </c>
      <c r="I95" s="32" t="n">
        <v>2183.4</v>
      </c>
      <c r="J95" s="32" t="n">
        <v>1.23</v>
      </c>
      <c r="K95" s="32" t="n">
        <v>10121</v>
      </c>
      <c r="L95" s="31" t="n">
        <v>28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65.5</v>
      </c>
      <c r="P95" s="32" t="n">
        <v>39.2</v>
      </c>
      <c r="Q95" s="32" t="n">
        <v>1746.02</v>
      </c>
      <c r="R95" s="31" t="inlineStr">
        <is>
          <t>Near 52W High Breakout</t>
        </is>
      </c>
      <c r="S95" s="31" t="inlineStr">
        <is>
          <t>Nifty 50</t>
        </is>
      </c>
      <c r="T95" s="32" t="n">
        <v>-8.119999999999999</v>
      </c>
      <c r="U95" s="32" t="n">
        <v>15.65</v>
      </c>
      <c r="V95" s="32" t="n">
        <v>25.87</v>
      </c>
      <c r="W95" s="32" t="n">
        <v>7.87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IF(B96=0,"",RANK(B96,$B$2:$B$222,0))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WENDT</t>
        </is>
      </c>
      <c r="D96" s="33" t="inlineStr">
        <is>
          <t>Wendt (india) Limited</t>
        </is>
      </c>
      <c r="E96" s="31" t="inlineStr">
        <is>
          <t>industrials</t>
        </is>
      </c>
      <c r="F96" s="31" t="inlineStr">
        <is>
          <t>abrasives and grinding wheels</t>
        </is>
      </c>
      <c r="G96" s="31" t="inlineStr">
        <is>
          <t>smallcap</t>
        </is>
      </c>
      <c r="H96" s="32" t="n">
        <v>1753</v>
      </c>
      <c r="I96" s="32" t="n">
        <v>8765</v>
      </c>
      <c r="J96" s="32" t="n">
        <v>1.17</v>
      </c>
      <c r="K96" s="32" t="n">
        <v>10651</v>
      </c>
      <c r="L96" s="31" t="n">
        <v>5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63.08</v>
      </c>
      <c r="P96" s="32" t="n">
        <v>40.44</v>
      </c>
      <c r="Q96" s="32" t="n">
        <v>6999.33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-8.119999999999999</v>
      </c>
      <c r="U96" s="32" t="n">
        <v>-8.4</v>
      </c>
      <c r="V96" s="32" t="n">
        <v>-0.31</v>
      </c>
      <c r="W96" s="32" t="n">
        <v>1.41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Between 1.5 to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IF(B97=0,"",RANK(B97,$B$2:$B$222,0))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SANSERA</t>
        </is>
      </c>
      <c r="D97" s="31" t="inlineStr">
        <is>
          <t>Sansera Engineering Ltd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largecap</t>
        </is>
      </c>
      <c r="H97" s="32" t="n">
        <v>25070.63</v>
      </c>
      <c r="I97" s="32" t="n">
        <v>4017.5</v>
      </c>
      <c r="J97" s="32" t="n">
        <v>1.17</v>
      </c>
      <c r="K97" s="32" t="n">
        <v>130544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75.84999999999999</v>
      </c>
      <c r="P97" s="32" t="n">
        <v>63.79</v>
      </c>
      <c r="Q97" s="32" t="n">
        <v>3297.34</v>
      </c>
      <c r="R97" s="31" t="inlineStr">
        <is>
          <t>Near 52W High Breakout</t>
        </is>
      </c>
      <c r="S97" s="31" t="inlineStr">
        <is>
          <t>Nifty Auto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IF(B98=0,"",RANK(B98,$B$2:$B$222,0))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RML</t>
        </is>
      </c>
      <c r="D98" s="31" t="inlineStr">
        <is>
          <t>Rane (madras) Limited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smallcap</t>
        </is>
      </c>
      <c r="H98" s="32" t="n">
        <v>3542.53</v>
      </c>
      <c r="I98" s="32" t="n">
        <v>1281.8</v>
      </c>
      <c r="J98" s="32" t="n">
        <v>1.08</v>
      </c>
      <c r="K98" s="32" t="n">
        <v>41572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63.46</v>
      </c>
      <c r="P98" s="32" t="n">
        <v>54.28</v>
      </c>
      <c r="Q98" s="32" t="n">
        <v>1015.54</v>
      </c>
      <c r="R98" s="31" t="inlineStr">
        <is>
          <t>Earnings / Momentum Support</t>
        </is>
      </c>
      <c r="S98" s="31" t="inlineStr">
        <is>
          <t>Nifty Auto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IF(B99=0,"",RANK(B99,$B$2:$B$222,0))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COMSYN</t>
        </is>
      </c>
      <c r="D99" s="31" t="inlineStr">
        <is>
          <t>Commercial Syn Bags Ltd</t>
        </is>
      </c>
      <c r="E99" s="31" t="inlineStr">
        <is>
          <t>industrials</t>
        </is>
      </c>
      <c r="F99" s="31" t="inlineStr">
        <is>
          <t>packaging</t>
        </is>
      </c>
      <c r="G99" s="31" t="inlineStr">
        <is>
          <t>smallcap</t>
        </is>
      </c>
      <c r="H99" s="32" t="n">
        <v>1181.94</v>
      </c>
      <c r="I99" s="32" t="n">
        <v>293</v>
      </c>
      <c r="J99" s="32" t="n">
        <v>-0.59</v>
      </c>
      <c r="K99" s="32" t="n">
        <v>117045</v>
      </c>
      <c r="L99" s="31" t="n">
        <v>86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76.77</v>
      </c>
      <c r="P99" s="32" t="n">
        <v>70.62</v>
      </c>
      <c r="Q99" s="32" t="n">
        <v>225.91</v>
      </c>
      <c r="R99" s="31" t="inlineStr">
        <is>
          <t>Near 52W High Breakout</t>
        </is>
      </c>
      <c r="S99" s="31" t="inlineStr">
        <is>
          <t>Nifty 50</t>
        </is>
      </c>
      <c r="T99" s="32" t="n">
        <v>-8.119999999999999</v>
      </c>
      <c r="U99" s="32" t="n">
        <v>89.11</v>
      </c>
      <c r="V99" s="32" t="n">
        <v>105.82</v>
      </c>
      <c r="W99" s="32" t="n">
        <v>32.91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IF(B100=0,"",RANK(B100,$B$2:$B$222,0))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VARROC</t>
        </is>
      </c>
      <c r="D100" s="31" t="inlineStr">
        <is>
          <t>Varroc Engineering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midcap</t>
        </is>
      </c>
      <c r="H100" s="32" t="n">
        <v>12928.02</v>
      </c>
      <c r="I100" s="32" t="n">
        <v>846.15</v>
      </c>
      <c r="J100" s="32" t="n">
        <v>-0.59</v>
      </c>
      <c r="K100" s="32" t="n">
        <v>199305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72.8</v>
      </c>
      <c r="P100" s="32" t="n">
        <v>56.28</v>
      </c>
      <c r="Q100" s="32" t="n">
        <v>697.51</v>
      </c>
      <c r="R100" s="31" t="inlineStr">
        <is>
          <t>Near 52W High Breakout</t>
        </is>
      </c>
      <c r="S100" s="31" t="inlineStr">
        <is>
          <t>Nifty Auto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IF(B101=0,"",RANK(B101,$B$2:$B$222,0))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RACLGEAR</t>
        </is>
      </c>
      <c r="D101" s="31" t="inlineStr">
        <is>
          <t>RACL Geartech Ltd</t>
        </is>
      </c>
      <c r="E101" s="31" t="inlineStr">
        <is>
          <t>auto</t>
        </is>
      </c>
      <c r="F101" s="31" t="inlineStr">
        <is>
          <t>auto ancillaries</t>
        </is>
      </c>
      <c r="G101" s="31" t="inlineStr">
        <is>
          <t>smallcap</t>
        </is>
      </c>
      <c r="H101" s="32" t="n">
        <v>2156.04</v>
      </c>
      <c r="I101" s="32" t="n">
        <v>1829</v>
      </c>
      <c r="J101" s="32" t="n">
        <v>-1.26</v>
      </c>
      <c r="K101" s="32" t="n">
        <v>133875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70.45</v>
      </c>
      <c r="P101" s="32" t="n">
        <v>52.81</v>
      </c>
      <c r="Q101" s="32" t="n">
        <v>1312.64</v>
      </c>
      <c r="R101" s="31" t="inlineStr">
        <is>
          <t>Volume Spike &amp; Near 52W High Breakout</t>
        </is>
      </c>
      <c r="S101" s="31" t="inlineStr">
        <is>
          <t>Nifty Auto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IF(B102=0,"",RANK(B102,$B$2:$B$222,0))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ACMESOLAR</t>
        </is>
      </c>
      <c r="D102" s="31" t="inlineStr">
        <is>
          <t>ACME Solar Holdings Ltd</t>
        </is>
      </c>
      <c r="E102" s="31" t="inlineStr">
        <is>
          <t>realty</t>
        </is>
      </c>
      <c r="F102" s="31" t="inlineStr">
        <is>
          <t>engineering - turnkey services</t>
        </is>
      </c>
      <c r="G102" s="31" t="inlineStr">
        <is>
          <t>largecap</t>
        </is>
      </c>
      <c r="H102" s="32" t="n">
        <v>29073.74</v>
      </c>
      <c r="I102" s="32" t="n">
        <v>411.3</v>
      </c>
      <c r="J102" s="32" t="n">
        <v>-1.6</v>
      </c>
      <c r="K102" s="32" t="n">
        <v>1167673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67.61</v>
      </c>
      <c r="P102" s="32" t="n">
        <v>49.44</v>
      </c>
      <c r="Q102" s="32" t="n">
        <v>325.61</v>
      </c>
      <c r="R102" s="31" t="inlineStr">
        <is>
          <t>Near 52W High Breakout</t>
        </is>
      </c>
      <c r="S102" s="31" t="inlineStr">
        <is>
          <t>Nifty Realty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More than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IF(B103=0,"",RANK(B103,$B$2:$B$222,0))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SETL</t>
        </is>
      </c>
      <c r="D103" s="31" t="inlineStr">
        <is>
          <t>Standard Enginnering Technology Ltd</t>
        </is>
      </c>
      <c r="E103" s="31" t="inlineStr">
        <is>
          <t>industrials</t>
        </is>
      </c>
      <c r="F103" s="31" t="inlineStr">
        <is>
          <t>engineering</t>
        </is>
      </c>
      <c r="G103" s="31" t="inlineStr">
        <is>
          <t>midcap</t>
        </is>
      </c>
      <c r="H103" s="32" t="n">
        <v>8008.59</v>
      </c>
      <c r="I103" s="32" t="n">
        <v>401.45</v>
      </c>
      <c r="J103" s="32" t="n">
        <v>-4.99</v>
      </c>
      <c r="K103" s="32" t="n">
        <v>2842075</v>
      </c>
      <c r="L103" s="31" t="n">
        <v>94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72.98</v>
      </c>
      <c r="P103" s="32" t="n">
        <v>72.28</v>
      </c>
      <c r="Q103" s="32" t="n">
        <v>360.53</v>
      </c>
      <c r="R103" s="31" t="inlineStr">
        <is>
          <t>Earnings / Momentum Support</t>
        </is>
      </c>
      <c r="S103" s="31" t="inlineStr">
        <is>
          <t>Nifty 50</t>
        </is>
      </c>
      <c r="T103" s="32" t="n">
        <v>-8.119999999999999</v>
      </c>
      <c r="U103" s="32" t="n">
        <v>106.7</v>
      </c>
      <c r="V103" s="32" t="n">
        <v>124.96</v>
      </c>
      <c r="W103" s="32" t="n">
        <v>49.18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IF(B104=0,"",RANK(B104,$B$2:$B$222,0))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YATHARTH</t>
        </is>
      </c>
      <c r="D104" s="31" t="inlineStr">
        <is>
          <t>Yatharth Hospital &amp; Trauma Care Services Ltd</t>
        </is>
      </c>
      <c r="E104" s="31" t="inlineStr">
        <is>
          <t>healthcare</t>
        </is>
      </c>
      <c r="F104" s="31" t="inlineStr">
        <is>
          <t>healthcare</t>
        </is>
      </c>
      <c r="G104" s="31" t="inlineStr">
        <is>
          <t>midcap</t>
        </is>
      </c>
      <c r="H104" s="32" t="n">
        <v>10333.04</v>
      </c>
      <c r="I104" s="32" t="n">
        <v>1072.4</v>
      </c>
      <c r="J104" s="32" t="n">
        <v>9.17</v>
      </c>
      <c r="K104" s="32" t="n">
        <v>3679332</v>
      </c>
      <c r="L104" s="31" t="n">
        <v>47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72.56</v>
      </c>
      <c r="P104" s="32" t="n">
        <v>42.56</v>
      </c>
      <c r="Q104" s="32" t="n">
        <v>861.67</v>
      </c>
      <c r="R104" s="31" t="inlineStr">
        <is>
          <t>Volume Spike &amp; Near 52W High Breakout</t>
        </is>
      </c>
      <c r="S104" s="31" t="inlineStr">
        <is>
          <t>Nifty Pharma</t>
        </is>
      </c>
      <c r="T104" s="32" t="n">
        <v>17.16</v>
      </c>
      <c r="U104" s="32" t="n">
        <v>38.2</v>
      </c>
      <c r="V104" s="32" t="n">
        <v>17.96</v>
      </c>
      <c r="W104" s="32" t="n">
        <v>13.7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IF(B105=0,"",RANK(B105,$B$2:$B$222,0))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ONEPOINT</t>
        </is>
      </c>
      <c r="D105" s="31" t="inlineStr">
        <is>
          <t>One Point One Solutions Ltd</t>
        </is>
      </c>
      <c r="E105" s="31" t="inlineStr">
        <is>
          <t>i.t</t>
        </is>
      </c>
      <c r="F105" s="31" t="inlineStr">
        <is>
          <t>computers - software - medium / small</t>
        </is>
      </c>
      <c r="G105" s="31" t="inlineStr">
        <is>
          <t>smallcap</t>
        </is>
      </c>
      <c r="H105" s="32" t="n">
        <v>1555.01</v>
      </c>
      <c r="I105" s="32" t="n">
        <v>59.14</v>
      </c>
      <c r="J105" s="32" t="n">
        <v>5.08</v>
      </c>
      <c r="K105" s="32" t="n">
        <v>2680184</v>
      </c>
      <c r="L105" s="31" t="n">
        <v>22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56.31</v>
      </c>
      <c r="P105" s="32" t="n">
        <v>11.68</v>
      </c>
      <c r="Q105" s="32" t="n">
        <v>46.01</v>
      </c>
      <c r="R105" s="31" t="inlineStr">
        <is>
          <t>Volume Spike / Accumulation</t>
        </is>
      </c>
      <c r="S105" s="31" t="inlineStr">
        <is>
          <t>Nifty IT</t>
        </is>
      </c>
      <c r="T105" s="32" t="n">
        <v>-20.29</v>
      </c>
      <c r="U105" s="32" t="n">
        <v>27.84</v>
      </c>
      <c r="V105" s="32" t="n">
        <v>60.39</v>
      </c>
      <c r="W105" s="32" t="n">
        <v>6.62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IF(B106=0,"",RANK(B106,$B$2:$B$222,0))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LAURUSLABS</t>
        </is>
      </c>
      <c r="D106" s="31" t="inlineStr">
        <is>
          <t>Laurus Labs Limited</t>
        </is>
      </c>
      <c r="E106" s="31" t="inlineStr">
        <is>
          <t>healthcare</t>
        </is>
      </c>
      <c r="F106" s="31" t="inlineStr">
        <is>
          <t>pharmaceuticals - indian - bulk drugs &amp; formln</t>
        </is>
      </c>
      <c r="G106" s="31" t="inlineStr">
        <is>
          <t>largecap</t>
        </is>
      </c>
      <c r="H106" s="32" t="n">
        <v>105246.02</v>
      </c>
      <c r="I106" s="32" t="n">
        <v>1948.1</v>
      </c>
      <c r="J106" s="32" t="n">
        <v>2.24</v>
      </c>
      <c r="K106" s="32" t="n">
        <v>1645108</v>
      </c>
      <c r="L106" s="31" t="n">
        <v>75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75.5</v>
      </c>
      <c r="P106" s="32" t="n">
        <v>72.52</v>
      </c>
      <c r="Q106" s="32" t="n">
        <v>1672.13</v>
      </c>
      <c r="R106" s="31" t="inlineStr">
        <is>
          <t>Near 52W High Breakout</t>
        </is>
      </c>
      <c r="S106" s="31" t="inlineStr">
        <is>
          <t>Nifty Pharma</t>
        </is>
      </c>
      <c r="T106" s="32" t="n">
        <v>17.16</v>
      </c>
      <c r="U106" s="32" t="n">
        <v>109.38</v>
      </c>
      <c r="V106" s="32" t="n">
        <v>78.72</v>
      </c>
      <c r="W106" s="32" t="n">
        <v>25.14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IF(B107=0,"",RANK(B107,$B$2:$B$222,0))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ABDL</t>
        </is>
      </c>
      <c r="D107" s="31" t="inlineStr">
        <is>
          <t>Allied Blenders &amp; Distillers Ltd</t>
        </is>
      </c>
      <c r="E107" s="31" t="inlineStr">
        <is>
          <t>fmcg</t>
        </is>
      </c>
      <c r="F107" s="31" t="inlineStr">
        <is>
          <t>breweries &amp; distilleries</t>
        </is>
      </c>
      <c r="G107" s="31" t="inlineStr">
        <is>
          <t>midcap</t>
        </is>
      </c>
      <c r="H107" s="32" t="n">
        <v>18267.87</v>
      </c>
      <c r="I107" s="32" t="n">
        <v>653.1</v>
      </c>
      <c r="J107" s="32" t="n">
        <v>0.86</v>
      </c>
      <c r="K107" s="32" t="n">
        <v>560511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62.73</v>
      </c>
      <c r="P107" s="32" t="n">
        <v>24.73</v>
      </c>
      <c r="Q107" s="32" t="n">
        <v>515.35</v>
      </c>
      <c r="R107" s="31" t="inlineStr">
        <is>
          <t>Near 52W High Breakout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IF(B108=0,"",RANK(B108,$B$2:$B$222,0))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SAILIFE</t>
        </is>
      </c>
      <c r="D108" s="31" t="inlineStr">
        <is>
          <t>Sai Life Sciences Ltd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largecap</t>
        </is>
      </c>
      <c r="H108" s="32" t="n">
        <v>32813.05</v>
      </c>
      <c r="I108" s="32" t="n">
        <v>1545.7</v>
      </c>
      <c r="J108" s="32" t="n">
        <v>0.43</v>
      </c>
      <c r="K108" s="32" t="n">
        <v>443745</v>
      </c>
      <c r="L108" s="31" t="n">
        <v>57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78.53</v>
      </c>
      <c r="P108" s="32" t="n">
        <v>45.88</v>
      </c>
      <c r="Q108" s="32" t="n">
        <v>1301.17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17.16</v>
      </c>
      <c r="U108" s="32" t="n">
        <v>69.18000000000001</v>
      </c>
      <c r="V108" s="32" t="n">
        <v>44.4</v>
      </c>
      <c r="W108" s="32" t="n">
        <v>17.04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IF(B109=0,"",RANK(B109,$B$2:$B$222,0))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BHAGERIA</t>
        </is>
      </c>
      <c r="D109" s="31" t="inlineStr">
        <is>
          <t>Bhageria Industries Limited</t>
        </is>
      </c>
      <c r="E109" s="31" t="inlineStr">
        <is>
          <t>chemicals</t>
        </is>
      </c>
      <c r="F109" s="31" t="inlineStr">
        <is>
          <t>dyes and pigments</t>
        </is>
      </c>
      <c r="G109" s="31" t="inlineStr">
        <is>
          <t>smallcap</t>
        </is>
      </c>
      <c r="H109" s="32" t="n">
        <v>1391.59</v>
      </c>
      <c r="I109" s="32" t="n">
        <v>318.85</v>
      </c>
      <c r="J109" s="32" t="n">
        <v>4.99</v>
      </c>
      <c r="K109" s="32" t="n">
        <v>65522</v>
      </c>
      <c r="L109" s="31" t="n">
        <v>73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76.81999999999999</v>
      </c>
      <c r="P109" s="32" t="n">
        <v>38.83</v>
      </c>
      <c r="Q109" s="32" t="n">
        <v>237.34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-8.119999999999999</v>
      </c>
      <c r="U109" s="32" t="n">
        <v>76.87</v>
      </c>
      <c r="V109" s="32" t="n">
        <v>92.5</v>
      </c>
      <c r="W109" s="32" t="n">
        <v>24.69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IF(B110=0,"",RANK(B110,$B$2:$B$222,0))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MAZDA</t>
        </is>
      </c>
      <c r="D110" s="31" t="inlineStr">
        <is>
          <t>Mazda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527.5599999999999</v>
      </c>
      <c r="I110" s="32" t="n">
        <v>263.45</v>
      </c>
      <c r="J110" s="32" t="n">
        <v>4.98</v>
      </c>
      <c r="K110" s="32" t="n">
        <v>10263</v>
      </c>
      <c r="L110" s="31" t="n">
        <v>16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63.59</v>
      </c>
      <c r="P110" s="32" t="n">
        <v>32.42</v>
      </c>
      <c r="Q110" s="32" t="n">
        <v>210.27</v>
      </c>
      <c r="R110" s="31" t="inlineStr">
        <is>
          <t>Earnings / Momentum Support</t>
        </is>
      </c>
      <c r="S110" s="31" t="inlineStr">
        <is>
          <t>Nifty 50</t>
        </is>
      </c>
      <c r="T110" s="32" t="n">
        <v>-8.119999999999999</v>
      </c>
      <c r="U110" s="32" t="n">
        <v>-2.85</v>
      </c>
      <c r="V110" s="32" t="n">
        <v>5.74</v>
      </c>
      <c r="W110" s="32" t="n">
        <v>4.61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IF(B111=0,"",RANK(B111,$B$2:$B$222,0))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SIGMAADV</t>
        </is>
      </c>
      <c r="D111" s="31" t="inlineStr">
        <is>
          <t>Sigma Advanced System Ltd</t>
        </is>
      </c>
      <c r="E111" s="31" t="inlineStr">
        <is>
          <t>aerospace &amp; defence</t>
        </is>
      </c>
      <c r="F111" s="31" t="inlineStr">
        <is>
          <t>electronics - components</t>
        </is>
      </c>
      <c r="G111" s="31" t="inlineStr">
        <is>
          <t>midcap</t>
        </is>
      </c>
      <c r="H111" s="32" t="n">
        <v>16247.4</v>
      </c>
      <c r="I111" s="32" t="n">
        <v>857.4</v>
      </c>
      <c r="J111" s="32" t="n">
        <v>4.94</v>
      </c>
      <c r="K111" s="32" t="n">
        <v>292634</v>
      </c>
      <c r="L111" s="31" t="n">
        <v>99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79.59999999999999</v>
      </c>
      <c r="P111" s="32" t="n">
        <v>64.08</v>
      </c>
      <c r="Q111" s="32" t="n">
        <v>636.1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-8.119999999999999</v>
      </c>
      <c r="U111" s="32" t="n">
        <v>447.72</v>
      </c>
      <c r="V111" s="32" t="n">
        <v>496.12</v>
      </c>
      <c r="W111" s="32" t="n">
        <v>68.27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IF(B112=0,"",RANK(B112,$B$2:$B$222,0))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GANDHAR</t>
        </is>
      </c>
      <c r="D112" s="31" t="inlineStr">
        <is>
          <t>Gandhar Oil Refinery (India) Ltd</t>
        </is>
      </c>
      <c r="E112" s="31" t="inlineStr">
        <is>
          <t>energy</t>
        </is>
      </c>
      <c r="F112" s="31" t="inlineStr">
        <is>
          <t>refineries</t>
        </is>
      </c>
      <c r="G112" s="31" t="inlineStr">
        <is>
          <t>smallcap</t>
        </is>
      </c>
      <c r="H112" s="32" t="n">
        <v>2636.87</v>
      </c>
      <c r="I112" s="32" t="n">
        <v>269.4</v>
      </c>
      <c r="J112" s="32" t="n">
        <v>4.04</v>
      </c>
      <c r="K112" s="32" t="n">
        <v>661006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69.48</v>
      </c>
      <c r="P112" s="32" t="n">
        <v>75.5</v>
      </c>
      <c r="Q112" s="32" t="n">
        <v>213.02</v>
      </c>
      <c r="R112" s="31" t="inlineStr">
        <is>
          <t>Near 52W High Breakout</t>
        </is>
      </c>
      <c r="S112" s="31" t="inlineStr">
        <is>
          <t>Nifty Energy</t>
        </is>
      </c>
      <c r="T112" s="32" t="inlineStr"/>
      <c r="U112" s="32" t="inlineStr"/>
      <c r="V112" s="32" t="inlineStr"/>
      <c r="W112" s="32" t="inlineStr"/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Oligopoly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Cyclical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Volatile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IF(B113=0,"",RANK(B113,$B$2:$B$222,0))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MVGJL</t>
        </is>
      </c>
      <c r="D113" s="31" t="inlineStr">
        <is>
          <t>Manoj Vaibhav Gems N Jewellers Ltd</t>
        </is>
      </c>
      <c r="E113" s="31" t="inlineStr">
        <is>
          <t>consumer discretionary</t>
        </is>
      </c>
      <c r="F113" s="31" t="inlineStr">
        <is>
          <t>diamond cutting / jewellery</t>
        </is>
      </c>
      <c r="G113" s="31" t="inlineStr">
        <is>
          <t>smallcap</t>
        </is>
      </c>
      <c r="H113" s="32" t="n">
        <v>1052.03</v>
      </c>
      <c r="I113" s="32" t="n">
        <v>215.37</v>
      </c>
      <c r="J113" s="32" t="n">
        <v>3.96</v>
      </c>
      <c r="K113" s="32" t="n">
        <v>704297</v>
      </c>
      <c r="L113" s="31" t="n">
        <v>43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69.59</v>
      </c>
      <c r="P113" s="32" t="n">
        <v>16.94</v>
      </c>
      <c r="Q113" s="32" t="n">
        <v>154.84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-8.119999999999999</v>
      </c>
      <c r="U113" s="32" t="n">
        <v>6.57</v>
      </c>
      <c r="V113" s="32" t="n">
        <v>15.99</v>
      </c>
      <c r="W113" s="32" t="n">
        <v>12.72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IF(B114=0,"",RANK(B114,$B$2:$B$222,0))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OPTIEMUS</t>
        </is>
      </c>
      <c r="D114" s="31" t="inlineStr">
        <is>
          <t>Optiemus Infracom Ltd</t>
        </is>
      </c>
      <c r="E114" s="31" t="inlineStr">
        <is>
          <t>telecom</t>
        </is>
      </c>
      <c r="F114" s="31" t="inlineStr">
        <is>
          <t>trading</t>
        </is>
      </c>
      <c r="G114" s="31" t="inlineStr">
        <is>
          <t>midcap</t>
        </is>
      </c>
      <c r="H114" s="32" t="n">
        <v>5500.15</v>
      </c>
      <c r="I114" s="32" t="n">
        <v>610</v>
      </c>
      <c r="J114" s="32" t="n">
        <v>2.89</v>
      </c>
      <c r="K114" s="32" t="n">
        <v>356119</v>
      </c>
      <c r="L114" s="31" t="n">
        <v>35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62.99</v>
      </c>
      <c r="P114" s="32" t="n">
        <v>36.83</v>
      </c>
      <c r="Q114" s="32" t="n">
        <v>486.09</v>
      </c>
      <c r="R114" s="31" t="inlineStr">
        <is>
          <t>Volume Spike / Accumulation</t>
        </is>
      </c>
      <c r="S114" s="31" t="inlineStr">
        <is>
          <t>Nifty 50</t>
        </is>
      </c>
      <c r="T114" s="32" t="n">
        <v>-8.119999999999999</v>
      </c>
      <c r="U114" s="32" t="n">
        <v>-6.31</v>
      </c>
      <c r="V114" s="32" t="n">
        <v>1.97</v>
      </c>
      <c r="W114" s="32" t="n">
        <v>10.51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Oligopoly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IF(B115=0,"",RANK(B115,$B$2:$B$222,0))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KAMDHENU</t>
        </is>
      </c>
      <c r="D115" s="31" t="inlineStr">
        <is>
          <t>Kamdhenu Limited</t>
        </is>
      </c>
      <c r="E115" s="31" t="inlineStr">
        <is>
          <t>metals &amp; mining</t>
        </is>
      </c>
      <c r="F115" s="31" t="inlineStr">
        <is>
          <t>steel - medium / small</t>
        </is>
      </c>
      <c r="G115" s="31" t="inlineStr">
        <is>
          <t>smallcap</t>
        </is>
      </c>
      <c r="H115" s="32" t="n">
        <v>1113.44</v>
      </c>
      <c r="I115" s="32" t="n">
        <v>39.5</v>
      </c>
      <c r="J115" s="32" t="n">
        <v>1.73</v>
      </c>
      <c r="K115" s="32" t="n">
        <v>738033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74.37</v>
      </c>
      <c r="P115" s="32" t="n">
        <v>52.01</v>
      </c>
      <c r="Q115" s="32" t="n">
        <v>29.64</v>
      </c>
      <c r="R115" s="31" t="inlineStr">
        <is>
          <t>Near 52W High Breakout</t>
        </is>
      </c>
      <c r="S115" s="31" t="inlineStr">
        <is>
          <t>Nifty Metal</t>
        </is>
      </c>
      <c r="T115" s="32" t="inlineStr"/>
      <c r="U115" s="32" t="inlineStr"/>
      <c r="V115" s="32" t="inlineStr"/>
      <c r="W115" s="32" t="inlineStr"/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Cyclical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Volatile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IF(B116=0,"",RANK(B116,$B$2:$B$222,0))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WELENT</t>
        </is>
      </c>
      <c r="D116" s="31" t="inlineStr">
        <is>
          <t>Welspun Enterprises Limited</t>
        </is>
      </c>
      <c r="E116" s="31" t="inlineStr">
        <is>
          <t>realty</t>
        </is>
      </c>
      <c r="F116" s="31" t="inlineStr">
        <is>
          <t>construction</t>
        </is>
      </c>
      <c r="G116" s="31" t="inlineStr">
        <is>
          <t>midcap</t>
        </is>
      </c>
      <c r="H116" s="32" t="n">
        <v>10778.28</v>
      </c>
      <c r="I116" s="32" t="n">
        <v>778.7</v>
      </c>
      <c r="J116" s="32" t="n">
        <v>1.39</v>
      </c>
      <c r="K116" s="32" t="n">
        <v>376786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73.95999999999999</v>
      </c>
      <c r="P116" s="32" t="n">
        <v>33.08</v>
      </c>
      <c r="Q116" s="32" t="n">
        <v>648.67</v>
      </c>
      <c r="R116" s="31" t="inlineStr">
        <is>
          <t>Volume Spike &amp; Near 52W High Breakout</t>
        </is>
      </c>
      <c r="S116" s="31" t="inlineStr">
        <is>
          <t>Nifty Realty</t>
        </is>
      </c>
      <c r="T116" s="32" t="inlineStr"/>
      <c r="U116" s="32" t="inlineStr"/>
      <c r="V116" s="32" t="inlineStr"/>
      <c r="W116" s="32" t="inlineStr"/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IF(B117=0,"",RANK(B117,$B$2:$B$222,0))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CHEMBONDCH</t>
        </is>
      </c>
      <c r="D117" s="31" t="inlineStr">
        <is>
          <t>Chembond Chemicals Ltd</t>
        </is>
      </c>
      <c r="E117" s="31" t="inlineStr">
        <is>
          <t>chemicals</t>
        </is>
      </c>
      <c r="F117" s="31" t="inlineStr">
        <is>
          <t>chemicals</t>
        </is>
      </c>
      <c r="G117" s="31" t="inlineStr">
        <is>
          <t>smallcap</t>
        </is>
      </c>
      <c r="H117" s="32" t="n">
        <v>736.97</v>
      </c>
      <c r="I117" s="32" t="n">
        <v>274</v>
      </c>
      <c r="J117" s="32" t="n">
        <v>1.2</v>
      </c>
      <c r="K117" s="32" t="n">
        <v>12782</v>
      </c>
      <c r="L117" s="31" t="n">
        <v>62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66.09</v>
      </c>
      <c r="P117" s="32" t="n">
        <v>48.37</v>
      </c>
      <c r="Q117" s="32" t="n">
        <v>200.89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-8.119999999999999</v>
      </c>
      <c r="U117" s="32" t="n">
        <v>47.43</v>
      </c>
      <c r="V117" s="32" t="n">
        <v>60.46</v>
      </c>
      <c r="W117" s="32" t="n">
        <v>18.99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IF(B118=0,"",RANK(B118,$B$2:$B$222,0))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NRAIL</t>
        </is>
      </c>
      <c r="D118" s="31" t="inlineStr">
        <is>
          <t>N R Agarwal Industries Ltd</t>
        </is>
      </c>
      <c r="E118" s="31" t="inlineStr">
        <is>
          <t>building materials</t>
        </is>
      </c>
      <c r="F118" s="31" t="inlineStr">
        <is>
          <t>paper</t>
        </is>
      </c>
      <c r="G118" s="31" t="inlineStr">
        <is>
          <t>smallcap</t>
        </is>
      </c>
      <c r="H118" s="32" t="n">
        <v>1069.65</v>
      </c>
      <c r="I118" s="32" t="n">
        <v>628.5</v>
      </c>
      <c r="J118" s="32" t="n">
        <v>1.14</v>
      </c>
      <c r="K118" s="32" t="n">
        <v>11537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69.20999999999999</v>
      </c>
      <c r="P118" s="32" t="n">
        <v>35.87</v>
      </c>
      <c r="Q118" s="32" t="n">
        <v>454.92</v>
      </c>
      <c r="R118" s="31" t="inlineStr">
        <is>
          <t>Near 52W High Breakout</t>
        </is>
      </c>
      <c r="S118" s="31" t="inlineStr">
        <is>
          <t>Nifty Infra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IF(B119=0,"",RANK(B119,$B$2:$B$222,0))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OAL</t>
        </is>
      </c>
      <c r="D119" s="31" t="inlineStr">
        <is>
          <t>Oriental Aromatics Ltd</t>
        </is>
      </c>
      <c r="E119" s="31" t="inlineStr">
        <is>
          <t>chemicals</t>
        </is>
      </c>
      <c r="F119" s="31" t="inlineStr">
        <is>
          <t>chemicals</t>
        </is>
      </c>
      <c r="G119" s="31" t="inlineStr">
        <is>
          <t>smallcap</t>
        </is>
      </c>
      <c r="H119" s="32" t="n">
        <v>1728.11</v>
      </c>
      <c r="I119" s="32" t="n">
        <v>513.5</v>
      </c>
      <c r="J119" s="32" t="n">
        <v>0.91</v>
      </c>
      <c r="K119" s="32" t="n">
        <v>10254</v>
      </c>
      <c r="L119" s="31" t="n">
        <v>67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72.89</v>
      </c>
      <c r="P119" s="32" t="n">
        <v>35.2</v>
      </c>
      <c r="Q119" s="32" t="n">
        <v>384.61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-8.119999999999999</v>
      </c>
      <c r="U119" s="32" t="n">
        <v>46.61</v>
      </c>
      <c r="V119" s="32" t="n">
        <v>59.57</v>
      </c>
      <c r="W119" s="32" t="n">
        <v>21.04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IF(B120=0,"",RANK(B120,$B$2:$B$222,0))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PTCIL</t>
        </is>
      </c>
      <c r="D120" s="31" t="inlineStr">
        <is>
          <t>PTC Industries Ltd</t>
        </is>
      </c>
      <c r="E120" s="31" t="inlineStr">
        <is>
          <t>industrials</t>
        </is>
      </c>
      <c r="F120" s="31" t="inlineStr">
        <is>
          <t>castings &amp; forgings</t>
        </is>
      </c>
      <c r="G120" s="31" t="inlineStr">
        <is>
          <t>largecap</t>
        </is>
      </c>
      <c r="H120" s="32" t="n">
        <v>33988.11</v>
      </c>
      <c r="I120" s="32" t="n">
        <v>22670</v>
      </c>
      <c r="J120" s="32" t="n">
        <v>0.76</v>
      </c>
      <c r="K120" s="32" t="n">
        <v>15271</v>
      </c>
      <c r="L120" s="31" t="n">
        <v>48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69.34999999999999</v>
      </c>
      <c r="P120" s="32" t="n">
        <v>34.98</v>
      </c>
      <c r="Q120" s="32" t="n">
        <v>19407.2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-8.119999999999999</v>
      </c>
      <c r="U120" s="32" t="n">
        <v>51.72</v>
      </c>
      <c r="V120" s="32" t="n">
        <v>65.13</v>
      </c>
      <c r="W120" s="32" t="n">
        <v>13.84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IF(B121=0,"",RANK(B121,$B$2:$B$222,0))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SHREEJISPG</t>
        </is>
      </c>
      <c r="D121" s="31" t="inlineStr">
        <is>
          <t>Shreeji Shipping Global Ltd</t>
        </is>
      </c>
      <c r="E121" s="31" t="inlineStr">
        <is>
          <t>transportation</t>
        </is>
      </c>
      <c r="F121" s="31" t="inlineStr">
        <is>
          <t>shipping</t>
        </is>
      </c>
      <c r="G121" s="31" t="inlineStr">
        <is>
          <t>midcap</t>
        </is>
      </c>
      <c r="H121" s="32" t="n">
        <v>11257.65</v>
      </c>
      <c r="I121" s="32" t="n">
        <v>691</v>
      </c>
      <c r="J121" s="32" t="n">
        <v>0.12</v>
      </c>
      <c r="K121" s="32" t="n">
        <v>1140193</v>
      </c>
      <c r="L121" s="31" t="n">
        <v>84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77.92</v>
      </c>
      <c r="P121" s="32" t="n">
        <v>56.32</v>
      </c>
      <c r="Q121" s="32" t="n">
        <v>563.84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-8.119999999999999</v>
      </c>
      <c r="U121" s="32" t="n">
        <v>171.34</v>
      </c>
      <c r="V121" s="32" t="n">
        <v>195.32</v>
      </c>
      <c r="W121" s="32" t="n">
        <v>30.78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IF(B122=0,"",RANK(B122,$B$2:$B$222,0))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FCL</t>
        </is>
      </c>
      <c r="D122" s="31" t="inlineStr">
        <is>
          <t>Fineotex Chemical Limited</t>
        </is>
      </c>
      <c r="E122" s="31" t="inlineStr">
        <is>
          <t>chemicals</t>
        </is>
      </c>
      <c r="F122" s="31" t="inlineStr">
        <is>
          <t>chemicals</t>
        </is>
      </c>
      <c r="G122" s="31" t="inlineStr">
        <is>
          <t>midcap</t>
        </is>
      </c>
      <c r="H122" s="32" t="n">
        <v>6170.69</v>
      </c>
      <c r="I122" s="32" t="n">
        <v>52.99</v>
      </c>
      <c r="J122" s="32" t="n">
        <v>-0.15</v>
      </c>
      <c r="K122" s="32" t="n">
        <v>15008357</v>
      </c>
      <c r="L122" s="31" t="n">
        <v>79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70.47</v>
      </c>
      <c r="P122" s="32" t="n">
        <v>48.86</v>
      </c>
      <c r="Q122" s="32" t="n">
        <v>42.45</v>
      </c>
      <c r="R122" s="31" t="inlineStr">
        <is>
          <t>Earnings / Momentum Support</t>
        </is>
      </c>
      <c r="S122" s="31" t="inlineStr">
        <is>
          <t>Nifty 50</t>
        </is>
      </c>
      <c r="T122" s="32" t="n">
        <v>-8.119999999999999</v>
      </c>
      <c r="U122" s="32" t="n">
        <v>125.81</v>
      </c>
      <c r="V122" s="32" t="n">
        <v>145.77</v>
      </c>
      <c r="W122" s="32" t="n">
        <v>27.31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IF(B123=0,"",RANK(B123,$B$2:$B$222,0))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EIMCOELECO</t>
        </is>
      </c>
      <c r="D123" s="31" t="inlineStr">
        <is>
          <t>Eimco Elecon (india) Limited</t>
        </is>
      </c>
      <c r="E123" s="31" t="inlineStr">
        <is>
          <t>industrials</t>
        </is>
      </c>
      <c r="F123" s="31" t="inlineStr">
        <is>
          <t>engineering</t>
        </is>
      </c>
      <c r="G123" s="31" t="inlineStr">
        <is>
          <t>smallcap</t>
        </is>
      </c>
      <c r="H123" s="32" t="n">
        <v>1296.39</v>
      </c>
      <c r="I123" s="32" t="n">
        <v>2247.4</v>
      </c>
      <c r="J123" s="32" t="n">
        <v>-1.3</v>
      </c>
      <c r="K123" s="32" t="n">
        <v>17329</v>
      </c>
      <c r="L123" s="31" t="n">
        <v>40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69.54000000000001</v>
      </c>
      <c r="P123" s="32" t="n">
        <v>52.41</v>
      </c>
      <c r="Q123" s="32" t="n">
        <v>1822.55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-8.119999999999999</v>
      </c>
      <c r="U123" s="32" t="n">
        <v>9.869999999999999</v>
      </c>
      <c r="V123" s="32" t="n">
        <v>19.58</v>
      </c>
      <c r="W123" s="32" t="n">
        <v>12.03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IF(B124=0,"",RANK(B124,$B$2:$B$222,0))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PCJEWELLER</t>
        </is>
      </c>
      <c r="D124" s="33" t="inlineStr">
        <is>
          <t>Pc Jeweller Limited</t>
        </is>
      </c>
      <c r="E124" s="31" t="inlineStr">
        <is>
          <t>consumer discretionary</t>
        </is>
      </c>
      <c r="F124" s="31" t="inlineStr">
        <is>
          <t>diamond cutting / jewellery</t>
        </is>
      </c>
      <c r="G124" s="31" t="inlineStr">
        <is>
          <t>midcap</t>
        </is>
      </c>
      <c r="H124" s="32" t="n">
        <v>11992.51</v>
      </c>
      <c r="I124" s="32" t="n">
        <v>12.35</v>
      </c>
      <c r="J124" s="32" t="n">
        <v>-2.29</v>
      </c>
      <c r="K124" s="32" t="n">
        <v>225554471</v>
      </c>
      <c r="L124" s="31" t="n">
        <v>27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62.11</v>
      </c>
      <c r="P124" s="32" t="n">
        <v>26.32</v>
      </c>
      <c r="Q124" s="32" t="n">
        <v>9.82</v>
      </c>
      <c r="R124" s="31" t="inlineStr">
        <is>
          <t>Earnings / Momentum Support</t>
        </is>
      </c>
      <c r="S124" s="31" t="inlineStr">
        <is>
          <t>Nifty 50</t>
        </is>
      </c>
      <c r="T124" s="32" t="n">
        <v>-8.119999999999999</v>
      </c>
      <c r="U124" s="32" t="n">
        <v>-11.97</v>
      </c>
      <c r="V124" s="32" t="n">
        <v>-4.2</v>
      </c>
      <c r="W124" s="32" t="n">
        <v>7.78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IF(B125=0,"",RANK(B125,$B$2:$B$222,0))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DIACABS</t>
        </is>
      </c>
      <c r="D125" s="31" t="inlineStr">
        <is>
          <t>Diamond Power Infrastructure Ltd</t>
        </is>
      </c>
      <c r="E125" s="31" t="inlineStr">
        <is>
          <t>industrials</t>
        </is>
      </c>
      <c r="F125" s="31" t="inlineStr">
        <is>
          <t>cables - power</t>
        </is>
      </c>
      <c r="G125" s="31" t="inlineStr">
        <is>
          <t>largecap</t>
        </is>
      </c>
      <c r="H125" s="32" t="n">
        <v>22490.46</v>
      </c>
      <c r="I125" s="32" t="n">
        <v>376.05</v>
      </c>
      <c r="J125" s="32" t="n">
        <v>-4.74</v>
      </c>
      <c r="K125" s="32" t="n">
        <v>738512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78.73</v>
      </c>
      <c r="P125" s="32" t="n">
        <v>67</v>
      </c>
      <c r="Q125" s="32" t="n">
        <v>283.44</v>
      </c>
      <c r="R125" s="31" t="inlineStr">
        <is>
          <t>Near 52W High Breakout</t>
        </is>
      </c>
      <c r="S125" s="31" t="inlineStr">
        <is>
          <t>Nifty Energy</t>
        </is>
      </c>
      <c r="T125" s="32" t="inlineStr"/>
      <c r="U125" s="32" t="inlineStr"/>
      <c r="V125" s="32" t="inlineStr"/>
      <c r="W125" s="32" t="inlineStr"/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IF(B126=0,"",RANK(B126,$B$2:$B$222,0))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VALIANTLAB</t>
        </is>
      </c>
      <c r="D126" s="31" t="inlineStr">
        <is>
          <t>Valiant Laboratories Ltd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smallcap</t>
        </is>
      </c>
      <c r="H126" s="32" t="n">
        <v>666.6900000000001</v>
      </c>
      <c r="I126" s="32" t="n">
        <v>122.75</v>
      </c>
      <c r="J126" s="32" t="n">
        <v>5</v>
      </c>
      <c r="K126" s="32" t="n">
        <v>67876</v>
      </c>
      <c r="L126" s="31" t="n">
        <v>81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76.95999999999999</v>
      </c>
      <c r="P126" s="32" t="n">
        <v>25.39</v>
      </c>
      <c r="Q126" s="32" t="n">
        <v>95.94</v>
      </c>
      <c r="R126" s="31" t="inlineStr">
        <is>
          <t>Near 52W High Breakout</t>
        </is>
      </c>
      <c r="S126" s="31" t="inlineStr">
        <is>
          <t>Nifty Pharma</t>
        </is>
      </c>
      <c r="T126" s="32" t="n">
        <v>17.16</v>
      </c>
      <c r="U126" s="32" t="n">
        <v>40.66</v>
      </c>
      <c r="V126" s="32" t="n">
        <v>20.06</v>
      </c>
      <c r="W126" s="32" t="n">
        <v>28.11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IF(B127=0,"",RANK(B127,$B$2:$B$222,0))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NOVARTIND</t>
        </is>
      </c>
      <c r="D127" s="31" t="inlineStr">
        <is>
          <t>Novartis India Ltd</t>
        </is>
      </c>
      <c r="E127" s="31" t="inlineStr">
        <is>
          <t>healthcare</t>
        </is>
      </c>
      <c r="F127" s="31" t="inlineStr">
        <is>
          <t>pharmaceuticals - multinational</t>
        </is>
      </c>
      <c r="G127" s="31" t="inlineStr">
        <is>
          <t>midcap</t>
        </is>
      </c>
      <c r="H127" s="32" t="n">
        <v>5141.12</v>
      </c>
      <c r="I127" s="32" t="n">
        <v>2082.2</v>
      </c>
      <c r="J127" s="32" t="n">
        <v>4.34</v>
      </c>
      <c r="K127" s="32" t="n">
        <v>153168</v>
      </c>
      <c r="L127" s="31" t="n">
        <v>84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67.36</v>
      </c>
      <c r="P127" s="32" t="n">
        <v>66.22</v>
      </c>
      <c r="Q127" s="32" t="n">
        <v>1746.15</v>
      </c>
      <c r="R127" s="31" t="inlineStr">
        <is>
          <t>Earnings / Momentum Support</t>
        </is>
      </c>
      <c r="S127" s="31" t="inlineStr">
        <is>
          <t>Nifty Pharma</t>
        </is>
      </c>
      <c r="T127" s="32" t="n">
        <v>17.16</v>
      </c>
      <c r="U127" s="32" t="n">
        <v>129.59</v>
      </c>
      <c r="V127" s="32" t="n">
        <v>95.95999999999999</v>
      </c>
      <c r="W127" s="32" t="n">
        <v>30.76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IF(B128=0,"",RANK(B128,$B$2:$B$222,0))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RPGLIFE</t>
        </is>
      </c>
      <c r="D128" s="33" t="inlineStr">
        <is>
          <t>Rpg Life Sciences Limited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smallcap</t>
        </is>
      </c>
      <c r="H128" s="32" t="n">
        <v>4671.44</v>
      </c>
      <c r="I128" s="32" t="n">
        <v>2824.5</v>
      </c>
      <c r="J128" s="32" t="n">
        <v>3.12</v>
      </c>
      <c r="K128" s="32" t="n">
        <v>18681</v>
      </c>
      <c r="L128" s="31" t="n">
        <v>32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62.56</v>
      </c>
      <c r="P128" s="32" t="n">
        <v>38.92</v>
      </c>
      <c r="Q128" s="32" t="n">
        <v>2271.65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17.16</v>
      </c>
      <c r="U128" s="32" t="n">
        <v>16.86</v>
      </c>
      <c r="V128" s="32" t="n">
        <v>-0.26</v>
      </c>
      <c r="W128" s="32" t="n">
        <v>9.57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Between 12 to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IF(B129=0,"",RANK(B129,$B$2:$B$222,0))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3" t="inlineStr">
        <is>
          <t>ANTHEM</t>
        </is>
      </c>
      <c r="D129" s="33" t="inlineStr">
        <is>
          <t>Anthem Biosciences Ltd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largecap</t>
        </is>
      </c>
      <c r="H129" s="32" t="n">
        <v>52248.3</v>
      </c>
      <c r="I129" s="32" t="n">
        <v>927.4</v>
      </c>
      <c r="J129" s="32" t="n">
        <v>2.09</v>
      </c>
      <c r="K129" s="32" t="n">
        <v>460389</v>
      </c>
      <c r="L129" s="31" t="n">
        <v>22</v>
      </c>
      <c r="M129" s="31" t="inlineStr">
        <is>
          <t>Underperforming</t>
        </is>
      </c>
      <c r="N129" s="32">
        <f>IF(M129="Underperforming",-5,IF(L129&gt;=95,15,IF(L129&gt;=90,10,IF(L129&gt;=80,5,0))))</f>
        <v/>
      </c>
      <c r="O129" s="32" t="n">
        <v>69.94</v>
      </c>
      <c r="P129" s="32" t="n">
        <v>47.29</v>
      </c>
      <c r="Q129" s="32" t="n">
        <v>783.13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17.16</v>
      </c>
      <c r="U129" s="32" t="n">
        <v>9.890000000000001</v>
      </c>
      <c r="V129" s="32" t="n">
        <v>-6.2</v>
      </c>
      <c r="W129" s="32" t="n">
        <v>6.6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IF(B130=0,"",RANK(B130,$B$2:$B$222,0))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SYNCOMF</t>
        </is>
      </c>
      <c r="D130" s="33" t="inlineStr">
        <is>
          <t>Syncom Formulations (India)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smallcap</t>
        </is>
      </c>
      <c r="H130" s="32" t="n">
        <v>1765.32</v>
      </c>
      <c r="I130" s="32" t="n">
        <v>18.78</v>
      </c>
      <c r="J130" s="32" t="n">
        <v>2.01</v>
      </c>
      <c r="K130" s="32" t="n">
        <v>5134471</v>
      </c>
      <c r="L130" s="31" t="n">
        <v>33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65.3</v>
      </c>
      <c r="P130" s="32" t="n">
        <v>28.54</v>
      </c>
      <c r="Q130" s="32" t="n">
        <v>14.91</v>
      </c>
      <c r="R130" s="31" t="inlineStr">
        <is>
          <t>Earnings / Momentum Support</t>
        </is>
      </c>
      <c r="S130" s="31" t="inlineStr">
        <is>
          <t>Nifty Pharma</t>
        </is>
      </c>
      <c r="T130" s="32" t="n">
        <v>17.16</v>
      </c>
      <c r="U130" s="32" t="n">
        <v>4.86</v>
      </c>
      <c r="V130" s="32" t="n">
        <v>-10.5</v>
      </c>
      <c r="W130" s="32" t="n">
        <v>9.890000000000001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IF(B131=0,"",RANK(B131,$B$2:$B$222,0))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STAR</t>
        </is>
      </c>
      <c r="D131" s="31" t="inlineStr">
        <is>
          <t>Strides Shasun Limited</t>
        </is>
      </c>
      <c r="E131" s="31" t="inlineStr">
        <is>
          <t>healthcare</t>
        </is>
      </c>
      <c r="F131" s="31" t="inlineStr">
        <is>
          <t>pharmaceuticals - indian - bulk drugs &amp; formln</t>
        </is>
      </c>
      <c r="G131" s="31" t="inlineStr">
        <is>
          <t>midcap</t>
        </is>
      </c>
      <c r="H131" s="32" t="n">
        <v>11062.57</v>
      </c>
      <c r="I131" s="32" t="n">
        <v>1200.2</v>
      </c>
      <c r="J131" s="32" t="n">
        <v>1.38</v>
      </c>
      <c r="K131" s="32" t="n">
        <v>225030</v>
      </c>
      <c r="L131" s="31" t="n">
        <v>29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66.45</v>
      </c>
      <c r="P131" s="32" t="n">
        <v>12.87</v>
      </c>
      <c r="Q131" s="32" t="n">
        <v>922.33</v>
      </c>
      <c r="R131" s="31" t="inlineStr">
        <is>
          <t>Near 52W High Breakout</t>
        </is>
      </c>
      <c r="S131" s="31" t="inlineStr">
        <is>
          <t>Nifty Pharma</t>
        </is>
      </c>
      <c r="T131" s="32" t="n">
        <v>17.16</v>
      </c>
      <c r="U131" s="32" t="n">
        <v>38.44</v>
      </c>
      <c r="V131" s="32" t="n">
        <v>18.17</v>
      </c>
      <c r="W131" s="32" t="n">
        <v>8.789999999999999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IF(B132=0,"",RANK(B132,$B$2:$B$222,0))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STLNETWORK</t>
        </is>
      </c>
      <c r="D132" s="31" t="inlineStr">
        <is>
          <t>STL Networks Ltd</t>
        </is>
      </c>
      <c r="E132" s="31" t="inlineStr">
        <is>
          <t>telecom-service</t>
        </is>
      </c>
      <c r="F132" s="31" t="inlineStr">
        <is>
          <t>telecommunications - service provider</t>
        </is>
      </c>
      <c r="G132" s="31" t="inlineStr">
        <is>
          <t>smallcap</t>
        </is>
      </c>
      <c r="H132" s="32" t="n">
        <v>1996.72</v>
      </c>
      <c r="I132" s="32" t="n">
        <v>40.91</v>
      </c>
      <c r="J132" s="32" t="n">
        <v>4.98</v>
      </c>
      <c r="K132" s="32" t="n">
        <v>5830611</v>
      </c>
      <c r="L132" s="31" t="n">
        <v>65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78.09</v>
      </c>
      <c r="P132" s="32" t="n">
        <v>28.86</v>
      </c>
      <c r="Q132" s="32" t="n">
        <v>31.6</v>
      </c>
      <c r="R132" s="31" t="inlineStr">
        <is>
          <t>Volume Spike &amp; Near 52W High Breakout</t>
        </is>
      </c>
      <c r="S132" s="31" t="inlineStr">
        <is>
          <t>Nifty 50</t>
        </is>
      </c>
      <c r="T132" s="32" t="n">
        <v>-8.119999999999999</v>
      </c>
      <c r="U132" s="32" t="n">
        <v>39.48</v>
      </c>
      <c r="V132" s="32" t="n">
        <v>51.81</v>
      </c>
      <c r="W132" s="32" t="n">
        <v>20.17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Oligopoly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IF(B133=0,"",RANK(B133,$B$2:$B$222,0))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MANINDS</t>
        </is>
      </c>
      <c r="D133" s="31" t="inlineStr">
        <is>
          <t>Man Industries (india) Limited</t>
        </is>
      </c>
      <c r="E133" s="31" t="inlineStr">
        <is>
          <t>metals &amp; mining</t>
        </is>
      </c>
      <c r="F133" s="31" t="inlineStr">
        <is>
          <t>steel - medium / small</t>
        </is>
      </c>
      <c r="G133" s="31" t="inlineStr">
        <is>
          <t>midcap</t>
        </is>
      </c>
      <c r="H133" s="32" t="n">
        <v>6173.29</v>
      </c>
      <c r="I133" s="32" t="n">
        <v>823</v>
      </c>
      <c r="J133" s="32" t="n">
        <v>4.14</v>
      </c>
      <c r="K133" s="32" t="n">
        <v>1087714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73.18000000000001</v>
      </c>
      <c r="P133" s="32" t="n">
        <v>38.39</v>
      </c>
      <c r="Q133" s="32" t="n">
        <v>643.78</v>
      </c>
      <c r="R133" s="31" t="inlineStr">
        <is>
          <t>Near 52W High Breakout</t>
        </is>
      </c>
      <c r="S133" s="31" t="inlineStr">
        <is>
          <t>Nifty Metal</t>
        </is>
      </c>
      <c r="T133" s="32" t="inlineStr"/>
      <c r="U133" s="32" t="inlineStr"/>
      <c r="V133" s="32" t="inlineStr"/>
      <c r="W133" s="32" t="inlineStr"/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Cyclical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Volatile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IF(B134=0,"",RANK(B134,$B$2:$B$222,0))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NEOGEN</t>
        </is>
      </c>
      <c r="D134" s="31" t="inlineStr">
        <is>
          <t>Neogen Chemicals Ltd</t>
        </is>
      </c>
      <c r="E134" s="31" t="inlineStr">
        <is>
          <t>chemicals</t>
        </is>
      </c>
      <c r="F134" s="31" t="inlineStr">
        <is>
          <t>chemicals</t>
        </is>
      </c>
      <c r="G134" s="31" t="inlineStr">
        <is>
          <t>midcap</t>
        </is>
      </c>
      <c r="H134" s="32" t="n">
        <v>6559.55</v>
      </c>
      <c r="I134" s="32" t="n">
        <v>2395.6</v>
      </c>
      <c r="J134" s="32" t="n">
        <v>4.05</v>
      </c>
      <c r="K134" s="32" t="n">
        <v>605450</v>
      </c>
      <c r="L134" s="31" t="n">
        <v>56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70.5</v>
      </c>
      <c r="P134" s="32" t="n">
        <v>57.42</v>
      </c>
      <c r="Q134" s="32" t="n">
        <v>1784.06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-8.119999999999999</v>
      </c>
      <c r="U134" s="32" t="n">
        <v>51.3</v>
      </c>
      <c r="V134" s="32" t="n">
        <v>64.67</v>
      </c>
      <c r="W134" s="32" t="n">
        <v>16.92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More than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IF(B135=0,"",RANK(B135,$B$2:$B$222,0))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LUMAXTECH</t>
        </is>
      </c>
      <c r="D135" s="31" t="inlineStr">
        <is>
          <t>Lumax Auto Technologies Limited</t>
        </is>
      </c>
      <c r="E135" s="31" t="inlineStr">
        <is>
          <t>auto</t>
        </is>
      </c>
      <c r="F135" s="31" t="inlineStr">
        <is>
          <t>auto ancillaries</t>
        </is>
      </c>
      <c r="G135" s="31" t="inlineStr">
        <is>
          <t>midcap</t>
        </is>
      </c>
      <c r="H135" s="32" t="n">
        <v>13754.22</v>
      </c>
      <c r="I135" s="32" t="n">
        <v>2018</v>
      </c>
      <c r="J135" s="32" t="n">
        <v>3.92</v>
      </c>
      <c r="K135" s="32" t="n">
        <v>153301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65.76000000000001</v>
      </c>
      <c r="P135" s="32" t="n">
        <v>21.98</v>
      </c>
      <c r="Q135" s="32" t="n">
        <v>1546.38</v>
      </c>
      <c r="R135" s="31" t="inlineStr">
        <is>
          <t>Near 52W High Breakout</t>
        </is>
      </c>
      <c r="S135" s="31" t="inlineStr">
        <is>
          <t>Nifty Auto</t>
        </is>
      </c>
      <c r="T135" s="32" t="inlineStr"/>
      <c r="U135" s="32" t="inlineStr"/>
      <c r="V135" s="32" t="inlineStr"/>
      <c r="W135" s="32" t="inlineStr"/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IF(B136=0,"",RANK(B136,$B$2:$B$222,0))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SHYAMMETL</t>
        </is>
      </c>
      <c r="D136" s="31" t="inlineStr">
        <is>
          <t>Shyam Metalics &amp; Energy Ltd</t>
        </is>
      </c>
      <c r="E136" s="31" t="inlineStr">
        <is>
          <t>metals &amp; mining</t>
        </is>
      </c>
      <c r="F136" s="31" t="inlineStr">
        <is>
          <t>steel - large</t>
        </is>
      </c>
      <c r="G136" s="31" t="inlineStr">
        <is>
          <t>largecap</t>
        </is>
      </c>
      <c r="H136" s="32" t="n">
        <v>30062.5</v>
      </c>
      <c r="I136" s="32" t="n">
        <v>1077</v>
      </c>
      <c r="J136" s="32" t="n">
        <v>2.77</v>
      </c>
      <c r="K136" s="32" t="n">
        <v>439035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64.95</v>
      </c>
      <c r="P136" s="32" t="n">
        <v>26.04</v>
      </c>
      <c r="Q136" s="32" t="n">
        <v>916.15</v>
      </c>
      <c r="R136" s="31" t="inlineStr">
        <is>
          <t>Near 52W High Breakout</t>
        </is>
      </c>
      <c r="S136" s="31" t="inlineStr">
        <is>
          <t>Nifty Metal</t>
        </is>
      </c>
      <c r="T136" s="32" t="inlineStr"/>
      <c r="U136" s="32" t="inlineStr"/>
      <c r="V136" s="32" t="inlineStr"/>
      <c r="W136" s="32" t="inlineStr"/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Cyclical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Volatile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IF(B137=0,"",RANK(B137,$B$2:$B$222,0))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MMP</t>
        </is>
      </c>
      <c r="D137" s="31" t="inlineStr">
        <is>
          <t>MMP Industries Ltd</t>
        </is>
      </c>
      <c r="E137" s="31" t="inlineStr">
        <is>
          <t>metals &amp; mining</t>
        </is>
      </c>
      <c r="F137" s="31" t="inlineStr">
        <is>
          <t>aluminium and aluminium products</t>
        </is>
      </c>
      <c r="G137" s="31" t="inlineStr">
        <is>
          <t>smallcap</t>
        </is>
      </c>
      <c r="H137" s="32" t="n">
        <v>881.14</v>
      </c>
      <c r="I137" s="32" t="n">
        <v>465.7</v>
      </c>
      <c r="J137" s="32" t="n">
        <v>2.05</v>
      </c>
      <c r="K137" s="32" t="n">
        <v>59161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83.45999999999999</v>
      </c>
      <c r="P137" s="32" t="n">
        <v>52.91</v>
      </c>
      <c r="Q137" s="32" t="n">
        <v>352.11</v>
      </c>
      <c r="R137" s="31" t="inlineStr">
        <is>
          <t>Near 52W High Breakout</t>
        </is>
      </c>
      <c r="S137" s="31" t="inlineStr">
        <is>
          <t>Nifty Metal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IF(B138=0,"",RANK(B138,$B$2:$B$222,0))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VSSL</t>
        </is>
      </c>
      <c r="D138" s="31" t="inlineStr">
        <is>
          <t>Vardhman Special Steels Limited</t>
        </is>
      </c>
      <c r="E138" s="31" t="inlineStr">
        <is>
          <t>metals &amp; mining</t>
        </is>
      </c>
      <c r="F138" s="31" t="inlineStr">
        <is>
          <t>steel - medium / small</t>
        </is>
      </c>
      <c r="G138" s="31" t="inlineStr">
        <is>
          <t>smallcap</t>
        </is>
      </c>
      <c r="H138" s="32" t="n">
        <v>3925.92</v>
      </c>
      <c r="I138" s="32" t="n">
        <v>406.05</v>
      </c>
      <c r="J138" s="32" t="n">
        <v>0.05</v>
      </c>
      <c r="K138" s="32" t="n">
        <v>475918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83.42</v>
      </c>
      <c r="P138" s="32" t="n">
        <v>42.93</v>
      </c>
      <c r="Q138" s="32" t="n">
        <v>317.63</v>
      </c>
      <c r="R138" s="31" t="inlineStr">
        <is>
          <t>Near 52W High Breakout</t>
        </is>
      </c>
      <c r="S138" s="31" t="inlineStr">
        <is>
          <t>Nifty Metal</t>
        </is>
      </c>
      <c r="T138" s="32" t="inlineStr"/>
      <c r="U138" s="32" t="inlineStr"/>
      <c r="V138" s="32" t="inlineStr"/>
      <c r="W138" s="32" t="inlineStr"/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Cyclical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Volatile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IF(B139=0,"",RANK(B139,$B$2:$B$222,0))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MGEL</t>
        </is>
      </c>
      <c r="D139" s="31" t="inlineStr">
        <is>
          <t>Mangalam Global Enterprise Ltd</t>
        </is>
      </c>
      <c r="E139" s="31" t="inlineStr">
        <is>
          <t>services</t>
        </is>
      </c>
      <c r="F139" s="31" t="inlineStr">
        <is>
          <t>trading</t>
        </is>
      </c>
      <c r="G139" s="31" t="inlineStr">
        <is>
          <t>smallcap</t>
        </is>
      </c>
      <c r="H139" s="32" t="n">
        <v>511.47</v>
      </c>
      <c r="I139" s="32" t="n">
        <v>15.52</v>
      </c>
      <c r="J139" s="32" t="n">
        <v>-0.51</v>
      </c>
      <c r="K139" s="32" t="n">
        <v>2126371</v>
      </c>
      <c r="L139" s="31" t="n">
        <v>11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55.24</v>
      </c>
      <c r="P139" s="32" t="n">
        <v>33.31</v>
      </c>
      <c r="Q139" s="32" t="n">
        <v>12.36</v>
      </c>
      <c r="R139" s="31" t="inlineStr">
        <is>
          <t>Earnings / Momentum Support</t>
        </is>
      </c>
      <c r="S139" s="31" t="inlineStr">
        <is>
          <t>Nifty 50</t>
        </is>
      </c>
      <c r="T139" s="32" t="n">
        <v>-8.119999999999999</v>
      </c>
      <c r="U139" s="32" t="n">
        <v>-0.07000000000000001</v>
      </c>
      <c r="V139" s="32" t="n">
        <v>8.76</v>
      </c>
      <c r="W139" s="32" t="n">
        <v>2.63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IF(B140=0,"",RANK(B140,$B$2:$B$222,0))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SPECTRUM</t>
        </is>
      </c>
      <c r="D140" s="31" t="inlineStr">
        <is>
          <t>Spectrum Electrical Industries Ltd</t>
        </is>
      </c>
      <c r="E140" s="31" t="inlineStr">
        <is>
          <t>industrials</t>
        </is>
      </c>
      <c r="F140" s="31" t="inlineStr">
        <is>
          <t>electric equipment</t>
        </is>
      </c>
      <c r="G140" s="31" t="inlineStr">
        <is>
          <t>smallcap</t>
        </is>
      </c>
      <c r="H140" s="32" t="n">
        <v>4793.35</v>
      </c>
      <c r="I140" s="32" t="n">
        <v>3050.4</v>
      </c>
      <c r="J140" s="32" t="n">
        <v>-1.08</v>
      </c>
      <c r="K140" s="32" t="n">
        <v>9635</v>
      </c>
      <c r="L140" s="31" t="n">
        <v>88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78.16</v>
      </c>
      <c r="P140" s="32" t="n">
        <v>61.42</v>
      </c>
      <c r="Q140" s="32" t="n">
        <v>2225.25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-8.119999999999999</v>
      </c>
      <c r="U140" s="32" t="n">
        <v>119.83</v>
      </c>
      <c r="V140" s="32" t="n">
        <v>139.26</v>
      </c>
      <c r="W140" s="32" t="n">
        <v>33.93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IF(B141=0,"",RANK(B141,$B$2:$B$222,0))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BIL</t>
        </is>
      </c>
      <c r="D141" s="31" t="inlineStr">
        <is>
          <t>Bhartiya International Limited</t>
        </is>
      </c>
      <c r="E141" s="31" t="inlineStr">
        <is>
          <t>consumer discretionary</t>
        </is>
      </c>
      <c r="F141" s="31" t="inlineStr">
        <is>
          <t>leather / leather products</t>
        </is>
      </c>
      <c r="G141" s="31" t="inlineStr">
        <is>
          <t>smallcap</t>
        </is>
      </c>
      <c r="H141" s="32" t="n">
        <v>1372.49</v>
      </c>
      <c r="I141" s="32" t="n">
        <v>1023.45</v>
      </c>
      <c r="J141" s="32" t="n">
        <v>-1.24</v>
      </c>
      <c r="K141" s="32" t="n">
        <v>7093</v>
      </c>
      <c r="L141" s="31" t="n">
        <v>46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68.77</v>
      </c>
      <c r="P141" s="32" t="n">
        <v>25.67</v>
      </c>
      <c r="Q141" s="32" t="n">
        <v>794.29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-8.119999999999999</v>
      </c>
      <c r="U141" s="32" t="n">
        <v>17.21</v>
      </c>
      <c r="V141" s="32" t="n">
        <v>27.56</v>
      </c>
      <c r="W141" s="32" t="n">
        <v>13.48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IF(B142=0,"",RANK(B142,$B$2:$B$222,0))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PAYTM</t>
        </is>
      </c>
      <c r="D142" s="31" t="inlineStr">
        <is>
          <t>One 97 Communications Ltd</t>
        </is>
      </c>
      <c r="E142" s="31" t="inlineStr">
        <is>
          <t>i.t</t>
        </is>
      </c>
      <c r="F142" s="31" t="inlineStr">
        <is>
          <t>miscellaneous</t>
        </is>
      </c>
      <c r="G142" s="31" t="inlineStr">
        <is>
          <t>largecap</t>
        </is>
      </c>
      <c r="H142" s="32" t="n">
        <v>112891.41</v>
      </c>
      <c r="I142" s="32" t="n">
        <v>1763</v>
      </c>
      <c r="J142" s="32" t="n">
        <v>-1.51</v>
      </c>
      <c r="K142" s="32" t="n">
        <v>4085951</v>
      </c>
      <c r="L142" s="31" t="n">
        <v>71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75.38</v>
      </c>
      <c r="P142" s="32" t="n">
        <v>30.31</v>
      </c>
      <c r="Q142" s="32" t="n">
        <v>1456.55</v>
      </c>
      <c r="R142" s="31" t="inlineStr">
        <is>
          <t>Near 52W High Breakout</t>
        </is>
      </c>
      <c r="S142" s="31" t="inlineStr">
        <is>
          <t>Nifty IT</t>
        </is>
      </c>
      <c r="T142" s="32" t="n">
        <v>-20.29</v>
      </c>
      <c r="U142" s="32" t="n">
        <v>49.76</v>
      </c>
      <c r="V142" s="32" t="n">
        <v>87.89</v>
      </c>
      <c r="W142" s="32" t="n">
        <v>23.85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IF(B143=0,"",RANK(B143,$B$2:$B$222,0))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RAYMOND</t>
        </is>
      </c>
      <c r="D143" s="31" t="inlineStr">
        <is>
          <t>Raymond Limited</t>
        </is>
      </c>
      <c r="E143" s="31" t="inlineStr">
        <is>
          <t>transportation</t>
        </is>
      </c>
      <c r="F143" s="31" t="inlineStr">
        <is>
          <t>transport - airlines</t>
        </is>
      </c>
      <c r="G143" s="31" t="inlineStr">
        <is>
          <t>midcap</t>
        </is>
      </c>
      <c r="H143" s="32" t="n">
        <v>6512.24</v>
      </c>
      <c r="I143" s="32" t="n">
        <v>978.2</v>
      </c>
      <c r="J143" s="32" t="n">
        <v>-1.58</v>
      </c>
      <c r="K143" s="32" t="n">
        <v>3634141</v>
      </c>
      <c r="L143" s="31" t="n">
        <v>83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79.65000000000001</v>
      </c>
      <c r="P143" s="32" t="n">
        <v>49.85</v>
      </c>
      <c r="Q143" s="32" t="n">
        <v>764.64</v>
      </c>
      <c r="R143" s="31" t="inlineStr">
        <is>
          <t>Volume Spike &amp; Near 52W High Breakout</t>
        </is>
      </c>
      <c r="S143" s="31" t="inlineStr">
        <is>
          <t>Nifty 50</t>
        </is>
      </c>
      <c r="T143" s="32" t="n">
        <v>-8.119999999999999</v>
      </c>
      <c r="U143" s="32" t="n">
        <v>57.63</v>
      </c>
      <c r="V143" s="32" t="n">
        <v>71.56</v>
      </c>
      <c r="W143" s="32" t="n">
        <v>29.42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IF(B144=0,"",RANK(B144,$B$2:$B$222,0))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ANUHPHR</t>
        </is>
      </c>
      <c r="D144" s="33" t="inlineStr">
        <is>
          <t>Anuh Pharma Ltd</t>
        </is>
      </c>
      <c r="E144" s="31" t="inlineStr">
        <is>
          <t>healthcare</t>
        </is>
      </c>
      <c r="F144" s="31" t="inlineStr">
        <is>
          <t>pharmaceuticals - indian - bulk drugs</t>
        </is>
      </c>
      <c r="G144" s="31" t="inlineStr">
        <is>
          <t>smallcap</t>
        </is>
      </c>
      <c r="H144" s="32" t="n">
        <v>938.9</v>
      </c>
      <c r="I144" s="32" t="n">
        <v>93.68000000000001</v>
      </c>
      <c r="J144" s="32" t="n">
        <v>5</v>
      </c>
      <c r="K144" s="32" t="n">
        <v>322234</v>
      </c>
      <c r="L144" s="31" t="n">
        <v>23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67.26000000000001</v>
      </c>
      <c r="P144" s="32" t="n">
        <v>16.22</v>
      </c>
      <c r="Q144" s="32" t="n">
        <v>74.81999999999999</v>
      </c>
      <c r="R144" s="31" t="inlineStr">
        <is>
          <t>Near 52W High Breakout</t>
        </is>
      </c>
      <c r="S144" s="31" t="inlineStr">
        <is>
          <t>Nifty Pharma</t>
        </is>
      </c>
      <c r="T144" s="32" t="n">
        <v>17.16</v>
      </c>
      <c r="U144" s="32" t="n">
        <v>8.32</v>
      </c>
      <c r="V144" s="32" t="n">
        <v>-7.55</v>
      </c>
      <c r="W144" s="32" t="n">
        <v>6.84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IF(B145=0,"",RANK(B145,$B$2:$B$222,0))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SOFTTECH</t>
        </is>
      </c>
      <c r="D145" s="31" t="inlineStr">
        <is>
          <t>Softtech Engineers Ltd</t>
        </is>
      </c>
      <c r="E145" s="31" t="inlineStr">
        <is>
          <t>i.t</t>
        </is>
      </c>
      <c r="F145" s="31" t="inlineStr">
        <is>
          <t>computers - software - medium / small</t>
        </is>
      </c>
      <c r="G145" s="31" t="inlineStr">
        <is>
          <t>smallcap</t>
        </is>
      </c>
      <c r="H145" s="32" t="n">
        <v>693.08</v>
      </c>
      <c r="I145" s="32" t="n">
        <v>500.7</v>
      </c>
      <c r="J145" s="32" t="n">
        <v>4.99</v>
      </c>
      <c r="K145" s="32" t="n">
        <v>18047</v>
      </c>
      <c r="L145" s="31" t="n">
        <v>45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71.53</v>
      </c>
      <c r="P145" s="32" t="n">
        <v>27.65</v>
      </c>
      <c r="Q145" s="32" t="n">
        <v>403.27</v>
      </c>
      <c r="R145" s="31" t="inlineStr">
        <is>
          <t>Volume Spike &amp; Near 52W High Breakout</t>
        </is>
      </c>
      <c r="S145" s="31" t="inlineStr">
        <is>
          <t>Nifty IT</t>
        </is>
      </c>
      <c r="T145" s="32" t="n">
        <v>-20.29</v>
      </c>
      <c r="U145" s="32" t="n">
        <v>34.33</v>
      </c>
      <c r="V145" s="32" t="n">
        <v>68.52</v>
      </c>
      <c r="W145" s="32" t="n">
        <v>12.93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IF(B146=0,"",RANK(B146,$B$2:$B$222,0))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SBCL</t>
        </is>
      </c>
      <c r="D146" s="31" t="inlineStr">
        <is>
          <t>Shivalik Bimetal Controls Ltd</t>
        </is>
      </c>
      <c r="E146" s="31" t="inlineStr">
        <is>
          <t>metals &amp; mining</t>
        </is>
      </c>
      <c r="F146" s="31" t="inlineStr">
        <is>
          <t>mining / minerals / metals</t>
        </is>
      </c>
      <c r="G146" s="31" t="inlineStr">
        <is>
          <t>midcap</t>
        </is>
      </c>
      <c r="H146" s="32" t="n">
        <v>6289.23</v>
      </c>
      <c r="I146" s="32" t="n">
        <v>1091.8</v>
      </c>
      <c r="J146" s="32" t="n">
        <v>3.29</v>
      </c>
      <c r="K146" s="32" t="n">
        <v>279880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75.53</v>
      </c>
      <c r="P146" s="32" t="n">
        <v>52.6</v>
      </c>
      <c r="Q146" s="32" t="n">
        <v>832.9400000000001</v>
      </c>
      <c r="R146" s="31" t="inlineStr">
        <is>
          <t>Near 52W High Breakout</t>
        </is>
      </c>
      <c r="S146" s="31" t="inlineStr">
        <is>
          <t>Nifty Metal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Monopoly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Shallow Cyclical (2 to 3 Years Growth)</t>
        </is>
      </c>
      <c r="AG146" s="31">
        <f>IF(AF146="Structural (10 Years Consistency)",10,IF(AF146="Shallow Cyclical (2 to 3 years growth)",5,0))</f>
        <v/>
      </c>
      <c r="AH146" s="31" t="inlineStr">
        <is>
          <t>Yes due to Product Mix change or Operating Leverage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Fully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Yes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IF(B147=0,"",RANK(B147,$B$2:$B$222,0))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SMSPHARMA</t>
        </is>
      </c>
      <c r="D147" s="31" t="inlineStr">
        <is>
          <t>Sms Pharmaceuticals Limited</t>
        </is>
      </c>
      <c r="E147" s="31" t="inlineStr">
        <is>
          <t>healthcare</t>
        </is>
      </c>
      <c r="F147" s="31" t="inlineStr">
        <is>
          <t>pharmaceuticals - indian - bulk drugs</t>
        </is>
      </c>
      <c r="G147" s="31" t="inlineStr">
        <is>
          <t>smallcap</t>
        </is>
      </c>
      <c r="H147" s="32" t="n">
        <v>3874.85</v>
      </c>
      <c r="I147" s="32" t="n">
        <v>413.75</v>
      </c>
      <c r="J147" s="32" t="n">
        <v>2.68</v>
      </c>
      <c r="K147" s="32" t="n">
        <v>672288</v>
      </c>
      <c r="L147" s="31" t="n">
        <v>31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56.25</v>
      </c>
      <c r="P147" s="32" t="n">
        <v>32.65</v>
      </c>
      <c r="Q147" s="32" t="n">
        <v>345.67</v>
      </c>
      <c r="R147" s="31" t="inlineStr">
        <is>
          <t>Volume Spike / Accumulation</t>
        </is>
      </c>
      <c r="S147" s="31" t="inlineStr">
        <is>
          <t>Nifty Pharma</t>
        </is>
      </c>
      <c r="T147" s="32" t="n">
        <v>17.16</v>
      </c>
      <c r="U147" s="32" t="n">
        <v>41.82</v>
      </c>
      <c r="V147" s="32" t="n">
        <v>21.05</v>
      </c>
      <c r="W147" s="32" t="n">
        <v>9.460000000000001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IF(B148=0,"",RANK(B148,$B$2:$B$222,0))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HATSUN</t>
        </is>
      </c>
      <c r="D148" s="31" t="inlineStr">
        <is>
          <t>Hatsun Agro Product Limited</t>
        </is>
      </c>
      <c r="E148" s="31" t="inlineStr">
        <is>
          <t>fmcg</t>
        </is>
      </c>
      <c r="F148" s="31" t="inlineStr">
        <is>
          <t>food - processing - indian</t>
        </is>
      </c>
      <c r="G148" s="31" t="inlineStr">
        <is>
          <t>largecap</t>
        </is>
      </c>
      <c r="H148" s="32" t="n">
        <v>26319.94</v>
      </c>
      <c r="I148" s="32" t="n">
        <v>1181.6</v>
      </c>
      <c r="J148" s="32" t="n">
        <v>-2.67</v>
      </c>
      <c r="K148" s="32" t="n">
        <v>46126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70.73</v>
      </c>
      <c r="P148" s="32" t="n">
        <v>27.44</v>
      </c>
      <c r="Q148" s="32" t="n">
        <v>981.55</v>
      </c>
      <c r="R148" s="31" t="inlineStr">
        <is>
          <t>Volume Spike &amp; Near 52W High Breakout</t>
        </is>
      </c>
      <c r="S148" s="31" t="inlineStr">
        <is>
          <t>Nifty FMCG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IF(B149=0,"",RANK(B149,$B$2:$B$222,0))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TREL</t>
        </is>
      </c>
      <c r="D149" s="31" t="inlineStr">
        <is>
          <t>TransIndia Real Estate Ltd</t>
        </is>
      </c>
      <c r="E149" s="31" t="inlineStr">
        <is>
          <t>transportation</t>
        </is>
      </c>
      <c r="F149" s="31" t="inlineStr">
        <is>
          <t>miscellaneous</t>
        </is>
      </c>
      <c r="G149" s="31" t="inlineStr">
        <is>
          <t>smallcap</t>
        </is>
      </c>
      <c r="H149" s="32" t="n">
        <v>731.4400000000001</v>
      </c>
      <c r="I149" s="32" t="n">
        <v>29.77</v>
      </c>
      <c r="J149" s="32" t="n">
        <v>10.14</v>
      </c>
      <c r="K149" s="32" t="n">
        <v>726901</v>
      </c>
      <c r="L149" s="31" t="n">
        <v>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64.38</v>
      </c>
      <c r="P149" s="32" t="n">
        <v>18.16</v>
      </c>
      <c r="Q149" s="32" t="n">
        <v>22.43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-8.119999999999999</v>
      </c>
      <c r="U149" s="32" t="n">
        <v>-7.8</v>
      </c>
      <c r="V149" s="32" t="n">
        <v>0.34</v>
      </c>
      <c r="W149" s="32" t="n">
        <v>1.75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IF(B150=0,"",RANK(B150,$B$2:$B$222,0))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JASH</t>
        </is>
      </c>
      <c r="D150" s="31" t="inlineStr">
        <is>
          <t>Jash Engineering Ltd</t>
        </is>
      </c>
      <c r="E150" s="31" t="inlineStr">
        <is>
          <t>industrials</t>
        </is>
      </c>
      <c r="F150" s="31" t="inlineStr">
        <is>
          <t>engineering</t>
        </is>
      </c>
      <c r="G150" s="31" t="inlineStr">
        <is>
          <t>smallcap</t>
        </is>
      </c>
      <c r="H150" s="32" t="n">
        <v>3248.16</v>
      </c>
      <c r="I150" s="32" t="n">
        <v>514</v>
      </c>
      <c r="J150" s="32" t="n">
        <v>5.13</v>
      </c>
      <c r="K150" s="32" t="n">
        <v>159181</v>
      </c>
      <c r="L150" s="31" t="n">
        <v>10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59.39</v>
      </c>
      <c r="P150" s="32" t="n">
        <v>20.56</v>
      </c>
      <c r="Q150" s="32" t="n">
        <v>427.18</v>
      </c>
      <c r="R150" s="31" t="inlineStr">
        <is>
          <t>Earnings / Momentum Support</t>
        </is>
      </c>
      <c r="S150" s="31" t="inlineStr">
        <is>
          <t>Nifty 50</t>
        </is>
      </c>
      <c r="T150" s="32" t="n">
        <v>-8.119999999999999</v>
      </c>
      <c r="U150" s="32" t="n">
        <v>-1.36</v>
      </c>
      <c r="V150" s="32" t="n">
        <v>7.36</v>
      </c>
      <c r="W150" s="32" t="n">
        <v>1.96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IF(B151=0,"",RANK(B151,$B$2:$B$222,0))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QPOWER</t>
        </is>
      </c>
      <c r="D151" s="31" t="inlineStr">
        <is>
          <t>Quality Power Electrical Equipments Ltd</t>
        </is>
      </c>
      <c r="E151" s="31" t="inlineStr">
        <is>
          <t>industrials</t>
        </is>
      </c>
      <c r="F151" s="31" t="inlineStr">
        <is>
          <t>electric equipment</t>
        </is>
      </c>
      <c r="G151" s="31" t="inlineStr">
        <is>
          <t>midcap</t>
        </is>
      </c>
      <c r="H151" s="32" t="n">
        <v>11537.62</v>
      </c>
      <c r="I151" s="32" t="n">
        <v>1489.8</v>
      </c>
      <c r="J151" s="32" t="n">
        <v>4.7</v>
      </c>
      <c r="K151" s="32" t="n">
        <v>728624</v>
      </c>
      <c r="L151" s="31" t="n">
        <v>50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65.54000000000001</v>
      </c>
      <c r="P151" s="32" t="n">
        <v>19.37</v>
      </c>
      <c r="Q151" s="32" t="n">
        <v>1078.41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-8.119999999999999</v>
      </c>
      <c r="U151" s="32" t="n">
        <v>48.83</v>
      </c>
      <c r="V151" s="32" t="n">
        <v>61.98</v>
      </c>
      <c r="W151" s="32" t="n">
        <v>14.7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IF(B152=0,"",RANK(B152,$B$2:$B$222,0))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RISHABH</t>
        </is>
      </c>
      <c r="D152" s="31" t="inlineStr">
        <is>
          <t>Rishabh Instruments Ltd</t>
        </is>
      </c>
      <c r="E152" s="31" t="inlineStr">
        <is>
          <t>industrials</t>
        </is>
      </c>
      <c r="F152" s="31" t="inlineStr">
        <is>
          <t>electric equipment</t>
        </is>
      </c>
      <c r="G152" s="31" t="inlineStr">
        <is>
          <t>smallcap</t>
        </is>
      </c>
      <c r="H152" s="32" t="n">
        <v>3000.23</v>
      </c>
      <c r="I152" s="32" t="n">
        <v>778.35</v>
      </c>
      <c r="J152" s="32" t="n">
        <v>2.61</v>
      </c>
      <c r="K152" s="32" t="n">
        <v>225313</v>
      </c>
      <c r="L152" s="31" t="n">
        <v>70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71.23999999999999</v>
      </c>
      <c r="P152" s="32" t="n">
        <v>49.5</v>
      </c>
      <c r="Q152" s="32" t="n">
        <v>624.12</v>
      </c>
      <c r="R152" s="31" t="inlineStr">
        <is>
          <t>Earnings / Momentum Support</t>
        </is>
      </c>
      <c r="S152" s="31" t="inlineStr">
        <is>
          <t>Nifty 50</t>
        </is>
      </c>
      <c r="T152" s="32" t="n">
        <v>-8.119999999999999</v>
      </c>
      <c r="U152" s="32" t="n">
        <v>88.59999999999999</v>
      </c>
      <c r="V152" s="32" t="n">
        <v>105.27</v>
      </c>
      <c r="W152" s="32" t="n">
        <v>22.59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IF(B153=0,"",RANK(B153,$B$2:$B$222,0))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WELCORP</t>
        </is>
      </c>
      <c r="D153" s="31" t="inlineStr">
        <is>
          <t>Welspun Corp Limited</t>
        </is>
      </c>
      <c r="E153" s="31" t="inlineStr">
        <is>
          <t>industrials</t>
        </is>
      </c>
      <c r="F153" s="31" t="inlineStr">
        <is>
          <t>steel - large</t>
        </is>
      </c>
      <c r="G153" s="31" t="inlineStr">
        <is>
          <t>largecap</t>
        </is>
      </c>
      <c r="H153" s="32" t="n">
        <v>64900.41</v>
      </c>
      <c r="I153" s="32" t="n">
        <v>2460.3</v>
      </c>
      <c r="J153" s="32" t="n">
        <v>1.48</v>
      </c>
      <c r="K153" s="32" t="n">
        <v>1698993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80.06999999999999</v>
      </c>
      <c r="P153" s="32" t="n">
        <v>76.62</v>
      </c>
      <c r="Q153" s="32" t="n">
        <v>2122.45</v>
      </c>
      <c r="R153" s="31" t="inlineStr">
        <is>
          <t>Earnings / Momentum Support</t>
        </is>
      </c>
      <c r="S153" s="31" t="inlineStr">
        <is>
          <t>Nifty Metal</t>
        </is>
      </c>
      <c r="T153" s="32" t="inlineStr"/>
      <c r="U153" s="32" t="inlineStr"/>
      <c r="V153" s="32" t="inlineStr"/>
      <c r="W153" s="32" t="inlineStr"/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IF(B154=0,"",RANK(B154,$B$2:$B$222,0))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UFLEX</t>
        </is>
      </c>
      <c r="D154" s="31" t="inlineStr">
        <is>
          <t>Uflex Limited</t>
        </is>
      </c>
      <c r="E154" s="31" t="inlineStr">
        <is>
          <t>industrials</t>
        </is>
      </c>
      <c r="F154" s="31" t="inlineStr">
        <is>
          <t>packaging</t>
        </is>
      </c>
      <c r="G154" s="31" t="inlineStr">
        <is>
          <t>smallcap</t>
        </is>
      </c>
      <c r="H154" s="32" t="n">
        <v>4715.05</v>
      </c>
      <c r="I154" s="32" t="n">
        <v>652.95</v>
      </c>
      <c r="J154" s="32" t="n">
        <v>1.16</v>
      </c>
      <c r="K154" s="32" t="n">
        <v>154087</v>
      </c>
      <c r="L154" s="31" t="n">
        <v>56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74.23999999999999</v>
      </c>
      <c r="P154" s="32" t="n">
        <v>34.24</v>
      </c>
      <c r="Q154" s="32" t="n">
        <v>528.79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-8.119999999999999</v>
      </c>
      <c r="U154" s="32" t="n">
        <v>18.78</v>
      </c>
      <c r="V154" s="32" t="n">
        <v>29.28</v>
      </c>
      <c r="W154" s="32" t="n">
        <v>16.81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IF(B155=0,"",RANK(B155,$B$2:$B$222,0))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TNPETRO</t>
        </is>
      </c>
      <c r="D155" s="31" t="inlineStr">
        <is>
          <t>Tamilnadu Petroproducts Limited</t>
        </is>
      </c>
      <c r="E155" s="31" t="inlineStr">
        <is>
          <t>energy</t>
        </is>
      </c>
      <c r="F155" s="31" t="inlineStr">
        <is>
          <t>petrochemicals</t>
        </is>
      </c>
      <c r="G155" s="31" t="inlineStr">
        <is>
          <t>smallcap</t>
        </is>
      </c>
      <c r="H155" s="32" t="n">
        <v>1145.7</v>
      </c>
      <c r="I155" s="32" t="n">
        <v>127.34</v>
      </c>
      <c r="J155" s="32" t="n">
        <v>-0.3</v>
      </c>
      <c r="K155" s="32" t="n">
        <v>902146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73.28</v>
      </c>
      <c r="P155" s="32" t="n">
        <v>41.12</v>
      </c>
      <c r="Q155" s="32" t="n">
        <v>98.92</v>
      </c>
      <c r="R155" s="31" t="inlineStr">
        <is>
          <t>Near 52W High Breakout</t>
        </is>
      </c>
      <c r="S155" s="31" t="inlineStr">
        <is>
          <t>Nifty Energy</t>
        </is>
      </c>
      <c r="T155" s="32" t="inlineStr"/>
      <c r="U155" s="32" t="inlineStr"/>
      <c r="V155" s="32" t="inlineStr"/>
      <c r="W155" s="32" t="inlineStr"/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Oligopoly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Cyclical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Volatile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IF(B156=0,"",RANK(B156,$B$2:$B$222,0))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GLOBAL</t>
        </is>
      </c>
      <c r="D156" s="31" t="inlineStr">
        <is>
          <t>Global Education Ltd</t>
        </is>
      </c>
      <c r="E156" s="31" t="inlineStr">
        <is>
          <t>services</t>
        </is>
      </c>
      <c r="F156" s="31" t="inlineStr">
        <is>
          <t>miscellaneous</t>
        </is>
      </c>
      <c r="G156" s="31" t="inlineStr">
        <is>
          <t>smallcap</t>
        </is>
      </c>
      <c r="H156" s="32" t="n">
        <v>647.3099999999999</v>
      </c>
      <c r="I156" s="32" t="n">
        <v>127.17</v>
      </c>
      <c r="J156" s="32" t="n">
        <v>-1.33</v>
      </c>
      <c r="K156" s="32" t="n">
        <v>171103</v>
      </c>
      <c r="L156" s="31" t="n">
        <v>58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71.38</v>
      </c>
      <c r="P156" s="32" t="n">
        <v>35.79</v>
      </c>
      <c r="Q156" s="32" t="n">
        <v>95.69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-8.119999999999999</v>
      </c>
      <c r="U156" s="32" t="n">
        <v>87.11</v>
      </c>
      <c r="V156" s="32" t="n">
        <v>103.64</v>
      </c>
      <c r="W156" s="32" t="n">
        <v>17.81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IF(B157=0,"",RANK(B157,$B$2:$B$222,0))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ANTELOPUS</t>
        </is>
      </c>
      <c r="D157" s="31" t="inlineStr">
        <is>
          <t>Antelopus Selan Energy Ltd</t>
        </is>
      </c>
      <c r="E157" s="31" t="inlineStr">
        <is>
          <t>energy</t>
        </is>
      </c>
      <c r="F157" s="31" t="inlineStr">
        <is>
          <t>oil drilling / allied services</t>
        </is>
      </c>
      <c r="G157" s="31" t="inlineStr">
        <is>
          <t>smallcap</t>
        </is>
      </c>
      <c r="H157" s="32" t="n">
        <v>3976.34</v>
      </c>
      <c r="I157" s="32" t="n">
        <v>1130.85</v>
      </c>
      <c r="J157" s="32" t="n">
        <v>-3.42</v>
      </c>
      <c r="K157" s="32" t="n">
        <v>1030058</v>
      </c>
      <c r="L157" s="31" t="inlineStr"/>
      <c r="M157" s="31" t="inlineStr"/>
      <c r="N157" s="32">
        <f>IF(M157="Underperforming",-5,IF(L157&gt;=95,15,IF(L157&gt;=90,10,IF(L157&gt;=80,5,0))))</f>
        <v/>
      </c>
      <c r="O157" s="32" t="n">
        <v>73.47</v>
      </c>
      <c r="P157" s="32" t="n">
        <v>45.4</v>
      </c>
      <c r="Q157" s="32" t="n">
        <v>774.3</v>
      </c>
      <c r="R157" s="31" t="inlineStr">
        <is>
          <t>Near 52W High Breakout</t>
        </is>
      </c>
      <c r="S157" s="31" t="inlineStr">
        <is>
          <t>Nifty Energy</t>
        </is>
      </c>
      <c r="T157" s="32" t="inlineStr"/>
      <c r="U157" s="32" t="inlineStr"/>
      <c r="V157" s="32" t="inlineStr"/>
      <c r="W157" s="32" t="inlineStr"/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Oligopoly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Cyclical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Volatile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IF(B158=0,"",RANK(B158,$B$2:$B$222,0))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ONWARDTEC</t>
        </is>
      </c>
      <c r="D158" s="31" t="inlineStr">
        <is>
          <t>Onward Technologies Limited</t>
        </is>
      </c>
      <c r="E158" s="31" t="inlineStr">
        <is>
          <t>i.t</t>
        </is>
      </c>
      <c r="F158" s="31" t="inlineStr">
        <is>
          <t>computers - software - medium / small</t>
        </is>
      </c>
      <c r="G158" s="31" t="inlineStr">
        <is>
          <t>smallcap</t>
        </is>
      </c>
      <c r="H158" s="32" t="n">
        <v>648.9400000000001</v>
      </c>
      <c r="I158" s="32" t="n">
        <v>291.75</v>
      </c>
      <c r="J158" s="32" t="n">
        <v>4.72</v>
      </c>
      <c r="K158" s="32" t="n">
        <v>72827</v>
      </c>
      <c r="L158" s="31" t="n">
        <v>12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58.12</v>
      </c>
      <c r="P158" s="32" t="n">
        <v>21.02</v>
      </c>
      <c r="Q158" s="32" t="n">
        <v>222.19</v>
      </c>
      <c r="R158" s="31" t="inlineStr">
        <is>
          <t>Earnings / Momentum Support</t>
        </is>
      </c>
      <c r="S158" s="31" t="inlineStr">
        <is>
          <t>Nifty IT</t>
        </is>
      </c>
      <c r="T158" s="32" t="n">
        <v>-20.29</v>
      </c>
      <c r="U158" s="32" t="n">
        <v>-4.97</v>
      </c>
      <c r="V158" s="32" t="n">
        <v>19.22</v>
      </c>
      <c r="W158" s="32" t="n">
        <v>3.03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IF(B159=0,"",RANK(B159,$B$2:$B$222,0))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INDGN</t>
        </is>
      </c>
      <c r="D159" s="33" t="inlineStr">
        <is>
          <t>Indegene Ltd</t>
        </is>
      </c>
      <c r="E159" s="31" t="inlineStr">
        <is>
          <t>healthcare</t>
        </is>
      </c>
      <c r="F159" s="31" t="inlineStr">
        <is>
          <t>miscellaneous</t>
        </is>
      </c>
      <c r="G159" s="31" t="inlineStr">
        <is>
          <t>midcap</t>
        </is>
      </c>
      <c r="H159" s="32" t="n">
        <v>14258.47</v>
      </c>
      <c r="I159" s="32" t="n">
        <v>591.75</v>
      </c>
      <c r="J159" s="32" t="n">
        <v>3.24</v>
      </c>
      <c r="K159" s="32" t="n">
        <v>272889</v>
      </c>
      <c r="L159" s="31" t="n">
        <v>13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65</v>
      </c>
      <c r="P159" s="32" t="n">
        <v>22.87</v>
      </c>
      <c r="Q159" s="32" t="n">
        <v>501.4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17.16</v>
      </c>
      <c r="U159" s="32" t="n">
        <v>1.33</v>
      </c>
      <c r="V159" s="32" t="n">
        <v>-13.51</v>
      </c>
      <c r="W159" s="32" t="n">
        <v>3.52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IF(B160=0,"",RANK(B160,$B$2:$B$222,0))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KOPRAN</t>
        </is>
      </c>
      <c r="D160" s="31" t="inlineStr">
        <is>
          <t>Kopran Limited</t>
        </is>
      </c>
      <c r="E160" s="31" t="inlineStr">
        <is>
          <t>healthcare</t>
        </is>
      </c>
      <c r="F160" s="31" t="inlineStr">
        <is>
          <t>pharmaceuticals - indian - bulk drugs &amp; formln</t>
        </is>
      </c>
      <c r="G160" s="31" t="inlineStr">
        <is>
          <t>smallcap</t>
        </is>
      </c>
      <c r="H160" s="32" t="n">
        <v>1296.9</v>
      </c>
      <c r="I160" s="32" t="n">
        <v>268.59</v>
      </c>
      <c r="J160" s="32" t="n">
        <v>2.96</v>
      </c>
      <c r="K160" s="32" t="n">
        <v>3137443</v>
      </c>
      <c r="L160" s="31" t="n">
        <v>70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77.34999999999999</v>
      </c>
      <c r="P160" s="32" t="n">
        <v>41.94</v>
      </c>
      <c r="Q160" s="32" t="n">
        <v>201.83</v>
      </c>
      <c r="R160" s="31" t="inlineStr">
        <is>
          <t>Volume Spike &amp; Near 52W High Breakout</t>
        </is>
      </c>
      <c r="S160" s="31" t="inlineStr">
        <is>
          <t>Nifty Pharma</t>
        </is>
      </c>
      <c r="T160" s="32" t="n">
        <v>17.16</v>
      </c>
      <c r="U160" s="32" t="n">
        <v>58.45</v>
      </c>
      <c r="V160" s="32" t="n">
        <v>35.25</v>
      </c>
      <c r="W160" s="32" t="n">
        <v>22.42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IF(B161=0,"",RANK(B161,$B$2:$B$222,0))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SURAKSHA</t>
        </is>
      </c>
      <c r="D161" s="33" t="inlineStr">
        <is>
          <t>Suraksha Diagnostic Ltd</t>
        </is>
      </c>
      <c r="E161" s="31" t="inlineStr">
        <is>
          <t>healthcare</t>
        </is>
      </c>
      <c r="F161" s="31" t="inlineStr">
        <is>
          <t>healthcare</t>
        </is>
      </c>
      <c r="G161" s="31" t="inlineStr">
        <is>
          <t>smallcap</t>
        </is>
      </c>
      <c r="H161" s="32" t="n">
        <v>1713.2</v>
      </c>
      <c r="I161" s="32" t="n">
        <v>328.95</v>
      </c>
      <c r="J161" s="32" t="n">
        <v>0.66</v>
      </c>
      <c r="K161" s="32" t="n">
        <v>96967</v>
      </c>
      <c r="L161" s="31" t="n">
        <v>19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63.39</v>
      </c>
      <c r="P161" s="32" t="n">
        <v>19.78</v>
      </c>
      <c r="Q161" s="32" t="n">
        <v>264.59</v>
      </c>
      <c r="R161" s="31" t="inlineStr">
        <is>
          <t>Near 52W High Breakout</t>
        </is>
      </c>
      <c r="S161" s="31" t="inlineStr">
        <is>
          <t>Nifty Pharma</t>
        </is>
      </c>
      <c r="T161" s="32" t="n">
        <v>17.16</v>
      </c>
      <c r="U161" s="32" t="n">
        <v>4.41</v>
      </c>
      <c r="V161" s="32" t="n">
        <v>-10.88</v>
      </c>
      <c r="W161" s="32" t="n">
        <v>6.05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IF(B162=0,"",RANK(B162,$B$2:$B$222,0))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KILITCH</t>
        </is>
      </c>
      <c r="D162" s="33" t="inlineStr">
        <is>
          <t>Kilitch Drugs (india) Limited</t>
        </is>
      </c>
      <c r="E162" s="31" t="inlineStr">
        <is>
          <t>healthcare</t>
        </is>
      </c>
      <c r="F162" s="31" t="inlineStr">
        <is>
          <t>pharmaceuticals - indian - formulations</t>
        </is>
      </c>
      <c r="G162" s="31" t="inlineStr">
        <is>
          <t>smallcap</t>
        </is>
      </c>
      <c r="H162" s="32" t="n">
        <v>659.62</v>
      </c>
      <c r="I162" s="32" t="n">
        <v>188.67</v>
      </c>
      <c r="J162" s="32" t="n">
        <v>-0.08</v>
      </c>
      <c r="K162" s="32" t="n">
        <v>18618</v>
      </c>
      <c r="L162" s="31" t="n">
        <v>7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56.28</v>
      </c>
      <c r="P162" s="32" t="n">
        <v>26.04</v>
      </c>
      <c r="Q162" s="32" t="n">
        <v>141.06</v>
      </c>
      <c r="R162" s="31" t="inlineStr">
        <is>
          <t>Near 52W High Breakout</t>
        </is>
      </c>
      <c r="S162" s="31" t="inlineStr">
        <is>
          <t>Nifty Pharma</t>
        </is>
      </c>
      <c r="T162" s="32" t="n">
        <v>17.16</v>
      </c>
      <c r="U162" s="32" t="n">
        <v>4.85</v>
      </c>
      <c r="V162" s="32" t="n">
        <v>-10.51</v>
      </c>
      <c r="W162" s="32" t="n">
        <v>1.61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IF(B163=0,"",RANK(B163,$B$2:$B$222,0))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MAHSEAMLES</t>
        </is>
      </c>
      <c r="D163" s="31" t="inlineStr">
        <is>
          <t>Maharashtra Seamless Limited</t>
        </is>
      </c>
      <c r="E163" s="31" t="inlineStr">
        <is>
          <t>metals &amp; mining</t>
        </is>
      </c>
      <c r="F163" s="31" t="inlineStr">
        <is>
          <t>steel - medium / small</t>
        </is>
      </c>
      <c r="G163" s="31" t="inlineStr">
        <is>
          <t>midcap</t>
        </is>
      </c>
      <c r="H163" s="32" t="n">
        <v>9650.629999999999</v>
      </c>
      <c r="I163" s="32" t="n">
        <v>720.2</v>
      </c>
      <c r="J163" s="32" t="n">
        <v>3.93</v>
      </c>
      <c r="K163" s="32" t="n">
        <v>436705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72.56</v>
      </c>
      <c r="P163" s="32" t="n">
        <v>22.97</v>
      </c>
      <c r="Q163" s="32" t="n">
        <v>607.21</v>
      </c>
      <c r="R163" s="31" t="inlineStr">
        <is>
          <t>Near 52W High Breakout</t>
        </is>
      </c>
      <c r="S163" s="31" t="inlineStr">
        <is>
          <t>Nifty Metal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IF(B164=0,"",RANK(B164,$B$2:$B$222,0))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PITTIENG</t>
        </is>
      </c>
      <c r="D164" s="31" t="inlineStr">
        <is>
          <t>Pitti Engineering Ltd</t>
        </is>
      </c>
      <c r="E164" s="31" t="inlineStr">
        <is>
          <t>industrials</t>
        </is>
      </c>
      <c r="F164" s="31" t="inlineStr">
        <is>
          <t>engineering</t>
        </is>
      </c>
      <c r="G164" s="31" t="inlineStr">
        <is>
          <t>smallcap</t>
        </is>
      </c>
      <c r="H164" s="32" t="n">
        <v>4259</v>
      </c>
      <c r="I164" s="32" t="n">
        <v>1131.1</v>
      </c>
      <c r="J164" s="32" t="n">
        <v>2.7</v>
      </c>
      <c r="K164" s="32" t="n">
        <v>108599</v>
      </c>
      <c r="L164" s="31" t="n">
        <v>20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64.34</v>
      </c>
      <c r="P164" s="32" t="n">
        <v>19.08</v>
      </c>
      <c r="Q164" s="32" t="n">
        <v>913.01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-8.119999999999999</v>
      </c>
      <c r="U164" s="32" t="n">
        <v>12.62</v>
      </c>
      <c r="V164" s="32" t="n">
        <v>22.57</v>
      </c>
      <c r="W164" s="32" t="n">
        <v>6.27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IF(B165=0,"",RANK(B165,$B$2:$B$222,0))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SEAMECLTD</t>
        </is>
      </c>
      <c r="D165" s="31" t="inlineStr">
        <is>
          <t>Seamec Limited</t>
        </is>
      </c>
      <c r="E165" s="31" t="inlineStr">
        <is>
          <t>miscellaneous</t>
        </is>
      </c>
      <c r="F165" s="31" t="inlineStr">
        <is>
          <t>miscellaneous</t>
        </is>
      </c>
      <c r="G165" s="31" t="inlineStr">
        <is>
          <t>smallcap</t>
        </is>
      </c>
      <c r="H165" s="32" t="n">
        <v>4420.14</v>
      </c>
      <c r="I165" s="32" t="n">
        <v>1738.5</v>
      </c>
      <c r="J165" s="32" t="n">
        <v>2.17</v>
      </c>
      <c r="K165" s="32" t="n">
        <v>34655</v>
      </c>
      <c r="L165" s="31" t="n">
        <v>63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66.3</v>
      </c>
      <c r="P165" s="32" t="n">
        <v>16.53</v>
      </c>
      <c r="Q165" s="32" t="n">
        <v>1405.36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-8.119999999999999</v>
      </c>
      <c r="U165" s="32" t="n">
        <v>84.56999999999999</v>
      </c>
      <c r="V165" s="32" t="n">
        <v>100.88</v>
      </c>
      <c r="W165" s="32" t="n">
        <v>19.4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IF(B166=0,"",RANK(B166,$B$2:$B$222,0))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SVLL</t>
        </is>
      </c>
      <c r="D166" s="31" t="inlineStr">
        <is>
          <t>Shree Vasu Logistics Ltd</t>
        </is>
      </c>
      <c r="E166" s="31" t="inlineStr">
        <is>
          <t>transportation</t>
        </is>
      </c>
      <c r="F166" s="31" t="inlineStr">
        <is>
          <t>miscellaneous</t>
        </is>
      </c>
      <c r="G166" s="31" t="inlineStr">
        <is>
          <t>smallcap</t>
        </is>
      </c>
      <c r="H166" s="32" t="n">
        <v>940.59</v>
      </c>
      <c r="I166" s="32" t="n">
        <v>818.35</v>
      </c>
      <c r="J166" s="32" t="n">
        <v>1.76</v>
      </c>
      <c r="K166" s="32" t="n">
        <v>1207</v>
      </c>
      <c r="L166" s="31" t="n">
        <v>21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64.37</v>
      </c>
      <c r="P166" s="32" t="n">
        <v>39.04</v>
      </c>
      <c r="Q166" s="32" t="n">
        <v>622.85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-8.119999999999999</v>
      </c>
      <c r="U166" s="32" t="n">
        <v>3.77</v>
      </c>
      <c r="V166" s="32" t="n">
        <v>12.94</v>
      </c>
      <c r="W166" s="32" t="n">
        <v>6.33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IF(B167=0,"",RANK(B167,$B$2:$B$222,0))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SRHHYPOLTD</t>
        </is>
      </c>
      <c r="D167" s="33" t="inlineStr">
        <is>
          <t>Sree Rayalaseema Hi-strength Hypo Limited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smallcap</t>
        </is>
      </c>
      <c r="H167" s="32" t="n">
        <v>888.45</v>
      </c>
      <c r="I167" s="32" t="n">
        <v>517.6</v>
      </c>
      <c r="J167" s="32" t="n">
        <v>1.55</v>
      </c>
      <c r="K167" s="32" t="n">
        <v>19885</v>
      </c>
      <c r="L167" s="31" t="n">
        <v>1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54.14</v>
      </c>
      <c r="P167" s="32" t="n">
        <v>9.369999999999999</v>
      </c>
      <c r="Q167" s="32" t="n">
        <v>420.51</v>
      </c>
      <c r="R167" s="31" t="inlineStr">
        <is>
          <t>Volume Spike / Accumulation</t>
        </is>
      </c>
      <c r="S167" s="31" t="inlineStr">
        <is>
          <t>Nifty 50</t>
        </is>
      </c>
      <c r="T167" s="32" t="n">
        <v>-8.119999999999999</v>
      </c>
      <c r="U167" s="32" t="n">
        <v>-14.37</v>
      </c>
      <c r="V167" s="32" t="n">
        <v>-6.8</v>
      </c>
      <c r="W167" s="32" t="n">
        <v>-1.2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IF(B168=0,"",RANK(B168,$B$2:$B$222,0))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STLTECH</t>
        </is>
      </c>
      <c r="D168" s="31" t="inlineStr">
        <is>
          <t>Sterlite Technologies Limited</t>
        </is>
      </c>
      <c r="E168" s="31" t="inlineStr">
        <is>
          <t>industrials</t>
        </is>
      </c>
      <c r="F168" s="31" t="inlineStr">
        <is>
          <t>cables - telephone</t>
        </is>
      </c>
      <c r="G168" s="31" t="inlineStr">
        <is>
          <t>largecap</t>
        </is>
      </c>
      <c r="H168" s="32" t="n">
        <v>42522.34</v>
      </c>
      <c r="I168" s="32" t="n">
        <v>827.45</v>
      </c>
      <c r="J168" s="32" t="n">
        <v>1.15</v>
      </c>
      <c r="K168" s="32" t="n">
        <v>1299034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73.90000000000001</v>
      </c>
      <c r="P168" s="32" t="n">
        <v>73.40000000000001</v>
      </c>
      <c r="Q168" s="32" t="n">
        <v>657.48</v>
      </c>
      <c r="R168" s="31" t="inlineStr">
        <is>
          <t>Earnings / Momentum Support</t>
        </is>
      </c>
      <c r="S168" s="31" t="inlineStr">
        <is>
          <t>Nifty Infra</t>
        </is>
      </c>
      <c r="T168" s="32" t="inlineStr"/>
      <c r="U168" s="32" t="inlineStr"/>
      <c r="V168" s="32" t="inlineStr"/>
      <c r="W168" s="32" t="inlineStr"/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IF(B169=0,"",RANK(B169,$B$2:$B$222,0))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GRAPHITE</t>
        </is>
      </c>
      <c r="D169" s="31" t="inlineStr">
        <is>
          <t>Graphite India Limited</t>
        </is>
      </c>
      <c r="E169" s="31" t="inlineStr">
        <is>
          <t>industrials</t>
        </is>
      </c>
      <c r="F169" s="31" t="inlineStr">
        <is>
          <t>electrodes - graphites</t>
        </is>
      </c>
      <c r="G169" s="31" t="inlineStr">
        <is>
          <t>midcap</t>
        </is>
      </c>
      <c r="H169" s="32" t="n">
        <v>15905.53</v>
      </c>
      <c r="I169" s="32" t="n">
        <v>814.1</v>
      </c>
      <c r="J169" s="32" t="n">
        <v>1.12</v>
      </c>
      <c r="K169" s="32" t="n">
        <v>2989509</v>
      </c>
      <c r="L169" s="31" t="n">
        <v>48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66.56</v>
      </c>
      <c r="P169" s="32" t="n">
        <v>16.19</v>
      </c>
      <c r="Q169" s="32" t="n">
        <v>632.13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-8.119999999999999</v>
      </c>
      <c r="U169" s="32" t="n">
        <v>44.42</v>
      </c>
      <c r="V169" s="32" t="n">
        <v>57.18</v>
      </c>
      <c r="W169" s="32" t="n">
        <v>13.93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IF(B170=0,"",RANK(B170,$B$2:$B$222,0))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GOODLUCK</t>
        </is>
      </c>
      <c r="D170" s="31" t="inlineStr">
        <is>
          <t>Goodluck India Limited</t>
        </is>
      </c>
      <c r="E170" s="31" t="inlineStr">
        <is>
          <t>metals &amp; mining</t>
        </is>
      </c>
      <c r="F170" s="31" t="inlineStr">
        <is>
          <t>steel - medium / small</t>
        </is>
      </c>
      <c r="G170" s="31" t="inlineStr">
        <is>
          <t>midcap</t>
        </is>
      </c>
      <c r="H170" s="32" t="n">
        <v>5083</v>
      </c>
      <c r="I170" s="32" t="n">
        <v>509.75</v>
      </c>
      <c r="J170" s="32" t="n">
        <v>-0.11</v>
      </c>
      <c r="K170" s="32" t="n">
        <v>344280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57.91</v>
      </c>
      <c r="P170" s="32" t="n">
        <v>35.55</v>
      </c>
      <c r="Q170" s="32" t="n">
        <v>377.05</v>
      </c>
      <c r="R170" s="31" t="inlineStr">
        <is>
          <t>Near 52W High Breakout</t>
        </is>
      </c>
      <c r="S170" s="31" t="inlineStr">
        <is>
          <t>Nifty Metal</t>
        </is>
      </c>
      <c r="T170" s="32" t="inlineStr"/>
      <c r="U170" s="32" t="inlineStr"/>
      <c r="V170" s="32" t="inlineStr"/>
      <c r="W170" s="32" t="inlineStr"/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IF(B171=0,"",RANK(B171,$B$2:$B$222,0))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YUKEN</t>
        </is>
      </c>
      <c r="D171" s="31" t="inlineStr">
        <is>
          <t>Yuken India Ltd</t>
        </is>
      </c>
      <c r="E171" s="31" t="inlineStr">
        <is>
          <t>industrials</t>
        </is>
      </c>
      <c r="F171" s="31" t="inlineStr">
        <is>
          <t>engineering</t>
        </is>
      </c>
      <c r="G171" s="31" t="inlineStr">
        <is>
          <t>smallcap</t>
        </is>
      </c>
      <c r="H171" s="32" t="n">
        <v>1525.62</v>
      </c>
      <c r="I171" s="32" t="n">
        <v>1123.1</v>
      </c>
      <c r="J171" s="32" t="n">
        <v>-1.04</v>
      </c>
      <c r="K171" s="32" t="n">
        <v>21238</v>
      </c>
      <c r="L171" s="31" t="n">
        <v>59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77.15000000000001</v>
      </c>
      <c r="P171" s="32" t="n">
        <v>27.92</v>
      </c>
      <c r="Q171" s="32" t="n">
        <v>879.0599999999999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-8.119999999999999</v>
      </c>
      <c r="U171" s="32" t="n">
        <v>11.87</v>
      </c>
      <c r="V171" s="32" t="n">
        <v>21.75</v>
      </c>
      <c r="W171" s="32" t="n">
        <v>18.32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IF(B172=0,"",RANK(B172,$B$2:$B$222,0))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ANDHRAPAP</t>
        </is>
      </c>
      <c r="D172" s="31" t="inlineStr">
        <is>
          <t>Andhra Paper Ltd</t>
        </is>
      </c>
      <c r="E172" s="31" t="inlineStr">
        <is>
          <t>building materials</t>
        </is>
      </c>
      <c r="F172" s="31" t="inlineStr">
        <is>
          <t>paper</t>
        </is>
      </c>
      <c r="G172" s="31" t="inlineStr">
        <is>
          <t>smallcap</t>
        </is>
      </c>
      <c r="H172" s="32" t="n">
        <v>1429.34</v>
      </c>
      <c r="I172" s="32" t="n">
        <v>71.88</v>
      </c>
      <c r="J172" s="32" t="n">
        <v>-1.96</v>
      </c>
      <c r="K172" s="32" t="n">
        <v>941028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65.59</v>
      </c>
      <c r="P172" s="32" t="n">
        <v>15.5</v>
      </c>
      <c r="Q172" s="32" t="n">
        <v>58.78</v>
      </c>
      <c r="R172" s="31" t="inlineStr">
        <is>
          <t>Earnings / Momentum Support</t>
        </is>
      </c>
      <c r="S172" s="31" t="inlineStr">
        <is>
          <t>Nifty Infra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IF(B173=0,"",RANK(B173,$B$2:$B$222,0))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WINDLAS</t>
        </is>
      </c>
      <c r="D173" s="33" t="inlineStr">
        <is>
          <t>Windlas Biotech Ltd</t>
        </is>
      </c>
      <c r="E173" s="31" t="inlineStr">
        <is>
          <t>healthcare</t>
        </is>
      </c>
      <c r="F173" s="31" t="inlineStr">
        <is>
          <t>pharmaceuticals - indian - formulations</t>
        </is>
      </c>
      <c r="G173" s="31" t="inlineStr">
        <is>
          <t>smallcap</t>
        </is>
      </c>
      <c r="H173" s="32" t="n">
        <v>2306.31</v>
      </c>
      <c r="I173" s="32" t="n">
        <v>1117.6</v>
      </c>
      <c r="J173" s="32" t="n">
        <v>3.96</v>
      </c>
      <c r="K173" s="32" t="n">
        <v>117378</v>
      </c>
      <c r="L173" s="31" t="n">
        <v>42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76.38</v>
      </c>
      <c r="P173" s="32" t="n">
        <v>33.26</v>
      </c>
      <c r="Q173" s="32" t="n">
        <v>899.08</v>
      </c>
      <c r="R173" s="31" t="inlineStr">
        <is>
          <t>Near 52W High Breakout</t>
        </is>
      </c>
      <c r="S173" s="31" t="inlineStr">
        <is>
          <t>Nifty Pharma</t>
        </is>
      </c>
      <c r="T173" s="32" t="n">
        <v>17.16</v>
      </c>
      <c r="U173" s="32" t="n">
        <v>16.85</v>
      </c>
      <c r="V173" s="32" t="n">
        <v>-0.26</v>
      </c>
      <c r="W173" s="32" t="n">
        <v>12.48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IF(B174=0,"",RANK(B174,$B$2:$B$222,0))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SUPRIYA</t>
        </is>
      </c>
      <c r="D174" s="31" t="inlineStr">
        <is>
          <t>Supriya Lifescience Ltd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midcap</t>
        </is>
      </c>
      <c r="H174" s="32" t="n">
        <v>7248.68</v>
      </c>
      <c r="I174" s="32" t="n">
        <v>900.65</v>
      </c>
      <c r="J174" s="32" t="n">
        <v>2.6</v>
      </c>
      <c r="K174" s="32" t="n">
        <v>126854</v>
      </c>
      <c r="L174" s="31" t="n">
        <v>23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58.08</v>
      </c>
      <c r="P174" s="32" t="n">
        <v>38.49</v>
      </c>
      <c r="Q174" s="32" t="n">
        <v>730.0599999999999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17.16</v>
      </c>
      <c r="U174" s="32" t="n">
        <v>24.17</v>
      </c>
      <c r="V174" s="32" t="n">
        <v>5.98</v>
      </c>
      <c r="W174" s="32" t="n">
        <v>6.76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IF(B175=0,"",RANK(B175,$B$2:$B$222,0))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PVRINOX</t>
        </is>
      </c>
      <c r="D175" s="31" t="inlineStr">
        <is>
          <t>PVR Inox Ltd</t>
        </is>
      </c>
      <c r="E175" s="31" t="inlineStr">
        <is>
          <t>media</t>
        </is>
      </c>
      <c r="F175" s="31" t="inlineStr">
        <is>
          <t>entertainment / electronic media software</t>
        </is>
      </c>
      <c r="G175" s="31" t="inlineStr">
        <is>
          <t>midcap</t>
        </is>
      </c>
      <c r="H175" s="32" t="n">
        <v>12497.91</v>
      </c>
      <c r="I175" s="32" t="n">
        <v>1272.7</v>
      </c>
      <c r="J175" s="32" t="n">
        <v>1.44</v>
      </c>
      <c r="K175" s="32" t="n">
        <v>425001</v>
      </c>
      <c r="L175" s="31" t="n">
        <v>34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75.81999999999999</v>
      </c>
      <c r="P175" s="32" t="n">
        <v>27.72</v>
      </c>
      <c r="Q175" s="32" t="n">
        <v>1059.23</v>
      </c>
      <c r="R175" s="31" t="inlineStr">
        <is>
          <t>Near 52W High Breakout</t>
        </is>
      </c>
      <c r="S175" s="31" t="inlineStr">
        <is>
          <t>Nifty IT</t>
        </is>
      </c>
      <c r="T175" s="32" t="n">
        <v>-20.29</v>
      </c>
      <c r="U175" s="32" t="n">
        <v>14.05</v>
      </c>
      <c r="V175" s="32" t="n">
        <v>43.09</v>
      </c>
      <c r="W175" s="32" t="n">
        <v>10.5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IF(B176=0,"",RANK(B176,$B$2:$B$222,0))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DOLPHIN</t>
        </is>
      </c>
      <c r="D176" s="31" t="inlineStr">
        <is>
          <t>Dolphin Offshore Enterprises (India) Ltd</t>
        </is>
      </c>
      <c r="E176" s="31" t="inlineStr">
        <is>
          <t>energy</t>
        </is>
      </c>
      <c r="F176" s="31" t="inlineStr">
        <is>
          <t>oil drilling / allied services</t>
        </is>
      </c>
      <c r="G176" s="31" t="inlineStr">
        <is>
          <t>smallcap</t>
        </is>
      </c>
      <c r="H176" s="32" t="n">
        <v>2695.11</v>
      </c>
      <c r="I176" s="32" t="n">
        <v>673.7</v>
      </c>
      <c r="J176" s="32" t="n">
        <v>6.08</v>
      </c>
      <c r="K176" s="32" t="n">
        <v>54699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75.56</v>
      </c>
      <c r="P176" s="32" t="n">
        <v>38.97</v>
      </c>
      <c r="Q176" s="32" t="n">
        <v>484.72</v>
      </c>
      <c r="R176" s="31" t="inlineStr">
        <is>
          <t>Near 52W High Breakout</t>
        </is>
      </c>
      <c r="S176" s="31" t="inlineStr">
        <is>
          <t>Nifty Energy</t>
        </is>
      </c>
      <c r="T176" s="32" t="inlineStr"/>
      <c r="U176" s="32" t="inlineStr"/>
      <c r="V176" s="32" t="inlineStr"/>
      <c r="W176" s="32" t="inlineStr"/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IF(B177=0,"",RANK(B177,$B$2:$B$222,0))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SMLMAH</t>
        </is>
      </c>
      <c r="D177" s="31" t="inlineStr">
        <is>
          <t>SML Mahindra Ltd</t>
        </is>
      </c>
      <c r="E177" s="31" t="inlineStr">
        <is>
          <t>auto</t>
        </is>
      </c>
      <c r="F177" s="31" t="inlineStr">
        <is>
          <t>automobiles - lcvs / hcvs</t>
        </is>
      </c>
      <c r="G177" s="31" t="inlineStr">
        <is>
          <t>midcap</t>
        </is>
      </c>
      <c r="H177" s="32" t="n">
        <v>9002.09</v>
      </c>
      <c r="I177" s="32" t="n">
        <v>6220.5</v>
      </c>
      <c r="J177" s="32" t="n">
        <v>4.17</v>
      </c>
      <c r="K177" s="32" t="n">
        <v>48450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66.76000000000001</v>
      </c>
      <c r="P177" s="32" t="n">
        <v>26.95</v>
      </c>
      <c r="Q177" s="32" t="n">
        <v>4855.19</v>
      </c>
      <c r="R177" s="31" t="inlineStr">
        <is>
          <t>Earnings / Momentum Support</t>
        </is>
      </c>
      <c r="S177" s="31" t="inlineStr">
        <is>
          <t>Nifty Auto</t>
        </is>
      </c>
      <c r="T177" s="32" t="inlineStr"/>
      <c r="U177" s="32" t="inlineStr"/>
      <c r="V177" s="32" t="inlineStr"/>
      <c r="W177" s="32" t="inlineStr"/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IF(B178=0,"",RANK(B178,$B$2:$B$222,0))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KSL</t>
        </is>
      </c>
      <c r="D178" s="31" t="inlineStr">
        <is>
          <t>Kalyani Steels Limited</t>
        </is>
      </c>
      <c r="E178" s="31" t="inlineStr">
        <is>
          <t>metals &amp; mining</t>
        </is>
      </c>
      <c r="F178" s="31" t="inlineStr">
        <is>
          <t>steel - medium / small</t>
        </is>
      </c>
      <c r="G178" s="31" t="inlineStr">
        <is>
          <t>smallcap</t>
        </is>
      </c>
      <c r="H178" s="32" t="n">
        <v>4236.75</v>
      </c>
      <c r="I178" s="32" t="n">
        <v>970.55</v>
      </c>
      <c r="J178" s="32" t="n">
        <v>1.95</v>
      </c>
      <c r="K178" s="32" t="n">
        <v>309254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66.98999999999999</v>
      </c>
      <c r="P178" s="32" t="n">
        <v>27.85</v>
      </c>
      <c r="Q178" s="32" t="n">
        <v>757.02</v>
      </c>
      <c r="R178" s="31" t="inlineStr">
        <is>
          <t>Near 52W High Breakout</t>
        </is>
      </c>
      <c r="S178" s="31" t="inlineStr">
        <is>
          <t>Nifty Metal</t>
        </is>
      </c>
      <c r="T178" s="32" t="inlineStr"/>
      <c r="U178" s="32" t="inlineStr"/>
      <c r="V178" s="32" t="inlineStr"/>
      <c r="W178" s="32" t="inlineStr"/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IF(B179=0,"",RANK(B179,$B$2:$B$222,0))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MAXESTATES</t>
        </is>
      </c>
      <c r="D179" s="31" t="inlineStr">
        <is>
          <t>Max Estates Ltd</t>
        </is>
      </c>
      <c r="E179" s="31" t="inlineStr">
        <is>
          <t>realty</t>
        </is>
      </c>
      <c r="F179" s="31" t="inlineStr">
        <is>
          <t>construction</t>
        </is>
      </c>
      <c r="G179" s="31" t="inlineStr">
        <is>
          <t>midcap</t>
        </is>
      </c>
      <c r="H179" s="32" t="n">
        <v>9443.6</v>
      </c>
      <c r="I179" s="32" t="n">
        <v>577.6</v>
      </c>
      <c r="J179" s="32" t="n">
        <v>0.96</v>
      </c>
      <c r="K179" s="32" t="n">
        <v>113120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73.43000000000001</v>
      </c>
      <c r="P179" s="32" t="n">
        <v>27.44</v>
      </c>
      <c r="Q179" s="32" t="n">
        <v>446.47</v>
      </c>
      <c r="R179" s="31" t="inlineStr">
        <is>
          <t>Near 52W High Breakout</t>
        </is>
      </c>
      <c r="S179" s="31" t="inlineStr">
        <is>
          <t>Nifty Realty</t>
        </is>
      </c>
      <c r="T179" s="32" t="inlineStr"/>
      <c r="U179" s="32" t="inlineStr"/>
      <c r="V179" s="32" t="inlineStr"/>
      <c r="W179" s="32" t="inlineStr"/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IF(B180=0,"",RANK(B180,$B$2:$B$222,0))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LGBBROSLTD</t>
        </is>
      </c>
      <c r="D180" s="31" t="inlineStr">
        <is>
          <t>Lg Balakrishnan &amp; Bros Limited</t>
        </is>
      </c>
      <c r="E180" s="31" t="inlineStr">
        <is>
          <t>auto</t>
        </is>
      </c>
      <c r="F180" s="31" t="inlineStr">
        <is>
          <t>bearings</t>
        </is>
      </c>
      <c r="G180" s="31" t="inlineStr">
        <is>
          <t>midcap</t>
        </is>
      </c>
      <c r="H180" s="32" t="n">
        <v>5480.71</v>
      </c>
      <c r="I180" s="32" t="n">
        <v>1718.5</v>
      </c>
      <c r="J180" s="32" t="n">
        <v>0.6899999999999999</v>
      </c>
      <c r="K180" s="32" t="n">
        <v>30530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58.68</v>
      </c>
      <c r="P180" s="32" t="n">
        <v>11.18</v>
      </c>
      <c r="Q180" s="32" t="n">
        <v>1430.61</v>
      </c>
      <c r="R180" s="31" t="inlineStr">
        <is>
          <t>Earnings / Momentum Support</t>
        </is>
      </c>
      <c r="S180" s="31" t="inlineStr">
        <is>
          <t>Nifty Auto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IF(B181=0,"",RANK(B181,$B$2:$B$222,0))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IONEXCHANG</t>
        </is>
      </c>
      <c r="D181" s="31" t="inlineStr">
        <is>
          <t>Ion Exchange (India) Ltd</t>
        </is>
      </c>
      <c r="E181" s="31" t="inlineStr">
        <is>
          <t>realty</t>
        </is>
      </c>
      <c r="F181" s="31" t="inlineStr">
        <is>
          <t>engineering - turnkey services</t>
        </is>
      </c>
      <c r="G181" s="31" t="inlineStr">
        <is>
          <t>midcap</t>
        </is>
      </c>
      <c r="H181" s="32" t="n">
        <v>6223.8</v>
      </c>
      <c r="I181" s="32" t="n">
        <v>424.35</v>
      </c>
      <c r="J181" s="32" t="n">
        <v>-0.45</v>
      </c>
      <c r="K181" s="32" t="n">
        <v>260929</v>
      </c>
      <c r="L181" s="31" t="inlineStr"/>
      <c r="M181" s="31" t="inlineStr"/>
      <c r="N181" s="32">
        <f>IF(M181="Underperforming",-5,IF(L181&gt;=95,15,IF(L181&gt;=90,10,IF(L181&gt;=80,5,0))))</f>
        <v/>
      </c>
      <c r="O181" s="32" t="n">
        <v>55.56</v>
      </c>
      <c r="P181" s="32" t="n">
        <v>21.5</v>
      </c>
      <c r="Q181" s="32" t="n">
        <v>352.71</v>
      </c>
      <c r="R181" s="31" t="inlineStr">
        <is>
          <t>Earnings / Momentum Support</t>
        </is>
      </c>
      <c r="S181" s="31" t="inlineStr">
        <is>
          <t>Nifty Realty</t>
        </is>
      </c>
      <c r="T181" s="32" t="inlineStr"/>
      <c r="U181" s="32" t="inlineStr"/>
      <c r="V181" s="32" t="inlineStr"/>
      <c r="W181" s="32" t="inlineStr"/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IF(B182=0,"",RANK(B182,$B$2:$B$222,0))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MANAKSTEEL</t>
        </is>
      </c>
      <c r="D182" s="31" t="inlineStr">
        <is>
          <t>Manaksia Steels Limited</t>
        </is>
      </c>
      <c r="E182" s="31" t="inlineStr">
        <is>
          <t>metals &amp; mining</t>
        </is>
      </c>
      <c r="F182" s="31" t="inlineStr">
        <is>
          <t>steel - medium / small</t>
        </is>
      </c>
      <c r="G182" s="31" t="inlineStr">
        <is>
          <t>smallcap</t>
        </is>
      </c>
      <c r="H182" s="32" t="n">
        <v>684.5700000000001</v>
      </c>
      <c r="I182" s="32" t="n">
        <v>104.46</v>
      </c>
      <c r="J182" s="32" t="n">
        <v>-1.84</v>
      </c>
      <c r="K182" s="32" t="n">
        <v>20557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66.70999999999999</v>
      </c>
      <c r="P182" s="32" t="n">
        <v>46.66</v>
      </c>
      <c r="Q182" s="32" t="n">
        <v>87.01000000000001</v>
      </c>
      <c r="R182" s="31" t="inlineStr">
        <is>
          <t>Earnings / Momentum Support</t>
        </is>
      </c>
      <c r="S182" s="31" t="inlineStr">
        <is>
          <t>Nifty Metal</t>
        </is>
      </c>
      <c r="T182" s="32" t="inlineStr"/>
      <c r="U182" s="32" t="inlineStr"/>
      <c r="V182" s="32" t="inlineStr"/>
      <c r="W182" s="32" t="inlineStr"/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IF(B183=0,"",RANK(B183,$B$2:$B$222,0))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DYNAMATECH</t>
        </is>
      </c>
      <c r="D183" s="31" t="inlineStr">
        <is>
          <t>Dynamatic Technologies Limited</t>
        </is>
      </c>
      <c r="E183" s="31" t="inlineStr">
        <is>
          <t>aerospace &amp; defence</t>
        </is>
      </c>
      <c r="F183" s="31" t="inlineStr">
        <is>
          <t>engineering</t>
        </is>
      </c>
      <c r="G183" s="31" t="inlineStr">
        <is>
          <t>midcap</t>
        </is>
      </c>
      <c r="H183" s="32" t="n">
        <v>8026.81</v>
      </c>
      <c r="I183" s="32" t="n">
        <v>11819</v>
      </c>
      <c r="J183" s="32" t="n">
        <v>-2.14</v>
      </c>
      <c r="K183" s="32" t="n">
        <v>22275</v>
      </c>
      <c r="L183" s="31" t="n">
        <v>42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59.25</v>
      </c>
      <c r="P183" s="32" t="n">
        <v>24.8</v>
      </c>
      <c r="Q183" s="32" t="n">
        <v>9016.73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-8.119999999999999</v>
      </c>
      <c r="U183" s="32" t="n">
        <v>64.3</v>
      </c>
      <c r="V183" s="32" t="n">
        <v>78.81999999999999</v>
      </c>
      <c r="W183" s="32" t="n">
        <v>12.65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IF(B184=0,"",RANK(B184,$B$2:$B$222,0))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AXISCADES</t>
        </is>
      </c>
      <c r="D184" s="31" t="inlineStr">
        <is>
          <t>AXISCADES Technologies Ltd</t>
        </is>
      </c>
      <c r="E184" s="31" t="inlineStr">
        <is>
          <t>aerospace &amp; defence</t>
        </is>
      </c>
      <c r="F184" s="31" t="inlineStr">
        <is>
          <t>computers - software - medium / small</t>
        </is>
      </c>
      <c r="G184" s="31" t="inlineStr">
        <is>
          <t>midcap</t>
        </is>
      </c>
      <c r="H184" s="32" t="n">
        <v>7878.02</v>
      </c>
      <c r="I184" s="32" t="n">
        <v>1852.3</v>
      </c>
      <c r="J184" s="32" t="n">
        <v>9.960000000000001</v>
      </c>
      <c r="K184" s="32" t="n">
        <v>443978</v>
      </c>
      <c r="L184" s="31" t="n">
        <v>12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58.74</v>
      </c>
      <c r="P184" s="32" t="n">
        <v>10.77</v>
      </c>
      <c r="Q184" s="32" t="n">
        <v>1410.35</v>
      </c>
      <c r="R184" s="31" t="inlineStr">
        <is>
          <t>Earnings / Momentum Support</t>
        </is>
      </c>
      <c r="S184" s="31" t="inlineStr">
        <is>
          <t>Nifty IT</t>
        </is>
      </c>
      <c r="T184" s="32" t="n">
        <v>-20.29</v>
      </c>
      <c r="U184" s="32" t="n">
        <v>10.01</v>
      </c>
      <c r="V184" s="32" t="n">
        <v>38.01</v>
      </c>
      <c r="W184" s="32" t="n">
        <v>2.72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IF(B185=0,"",RANK(B185,$B$2:$B$222,0))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RATNAVEER</t>
        </is>
      </c>
      <c r="D185" s="31" t="inlineStr">
        <is>
          <t>Ratnaveer Precision Engineering Ltd</t>
        </is>
      </c>
      <c r="E185" s="31" t="inlineStr">
        <is>
          <t>metals &amp; mining</t>
        </is>
      </c>
      <c r="F185" s="31" t="inlineStr">
        <is>
          <t>steel - medium / small</t>
        </is>
      </c>
      <c r="G185" s="31" t="inlineStr">
        <is>
          <t>smallcap</t>
        </is>
      </c>
      <c r="H185" s="32" t="n">
        <v>2170.3</v>
      </c>
      <c r="I185" s="32" t="n">
        <v>303.85</v>
      </c>
      <c r="J185" s="32" t="n">
        <v>5.96</v>
      </c>
      <c r="K185" s="32" t="n">
        <v>21339407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77.54000000000001</v>
      </c>
      <c r="P185" s="32" t="n">
        <v>60.7</v>
      </c>
      <c r="Q185" s="32" t="n">
        <v>221.31</v>
      </c>
      <c r="R185" s="31" t="inlineStr">
        <is>
          <t>Near 52W High Breakout</t>
        </is>
      </c>
      <c r="S185" s="31" t="inlineStr">
        <is>
          <t>Nifty Metal</t>
        </is>
      </c>
      <c r="T185" s="32" t="inlineStr"/>
      <c r="U185" s="32" t="inlineStr"/>
      <c r="V185" s="32" t="inlineStr"/>
      <c r="W185" s="32" t="inlineStr"/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Cyclical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Volatile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IF(B186=0,"",RANK(B186,$B$2:$B$222,0))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ALEMBICLTD</t>
        </is>
      </c>
      <c r="D186" s="31" t="inlineStr">
        <is>
          <t>Alembic Limited</t>
        </is>
      </c>
      <c r="E186" s="31" t="inlineStr">
        <is>
          <t>realty</t>
        </is>
      </c>
      <c r="F186" s="31" t="inlineStr">
        <is>
          <t>construction</t>
        </is>
      </c>
      <c r="G186" s="31" t="inlineStr">
        <is>
          <t>smallcap</t>
        </is>
      </c>
      <c r="H186" s="32" t="n">
        <v>2637.66</v>
      </c>
      <c r="I186" s="32" t="n">
        <v>102.72</v>
      </c>
      <c r="J186" s="32" t="n">
        <v>3.81</v>
      </c>
      <c r="K186" s="32" t="n">
        <v>1416945</v>
      </c>
      <c r="L186" s="31" t="inlineStr"/>
      <c r="M186" s="31" t="inlineStr"/>
      <c r="N186" s="32">
        <f>IF(M186="Underperforming",-5,IF(L186&gt;=95,15,IF(L186&gt;=90,10,IF(L186&gt;=80,5,0))))</f>
        <v/>
      </c>
      <c r="O186" s="32" t="n">
        <v>60.76</v>
      </c>
      <c r="P186" s="32" t="n">
        <v>19.14</v>
      </c>
      <c r="Q186" s="32" t="n">
        <v>89.05</v>
      </c>
      <c r="R186" s="31" t="inlineStr">
        <is>
          <t>Earnings / Momentum Support</t>
        </is>
      </c>
      <c r="S186" s="31" t="inlineStr">
        <is>
          <t>Nifty Realty</t>
        </is>
      </c>
      <c r="T186" s="32" t="inlineStr"/>
      <c r="U186" s="32" t="inlineStr"/>
      <c r="V186" s="32" t="inlineStr"/>
      <c r="W186" s="32" t="inlineStr"/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Between 1.5 to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IF(B187=0,"",RANK(B187,$B$2:$B$222,0))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GMMPFAUDLR</t>
        </is>
      </c>
      <c r="D187" s="31" t="inlineStr">
        <is>
          <t>GMM Pfaudler Ltd</t>
        </is>
      </c>
      <c r="E187" s="31" t="inlineStr">
        <is>
          <t>industrials</t>
        </is>
      </c>
      <c r="F187" s="31" t="inlineStr">
        <is>
          <t>engineering</t>
        </is>
      </c>
      <c r="G187" s="31" t="inlineStr">
        <is>
          <t>midcap</t>
        </is>
      </c>
      <c r="H187" s="32" t="n">
        <v>6129.47</v>
      </c>
      <c r="I187" s="32" t="n">
        <v>1363.4</v>
      </c>
      <c r="J187" s="32" t="n">
        <v>2.13</v>
      </c>
      <c r="K187" s="32" t="n">
        <v>547415</v>
      </c>
      <c r="L187" s="31" t="n">
        <v>68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78.75</v>
      </c>
      <c r="P187" s="32" t="n">
        <v>32.95</v>
      </c>
      <c r="Q187" s="32" t="n">
        <v>1107.88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-8.119999999999999</v>
      </c>
      <c r="U187" s="32" t="n">
        <v>21.36</v>
      </c>
      <c r="V187" s="32" t="n">
        <v>32.09</v>
      </c>
      <c r="W187" s="32" t="n">
        <v>21.37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IF(B188=0,"",RANK(B188,$B$2:$B$222,0))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SBC</t>
        </is>
      </c>
      <c r="D188" s="31" t="inlineStr">
        <is>
          <t>SBC Exports Ltd</t>
        </is>
      </c>
      <c r="E188" s="31" t="inlineStr">
        <is>
          <t>textiles</t>
        </is>
      </c>
      <c r="F188" s="31" t="inlineStr">
        <is>
          <t>textiles - products</t>
        </is>
      </c>
      <c r="G188" s="31" t="inlineStr">
        <is>
          <t>smallcap</t>
        </is>
      </c>
      <c r="H188" s="32" t="n">
        <v>2297.62</v>
      </c>
      <c r="I188" s="32" t="n">
        <v>48.25</v>
      </c>
      <c r="J188" s="32" t="n">
        <v>1.3</v>
      </c>
      <c r="K188" s="32" t="n">
        <v>7597720</v>
      </c>
      <c r="L188" s="31" t="n">
        <v>66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75.02</v>
      </c>
      <c r="P188" s="32" t="n">
        <v>33.03</v>
      </c>
      <c r="Q188" s="32" t="n">
        <v>39.52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-8.119999999999999</v>
      </c>
      <c r="U188" s="32" t="n">
        <v>125.57</v>
      </c>
      <c r="V188" s="32" t="n">
        <v>145.51</v>
      </c>
      <c r="W188" s="32" t="n">
        <v>20.65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More than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IF(B189=0,"",RANK(B189,$B$2:$B$222,0))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SUNDRMFAST</t>
        </is>
      </c>
      <c r="D189" s="31" t="inlineStr">
        <is>
          <t>Sundram Fasteners Limited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largecap</t>
        </is>
      </c>
      <c r="H189" s="32" t="n">
        <v>25776.45</v>
      </c>
      <c r="I189" s="32" t="n">
        <v>1226.7</v>
      </c>
      <c r="J189" s="32" t="n">
        <v>0.5600000000000001</v>
      </c>
      <c r="K189" s="32" t="n">
        <v>81682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73.08</v>
      </c>
      <c r="P189" s="32" t="n">
        <v>44.21</v>
      </c>
      <c r="Q189" s="32" t="n">
        <v>1071.98</v>
      </c>
      <c r="R189" s="31" t="inlineStr">
        <is>
          <t>Near 52W High Breakout</t>
        </is>
      </c>
      <c r="S189" s="31" t="inlineStr">
        <is>
          <t>Nifty Auto</t>
        </is>
      </c>
      <c r="T189" s="32" t="inlineStr"/>
      <c r="U189" s="32" t="inlineStr"/>
      <c r="V189" s="32" t="inlineStr"/>
      <c r="W189" s="32" t="inlineStr"/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Between 12 to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IF(B190=0,"",RANK(B190,$B$2:$B$222,0))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ROSSTECH</t>
        </is>
      </c>
      <c r="D190" s="31" t="inlineStr">
        <is>
          <t>Rossell Techsys Ltd</t>
        </is>
      </c>
      <c r="E190" s="31" t="inlineStr">
        <is>
          <t>aerospace &amp; defence</t>
        </is>
      </c>
      <c r="F190" s="31" t="inlineStr">
        <is>
          <t>engineering</t>
        </is>
      </c>
      <c r="G190" s="31" t="inlineStr">
        <is>
          <t>midcap</t>
        </is>
      </c>
      <c r="H190" s="32" t="n">
        <v>5116.17</v>
      </c>
      <c r="I190" s="32" t="n">
        <v>1357.2</v>
      </c>
      <c r="J190" s="32" t="n">
        <v>0.54</v>
      </c>
      <c r="K190" s="32" t="n">
        <v>758996</v>
      </c>
      <c r="L190" s="31" t="n">
        <v>66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75.86</v>
      </c>
      <c r="P190" s="32" t="n">
        <v>27.77</v>
      </c>
      <c r="Q190" s="32" t="n">
        <v>1007.33</v>
      </c>
      <c r="R190" s="31" t="inlineStr">
        <is>
          <t>Volume Spike &amp; Near 52W High Breakout</t>
        </is>
      </c>
      <c r="S190" s="31" t="inlineStr">
        <is>
          <t>Nifty 50</t>
        </is>
      </c>
      <c r="T190" s="32" t="n">
        <v>-8.119999999999999</v>
      </c>
      <c r="U190" s="32" t="n">
        <v>80.89</v>
      </c>
      <c r="V190" s="32" t="n">
        <v>96.88</v>
      </c>
      <c r="W190" s="32" t="n">
        <v>20.92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IF(B191=0,"",RANK(B191,$B$2:$B$222,0))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RATNAMANI</t>
        </is>
      </c>
      <c r="D191" s="31" t="inlineStr">
        <is>
          <t>Ratnamani Metals &amp; Tubes Limited</t>
        </is>
      </c>
      <c r="E191" s="31" t="inlineStr">
        <is>
          <t>industrials</t>
        </is>
      </c>
      <c r="F191" s="31" t="inlineStr">
        <is>
          <t>steel - medium / small</t>
        </is>
      </c>
      <c r="G191" s="31" t="inlineStr">
        <is>
          <t>midcap</t>
        </is>
      </c>
      <c r="H191" s="32" t="n">
        <v>18943.06</v>
      </c>
      <c r="I191" s="32" t="n">
        <v>2702.6</v>
      </c>
      <c r="J191" s="32" t="n">
        <v>0.28</v>
      </c>
      <c r="K191" s="32" t="n">
        <v>39882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56</v>
      </c>
      <c r="P191" s="32" t="n">
        <v>24.05</v>
      </c>
      <c r="Q191" s="32" t="n">
        <v>2126.5</v>
      </c>
      <c r="R191" s="31" t="inlineStr">
        <is>
          <t>Earnings / Momentum Support</t>
        </is>
      </c>
      <c r="S191" s="31" t="inlineStr">
        <is>
          <t>Nifty Metal</t>
        </is>
      </c>
      <c r="T191" s="32" t="inlineStr"/>
      <c r="U191" s="32" t="inlineStr"/>
      <c r="V191" s="32" t="inlineStr"/>
      <c r="W191" s="32" t="inlineStr"/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IF(B192=0,"",RANK(B192,$B$2:$B$222,0))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DEEPINDS</t>
        </is>
      </c>
      <c r="D192" s="31" t="inlineStr">
        <is>
          <t>Deep Industries Ltd</t>
        </is>
      </c>
      <c r="E192" s="31" t="inlineStr">
        <is>
          <t>energy</t>
        </is>
      </c>
      <c r="F192" s="31" t="inlineStr">
        <is>
          <t>oil drilling / allied services</t>
        </is>
      </c>
      <c r="G192" s="31" t="inlineStr">
        <is>
          <t>smallcap</t>
        </is>
      </c>
      <c r="H192" s="32" t="n">
        <v>4702.08</v>
      </c>
      <c r="I192" s="32" t="n">
        <v>734.7</v>
      </c>
      <c r="J192" s="32" t="n">
        <v>-0.06</v>
      </c>
      <c r="K192" s="32" t="n">
        <v>219051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70.95999999999999</v>
      </c>
      <c r="P192" s="32" t="n">
        <v>34.07</v>
      </c>
      <c r="Q192" s="32" t="n">
        <v>601.53</v>
      </c>
      <c r="R192" s="31" t="inlineStr">
        <is>
          <t>Earnings / Momentum Support</t>
        </is>
      </c>
      <c r="S192" s="31" t="inlineStr">
        <is>
          <t>Nifty Energy</t>
        </is>
      </c>
      <c r="T192" s="32" t="inlineStr"/>
      <c r="U192" s="32" t="inlineStr"/>
      <c r="V192" s="32" t="inlineStr"/>
      <c r="W192" s="32" t="inlineStr"/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Oligopoly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IF(B193=0,"",RANK(B193,$B$2:$B$222,0))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MANALIPETC</t>
        </is>
      </c>
      <c r="D193" s="31" t="inlineStr">
        <is>
          <t>Manali Petrochemicals Limited</t>
        </is>
      </c>
      <c r="E193" s="31" t="inlineStr">
        <is>
          <t>energy</t>
        </is>
      </c>
      <c r="F193" s="31" t="inlineStr">
        <is>
          <t>petrochemicals</t>
        </is>
      </c>
      <c r="G193" s="31" t="inlineStr">
        <is>
          <t>smallcap</t>
        </is>
      </c>
      <c r="H193" s="32" t="n">
        <v>1415.55</v>
      </c>
      <c r="I193" s="32" t="n">
        <v>82.3</v>
      </c>
      <c r="J193" s="32" t="n">
        <v>-0.09</v>
      </c>
      <c r="K193" s="32" t="n">
        <v>892492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68.51000000000001</v>
      </c>
      <c r="P193" s="32" t="n">
        <v>42.81</v>
      </c>
      <c r="Q193" s="32" t="n">
        <v>64</v>
      </c>
      <c r="R193" s="31" t="inlineStr">
        <is>
          <t>Earnings / Momentum Support</t>
        </is>
      </c>
      <c r="S193" s="31" t="inlineStr">
        <is>
          <t>Nifty Energy</t>
        </is>
      </c>
      <c r="T193" s="32" t="inlineStr"/>
      <c r="U193" s="32" t="inlineStr"/>
      <c r="V193" s="32" t="inlineStr"/>
      <c r="W193" s="32" t="inlineStr"/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Oligopoly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IF(B194=0,"",RANK(B194,$B$2:$B$222,0))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CYIENT</t>
        </is>
      </c>
      <c r="D194" s="31" t="inlineStr">
        <is>
          <t>Cyient Limited</t>
        </is>
      </c>
      <c r="E194" s="31" t="inlineStr">
        <is>
          <t>i.t</t>
        </is>
      </c>
      <c r="F194" s="31" t="inlineStr">
        <is>
          <t>computers - software - medium / small</t>
        </is>
      </c>
      <c r="G194" s="31" t="inlineStr">
        <is>
          <t>midcap</t>
        </is>
      </c>
      <c r="H194" s="32" t="n">
        <v>11144.53</v>
      </c>
      <c r="I194" s="32" t="n">
        <v>1064</v>
      </c>
      <c r="J194" s="32" t="n">
        <v>0.9</v>
      </c>
      <c r="K194" s="32" t="n">
        <v>332526</v>
      </c>
      <c r="L194" s="31" t="n">
        <v>13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61.88</v>
      </c>
      <c r="P194" s="32" t="n">
        <v>18.21</v>
      </c>
      <c r="Q194" s="32" t="n">
        <v>877.75</v>
      </c>
      <c r="R194" s="31" t="inlineStr">
        <is>
          <t>Earnings / Momentum Support</t>
        </is>
      </c>
      <c r="S194" s="31" t="inlineStr">
        <is>
          <t>Nifty IT</t>
        </is>
      </c>
      <c r="T194" s="32" t="n">
        <v>-20.29</v>
      </c>
      <c r="U194" s="32" t="n">
        <v>-13.2</v>
      </c>
      <c r="V194" s="32" t="n">
        <v>8.9</v>
      </c>
      <c r="W194" s="32" t="n">
        <v>3.51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IF(B195=0,"",RANK(B195,$B$2:$B$222,0))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PFOCUS</t>
        </is>
      </c>
      <c r="D195" s="31" t="inlineStr">
        <is>
          <t>Prime Focus Limited</t>
        </is>
      </c>
      <c r="E195" s="31" t="inlineStr">
        <is>
          <t>realty</t>
        </is>
      </c>
      <c r="F195" s="31" t="inlineStr">
        <is>
          <t>miscellaneous</t>
        </is>
      </c>
      <c r="G195" s="31" t="inlineStr">
        <is>
          <t>largecap</t>
        </is>
      </c>
      <c r="H195" s="32" t="n">
        <v>26008.55</v>
      </c>
      <c r="I195" s="32" t="n">
        <v>334.95</v>
      </c>
      <c r="J195" s="32" t="n">
        <v>4.52</v>
      </c>
      <c r="K195" s="32" t="n">
        <v>6593481</v>
      </c>
      <c r="L195" s="31" t="inlineStr"/>
      <c r="M195" s="31" t="inlineStr"/>
      <c r="N195" s="32">
        <f>IF(M195="Underperforming",-5,IF(L195&gt;=95,15,IF(L195&gt;=90,10,IF(L195&gt;=80,5,0))))</f>
        <v/>
      </c>
      <c r="O195" s="32" t="n">
        <v>66.63</v>
      </c>
      <c r="P195" s="32" t="n">
        <v>16.08</v>
      </c>
      <c r="Q195" s="32" t="n">
        <v>244.14</v>
      </c>
      <c r="R195" s="31" t="inlineStr">
        <is>
          <t>Volume Spike &amp; Near 52W High Breakout</t>
        </is>
      </c>
      <c r="S195" s="31" t="inlineStr">
        <is>
          <t>Nifty Realty</t>
        </is>
      </c>
      <c r="T195" s="32" t="inlineStr"/>
      <c r="U195" s="32" t="inlineStr"/>
      <c r="V195" s="32" t="inlineStr"/>
      <c r="W195" s="32" t="inlineStr"/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More than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IF(B196=0,"",RANK(B196,$B$2:$B$222,0))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DICIND</t>
        </is>
      </c>
      <c r="D196" s="31" t="inlineStr">
        <is>
          <t>Dic India Limited</t>
        </is>
      </c>
      <c r="E196" s="31" t="inlineStr">
        <is>
          <t>chemicals</t>
        </is>
      </c>
      <c r="F196" s="31" t="inlineStr">
        <is>
          <t>chemicals</t>
        </is>
      </c>
      <c r="G196" s="31" t="inlineStr">
        <is>
          <t>smallcap</t>
        </is>
      </c>
      <c r="H196" s="32" t="n">
        <v>576.85</v>
      </c>
      <c r="I196" s="32" t="n">
        <v>628.45</v>
      </c>
      <c r="J196" s="32" t="n">
        <v>2.97</v>
      </c>
      <c r="K196" s="32" t="n">
        <v>11357</v>
      </c>
      <c r="L196" s="31" t="n">
        <v>25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69.61</v>
      </c>
      <c r="P196" s="32" t="n">
        <v>15.1</v>
      </c>
      <c r="Q196" s="32" t="n">
        <v>480.9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-8.119999999999999</v>
      </c>
      <c r="U196" s="32" t="n">
        <v>11.9</v>
      </c>
      <c r="V196" s="32" t="n">
        <v>21.79</v>
      </c>
      <c r="W196" s="32" t="n">
        <v>7.51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Negative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IF(B197=0,"",RANK(B197,$B$2:$B$222,0))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HINDOILEXP</t>
        </is>
      </c>
      <c r="D197" s="31" t="inlineStr">
        <is>
          <t>Hindustan Oil Exploration Company Limited</t>
        </is>
      </c>
      <c r="E197" s="31" t="inlineStr">
        <is>
          <t>energy</t>
        </is>
      </c>
      <c r="F197" s="31" t="inlineStr">
        <is>
          <t>oil drilling / allied services</t>
        </is>
      </c>
      <c r="G197" s="31" t="inlineStr">
        <is>
          <t>smallcap</t>
        </is>
      </c>
      <c r="H197" s="32" t="n">
        <v>2392.94</v>
      </c>
      <c r="I197" s="32" t="n">
        <v>180.95</v>
      </c>
      <c r="J197" s="32" t="n">
        <v>0.28</v>
      </c>
      <c r="K197" s="32" t="n">
        <v>701322</v>
      </c>
      <c r="L197" s="31" t="inlineStr"/>
      <c r="M197" s="31" t="inlineStr"/>
      <c r="N197" s="32">
        <f>IF(M197="Underperforming",-5,IF(L197&gt;=95,15,IF(L197&gt;=90,10,IF(L197&gt;=80,5,0))))</f>
        <v/>
      </c>
      <c r="O197" s="32" t="n">
        <v>61.28</v>
      </c>
      <c r="P197" s="32" t="n">
        <v>40.79</v>
      </c>
      <c r="Q197" s="32" t="n">
        <v>140.5</v>
      </c>
      <c r="R197" s="31" t="inlineStr">
        <is>
          <t>Near 52W High Breakout</t>
        </is>
      </c>
      <c r="S197" s="31" t="inlineStr">
        <is>
          <t>Nifty Energy</t>
        </is>
      </c>
      <c r="T197" s="32" t="inlineStr"/>
      <c r="U197" s="32" t="inlineStr"/>
      <c r="V197" s="32" t="inlineStr"/>
      <c r="W197" s="32" t="inlineStr"/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Oligopoly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Cyclical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Volatile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IF(B198=0,"",RANK(B198,$B$2:$B$222,0))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GODREJAGRO</t>
        </is>
      </c>
      <c r="D198" s="31" t="inlineStr">
        <is>
          <t>Godrej Agrovet Ltd</t>
        </is>
      </c>
      <c r="E198" s="31" t="inlineStr">
        <is>
          <t>fmcg</t>
        </is>
      </c>
      <c r="F198" s="31" t="inlineStr">
        <is>
          <t>food - processing - indian</t>
        </is>
      </c>
      <c r="G198" s="31" t="inlineStr">
        <is>
          <t>midcap</t>
        </is>
      </c>
      <c r="H198" s="32" t="n">
        <v>12572.65</v>
      </c>
      <c r="I198" s="32" t="n">
        <v>653.6</v>
      </c>
      <c r="J198" s="32" t="n">
        <v>0.97</v>
      </c>
      <c r="K198" s="32" t="n">
        <v>117590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63.19</v>
      </c>
      <c r="P198" s="32" t="n">
        <v>19.62</v>
      </c>
      <c r="Q198" s="32" t="n">
        <v>555.23</v>
      </c>
      <c r="R198" s="31" t="inlineStr">
        <is>
          <t>Earnings / Momentum Support</t>
        </is>
      </c>
      <c r="S198" s="31" t="inlineStr">
        <is>
          <t>Nifty FMCG</t>
        </is>
      </c>
      <c r="T198" s="32" t="inlineStr"/>
      <c r="U198" s="32" t="inlineStr"/>
      <c r="V198" s="32" t="inlineStr"/>
      <c r="W198" s="32" t="inlineStr"/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B2C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IF(B199=0,"",RANK(B199,$B$2:$B$222,0))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CUPID</t>
        </is>
      </c>
      <c r="D199" s="31" t="inlineStr">
        <is>
          <t>Cupid Limited</t>
        </is>
      </c>
      <c r="E199" s="31" t="inlineStr">
        <is>
          <t>fmcg</t>
        </is>
      </c>
      <c r="F199" s="31" t="inlineStr">
        <is>
          <t>personal care - indian</t>
        </is>
      </c>
      <c r="G199" s="31" t="inlineStr">
        <is>
          <t>largecap</t>
        </is>
      </c>
      <c r="H199" s="32" t="n">
        <v>37536.2</v>
      </c>
      <c r="I199" s="32" t="n">
        <v>279.15</v>
      </c>
      <c r="J199" s="32" t="n">
        <v>-0.3</v>
      </c>
      <c r="K199" s="32" t="n">
        <v>5922526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84.22</v>
      </c>
      <c r="P199" s="32" t="n">
        <v>72.55</v>
      </c>
      <c r="Q199" s="32" t="n">
        <v>230.42</v>
      </c>
      <c r="R199" s="31" t="inlineStr">
        <is>
          <t>Earnings / Momentum Support</t>
        </is>
      </c>
      <c r="S199" s="31" t="inlineStr">
        <is>
          <t>Nifty FMCG</t>
        </is>
      </c>
      <c r="T199" s="32" t="inlineStr"/>
      <c r="U199" s="32" t="inlineStr"/>
      <c r="V199" s="32" t="inlineStr"/>
      <c r="W199" s="32" t="inlineStr"/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B2C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IF(B200=0,"",RANK(B200,$B$2:$B$222,0))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RAMRAT</t>
        </is>
      </c>
      <c r="D200" s="31" t="inlineStr">
        <is>
          <t>Ram Ratna Wires Ltd</t>
        </is>
      </c>
      <c r="E200" s="31" t="inlineStr">
        <is>
          <t>metals &amp; mining</t>
        </is>
      </c>
      <c r="F200" s="31" t="inlineStr">
        <is>
          <t>mining / minerals / metals</t>
        </is>
      </c>
      <c r="G200" s="31" t="inlineStr">
        <is>
          <t>midcap</t>
        </is>
      </c>
      <c r="H200" s="32" t="n">
        <v>5205.14</v>
      </c>
      <c r="I200" s="32" t="n">
        <v>557.6</v>
      </c>
      <c r="J200" s="32" t="n">
        <v>6.05</v>
      </c>
      <c r="K200" s="32" t="n">
        <v>326151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69.31</v>
      </c>
      <c r="P200" s="32" t="n">
        <v>46.34</v>
      </c>
      <c r="Q200" s="32" t="n">
        <v>444.52</v>
      </c>
      <c r="R200" s="31" t="inlineStr">
        <is>
          <t>Earnings / Momentum Support</t>
        </is>
      </c>
      <c r="S200" s="31" t="inlineStr">
        <is>
          <t>Nifty Metal</t>
        </is>
      </c>
      <c r="T200" s="32" t="inlineStr"/>
      <c r="U200" s="32" t="inlineStr"/>
      <c r="V200" s="32" t="inlineStr"/>
      <c r="W200" s="32" t="inlineStr"/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Cyclical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Volatile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IF(B201=0,"",RANK(B201,$B$2:$B$222,0))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JTLIND</t>
        </is>
      </c>
      <c r="D201" s="31" t="inlineStr">
        <is>
          <t>JTL Industries Ltd</t>
        </is>
      </c>
      <c r="E201" s="31" t="inlineStr">
        <is>
          <t>metals &amp; mining</t>
        </is>
      </c>
      <c r="F201" s="31" t="inlineStr">
        <is>
          <t>steel - medium / small</t>
        </is>
      </c>
      <c r="G201" s="31" t="inlineStr">
        <is>
          <t>smallcap</t>
        </is>
      </c>
      <c r="H201" s="32" t="n">
        <v>3432.39</v>
      </c>
      <c r="I201" s="32" t="n">
        <v>87.31999999999999</v>
      </c>
      <c r="J201" s="32" t="n">
        <v>3.22</v>
      </c>
      <c r="K201" s="32" t="n">
        <v>2352512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60.65</v>
      </c>
      <c r="P201" s="32" t="n">
        <v>15.04</v>
      </c>
      <c r="Q201" s="32" t="n">
        <v>66.69</v>
      </c>
      <c r="R201" s="31" t="inlineStr">
        <is>
          <t>Near 52W High Breakout</t>
        </is>
      </c>
      <c r="S201" s="31" t="inlineStr">
        <is>
          <t>Nifty Metal</t>
        </is>
      </c>
      <c r="T201" s="32" t="inlineStr"/>
      <c r="U201" s="32" t="inlineStr"/>
      <c r="V201" s="32" t="inlineStr"/>
      <c r="W201" s="32" t="inlineStr"/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Cyclical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Volatile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IF(B202=0,"",RANK(B202,$B$2:$B$222,0))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SPLPETRO</t>
        </is>
      </c>
      <c r="D202" s="31" t="inlineStr">
        <is>
          <t>Supreme Petrochem Ltd</t>
        </is>
      </c>
      <c r="E202" s="31" t="inlineStr">
        <is>
          <t>energy</t>
        </is>
      </c>
      <c r="F202" s="31" t="inlineStr">
        <is>
          <t>petrochemicals</t>
        </is>
      </c>
      <c r="G202" s="31" t="inlineStr">
        <is>
          <t>midcap</t>
        </is>
      </c>
      <c r="H202" s="32" t="n">
        <v>15174.94</v>
      </c>
      <c r="I202" s="32" t="n">
        <v>807</v>
      </c>
      <c r="J202" s="32" t="n">
        <v>1.8</v>
      </c>
      <c r="K202" s="32" t="n">
        <v>113748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61.05</v>
      </c>
      <c r="P202" s="32" t="n">
        <v>28.35</v>
      </c>
      <c r="Q202" s="32" t="n">
        <v>642.97</v>
      </c>
      <c r="R202" s="31" t="inlineStr">
        <is>
          <t>Earnings / Momentum Support</t>
        </is>
      </c>
      <c r="S202" s="31" t="inlineStr">
        <is>
          <t>Nifty Energy</t>
        </is>
      </c>
      <c r="T202" s="32" t="inlineStr"/>
      <c r="U202" s="32" t="inlineStr"/>
      <c r="V202" s="32" t="inlineStr"/>
      <c r="W202" s="32" t="inlineStr"/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Oligopoly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IF(B203=0,"",RANK(B203,$B$2:$B$222,0))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SESHAPAPER</t>
        </is>
      </c>
      <c r="D203" s="31" t="inlineStr">
        <is>
          <t>Seshasayee Paper And Boards Limited</t>
        </is>
      </c>
      <c r="E203" s="31" t="inlineStr">
        <is>
          <t>building materials</t>
        </is>
      </c>
      <c r="F203" s="31" t="inlineStr">
        <is>
          <t>paper</t>
        </is>
      </c>
      <c r="G203" s="31" t="inlineStr">
        <is>
          <t>smallcap</t>
        </is>
      </c>
      <c r="H203" s="32" t="n">
        <v>1562.95</v>
      </c>
      <c r="I203" s="32" t="n">
        <v>247.82</v>
      </c>
      <c r="J203" s="32" t="n">
        <v>0.45</v>
      </c>
      <c r="K203" s="32" t="n">
        <v>49766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54.96</v>
      </c>
      <c r="P203" s="32" t="n">
        <v>20.26</v>
      </c>
      <c r="Q203" s="32" t="n">
        <v>199.96</v>
      </c>
      <c r="R203" s="31" t="inlineStr">
        <is>
          <t>Earnings / Momentum Support</t>
        </is>
      </c>
      <c r="S203" s="31" t="inlineStr">
        <is>
          <t>Nifty Infra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1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IF(B204=0,"",RANK(B204,$B$2:$B$222,0))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MATRIMONY</t>
        </is>
      </c>
      <c r="D204" s="31" t="inlineStr">
        <is>
          <t>Matrimony.com Ltd</t>
        </is>
      </c>
      <c r="E204" s="31" t="inlineStr">
        <is>
          <t>miscellaneous</t>
        </is>
      </c>
      <c r="F204" s="31" t="inlineStr">
        <is>
          <t>miscellaneous</t>
        </is>
      </c>
      <c r="G204" s="31" t="inlineStr">
        <is>
          <t>smallcap</t>
        </is>
      </c>
      <c r="H204" s="32" t="n">
        <v>1097.34</v>
      </c>
      <c r="I204" s="32" t="n">
        <v>530.8</v>
      </c>
      <c r="J204" s="32" t="n">
        <v>-0.49</v>
      </c>
      <c r="K204" s="32" t="n">
        <v>32549</v>
      </c>
      <c r="L204" s="31" t="n">
        <v>33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63.4</v>
      </c>
      <c r="P204" s="32" t="n">
        <v>36.26</v>
      </c>
      <c r="Q204" s="32" t="n">
        <v>421.6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-8.119999999999999</v>
      </c>
      <c r="U204" s="32" t="n">
        <v>4.66</v>
      </c>
      <c r="V204" s="32" t="n">
        <v>13.91</v>
      </c>
      <c r="W204" s="32" t="n">
        <v>10.11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IF(B205=0,"",RANK(B205,$B$2:$B$222,0))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SHANTIGEAR</t>
        </is>
      </c>
      <c r="D205" s="31" t="inlineStr">
        <is>
          <t>Shanthi Gears Limited</t>
        </is>
      </c>
      <c r="E205" s="31" t="inlineStr">
        <is>
          <t>industrials</t>
        </is>
      </c>
      <c r="F205" s="31" t="inlineStr">
        <is>
          <t>engineering</t>
        </is>
      </c>
      <c r="G205" s="31" t="inlineStr">
        <is>
          <t>midcap</t>
        </is>
      </c>
      <c r="H205" s="32" t="n">
        <v>5198.27</v>
      </c>
      <c r="I205" s="32" t="n">
        <v>677.6</v>
      </c>
      <c r="J205" s="32" t="n">
        <v>-2.02</v>
      </c>
      <c r="K205" s="32" t="n">
        <v>65634</v>
      </c>
      <c r="L205" s="31" t="n">
        <v>55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76.01000000000001</v>
      </c>
      <c r="P205" s="32" t="n">
        <v>30.68</v>
      </c>
      <c r="Q205" s="32" t="n">
        <v>564.96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-8.119999999999999</v>
      </c>
      <c r="U205" s="32" t="n">
        <v>23.39</v>
      </c>
      <c r="V205" s="32" t="n">
        <v>34.29</v>
      </c>
      <c r="W205" s="32" t="n">
        <v>16.68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IF(B206=0,"",RANK(B206,$B$2:$B$222,0))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TEGA</t>
        </is>
      </c>
      <c r="D206" s="31" t="inlineStr">
        <is>
          <t>Tega Industries Ltd</t>
        </is>
      </c>
      <c r="E206" s="31" t="inlineStr">
        <is>
          <t>industrials</t>
        </is>
      </c>
      <c r="F206" s="31" t="inlineStr">
        <is>
          <t>engineering</t>
        </is>
      </c>
      <c r="G206" s="31" t="inlineStr">
        <is>
          <t>midcap</t>
        </is>
      </c>
      <c r="H206" s="32" t="n">
        <v>14424.52</v>
      </c>
      <c r="I206" s="32" t="n">
        <v>1920</v>
      </c>
      <c r="J206" s="32" t="n">
        <v>11.82</v>
      </c>
      <c r="K206" s="32" t="n">
        <v>3909542</v>
      </c>
      <c r="L206" s="31" t="n">
        <v>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59.92</v>
      </c>
      <c r="P206" s="32" t="n">
        <v>10.74</v>
      </c>
      <c r="Q206" s="32" t="n">
        <v>1456.73</v>
      </c>
      <c r="R206" s="31" t="inlineStr">
        <is>
          <t>Volume Spike &amp; Near 52W High Breakout</t>
        </is>
      </c>
      <c r="S206" s="31" t="inlineStr">
        <is>
          <t>Nifty 50</t>
        </is>
      </c>
      <c r="T206" s="32" t="n">
        <v>-8.119999999999999</v>
      </c>
      <c r="U206" s="32" t="n">
        <v>-4.61</v>
      </c>
      <c r="V206" s="32" t="n">
        <v>3.82</v>
      </c>
      <c r="W206" s="32" t="n">
        <v>0.7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1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IF(B207=0,"",RANK(B207,$B$2:$B$222,0))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VENUSPIPES</t>
        </is>
      </c>
      <c r="D207" s="31" t="inlineStr">
        <is>
          <t>Venus Pipes &amp; Tubes Ltd</t>
        </is>
      </c>
      <c r="E207" s="31" t="inlineStr">
        <is>
          <t>metals &amp; mining</t>
        </is>
      </c>
      <c r="F207" s="31" t="inlineStr">
        <is>
          <t>steel - medium / small</t>
        </is>
      </c>
      <c r="G207" s="31" t="inlineStr">
        <is>
          <t>smallcap</t>
        </is>
      </c>
      <c r="H207" s="32" t="n">
        <v>4416.05</v>
      </c>
      <c r="I207" s="32" t="n">
        <v>2131.7</v>
      </c>
      <c r="J207" s="32" t="n">
        <v>9.99</v>
      </c>
      <c r="K207" s="32" t="n">
        <v>1296328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76.48999999999999</v>
      </c>
      <c r="P207" s="32" t="n">
        <v>35.35</v>
      </c>
      <c r="Q207" s="32" t="n">
        <v>1647.74</v>
      </c>
      <c r="R207" s="31" t="inlineStr">
        <is>
          <t>Volume Spike &amp; Near 52W High Breakout</t>
        </is>
      </c>
      <c r="S207" s="31" t="inlineStr">
        <is>
          <t>Nifty Metal</t>
        </is>
      </c>
      <c r="T207" s="32" t="inlineStr"/>
      <c r="U207" s="32" t="inlineStr"/>
      <c r="V207" s="32" t="inlineStr"/>
      <c r="W207" s="32" t="inlineStr"/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IF(B208=0,"",RANK(B208,$B$2:$B$222,0))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MBAPL</t>
        </is>
      </c>
      <c r="D208" s="31" t="inlineStr">
        <is>
          <t>Madhya Bharat Agro Products Ltd</t>
        </is>
      </c>
      <c r="E208" s="31" t="inlineStr">
        <is>
          <t>chemicals</t>
        </is>
      </c>
      <c r="F208" s="31" t="inlineStr">
        <is>
          <t>fertilizers</t>
        </is>
      </c>
      <c r="G208" s="31" t="inlineStr">
        <is>
          <t>smallcap</t>
        </is>
      </c>
      <c r="H208" s="32" t="n">
        <v>1436.21</v>
      </c>
      <c r="I208" s="32" t="n">
        <v>163.9</v>
      </c>
      <c r="J208" s="32" t="n">
        <v>2.55</v>
      </c>
      <c r="K208" s="32" t="n">
        <v>1856013</v>
      </c>
      <c r="L208" s="31" t="n">
        <v>72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74.58</v>
      </c>
      <c r="P208" s="32" t="n">
        <v>71.91</v>
      </c>
      <c r="Q208" s="32" t="n">
        <v>134.46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-8.119999999999999</v>
      </c>
      <c r="U208" s="32" t="n">
        <v>90.66</v>
      </c>
      <c r="V208" s="32" t="n">
        <v>107.51</v>
      </c>
      <c r="W208" s="32" t="n">
        <v>24.33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Between 12 to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IF(B209=0,"",RANK(B209,$B$2:$B$222,0))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LIKHITHA</t>
        </is>
      </c>
      <c r="D209" s="31" t="inlineStr">
        <is>
          <t>Likhitha Infrastructure Ltd</t>
        </is>
      </c>
      <c r="E209" s="31" t="inlineStr">
        <is>
          <t>realty</t>
        </is>
      </c>
      <c r="F209" s="31" t="inlineStr">
        <is>
          <t>construction</t>
        </is>
      </c>
      <c r="G209" s="31" t="inlineStr">
        <is>
          <t>smallcap</t>
        </is>
      </c>
      <c r="H209" s="32" t="n">
        <v>878.28</v>
      </c>
      <c r="I209" s="32" t="n">
        <v>222.63</v>
      </c>
      <c r="J209" s="32" t="n">
        <v>-2.07</v>
      </c>
      <c r="K209" s="32" t="n">
        <v>42097</v>
      </c>
      <c r="L209" s="31" t="inlineStr"/>
      <c r="M209" s="31" t="inlineStr"/>
      <c r="N209" s="32">
        <f>IF(M209="Underperforming",-5,IF(L209&gt;=95,15,IF(L209&gt;=90,10,IF(L209&gt;=80,5,0))))</f>
        <v/>
      </c>
      <c r="O209" s="32" t="n">
        <v>52.87</v>
      </c>
      <c r="P209" s="32" t="n">
        <v>18.76</v>
      </c>
      <c r="Q209" s="32" t="n">
        <v>193.84</v>
      </c>
      <c r="R209" s="31" t="inlineStr">
        <is>
          <t>Volume Spike / Accumulation</t>
        </is>
      </c>
      <c r="S209" s="31" t="inlineStr">
        <is>
          <t>Nifty Realty</t>
        </is>
      </c>
      <c r="T209" s="32" t="inlineStr"/>
      <c r="U209" s="32" t="inlineStr"/>
      <c r="V209" s="32" t="inlineStr"/>
      <c r="W209" s="32" t="inlineStr"/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1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IF(B210=0,"",RANK(B210,$B$2:$B$222,0))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PRABHA</t>
        </is>
      </c>
      <c r="D210" s="31" t="inlineStr">
        <is>
          <t>Prabha Energy Ltd</t>
        </is>
      </c>
      <c r="E210" s="31" t="inlineStr">
        <is>
          <t>energy</t>
        </is>
      </c>
      <c r="F210" s="31" t="inlineStr">
        <is>
          <t>oil drilling / allied services</t>
        </is>
      </c>
      <c r="G210" s="31" t="inlineStr">
        <is>
          <t>smallcap</t>
        </is>
      </c>
      <c r="H210" s="32" t="n">
        <v>3235.89</v>
      </c>
      <c r="I210" s="32" t="n">
        <v>220.77</v>
      </c>
      <c r="J210" s="32" t="n">
        <v>-2.56</v>
      </c>
      <c r="K210" s="32" t="n">
        <v>125409</v>
      </c>
      <c r="L210" s="31" t="inlineStr"/>
      <c r="M210" s="31" t="inlineStr"/>
      <c r="N210" s="32">
        <f>IF(M210="Underperforming",-5,IF(L210&gt;=95,15,IF(L210&gt;=90,10,IF(L210&gt;=80,5,0))))</f>
        <v/>
      </c>
      <c r="O210" s="32" t="n">
        <v>62.93</v>
      </c>
      <c r="P210" s="32" t="n">
        <v>27.56</v>
      </c>
      <c r="Q210" s="32" t="n">
        <v>175.63</v>
      </c>
      <c r="R210" s="31" t="inlineStr">
        <is>
          <t>Earnings / Momentum Support</t>
        </is>
      </c>
      <c r="S210" s="31" t="inlineStr">
        <is>
          <t>Nifty Energy</t>
        </is>
      </c>
      <c r="T210" s="32" t="inlineStr"/>
      <c r="U210" s="32" t="inlineStr"/>
      <c r="V210" s="32" t="inlineStr"/>
      <c r="W210" s="32" t="inlineStr"/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IF(B211=0,"",RANK(B211,$B$2:$B$222,0))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EMIL</t>
        </is>
      </c>
      <c r="D211" s="31" t="inlineStr">
        <is>
          <t>Electronics Mart India Ltd</t>
        </is>
      </c>
      <c r="E211" s="31" t="inlineStr">
        <is>
          <t>consumer discretionary</t>
        </is>
      </c>
      <c r="F211" s="31" t="inlineStr">
        <is>
          <t>trading</t>
        </is>
      </c>
      <c r="G211" s="31" t="inlineStr">
        <is>
          <t>midcap</t>
        </is>
      </c>
      <c r="H211" s="32" t="n">
        <v>7120.55</v>
      </c>
      <c r="I211" s="32" t="n">
        <v>185.07</v>
      </c>
      <c r="J211" s="32" t="n">
        <v>2.29</v>
      </c>
      <c r="K211" s="32" t="n">
        <v>1962550</v>
      </c>
      <c r="L211" s="31" t="n">
        <v>60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69.41</v>
      </c>
      <c r="P211" s="32" t="n">
        <v>39.15</v>
      </c>
      <c r="Q211" s="32" t="n">
        <v>142.98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-8.119999999999999</v>
      </c>
      <c r="U211" s="32" t="n">
        <v>17.21</v>
      </c>
      <c r="V211" s="32" t="n">
        <v>27.56</v>
      </c>
      <c r="W211" s="32" t="n">
        <v>18.38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More than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IF(B212=0,"",RANK(B212,$B$2:$B$222,0))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INDIQUBE</t>
        </is>
      </c>
      <c r="D212" s="33" t="inlineStr">
        <is>
          <t>Indiqube Spaces Ltd</t>
        </is>
      </c>
      <c r="E212" s="31" t="inlineStr">
        <is>
          <t>co-working</t>
        </is>
      </c>
      <c r="F212" s="31" t="inlineStr">
        <is>
          <t>miscellaneous</t>
        </is>
      </c>
      <c r="G212" s="31" t="inlineStr">
        <is>
          <t>smallcap</t>
        </is>
      </c>
      <c r="H212" s="32" t="n">
        <v>4291.89</v>
      </c>
      <c r="I212" s="32" t="n">
        <v>202.45</v>
      </c>
      <c r="J212" s="32" t="n">
        <v>1.15</v>
      </c>
      <c r="K212" s="32" t="n">
        <v>77034</v>
      </c>
      <c r="L212" s="31" t="n">
        <v>6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61.79</v>
      </c>
      <c r="P212" s="32" t="n">
        <v>18.19</v>
      </c>
      <c r="Q212" s="32" t="n">
        <v>151.65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-8.119999999999999</v>
      </c>
      <c r="U212" s="32" t="n">
        <v>-14.91</v>
      </c>
      <c r="V212" s="32" t="n">
        <v>-7.39</v>
      </c>
      <c r="W212" s="32" t="n">
        <v>1.46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IF(B213=0,"",RANK(B213,$B$2:$B$222,0))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KIMS</t>
        </is>
      </c>
      <c r="D213" s="33" t="inlineStr">
        <is>
          <t>Krishna Institute of Medical Sciences Ltd</t>
        </is>
      </c>
      <c r="E213" s="31" t="inlineStr">
        <is>
          <t>healthcare</t>
        </is>
      </c>
      <c r="F213" s="31" t="inlineStr">
        <is>
          <t>healthcare</t>
        </is>
      </c>
      <c r="G213" s="31" t="inlineStr">
        <is>
          <t>largecap</t>
        </is>
      </c>
      <c r="H213" s="32" t="n">
        <v>33258.21</v>
      </c>
      <c r="I213" s="32" t="n">
        <v>791.85</v>
      </c>
      <c r="J213" s="32" t="n">
        <v>3.29</v>
      </c>
      <c r="K213" s="32" t="n">
        <v>1082406</v>
      </c>
      <c r="L213" s="31" t="n">
        <v>8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56.82</v>
      </c>
      <c r="P213" s="32" t="n">
        <v>36.79</v>
      </c>
      <c r="Q213" s="32" t="n">
        <v>721.85</v>
      </c>
      <c r="R213" s="31" t="inlineStr">
        <is>
          <t>Earnings / Momentum Support</t>
        </is>
      </c>
      <c r="S213" s="31" t="inlineStr">
        <is>
          <t>Nifty Pharma</t>
        </is>
      </c>
      <c r="T213" s="32" t="n">
        <v>17.16</v>
      </c>
      <c r="U213" s="32" t="n">
        <v>6.35</v>
      </c>
      <c r="V213" s="32" t="n">
        <v>-9.23</v>
      </c>
      <c r="W213" s="32" t="n">
        <v>1.67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IF(B214=0,"",RANK(B214,$B$2:$B$222,0))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VHLTD</t>
        </is>
      </c>
      <c r="D214" s="31" t="inlineStr">
        <is>
          <t>Viceroy Hotels Ltd</t>
        </is>
      </c>
      <c r="E214" s="31" t="inlineStr">
        <is>
          <t>services</t>
        </is>
      </c>
      <c r="F214" s="31" t="inlineStr">
        <is>
          <t>hotels</t>
        </is>
      </c>
      <c r="G214" s="31" t="inlineStr">
        <is>
          <t>smallcap</t>
        </is>
      </c>
      <c r="H214" s="32" t="n">
        <v>892.58</v>
      </c>
      <c r="I214" s="32" t="n">
        <v>132.08</v>
      </c>
      <c r="J214" s="32" t="n">
        <v>4.12</v>
      </c>
      <c r="K214" s="32" t="n">
        <v>42536</v>
      </c>
      <c r="L214" s="31" t="n">
        <v>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52.38</v>
      </c>
      <c r="P214" s="32" t="n">
        <v>15.17</v>
      </c>
      <c r="Q214" s="32" t="n">
        <v>110.48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-8.119999999999999</v>
      </c>
      <c r="U214" s="32" t="n">
        <v>10.56</v>
      </c>
      <c r="V214" s="32" t="n">
        <v>20.33</v>
      </c>
      <c r="W214" s="32" t="n">
        <v>0.96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1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IF(B215=0,"",RANK(B215,$B$2:$B$222,0))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ASTEC</t>
        </is>
      </c>
      <c r="D215" s="33" t="inlineStr">
        <is>
          <t>Astec Lifesciences Limited</t>
        </is>
      </c>
      <c r="E215" s="31" t="inlineStr">
        <is>
          <t>chemicals</t>
        </is>
      </c>
      <c r="F215" s="31" t="inlineStr">
        <is>
          <t>pesticides / agrochemicals - indian</t>
        </is>
      </c>
      <c r="G215" s="31" t="inlineStr">
        <is>
          <t>smallcap</t>
        </is>
      </c>
      <c r="H215" s="32" t="n">
        <v>1682.69</v>
      </c>
      <c r="I215" s="32" t="n">
        <v>755.15</v>
      </c>
      <c r="J215" s="32" t="n">
        <v>14.08</v>
      </c>
      <c r="K215" s="32" t="n">
        <v>994540</v>
      </c>
      <c r="L215" s="31" t="n">
        <v>2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58.43</v>
      </c>
      <c r="P215" s="32" t="n">
        <v>17.02</v>
      </c>
      <c r="Q215" s="32" t="n">
        <v>546.84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-8.119999999999999</v>
      </c>
      <c r="U215" s="32" t="n">
        <v>-8.460000000000001</v>
      </c>
      <c r="V215" s="32" t="n">
        <v>-0.37</v>
      </c>
      <c r="W215" s="32" t="n">
        <v>-0.7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1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IF(B216=0,"",RANK(B216,$B$2:$B$222,0))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KIRLFER</t>
        </is>
      </c>
      <c r="D216" s="31" t="inlineStr">
        <is>
          <t>Kirloskar Ferrous Industries Ltd</t>
        </is>
      </c>
      <c r="E216" s="31" t="inlineStr">
        <is>
          <t>metals &amp; mining</t>
        </is>
      </c>
      <c r="F216" s="31" t="inlineStr">
        <is>
          <t>steel - large</t>
        </is>
      </c>
      <c r="G216" s="31" t="inlineStr">
        <is>
          <t>midcap</t>
        </is>
      </c>
      <c r="H216" s="32" t="n">
        <v>7826.41</v>
      </c>
      <c r="I216" s="32" t="n">
        <v>474.35</v>
      </c>
      <c r="J216" s="32" t="n">
        <v>0.73</v>
      </c>
      <c r="K216" s="32" t="n">
        <v>68163</v>
      </c>
      <c r="L216" s="31" t="inlineStr"/>
      <c r="M216" s="31" t="inlineStr"/>
      <c r="N216" s="32">
        <f>IF(M216="Underperforming",-5,IF(L216&gt;=95,15,IF(L216&gt;=90,10,IF(L216&gt;=80,5,0))))</f>
        <v/>
      </c>
      <c r="O216" s="32" t="n">
        <v>57.23</v>
      </c>
      <c r="P216" s="32" t="n">
        <v>14.02</v>
      </c>
      <c r="Q216" s="32" t="n">
        <v>393.13</v>
      </c>
      <c r="R216" s="31" t="inlineStr">
        <is>
          <t>Earnings / Momentum Support</t>
        </is>
      </c>
      <c r="S216" s="31" t="inlineStr">
        <is>
          <t>Nifty Metal</t>
        </is>
      </c>
      <c r="T216" s="32" t="inlineStr"/>
      <c r="U216" s="32" t="inlineStr"/>
      <c r="V216" s="32" t="inlineStr"/>
      <c r="W216" s="32" t="inlineStr"/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IF(B217=0,"",RANK(B217,$B$2:$B$222,0))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BLACKBUCK</t>
        </is>
      </c>
      <c r="D217" s="31" t="inlineStr">
        <is>
          <t>BlackBuck Ltd</t>
        </is>
      </c>
      <c r="E217" s="31" t="inlineStr">
        <is>
          <t>transportation</t>
        </is>
      </c>
      <c r="F217" s="31" t="inlineStr">
        <is>
          <t>miscellaneous</t>
        </is>
      </c>
      <c r="G217" s="31" t="inlineStr">
        <is>
          <t>midcap</t>
        </is>
      </c>
      <c r="H217" s="32" t="n">
        <v>11137.77</v>
      </c>
      <c r="I217" s="32" t="n">
        <v>611.5</v>
      </c>
      <c r="J217" s="32" t="n">
        <v>-1.22</v>
      </c>
      <c r="K217" s="32" t="n">
        <v>549356</v>
      </c>
      <c r="L217" s="31" t="n">
        <v>9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54.49</v>
      </c>
      <c r="P217" s="32" t="n">
        <v>10.29</v>
      </c>
      <c r="Q217" s="32" t="n">
        <v>483.98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-8.119999999999999</v>
      </c>
      <c r="U217" s="32" t="n">
        <v>2.22</v>
      </c>
      <c r="V217" s="32" t="n">
        <v>11.26</v>
      </c>
      <c r="W217" s="32" t="n">
        <v>1.87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IF(B218=0,"",RANK(B218,$B$2:$B$222,0))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JUBLPHARMA</t>
        </is>
      </c>
      <c r="D218" s="33" t="inlineStr">
        <is>
          <t>Jubilant Pharmova Ltd</t>
        </is>
      </c>
      <c r="E218" s="31" t="inlineStr">
        <is>
          <t>healthcare</t>
        </is>
      </c>
      <c r="F218" s="31" t="inlineStr">
        <is>
          <t>pharmaceuticals - indian - bulk drugs</t>
        </is>
      </c>
      <c r="G218" s="31" t="inlineStr">
        <is>
          <t>midcap</t>
        </is>
      </c>
      <c r="H218" s="32" t="n">
        <v>16120.84</v>
      </c>
      <c r="I218" s="32" t="n">
        <v>1012.1</v>
      </c>
      <c r="J218" s="32" t="n">
        <v>0.96</v>
      </c>
      <c r="K218" s="32" t="n">
        <v>87805</v>
      </c>
      <c r="L218" s="31" t="n">
        <v>3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57.61</v>
      </c>
      <c r="P218" s="32" t="n">
        <v>10.93</v>
      </c>
      <c r="Q218" s="32" t="n">
        <v>827.02</v>
      </c>
      <c r="R218" s="31" t="inlineStr">
        <is>
          <t>Earnings / Momentum Support</t>
        </is>
      </c>
      <c r="S218" s="31" t="inlineStr">
        <is>
          <t>Nifty Pharma</t>
        </is>
      </c>
      <c r="T218" s="32" t="n">
        <v>17.16</v>
      </c>
      <c r="U218" s="32" t="n">
        <v>-7.53</v>
      </c>
      <c r="V218" s="32" t="n">
        <v>-21.07</v>
      </c>
      <c r="W218" s="32" t="n">
        <v>0.42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1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IF(B219=0,"",RANK(B219,$B$2:$B$222,0))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SALSTEEL</t>
        </is>
      </c>
      <c r="D219" s="31" t="inlineStr">
        <is>
          <t>SAL Steel</t>
        </is>
      </c>
      <c r="E219" s="31" t="inlineStr">
        <is>
          <t>metals &amp; mining</t>
        </is>
      </c>
      <c r="F219" s="31" t="inlineStr">
        <is>
          <t>steel - sponge iron</t>
        </is>
      </c>
      <c r="G219" s="31" t="inlineStr">
        <is>
          <t>smallcap</t>
        </is>
      </c>
      <c r="H219" s="32" t="n">
        <v>1134.25</v>
      </c>
      <c r="I219" s="32" t="n">
        <v>78.34999999999999</v>
      </c>
      <c r="J219" s="32" t="n">
        <v>5</v>
      </c>
      <c r="K219" s="32" t="n">
        <v>243492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67.93000000000001</v>
      </c>
      <c r="P219" s="32" t="n">
        <v>29.52</v>
      </c>
      <c r="Q219" s="32" t="n">
        <v>55.87</v>
      </c>
      <c r="R219" s="31" t="inlineStr">
        <is>
          <t>Near 52W High Breakout</t>
        </is>
      </c>
      <c r="S219" s="31" t="inlineStr">
        <is>
          <t>Nifty Metal</t>
        </is>
      </c>
      <c r="T219" s="32" t="inlineStr"/>
      <c r="U219" s="32" t="inlineStr"/>
      <c r="V219" s="32" t="inlineStr"/>
      <c r="W219" s="32" t="inlineStr"/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IF(B220=0,"",RANK(B220,$B$2:$B$222,0))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TATACOMM</t>
        </is>
      </c>
      <c r="D220" s="31" t="inlineStr">
        <is>
          <t>Tata Communications Limited</t>
        </is>
      </c>
      <c r="E220" s="31" t="inlineStr">
        <is>
          <t>telecom-service</t>
        </is>
      </c>
      <c r="F220" s="31" t="inlineStr">
        <is>
          <t>telecommunications - service provider</t>
        </is>
      </c>
      <c r="G220" s="31" t="inlineStr">
        <is>
          <t>largecap</t>
        </is>
      </c>
      <c r="H220" s="32" t="n">
        <v>51063.6</v>
      </c>
      <c r="I220" s="32" t="n">
        <v>1791.6</v>
      </c>
      <c r="J220" s="32" t="n">
        <v>-0.43</v>
      </c>
      <c r="K220" s="32" t="n">
        <v>310186</v>
      </c>
      <c r="L220" s="31" t="n">
        <v>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54.21</v>
      </c>
      <c r="P220" s="32" t="n">
        <v>14.35</v>
      </c>
      <c r="Q220" s="32" t="n">
        <v>1664.97</v>
      </c>
      <c r="R220" s="31" t="inlineStr">
        <is>
          <t>Earnings / Momentum Support</t>
        </is>
      </c>
      <c r="S220" s="31" t="inlineStr">
        <is>
          <t>Nifty 50</t>
        </is>
      </c>
      <c r="T220" s="32" t="n">
        <v>-8.119999999999999</v>
      </c>
      <c r="U220" s="32" t="n">
        <v>7.33</v>
      </c>
      <c r="V220" s="32" t="n">
        <v>16.82</v>
      </c>
      <c r="W220" s="32" t="n">
        <v>1.56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1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More than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IF(B221=0,"",RANK(B221,$B$2:$B$222,0))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GNFC</t>
        </is>
      </c>
      <c r="D221" s="31" t="inlineStr">
        <is>
          <t>Gujarat Narmada Valley Fertilizers And Chemicals Limited</t>
        </is>
      </c>
      <c r="E221" s="31" t="inlineStr">
        <is>
          <t>chemicals</t>
        </is>
      </c>
      <c r="F221" s="31" t="inlineStr">
        <is>
          <t>chemicals</t>
        </is>
      </c>
      <c r="G221" s="31" t="inlineStr">
        <is>
          <t>midcap</t>
        </is>
      </c>
      <c r="H221" s="32" t="n">
        <v>8593.83</v>
      </c>
      <c r="I221" s="32" t="n">
        <v>584.85</v>
      </c>
      <c r="J221" s="32" t="n">
        <v>8.359999999999999</v>
      </c>
      <c r="K221" s="32" t="n">
        <v>8250274</v>
      </c>
      <c r="L221" s="31" t="n">
        <v>21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68.43000000000001</v>
      </c>
      <c r="P221" s="32" t="n">
        <v>39.91</v>
      </c>
      <c r="Q221" s="32" t="n">
        <v>469.71</v>
      </c>
      <c r="R221" s="31" t="inlineStr">
        <is>
          <t>Volume Spike &amp; Near 52W High Breakout</t>
        </is>
      </c>
      <c r="S221" s="31" t="inlineStr">
        <is>
          <t>Nifty 50</t>
        </is>
      </c>
      <c r="T221" s="32" t="n">
        <v>-8.119999999999999</v>
      </c>
      <c r="U221" s="32" t="n">
        <v>18.22</v>
      </c>
      <c r="V221" s="32" t="n">
        <v>28.67</v>
      </c>
      <c r="W221" s="32" t="n">
        <v>6.32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Oligopoly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Shallow Cyclical (2 to 3 Years Growth)</t>
        </is>
      </c>
      <c r="AG221" s="31">
        <f>IF(AF221="Structural (10 Years Consistency)",10,IF(AF221="Shallow Cyclical (2 to 3 years growth)",5,0))</f>
        <v/>
      </c>
      <c r="AH221" s="31" t="inlineStr">
        <is>
          <t>Yes due to Product Mix change or Operating Leverage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Allocated capital in Non-core Areas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Sideways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Overhead supply in last 2 years in last 2 years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More than 15%</t>
        </is>
      </c>
      <c r="CC221" s="31">
        <f>IF(CB221="More than 15%",-10,IF(CB221="Less than 15%",10,0))</f>
        <v/>
      </c>
      <c r="CD221" s="31" t="inlineStr">
        <is>
          <t>Yes Upto 10%</t>
        </is>
      </c>
      <c r="CE221" s="31">
        <f>IF(CD221="Yes, more than 10%",-10,IF(CD221="No",10,0))</f>
        <v/>
      </c>
    </row>
    <row r="222">
      <c r="A222" s="31">
        <f>IF(B222=0,"",RANK(B222,$B$2:$B$222,0))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UNITEDPOLY</t>
        </is>
      </c>
      <c r="D222" s="31" t="inlineStr">
        <is>
          <t>United Polyfab Gujarat Ltd</t>
        </is>
      </c>
      <c r="E222" s="31" t="inlineStr">
        <is>
          <t>textiles</t>
        </is>
      </c>
      <c r="F222" s="31" t="inlineStr">
        <is>
          <t>textiles - products</t>
        </is>
      </c>
      <c r="G222" s="31" t="inlineStr">
        <is>
          <t>smallcap</t>
        </is>
      </c>
      <c r="H222" s="32" t="n">
        <v>1018.13</v>
      </c>
      <c r="I222" s="32" t="n">
        <v>44.36</v>
      </c>
      <c r="J222" s="32" t="n">
        <v>2.71</v>
      </c>
      <c r="K222" s="32" t="n">
        <v>413271</v>
      </c>
      <c r="L222" s="31" t="n">
        <v>36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72.44</v>
      </c>
      <c r="P222" s="32" t="n">
        <v>20.82</v>
      </c>
      <c r="Q222" s="32" t="n">
        <v>32.32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-8.119999999999999</v>
      </c>
      <c r="U222" s="32" t="n">
        <v>10.62</v>
      </c>
      <c r="V222" s="32" t="n">
        <v>20.4</v>
      </c>
      <c r="W222" s="32" t="n">
        <v>10.96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Shallow Cyclical (2 to 3 Years Growth)</t>
        </is>
      </c>
      <c r="AG222" s="31">
        <f>IF(AF222="Structural (10 Years Consistency)",10,IF(AF222="Shallow Cyclical (2 to 3 years growth)",5,0))</f>
        <v/>
      </c>
      <c r="AH222" s="31" t="inlineStr">
        <is>
          <t>Yes due to Product Mix change or Operating Leverage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Allocated capital in Non-core Areas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Sideways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Overhead supply in last 2 years in last 2 years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More than 15%</t>
        </is>
      </c>
      <c r="CC222" s="31">
        <f>IF(CB222="More than 15%",-10,IF(CB222="Less than 15%",10,0))</f>
        <v/>
      </c>
      <c r="CD222" s="31" t="inlineStr">
        <is>
          <t>Yes Upto 10%</t>
        </is>
      </c>
      <c r="CE222" s="31">
        <f>IF(CD222="Yes, more than 10%",-10,IF(CD222="No",10,0))</f>
        <v/>
      </c>
    </row>
  </sheetData>
  <autoFilter ref="A1:CE222"/>
  <conditionalFormatting sqref="B2:B2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22">
    <cfRule type="cellIs" priority="36" operator="equal" dxfId="3" stopIfTrue="1">
      <formula>"Underperforming"</formula>
    </cfRule>
  </conditionalFormatting>
  <conditionalFormatting sqref="N2:N222">
    <cfRule type="cellIs" priority="37" operator="equal" dxfId="3" stopIfTrue="1">
      <formula>-5</formula>
    </cfRule>
  </conditionalFormatting>
  <conditionalFormatting sqref="Q2:Q22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22" showDropDown="0" showInputMessage="0" showErrorMessage="0" allowBlank="1" type="list">
      <formula1>"Growing Industry,Stagnant Industry,Cyclical in an Upturn"</formula1>
    </dataValidation>
    <dataValidation sqref="Z2:Z2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22" showDropDown="0" showInputMessage="0" showErrorMessage="0" allowBlank="1" type="list">
      <formula1>"Yes,No"</formula1>
    </dataValidation>
    <dataValidation sqref="AD2:AD222" showDropDown="0" showInputMessage="0" showErrorMessage="0" allowBlank="1" type="list">
      <formula1>"Tailwind,Headwind"</formula1>
    </dataValidation>
    <dataValidation sqref="AF2:AF222" showDropDown="0" showInputMessage="0" showErrorMessage="0" allowBlank="1" type="list">
      <formula1>"Structural (10 Years Consistency),Shallow Cyclical (2 to 3 Years Growth),Cyclical"</formula1>
    </dataValidation>
    <dataValidation sqref="AH2:AH222" showDropDown="0" showInputMessage="0" showErrorMessage="0" allowBlank="1" type="list">
      <formula1>"Yes due to Product Mix change or Operating Leverage,Yes, these are peak margins,No"</formula1>
    </dataValidation>
    <dataValidation sqref="AJ2:AJ222" showDropDown="0" showInputMessage="0" showErrorMessage="0" allowBlank="1" type="list">
      <formula1>"Stable,Volatile"</formula1>
    </dataValidation>
    <dataValidation sqref="AL2:AL222" showDropDown="0" showInputMessage="0" showErrorMessage="0" allowBlank="1" type="list">
      <formula1>"Yes,No"</formula1>
    </dataValidation>
    <dataValidation sqref="AN2:AN222" showDropDown="0" showInputMessage="0" showErrorMessage="0" allowBlank="1" type="list">
      <formula1>"B2C,B2B,B2G"</formula1>
    </dataValidation>
    <dataValidation sqref="AP2:AP222" showDropDown="0" showInputMessage="0" showErrorMessage="0" allowBlank="1" type="list">
      <formula1>"Yes,No"</formula1>
    </dataValidation>
    <dataValidation sqref="AR2:AR222" showDropDown="0" showInputMessage="0" showErrorMessage="0" allowBlank="1" type="list">
      <formula1>"Fully Annuity,Higher Annuity, Lower One time,Higher One Time, Lower Annuity,Fully One Time"</formula1>
    </dataValidation>
    <dataValidation sqref="AT2:AT222" showDropDown="0" showInputMessage="0" showErrorMessage="0" allowBlank="1" type="list">
      <formula1>"Good,Allocated capital in Non-core Areas"</formula1>
    </dataValidation>
    <dataValidation sqref="AV2:AV222" showDropDown="0" showInputMessage="0" showErrorMessage="0" allowBlank="1" type="list">
      <formula1>"Yes for more than 2 years,Yes only for next 1 to 2 years,No"</formula1>
    </dataValidation>
    <dataValidation sqref="AX2:AX222" showDropDown="0" showInputMessage="0" showErrorMessage="0" allowBlank="1" type="list">
      <formula1>"Above 40,20 to 40,0 to 20"</formula1>
    </dataValidation>
    <dataValidation sqref="AZ2:AZ222" showDropDown="0" showInputMessage="0" showErrorMessage="0" allowBlank="1" type="list">
      <formula1>"Between 50 to 75,Above 75,Below 45"</formula1>
    </dataValidation>
    <dataValidation sqref="BB2:BB222" showDropDown="0" showInputMessage="0" showErrorMessage="0" allowBlank="1" type="list">
      <formula1>"Stage 1,Stage 2,Stage 3,Stage 4"</formula1>
    </dataValidation>
    <dataValidation sqref="BD2:BD222" showDropDown="0" showInputMessage="0" showErrorMessage="0" allowBlank="1" type="list">
      <formula1>"Positive Trend,Negative Trend"</formula1>
    </dataValidation>
    <dataValidation sqref="BF2:BF222" showDropDown="0" showInputMessage="0" showErrorMessage="0" allowBlank="1" type="list">
      <formula1>"Uptrend,Sideways,Downtrend"</formula1>
    </dataValidation>
    <dataValidation sqref="BH2:BH222" showDropDown="0" showInputMessage="0" showErrorMessage="0" allowBlank="1" type="list">
      <formula1>"Uptrend,Sideways,Downtrend"</formula1>
    </dataValidation>
    <dataValidation sqref="BJ2:BJ2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22" showDropDown="0" showInputMessage="0" showErrorMessage="0" allowBlank="1" type="list">
      <formula1>"Yes,No"</formula1>
    </dataValidation>
    <dataValidation sqref="BN2:BN222" showDropDown="0" showInputMessage="0" showErrorMessage="0" allowBlank="1" type="list">
      <formula1>"More than 20%,Between 12 to 20%,Less than 12%"</formula1>
    </dataValidation>
    <dataValidation sqref="BP2:BP222" showDropDown="0" showInputMessage="0" showErrorMessage="0" allowBlank="1" type="list">
      <formula1>"Yes,No"</formula1>
    </dataValidation>
    <dataValidation sqref="BR2:BR222" showDropDown="0" showInputMessage="0" showErrorMessage="0" allowBlank="1" type="list">
      <formula1>"Yes,No"</formula1>
    </dataValidation>
    <dataValidation sqref="BT2:BT222" showDropDown="0" showInputMessage="0" showErrorMessage="0" allowBlank="1" type="list">
      <formula1>"Above 2,Between 1.5 to 2,Less than 1.5"</formula1>
    </dataValidation>
    <dataValidation sqref="BV2:BV222" showDropDown="0" showInputMessage="0" showErrorMessage="0" allowBlank="1" type="list">
      <formula1>"Above 70%,Between 50% to 70%,Less than 50%,Less than 50% and Borrowings are increasing,Negative"</formula1>
    </dataValidation>
    <dataValidation sqref="BX2:BX222" showDropDown="0" showInputMessage="0" showErrorMessage="0" allowBlank="1" type="list">
      <formula1>"More than 1.2,Between 0.7 to 1.2,Less than 0.7"</formula1>
    </dataValidation>
    <dataValidation sqref="BZ2:BZ222" showDropDown="0" showInputMessage="0" showErrorMessage="0" allowBlank="1" type="list">
      <formula1>"Yes,No"</formula1>
    </dataValidation>
    <dataValidation sqref="CB2:CB222" showDropDown="0" showInputMessage="0" showErrorMessage="0" allowBlank="1" type="list">
      <formula1>"More than 15%,Less than 15%"</formula1>
    </dataValidation>
    <dataValidation sqref="CD2:CD2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IF(B2=0,"",RANK(B2,$B$2:$B$21,0))</f>
        <v/>
      </c>
      <c r="B2" s="32">
        <f>SUM(N2,Y2,AA2,AC2,AE2,AG2,AI2,AK2,AM2,AO2,AQ2,AS2,AU2,AW2,AY2,BA2,BC2,BE2,BG2,BI2,BK2,BM2,BO2,BQ2,BS2,BU2,BW2,BY2,CA2)</f>
        <v/>
      </c>
      <c r="C2" s="31" t="inlineStr">
        <is>
          <t>CUB</t>
        </is>
      </c>
      <c r="D2" s="31" t="inlineStr">
        <is>
          <t>City Union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largecap</t>
        </is>
      </c>
      <c r="H2" s="32" t="n">
        <v>22968.43</v>
      </c>
      <c r="I2" s="32" t="n">
        <v>231.82</v>
      </c>
      <c r="J2" s="32" t="n">
        <v>2.02</v>
      </c>
      <c r="K2" s="32" t="n">
        <v>2026127</v>
      </c>
      <c r="L2" s="31" t="n">
        <v>45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61.75</v>
      </c>
      <c r="P2" s="32" t="n">
        <v>42.13</v>
      </c>
      <c r="Q2" s="32" t="n">
        <v>180.83</v>
      </c>
      <c r="R2" s="31" t="inlineStr">
        <is>
          <t>Near 52W High Breakout</t>
        </is>
      </c>
      <c r="S2" s="31" t="inlineStr">
        <is>
          <t>Nifty Bank</t>
        </is>
      </c>
      <c r="T2" s="32" t="n">
        <v>1.08</v>
      </c>
      <c r="U2" s="32" t="n">
        <v>47.23</v>
      </c>
      <c r="V2" s="32" t="n">
        <v>45.66</v>
      </c>
      <c r="W2" s="32" t="n">
        <v>12.95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IF(B3=0,"",RANK(B3,$B$2:$B$21,0))</f>
        <v/>
      </c>
      <c r="B3" s="32">
        <f>SUM(N3,Y3,AA3,AC3,AE3,AG3,AI3,AK3,AM3,AO3,AQ3,AS3,AU3,AW3,AY3,BA3,BC3,BE3,BG3,BI3,BK3,BM3,BO3,BQ3,BS3,BU3,BW3,BY3,CA3)</f>
        <v/>
      </c>
      <c r="C3" s="31" t="inlineStr">
        <is>
          <t>NORTHARC</t>
        </is>
      </c>
      <c r="D3" s="31" t="inlineStr">
        <is>
          <t>Northern ARC Capital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midcap</t>
        </is>
      </c>
      <c r="H3" s="32" t="n">
        <v>5018.87</v>
      </c>
      <c r="I3" s="32" t="n">
        <v>310.55</v>
      </c>
      <c r="J3" s="32" t="n">
        <v>4.95</v>
      </c>
      <c r="K3" s="32" t="n">
        <v>2358970</v>
      </c>
      <c r="L3" s="31" t="n">
        <v>15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60.99</v>
      </c>
      <c r="P3" s="32" t="n">
        <v>31.62</v>
      </c>
      <c r="Q3" s="32" t="n">
        <v>252.6</v>
      </c>
      <c r="R3" s="31" t="inlineStr">
        <is>
          <t>Near 52W High Breakout</t>
        </is>
      </c>
      <c r="S3" s="31" t="inlineStr">
        <is>
          <t>Nifty Bank</t>
        </is>
      </c>
      <c r="T3" s="32" t="n">
        <v>1.08</v>
      </c>
      <c r="U3" s="32" t="n">
        <v>12.07</v>
      </c>
      <c r="V3" s="32" t="n">
        <v>10.88</v>
      </c>
      <c r="W3" s="32" t="n">
        <v>4.07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IF(B4=0,"",RANK(B4,$B$2:$B$21,0))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831.39</v>
      </c>
      <c r="I4" s="32" t="n">
        <v>2275</v>
      </c>
      <c r="J4" s="32" t="n">
        <v>2</v>
      </c>
      <c r="K4" s="32" t="n">
        <v>379</v>
      </c>
      <c r="L4" s="31" t="n">
        <v>74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77.88</v>
      </c>
      <c r="P4" s="32" t="n">
        <v>57.88</v>
      </c>
      <c r="Q4" s="32" t="n">
        <v>1812.57</v>
      </c>
      <c r="R4" s="31" t="inlineStr">
        <is>
          <t>Near 52W High Breakout</t>
        </is>
      </c>
      <c r="S4" s="31" t="inlineStr">
        <is>
          <t>Nifty Bank</t>
        </is>
      </c>
      <c r="T4" s="32" t="n">
        <v>1.08</v>
      </c>
      <c r="U4" s="32" t="n">
        <v>125.25</v>
      </c>
      <c r="V4" s="32" t="n">
        <v>122.85</v>
      </c>
      <c r="W4" s="32" t="n">
        <v>24.82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IF(B5=0,"",RANK(B5,$B$2:$B$21,0))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TFCILTD</t>
        </is>
      </c>
      <c r="D5" s="31" t="inlineStr">
        <is>
          <t>Tourism Finance Corporation Of India Limited</t>
        </is>
      </c>
      <c r="E5" s="31" t="inlineStr">
        <is>
          <t>financials</t>
        </is>
      </c>
      <c r="F5" s="31" t="inlineStr">
        <is>
          <t>finance - term-lending institutions</t>
        </is>
      </c>
      <c r="G5" s="31" t="inlineStr">
        <is>
          <t>midcap</t>
        </is>
      </c>
      <c r="H5" s="32" t="n">
        <v>6438.16</v>
      </c>
      <c r="I5" s="32" t="n">
        <v>139.06</v>
      </c>
      <c r="J5" s="32" t="n">
        <v>0.18</v>
      </c>
      <c r="K5" s="32" t="n">
        <v>12032665</v>
      </c>
      <c r="L5" s="31" t="n">
        <v>90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80.98999999999999</v>
      </c>
      <c r="P5" s="32" t="n">
        <v>68.23</v>
      </c>
      <c r="Q5" s="32" t="n">
        <v>114.97</v>
      </c>
      <c r="R5" s="31" t="inlineStr">
        <is>
          <t>Near 52W High Breakout</t>
        </is>
      </c>
      <c r="S5" s="31" t="inlineStr">
        <is>
          <t>Nifty Bank</t>
        </is>
      </c>
      <c r="T5" s="32" t="n">
        <v>1.08</v>
      </c>
      <c r="U5" s="32" t="n">
        <v>93.08</v>
      </c>
      <c r="V5" s="32" t="n">
        <v>91.02</v>
      </c>
      <c r="W5" s="32" t="n">
        <v>36.15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IF(B6=0,"",RANK(B6,$B$2:$B$21,0))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DCBBANK</t>
        </is>
      </c>
      <c r="D6" s="31" t="inlineStr">
        <is>
          <t>Dcb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7037.71</v>
      </c>
      <c r="I6" s="32" t="n">
        <v>218.51</v>
      </c>
      <c r="J6" s="32" t="n">
        <v>-0.65</v>
      </c>
      <c r="K6" s="32" t="n">
        <v>911516</v>
      </c>
      <c r="L6" s="31" t="n">
        <v>51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66.66</v>
      </c>
      <c r="P6" s="32" t="n">
        <v>34.8</v>
      </c>
      <c r="Q6" s="32" t="n">
        <v>183.47</v>
      </c>
      <c r="R6" s="31" t="inlineStr">
        <is>
          <t>Near 52W High Breakout</t>
        </is>
      </c>
      <c r="S6" s="31" t="inlineStr">
        <is>
          <t>Nifty Bank</t>
        </is>
      </c>
      <c r="T6" s="32" t="n">
        <v>1.08</v>
      </c>
      <c r="U6" s="32" t="n">
        <v>69.22</v>
      </c>
      <c r="V6" s="32" t="n">
        <v>67.42</v>
      </c>
      <c r="W6" s="32" t="n">
        <v>15.31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IF(B7=0,"",RANK(B7,$B$2:$B$21,0))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SHAREINDIA</t>
        </is>
      </c>
      <c r="D7" s="31" t="inlineStr">
        <is>
          <t>Share India Securities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4780.02</v>
      </c>
      <c r="I7" s="32" t="n">
        <v>218.44</v>
      </c>
      <c r="J7" s="32" t="n">
        <v>11.42</v>
      </c>
      <c r="K7" s="32" t="n">
        <v>28924428</v>
      </c>
      <c r="L7" s="31" t="n">
        <v>72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71.8</v>
      </c>
      <c r="P7" s="32" t="n">
        <v>33.97</v>
      </c>
      <c r="Q7" s="32" t="n">
        <v>164.83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1.08</v>
      </c>
      <c r="U7" s="32" t="n">
        <v>55.21</v>
      </c>
      <c r="V7" s="32" t="n">
        <v>53.56</v>
      </c>
      <c r="W7" s="32" t="n">
        <v>24.16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IF(B8=0,"",RANK(B8,$B$2:$B$21,0))</f>
        <v/>
      </c>
      <c r="B8" s="32">
        <f>SUM(N8,Y8,AA8,AC8,AE8,AG8,AI8,AK8,AM8,AO8,AQ8,AS8,AU8,AW8,AY8,BA8,BC8,BE8,BG8,BI8,BK8,BM8,BO8,BQ8,BS8,BU8,BW8,BY8,CA8)</f>
        <v/>
      </c>
      <c r="C8" s="31" t="inlineStr">
        <is>
          <t>PAISALO</t>
        </is>
      </c>
      <c r="D8" s="31" t="inlineStr">
        <is>
          <t>Paisalo Digital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8070.19</v>
      </c>
      <c r="I8" s="32" t="n">
        <v>88.73</v>
      </c>
      <c r="J8" s="32" t="n">
        <v>4.89</v>
      </c>
      <c r="K8" s="32" t="n">
        <v>26502335</v>
      </c>
      <c r="L8" s="31" t="n">
        <v>85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82.33</v>
      </c>
      <c r="P8" s="32" t="n">
        <v>69.04000000000001</v>
      </c>
      <c r="Q8" s="32" t="n">
        <v>70.19</v>
      </c>
      <c r="R8" s="31" t="inlineStr">
        <is>
          <t>Near 52W High Breakout</t>
        </is>
      </c>
      <c r="S8" s="31" t="inlineStr">
        <is>
          <t>Nifty Bank</t>
        </is>
      </c>
      <c r="T8" s="32" t="n">
        <v>1.08</v>
      </c>
      <c r="U8" s="32" t="n">
        <v>128.08</v>
      </c>
      <c r="V8" s="32" t="n">
        <v>125.65</v>
      </c>
      <c r="W8" s="32" t="n">
        <v>31.94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IF(B9=0,"",RANK(B9,$B$2:$B$21,0))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STEL</t>
        </is>
      </c>
      <c r="D9" s="31" t="inlineStr">
        <is>
          <t>Stel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1166.2</v>
      </c>
      <c r="I9" s="32" t="n">
        <v>631.9</v>
      </c>
      <c r="J9" s="32" t="n">
        <v>4.96</v>
      </c>
      <c r="K9" s="32" t="n">
        <v>5198</v>
      </c>
      <c r="L9" s="31" t="n">
        <v>28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64.73999999999999</v>
      </c>
      <c r="P9" s="32" t="n">
        <v>26.77</v>
      </c>
      <c r="Q9" s="32" t="n">
        <v>476.03</v>
      </c>
      <c r="R9" s="31" t="inlineStr">
        <is>
          <t>Near 52W High Breakout</t>
        </is>
      </c>
      <c r="S9" s="31" t="inlineStr">
        <is>
          <t>Nifty Bank</t>
        </is>
      </c>
      <c r="T9" s="32" t="n">
        <v>1.08</v>
      </c>
      <c r="U9" s="32" t="n">
        <v>33.44</v>
      </c>
      <c r="V9" s="32" t="n">
        <v>32.02</v>
      </c>
      <c r="W9" s="32" t="n">
        <v>8.4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IF(B10=0,"",RANK(B10,$B$2:$B$21,0))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SMCGLOBAL</t>
        </is>
      </c>
      <c r="D10" s="31" t="inlineStr">
        <is>
          <t>SMC Global Securities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1735.3</v>
      </c>
      <c r="I10" s="32" t="n">
        <v>82.87</v>
      </c>
      <c r="J10" s="32" t="n">
        <v>2.85</v>
      </c>
      <c r="K10" s="32" t="n">
        <v>1239264</v>
      </c>
      <c r="L10" s="31" t="n">
        <v>27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59.12</v>
      </c>
      <c r="P10" s="32" t="n">
        <v>24.31</v>
      </c>
      <c r="Q10" s="32" t="n">
        <v>65.95</v>
      </c>
      <c r="R10" s="31" t="inlineStr">
        <is>
          <t>Earnings / Momentum Support</t>
        </is>
      </c>
      <c r="S10" s="31" t="inlineStr">
        <is>
          <t>Nifty Bank</t>
        </is>
      </c>
      <c r="T10" s="32" t="n">
        <v>1.08</v>
      </c>
      <c r="U10" s="32" t="n">
        <v>19.13</v>
      </c>
      <c r="V10" s="32" t="n">
        <v>17.86</v>
      </c>
      <c r="W10" s="32" t="n">
        <v>7.74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IF(B11=0,"",RANK(B11,$B$2:$B$21,0))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CGCL</t>
        </is>
      </c>
      <c r="D11" s="31" t="inlineStr">
        <is>
          <t>Capri Global Capital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25242.11</v>
      </c>
      <c r="I11" s="32" t="n">
        <v>262.35</v>
      </c>
      <c r="J11" s="32" t="n">
        <v>2.22</v>
      </c>
      <c r="K11" s="32" t="n">
        <v>2591024</v>
      </c>
      <c r="L11" s="31" t="n">
        <v>37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65.09</v>
      </c>
      <c r="P11" s="32" t="n">
        <v>40.08</v>
      </c>
      <c r="Q11" s="32" t="n">
        <v>219.81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1.08</v>
      </c>
      <c r="U11" s="32" t="n">
        <v>37.7</v>
      </c>
      <c r="V11" s="32" t="n">
        <v>36.24</v>
      </c>
      <c r="W11" s="32" t="n">
        <v>11.29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IF(B12=0,"",RANK(B12,$B$2:$B$21,0))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RBLBANK</t>
        </is>
      </c>
      <c r="D12" s="31" t="inlineStr">
        <is>
          <t>Rbl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62584.97</v>
      </c>
      <c r="I12" s="32" t="n">
        <v>404.15</v>
      </c>
      <c r="J12" s="32" t="n">
        <v>0.04</v>
      </c>
      <c r="K12" s="32" t="n">
        <v>2254458</v>
      </c>
      <c r="L12" s="31" t="n">
        <v>33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63.91</v>
      </c>
      <c r="P12" s="32" t="n">
        <v>35.67</v>
      </c>
      <c r="Q12" s="32" t="n">
        <v>352.69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1.08</v>
      </c>
      <c r="U12" s="32" t="n">
        <v>49.52</v>
      </c>
      <c r="V12" s="32" t="n">
        <v>47.93</v>
      </c>
      <c r="W12" s="32" t="n">
        <v>10.23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IF(B13=0,"",RANK(B13,$B$2:$B$21,0))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CONSOFINVT</t>
        </is>
      </c>
      <c r="D13" s="31" t="inlineStr">
        <is>
          <t>Consolidated Finvest &amp;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971.73</v>
      </c>
      <c r="I13" s="32" t="n">
        <v>300.6</v>
      </c>
      <c r="J13" s="32" t="n">
        <v>-0.84</v>
      </c>
      <c r="K13" s="32" t="n">
        <v>6754</v>
      </c>
      <c r="L13" s="31" t="n">
        <v>58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69.61</v>
      </c>
      <c r="P13" s="32" t="n">
        <v>38.45</v>
      </c>
      <c r="Q13" s="32" t="n">
        <v>236.21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1.08</v>
      </c>
      <c r="U13" s="32" t="n">
        <v>58.98</v>
      </c>
      <c r="V13" s="32" t="n">
        <v>57.29</v>
      </c>
      <c r="W13" s="32" t="n">
        <v>17.92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IF(B14=0,"",RANK(B14,$B$2:$B$21,0))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MANBA</t>
        </is>
      </c>
      <c r="D14" s="33" t="inlineStr">
        <is>
          <t>Manba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672</v>
      </c>
      <c r="I14" s="32" t="n">
        <v>133.76</v>
      </c>
      <c r="J14" s="32" t="n">
        <v>2.36</v>
      </c>
      <c r="K14" s="32" t="n">
        <v>78718</v>
      </c>
      <c r="L14" s="31" t="n">
        <v>2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57.22</v>
      </c>
      <c r="P14" s="32" t="n">
        <v>35.85</v>
      </c>
      <c r="Q14" s="32" t="n">
        <v>111.71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1.08</v>
      </c>
      <c r="U14" s="32" t="n">
        <v>-3.45</v>
      </c>
      <c r="V14" s="32" t="n">
        <v>-4.48</v>
      </c>
      <c r="W14" s="32" t="n">
        <v>0.17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IF(B15=0,"",RANK(B15,$B$2:$B$21,0))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MCX</t>
        </is>
      </c>
      <c r="D15" s="31" t="inlineStr">
        <is>
          <t>Multi Commodity Exchange Of India Limited</t>
        </is>
      </c>
      <c r="E15" s="31" t="inlineStr">
        <is>
          <t>financials</t>
        </is>
      </c>
      <c r="F15" s="31" t="inlineStr">
        <is>
          <t>miscellaneous</t>
        </is>
      </c>
      <c r="G15" s="31" t="inlineStr">
        <is>
          <t>largecap</t>
        </is>
      </c>
      <c r="H15" s="32" t="n">
        <v>83259.94</v>
      </c>
      <c r="I15" s="32" t="n">
        <v>3265.2</v>
      </c>
      <c r="J15" s="32" t="n">
        <v>1.68</v>
      </c>
      <c r="K15" s="32" t="n">
        <v>1530935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66.62</v>
      </c>
      <c r="P15" s="32" t="n">
        <v>22.41</v>
      </c>
      <c r="Q15" s="32" t="n">
        <v>2667.18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1.08</v>
      </c>
      <c r="U15" s="32" t="n">
        <v>103.27</v>
      </c>
      <c r="V15" s="32" t="n">
        <v>101.1</v>
      </c>
      <c r="W15" s="32" t="n">
        <v>18.95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IF(B16=0,"",RANK(B16,$B$2:$B$21,0))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ANANDRATHI</t>
        </is>
      </c>
      <c r="D16" s="31" t="inlineStr">
        <is>
          <t>Anand Rathi Wealth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36651.95</v>
      </c>
      <c r="I16" s="32" t="n">
        <v>2207.4</v>
      </c>
      <c r="J16" s="32" t="n">
        <v>0.05</v>
      </c>
      <c r="K16" s="32" t="n">
        <v>140743</v>
      </c>
      <c r="L16" s="31" t="n">
        <v>40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75.45</v>
      </c>
      <c r="P16" s="32" t="n">
        <v>60.1</v>
      </c>
      <c r="Q16" s="32" t="n">
        <v>1928.51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1.08</v>
      </c>
      <c r="U16" s="32" t="n">
        <v>45.69</v>
      </c>
      <c r="V16" s="32" t="n">
        <v>44.14</v>
      </c>
      <c r="W16" s="32" t="n">
        <v>11.99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IF(B17=0,"",RANK(B17,$B$2:$B$21,0))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GCSL</t>
        </is>
      </c>
      <c r="D17" s="31" t="inlineStr">
        <is>
          <t>Gretex Corporate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1435.91</v>
      </c>
      <c r="I17" s="32" t="n">
        <v>594.35</v>
      </c>
      <c r="J17" s="32" t="n">
        <v>-0.07000000000000001</v>
      </c>
      <c r="K17" s="32" t="n">
        <v>611511</v>
      </c>
      <c r="L17" s="31" t="n">
        <v>79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72.70999999999999</v>
      </c>
      <c r="P17" s="32" t="n">
        <v>33.57</v>
      </c>
      <c r="Q17" s="32" t="n">
        <v>465.15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1.08</v>
      </c>
      <c r="U17" s="32" t="n">
        <v>128.34</v>
      </c>
      <c r="V17" s="32" t="n">
        <v>125.91</v>
      </c>
      <c r="W17" s="32" t="n">
        <v>27.12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IF(B18=0,"",RANK(B18,$B$2:$B$21,0))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KOTAKBANK</t>
        </is>
      </c>
      <c r="D18" s="31" t="inlineStr">
        <is>
          <t>Kotak Mahindra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largecap</t>
        </is>
      </c>
      <c r="H18" s="32" t="n">
        <v>414280.44</v>
      </c>
      <c r="I18" s="32" t="n">
        <v>416.5</v>
      </c>
      <c r="J18" s="32" t="n">
        <v>0.36</v>
      </c>
      <c r="K18" s="32" t="n">
        <v>11475105</v>
      </c>
      <c r="L18" s="31" t="n">
        <v>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57.92</v>
      </c>
      <c r="P18" s="32" t="n">
        <v>12.37</v>
      </c>
      <c r="Q18" s="32" t="n">
        <v>374.04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1.08</v>
      </c>
      <c r="U18" s="32" t="n">
        <v>2.71</v>
      </c>
      <c r="V18" s="32" t="n">
        <v>1.62</v>
      </c>
      <c r="W18" s="32" t="n">
        <v>1.82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IF(B19=0,"",RANK(B19,$B$2:$B$21,0))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ABSLAMC</t>
        </is>
      </c>
      <c r="D19" s="31" t="inlineStr">
        <is>
          <t>Aditya Birla Sun Life AMC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31482.76</v>
      </c>
      <c r="I19" s="32" t="n">
        <v>1090.1</v>
      </c>
      <c r="J19" s="32" t="n">
        <v>3</v>
      </c>
      <c r="K19" s="32" t="n">
        <v>206442</v>
      </c>
      <c r="L19" s="31" t="n">
        <v>20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58.72</v>
      </c>
      <c r="P19" s="32" t="n">
        <v>32.6</v>
      </c>
      <c r="Q19" s="32" t="n">
        <v>922.49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1.08</v>
      </c>
      <c r="U19" s="32" t="n">
        <v>35.46</v>
      </c>
      <c r="V19" s="32" t="n">
        <v>34.02</v>
      </c>
      <c r="W19" s="32" t="n">
        <v>6.13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IF(B20=0,"",RANK(B20,$B$2:$B$21,0))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PRIMESECU</t>
        </is>
      </c>
      <c r="D20" s="31" t="inlineStr">
        <is>
          <t>Prime Securities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998.02</v>
      </c>
      <c r="I20" s="32" t="n">
        <v>294.05</v>
      </c>
      <c r="J20" s="32" t="n">
        <v>3.63</v>
      </c>
      <c r="K20" s="32" t="n">
        <v>94994</v>
      </c>
      <c r="L20" s="31" t="n">
        <v>11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54.75</v>
      </c>
      <c r="P20" s="32" t="n">
        <v>33.29</v>
      </c>
      <c r="Q20" s="32" t="n">
        <v>236.12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1.08</v>
      </c>
      <c r="U20" s="32" t="n">
        <v>12.79</v>
      </c>
      <c r="V20" s="32" t="n">
        <v>11.59</v>
      </c>
      <c r="W20" s="32" t="n">
        <v>2.16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IF(B21=0,"",RANK(B21,$B$2:$B$21,0))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CREST</t>
        </is>
      </c>
      <c r="D21" s="33" t="inlineStr">
        <is>
          <t>Crest Ventures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1055.49</v>
      </c>
      <c r="I21" s="32" t="n">
        <v>371</v>
      </c>
      <c r="J21" s="32" t="n">
        <v>3.07</v>
      </c>
      <c r="K21" s="32" t="n">
        <v>1809</v>
      </c>
      <c r="L21" s="31" t="n">
        <v>1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51.39</v>
      </c>
      <c r="P21" s="32" t="n">
        <v>18.83</v>
      </c>
      <c r="Q21" s="32" t="n">
        <v>318.26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1.08</v>
      </c>
      <c r="U21" s="32" t="n">
        <v>-2</v>
      </c>
      <c r="V21" s="32" t="n">
        <v>-3.04</v>
      </c>
      <c r="W21" s="32" t="n">
        <v>-1.15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</sheetData>
  <autoFilter ref="A1:CA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1">
    <cfRule type="cellIs" priority="34" operator="equal" dxfId="3" stopIfTrue="1">
      <formula>"Underperforming"</formula>
    </cfRule>
  </conditionalFormatting>
  <conditionalFormatting sqref="N2:N21">
    <cfRule type="cellIs" priority="35" operator="equal" dxfId="3" stopIfTrue="1">
      <formula>-5</formula>
    </cfRule>
  </conditionalFormatting>
  <conditionalFormatting sqref="Q2:Q2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1" showDropDown="0" showInputMessage="0" showErrorMessage="0" allowBlank="1" type="list">
      <formula1>"Growing Industry,Stagnant Industry,Cyclical in an Upturn"</formula1>
    </dataValidation>
    <dataValidation sqref="Z2:Z21" showDropDown="0" showInputMessage="0" showErrorMessage="0" allowBlank="1" type="list">
      <formula1>"Fragmented with Low ROE,Fragmented with High ROE,Highly Cyclical"</formula1>
    </dataValidation>
    <dataValidation sqref="AB2:AB21" showDropDown="0" showInputMessage="0" showErrorMessage="0" allowBlank="1" type="list">
      <formula1>"Yes,No"</formula1>
    </dataValidation>
    <dataValidation sqref="AD2:AD21" showDropDown="0" showInputMessage="0" showErrorMessage="0" allowBlank="1" type="list">
      <formula1>"Tailwind,Headwind"</formula1>
    </dataValidation>
    <dataValidation sqref="AF2:AF2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1" showDropDown="0" showInputMessage="0" showErrorMessage="0" allowBlank="1" type="list">
      <formula1>"Yes,No"</formula1>
    </dataValidation>
    <dataValidation sqref="AJ2:AJ21" showDropDown="0" showInputMessage="0" showErrorMessage="0" allowBlank="1" type="list">
      <formula1>"Yes,No,Not Applicable"</formula1>
    </dataValidation>
    <dataValidation sqref="AL2:AL21" showDropDown="0" showInputMessage="0" showErrorMessage="0" allowBlank="1" type="list">
      <formula1>"Yes,No"</formula1>
    </dataValidation>
    <dataValidation sqref="AN2:AN21" showDropDown="0" showInputMessage="0" showErrorMessage="0" allowBlank="1" type="list">
      <formula1>"Yes,No"</formula1>
    </dataValidation>
    <dataValidation sqref="AP2:AP21" showDropDown="0" showInputMessage="0" showErrorMessage="0" allowBlank="1" type="list">
      <formula1>"Yes,No"</formula1>
    </dataValidation>
    <dataValidation sqref="AR2:AR21" showDropDown="0" showInputMessage="0" showErrorMessage="0" allowBlank="1" type="list">
      <formula1>"Yes,No"</formula1>
    </dataValidation>
    <dataValidation sqref="AT2:AT21" showDropDown="0" showInputMessage="0" showErrorMessage="0" allowBlank="1" type="list">
      <formula1>"No,Yes"</formula1>
    </dataValidation>
    <dataValidation sqref="AV2:AV21" showDropDown="0" showInputMessage="0" showErrorMessage="0" allowBlank="1" type="list">
      <formula1>"No,Yes"</formula1>
    </dataValidation>
    <dataValidation sqref="AX2:AX21" showDropDown="0" showInputMessage="0" showErrorMessage="0" allowBlank="1" type="list">
      <formula1>"No,Yes CEO Resignation,Yes CEO Retirement"</formula1>
    </dataValidation>
    <dataValidation sqref="AZ2:AZ21" showDropDown="0" showInputMessage="0" showErrorMessage="0" allowBlank="1" type="list">
      <formula1>"No,Yes"</formula1>
    </dataValidation>
    <dataValidation sqref="BB2:BB21" showDropDown="0" showInputMessage="0" showErrorMessage="0" allowBlank="1" type="list">
      <formula1>"No,Yes"</formula1>
    </dataValidation>
    <dataValidation sqref="BD2:BD21" showDropDown="0" showInputMessage="0" showErrorMessage="0" allowBlank="1" type="list">
      <formula1>"Yes,No"</formula1>
    </dataValidation>
    <dataValidation sqref="BF2:BF21" showDropDown="0" showInputMessage="0" showErrorMessage="0" allowBlank="1" type="list">
      <formula1>"Yes,No"</formula1>
    </dataValidation>
    <dataValidation sqref="BH2:BH21" showDropDown="0" showInputMessage="0" showErrorMessage="0" allowBlank="1" type="list">
      <formula1>"Yes,No"</formula1>
    </dataValidation>
    <dataValidation sqref="BJ2:BJ2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1" showDropDown="0" showInputMessage="0" showErrorMessage="0" allowBlank="1" type="list">
      <formula1>"Above 40,20 to 40,0 to 20"</formula1>
    </dataValidation>
    <dataValidation sqref="BN2:BN21" showDropDown="0" showInputMessage="0" showErrorMessage="0" allowBlank="1" type="list">
      <formula1>"Between 50 to 75,Above 75,Below 45"</formula1>
    </dataValidation>
    <dataValidation sqref="BP2:BP21" showDropDown="0" showInputMessage="0" showErrorMessage="0" allowBlank="1" type="list">
      <formula1>"Stage 1,Stage 2,Stage 3,Stage 4"</formula1>
    </dataValidation>
    <dataValidation sqref="BR2:BR21" showDropDown="0" showInputMessage="0" showErrorMessage="0" allowBlank="1" type="list">
      <formula1>"Positive Trend,Negative Trend"</formula1>
    </dataValidation>
    <dataValidation sqref="BT2:BT21" showDropDown="0" showInputMessage="0" showErrorMessage="0" allowBlank="1" type="list">
      <formula1>"Uptrend,Sideways,Downtrend"</formula1>
    </dataValidation>
    <dataValidation sqref="BV2:BV21" showDropDown="0" showInputMessage="0" showErrorMessage="0" allowBlank="1" type="list">
      <formula1>"Uptrend,Sideways,Downtrend"</formula1>
    </dataValidation>
    <dataValidation sqref="BX2:BX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9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6914.99</v>
      </c>
      <c r="I2" s="32" t="n">
        <v>29.65</v>
      </c>
      <c r="J2" s="32" t="n">
        <v>2.99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64.95999999999999</v>
      </c>
      <c r="P2" s="32" t="n">
        <v>41.31</v>
      </c>
      <c r="Q2" s="32" t="n">
        <v>21.15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-8.119999999999999</v>
      </c>
      <c r="U2" s="32" t="n">
        <v>66.01000000000001</v>
      </c>
      <c r="V2" s="32" t="n">
        <v>80.68000000000001</v>
      </c>
      <c r="W2" s="32" t="n">
        <v>28.8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VINCOFE</t>
        </is>
      </c>
      <c r="D3" s="31" t="inlineStr">
        <is>
          <t>Vintage Coffee &amp; Beverages Ltd</t>
        </is>
      </c>
      <c r="E3" s="31" t="inlineStr">
        <is>
          <t>consumer discretionary</t>
        </is>
      </c>
      <c r="F3" s="31" t="inlineStr">
        <is>
          <t>FMCG - Coffee</t>
        </is>
      </c>
      <c r="G3" s="31" t="inlineStr">
        <is>
          <t>smallcap</t>
        </is>
      </c>
      <c r="H3" s="32" t="n">
        <v>2578.93</v>
      </c>
      <c r="I3" s="32" t="n">
        <v>176.05</v>
      </c>
      <c r="J3" s="32" t="n">
        <v>4.92</v>
      </c>
      <c r="K3" s="32" t="n">
        <v>0</v>
      </c>
      <c r="L3" s="31" t="n">
        <v>24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63.82</v>
      </c>
      <c r="P3" s="32" t="n">
        <v>28.86</v>
      </c>
      <c r="Q3" s="32" t="n">
        <v>132.21</v>
      </c>
      <c r="R3" s="31" t="inlineStr">
        <is>
          <t>Near 52W High Breakout</t>
        </is>
      </c>
      <c r="S3" s="31" t="inlineStr">
        <is>
          <t>Nifty 50</t>
        </is>
      </c>
      <c r="T3" s="32" t="n">
        <v>-8.119999999999999</v>
      </c>
      <c r="U3" s="32" t="n">
        <v>17.57</v>
      </c>
      <c r="V3" s="32" t="n">
        <v>27.95</v>
      </c>
      <c r="W3" s="32" t="n">
        <v>7.12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SYRMA</t>
        </is>
      </c>
      <c r="D4" s="31" t="inlineStr">
        <is>
          <t>Syrma SGS Technology Ltd</t>
        </is>
      </c>
      <c r="E4" s="31" t="inlineStr">
        <is>
          <t>consumer discretionary</t>
        </is>
      </c>
      <c r="F4" s="31" t="inlineStr">
        <is>
          <t>Consumer Electronics - EMS</t>
        </is>
      </c>
      <c r="G4" s="31" t="inlineStr">
        <is>
          <t>largecap</t>
        </is>
      </c>
      <c r="H4" s="32" t="n">
        <v>31194.19</v>
      </c>
      <c r="I4" s="32" t="n">
        <v>1617.7</v>
      </c>
      <c r="J4" s="32" t="n">
        <v>7.05</v>
      </c>
      <c r="K4" s="32" t="n">
        <v>0</v>
      </c>
      <c r="L4" s="31" t="n">
        <v>69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73.34</v>
      </c>
      <c r="P4" s="32" t="n">
        <v>58.62</v>
      </c>
      <c r="Q4" s="32" t="n">
        <v>1249.4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-8.119999999999999</v>
      </c>
      <c r="U4" s="32" t="n">
        <v>95.68000000000001</v>
      </c>
      <c r="V4" s="32" t="n">
        <v>112.97</v>
      </c>
      <c r="W4" s="32" t="n">
        <v>21.71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BHAGYANGR</t>
        </is>
      </c>
      <c r="D5" s="31" t="inlineStr">
        <is>
          <t>Bhagyanagar India Ltd</t>
        </is>
      </c>
      <c r="E5" s="31" t="inlineStr">
        <is>
          <t>power &amp; utilities</t>
        </is>
      </c>
      <c r="F5" s="31" t="inlineStr">
        <is>
          <t>Recycling</t>
        </is>
      </c>
      <c r="G5" s="31" t="inlineStr">
        <is>
          <t>smallcap</t>
        </is>
      </c>
      <c r="H5" s="32" t="n">
        <v>1495.62</v>
      </c>
      <c r="I5" s="32" t="n">
        <v>446.5</v>
      </c>
      <c r="J5" s="32" t="n">
        <v>5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70.94</v>
      </c>
      <c r="P5" s="32" t="n">
        <v>66.44</v>
      </c>
      <c r="Q5" s="32" t="n">
        <v>318.78</v>
      </c>
      <c r="R5" s="31" t="inlineStr">
        <is>
          <t>Near 52W High Breakout</t>
        </is>
      </c>
      <c r="S5" s="31" t="inlineStr">
        <is>
          <t>Nifty IT</t>
        </is>
      </c>
      <c r="T5" s="32" t="n">
        <v>-20.29</v>
      </c>
      <c r="U5" s="32" t="n">
        <v>381.09</v>
      </c>
      <c r="V5" s="32" t="n">
        <v>503.57</v>
      </c>
      <c r="W5" s="32" t="n">
        <v>49.89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Between 0.7 to 1.2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23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TBZ</t>
        </is>
      </c>
      <c r="D6" s="31" t="inlineStr">
        <is>
          <t>Tribhovandas Bhimji Zaveri Ltd</t>
        </is>
      </c>
      <c r="E6" s="31" t="inlineStr">
        <is>
          <t>consumer discretionary</t>
        </is>
      </c>
      <c r="F6" s="31" t="inlineStr">
        <is>
          <t>Diamond, Gems &amp; Jewellery</t>
        </is>
      </c>
      <c r="G6" s="31" t="inlineStr">
        <is>
          <t>smallcap</t>
        </is>
      </c>
      <c r="H6" s="32" t="n">
        <v>3836.01</v>
      </c>
      <c r="I6" s="32" t="n">
        <v>574.85</v>
      </c>
      <c r="J6" s="32" t="n">
        <v>5</v>
      </c>
      <c r="K6" s="32" t="n">
        <v>0</v>
      </c>
      <c r="L6" s="31" t="n">
        <v>99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91.15000000000001</v>
      </c>
      <c r="P6" s="32" t="n">
        <v>56.37</v>
      </c>
      <c r="Q6" s="32" t="n">
        <v>435.53</v>
      </c>
      <c r="R6" s="31" t="inlineStr">
        <is>
          <t>Near 52W High Breakout</t>
        </is>
      </c>
      <c r="S6" s="31" t="inlineStr">
        <is>
          <t>Nifty 50</t>
        </is>
      </c>
      <c r="T6" s="32" t="n">
        <v>-8.119999999999999</v>
      </c>
      <c r="U6" s="32" t="n">
        <v>207.85</v>
      </c>
      <c r="V6" s="32" t="n">
        <v>235.06</v>
      </c>
      <c r="W6" s="32" t="n">
        <v>85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Between 0.7 to 1.2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23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SAKAR</t>
        </is>
      </c>
      <c r="D7" s="31" t="inlineStr">
        <is>
          <t>Sakar Healthcare Ltd</t>
        </is>
      </c>
      <c r="E7" s="31" t="inlineStr">
        <is>
          <t>healthcare</t>
        </is>
      </c>
      <c r="F7" s="31" t="inlineStr">
        <is>
          <t>Hospitals</t>
        </is>
      </c>
      <c r="G7" s="31" t="inlineStr">
        <is>
          <t>smallcap</t>
        </is>
      </c>
      <c r="H7" s="32" t="n">
        <v>2513.24</v>
      </c>
      <c r="I7" s="32" t="n">
        <v>1129.55</v>
      </c>
      <c r="J7" s="32" t="n">
        <v>2.18</v>
      </c>
      <c r="K7" s="32" t="n">
        <v>0</v>
      </c>
      <c r="L7" s="31" t="n">
        <v>90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73.42</v>
      </c>
      <c r="P7" s="32" t="n">
        <v>52.36</v>
      </c>
      <c r="Q7" s="32" t="n">
        <v>845.4400000000001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17.16</v>
      </c>
      <c r="U7" s="32" t="n">
        <v>228.64</v>
      </c>
      <c r="V7" s="32" t="n">
        <v>180.51</v>
      </c>
      <c r="W7" s="32" t="n">
        <v>36.21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22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IOLCP</t>
        </is>
      </c>
      <c r="D8" s="31" t="inlineStr">
        <is>
          <t>IOL Chemicals &amp; Pharmaceuticals Ltd</t>
        </is>
      </c>
      <c r="E8" s="31" t="inlineStr">
        <is>
          <t>healthcare</t>
        </is>
      </c>
      <c r="F8" s="31" t="inlineStr">
        <is>
          <t>Pharma - API &amp; CRAMS</t>
        </is>
      </c>
      <c r="G8" s="31" t="inlineStr">
        <is>
          <t>midcap</t>
        </is>
      </c>
      <c r="H8" s="32" t="n">
        <v>5796.87</v>
      </c>
      <c r="I8" s="32" t="n">
        <v>197.49</v>
      </c>
      <c r="J8" s="32" t="n">
        <v>1.5</v>
      </c>
      <c r="K8" s="32" t="n">
        <v>0</v>
      </c>
      <c r="L8" s="31" t="n">
        <v>80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76.04000000000001</v>
      </c>
      <c r="P8" s="32" t="n">
        <v>80.98</v>
      </c>
      <c r="Q8" s="32" t="n">
        <v>144.06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17.16</v>
      </c>
      <c r="U8" s="32" t="n">
        <v>66.90000000000001</v>
      </c>
      <c r="V8" s="32" t="n">
        <v>42.46</v>
      </c>
      <c r="W8" s="32" t="n">
        <v>27.73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MBECL</t>
        </is>
      </c>
      <c r="D9" s="31" t="inlineStr">
        <is>
          <t>McNally Bharat Engineering Company Ltd</t>
        </is>
      </c>
      <c r="E9" s="31" t="inlineStr">
        <is>
          <t>realty</t>
        </is>
      </c>
      <c r="F9" s="31" t="inlineStr">
        <is>
          <t>Engineering - Turnkey Services</t>
        </is>
      </c>
      <c r="G9" s="31" t="inlineStr">
        <is>
          <t>smallcap</t>
        </is>
      </c>
      <c r="H9" s="32" t="n">
        <v>1274.9</v>
      </c>
      <c r="I9" s="32" t="n">
        <v>382.47</v>
      </c>
      <c r="J9" s="32" t="n">
        <v>5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99.97</v>
      </c>
      <c r="P9" s="32" t="n">
        <v>61.59</v>
      </c>
      <c r="Q9" s="32" t="n">
        <v>321.09</v>
      </c>
      <c r="R9" s="31" t="inlineStr">
        <is>
          <t>Volume Spike &amp; Near 52W High Breakout</t>
        </is>
      </c>
      <c r="S9" s="31" t="inlineStr">
        <is>
          <t>Nifty Realty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WHEELS</t>
        </is>
      </c>
      <c r="D10" s="31" t="inlineStr">
        <is>
          <t>Wheels India Ltd</t>
        </is>
      </c>
      <c r="E10" s="31" t="inlineStr">
        <is>
          <t>auto</t>
        </is>
      </c>
      <c r="F10" s="31" t="inlineStr">
        <is>
          <t>Auto Ancillaries - Wheels</t>
        </is>
      </c>
      <c r="G10" s="31" t="inlineStr">
        <is>
          <t>midcap</t>
        </is>
      </c>
      <c r="H10" s="32" t="n">
        <v>5191.04</v>
      </c>
      <c r="I10" s="32" t="n">
        <v>2124.6</v>
      </c>
      <c r="J10" s="32" t="n">
        <v>0.67</v>
      </c>
      <c r="K10" s="32" t="n">
        <v>0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73.55</v>
      </c>
      <c r="P10" s="32" t="n">
        <v>57.13</v>
      </c>
      <c r="Q10" s="32" t="n">
        <v>1655.32</v>
      </c>
      <c r="R10" s="31" t="inlineStr">
        <is>
          <t>Near 52W High Breakout</t>
        </is>
      </c>
      <c r="S10" s="31" t="inlineStr">
        <is>
          <t>Nifty Auto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KROSS</t>
        </is>
      </c>
      <c r="D11" s="31" t="inlineStr">
        <is>
          <t>Kross Ltd</t>
        </is>
      </c>
      <c r="E11" s="31" t="inlineStr">
        <is>
          <t>auto</t>
        </is>
      </c>
      <c r="F11" s="31" t="inlineStr">
        <is>
          <t>Auto Ancillaries - Transmission</t>
        </is>
      </c>
      <c r="G11" s="31" t="inlineStr">
        <is>
          <t>smallcap</t>
        </is>
      </c>
      <c r="H11" s="32" t="n">
        <v>1561.45</v>
      </c>
      <c r="I11" s="32" t="n">
        <v>242.05</v>
      </c>
      <c r="J11" s="32" t="n">
        <v>7.17</v>
      </c>
      <c r="K11" s="32" t="n">
        <v>0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66.98999999999999</v>
      </c>
      <c r="P11" s="32" t="n">
        <v>29.93</v>
      </c>
      <c r="Q11" s="32" t="n">
        <v>184.53</v>
      </c>
      <c r="R11" s="31" t="inlineStr">
        <is>
          <t>Near 52W High Breakout</t>
        </is>
      </c>
      <c r="S11" s="31" t="inlineStr">
        <is>
          <t>Nifty Auto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ASMTEC</t>
        </is>
      </c>
      <c r="D12" s="31" t="inlineStr">
        <is>
          <t>ASM Technologies Ltd</t>
        </is>
      </c>
      <c r="E12" s="31" t="inlineStr">
        <is>
          <t>Technology</t>
        </is>
      </c>
      <c r="F12" s="31" t="inlineStr">
        <is>
          <t>IT - Software</t>
        </is>
      </c>
      <c r="G12" s="31" t="inlineStr">
        <is>
          <t>midcap</t>
        </is>
      </c>
      <c r="H12" s="32" t="n">
        <v>9594.74</v>
      </c>
      <c r="I12" s="32" t="n">
        <v>6577.75</v>
      </c>
      <c r="J12" s="32" t="n">
        <v>-4.75</v>
      </c>
      <c r="K12" s="32" t="n">
        <v>0</v>
      </c>
      <c r="L12" s="31" t="n">
        <v>85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77.31</v>
      </c>
      <c r="P12" s="32" t="n">
        <v>54.54</v>
      </c>
      <c r="Q12" s="32" t="n">
        <v>5131.25</v>
      </c>
      <c r="R12" s="31" t="inlineStr">
        <is>
          <t>Near 52W High Breakout</t>
        </is>
      </c>
      <c r="S12" s="31" t="inlineStr">
        <is>
          <t>Nifty 50</t>
        </is>
      </c>
      <c r="T12" s="32" t="n">
        <v>-8.119999999999999</v>
      </c>
      <c r="U12" s="32" t="n">
        <v>58.6</v>
      </c>
      <c r="V12" s="32" t="n">
        <v>72.61</v>
      </c>
      <c r="W12" s="32" t="n">
        <v>31.69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Between 1.5 to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22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MOREPENLAB</t>
        </is>
      </c>
      <c r="D13" s="31" t="inlineStr">
        <is>
          <t>Morepen Laboratories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midcap</t>
        </is>
      </c>
      <c r="H13" s="32" t="n">
        <v>6606.13</v>
      </c>
      <c r="I13" s="32" t="n">
        <v>120.56</v>
      </c>
      <c r="J13" s="32" t="n">
        <v>5.08</v>
      </c>
      <c r="K13" s="32" t="n">
        <v>0</v>
      </c>
      <c r="L13" s="31" t="n">
        <v>97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88.56</v>
      </c>
      <c r="P13" s="32" t="n">
        <v>54.03</v>
      </c>
      <c r="Q13" s="32" t="n">
        <v>89.76000000000001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17.16</v>
      </c>
      <c r="U13" s="32" t="n">
        <v>122.68</v>
      </c>
      <c r="V13" s="32" t="n">
        <v>90.06999999999999</v>
      </c>
      <c r="W13" s="32" t="n">
        <v>57.39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INDSWFTLAB</t>
        </is>
      </c>
      <c r="D14" s="31" t="inlineStr">
        <is>
          <t>Ind-Swift Laboratories Ltd</t>
        </is>
      </c>
      <c r="E14" s="31" t="inlineStr">
        <is>
          <t>healthcare</t>
        </is>
      </c>
      <c r="F14" s="31" t="inlineStr">
        <is>
          <t>Pharma - API</t>
        </is>
      </c>
      <c r="G14" s="31" t="inlineStr">
        <is>
          <t>smallcap</t>
        </is>
      </c>
      <c r="H14" s="32" t="n">
        <v>3289.32</v>
      </c>
      <c r="I14" s="32" t="n">
        <v>378.25</v>
      </c>
      <c r="J14" s="32" t="n">
        <v>3.94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85.15000000000001</v>
      </c>
      <c r="P14" s="32" t="n">
        <v>74.68000000000001</v>
      </c>
      <c r="Q14" s="32" t="n">
        <v>283.05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17.16</v>
      </c>
      <c r="U14" s="32" t="n">
        <v>263.35</v>
      </c>
      <c r="V14" s="32" t="n">
        <v>210.14</v>
      </c>
      <c r="W14" s="32" t="n">
        <v>55.47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GRANULES</t>
        </is>
      </c>
      <c r="D15" s="31" t="inlineStr">
        <is>
          <t>Granules India Ltd</t>
        </is>
      </c>
      <c r="E15" s="31" t="inlineStr">
        <is>
          <t>Healthcare</t>
        </is>
      </c>
      <c r="F15" s="31" t="inlineStr">
        <is>
          <t>Pharma - API &amp; CRAMS</t>
        </is>
      </c>
      <c r="G15" s="31" t="inlineStr">
        <is>
          <t>largecap</t>
        </is>
      </c>
      <c r="H15" s="32" t="n">
        <v>23742.76</v>
      </c>
      <c r="I15" s="32" t="n">
        <v>870.4</v>
      </c>
      <c r="J15" s="32" t="n">
        <v>4.16</v>
      </c>
      <c r="K15" s="32" t="n">
        <v>0</v>
      </c>
      <c r="L15" s="31" t="n">
        <v>43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62.63</v>
      </c>
      <c r="P15" s="32" t="n">
        <v>38.32</v>
      </c>
      <c r="Q15" s="32" t="n">
        <v>747.01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17.16</v>
      </c>
      <c r="U15" s="32" t="n">
        <v>60.51</v>
      </c>
      <c r="V15" s="32" t="n">
        <v>37</v>
      </c>
      <c r="W15" s="32" t="n">
        <v>12.7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LENSKART</t>
        </is>
      </c>
      <c r="D16" s="31" t="inlineStr">
        <is>
          <t>Lenskart Solutions Ltd</t>
        </is>
      </c>
      <c r="E16" s="31" t="inlineStr">
        <is>
          <t>Healthcare</t>
        </is>
      </c>
      <c r="F16" s="31" t="inlineStr">
        <is>
          <t>New age - Platform - E-Retail</t>
        </is>
      </c>
      <c r="G16" s="31" t="inlineStr">
        <is>
          <t>largecap</t>
        </is>
      </c>
      <c r="H16" s="32" t="n">
        <v>118264.12</v>
      </c>
      <c r="I16" s="32" t="n">
        <v>679.95</v>
      </c>
      <c r="J16" s="32" t="n">
        <v>0.61</v>
      </c>
      <c r="K16" s="32" t="n">
        <v>0</v>
      </c>
      <c r="L16" s="31" t="n">
        <v>55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72.77</v>
      </c>
      <c r="P16" s="32" t="n">
        <v>49.73</v>
      </c>
      <c r="Q16" s="32" t="n">
        <v>561.51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16.47</v>
      </c>
      <c r="U16" s="32" t="n">
        <v>66.23</v>
      </c>
      <c r="V16" s="32" t="n">
        <v>42.72</v>
      </c>
      <c r="W16" s="32" t="n">
        <v>16.79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BODALCHEM</t>
        </is>
      </c>
      <c r="D17" s="31" t="inlineStr">
        <is>
          <t>Bodal Chemicals Ltd</t>
        </is>
      </c>
      <c r="E17" s="31" t="inlineStr">
        <is>
          <t>chemicals</t>
        </is>
      </c>
      <c r="F17" s="31" t="inlineStr">
        <is>
          <t>Dyes &amp; Pigments</t>
        </is>
      </c>
      <c r="G17" s="31" t="inlineStr">
        <is>
          <t>smallcap</t>
        </is>
      </c>
      <c r="H17" s="32" t="n">
        <v>2293.82</v>
      </c>
      <c r="I17" s="32" t="n">
        <v>182.13</v>
      </c>
      <c r="J17" s="32" t="n">
        <v>5</v>
      </c>
      <c r="K17" s="32" t="n">
        <v>0</v>
      </c>
      <c r="L17" s="31" t="n">
        <v>98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89.69</v>
      </c>
      <c r="P17" s="32" t="n">
        <v>40.82</v>
      </c>
      <c r="Q17" s="32" t="n">
        <v>142.32</v>
      </c>
      <c r="R17" s="31" t="inlineStr">
        <is>
          <t>Near 52W High Breakout</t>
        </is>
      </c>
      <c r="S17" s="31" t="inlineStr">
        <is>
          <t>Nifty 50</t>
        </is>
      </c>
      <c r="T17" s="32" t="n">
        <v>-8.119999999999999</v>
      </c>
      <c r="U17" s="32" t="n">
        <v>175.25</v>
      </c>
      <c r="V17" s="32" t="n">
        <v>199.57</v>
      </c>
      <c r="W17" s="32" t="n">
        <v>65.62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Between 0.7 to 1.2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31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GAYAPROJ</t>
        </is>
      </c>
      <c r="D18" s="31" t="inlineStr">
        <is>
          <t>Gayatri Projects Ltd</t>
        </is>
      </c>
      <c r="E18" s="31" t="inlineStr">
        <is>
          <t>realty</t>
        </is>
      </c>
      <c r="F18" s="31" t="inlineStr">
        <is>
          <t>Construction - Civil/Turnkey</t>
        </is>
      </c>
      <c r="G18" s="31" t="inlineStr">
        <is>
          <t>smallcap</t>
        </is>
      </c>
      <c r="H18" s="32" t="n">
        <v>1096.67</v>
      </c>
      <c r="I18" s="32" t="n">
        <v>23.62</v>
      </c>
      <c r="J18" s="32" t="n">
        <v>-4.95</v>
      </c>
      <c r="K18" s="32" t="n">
        <v>0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62.33</v>
      </c>
      <c r="P18" s="32" t="n">
        <v>29.31</v>
      </c>
      <c r="Q18" s="32" t="n">
        <v>19.15</v>
      </c>
      <c r="R18" s="31" t="inlineStr">
        <is>
          <t>Volume Spike / Accumulation</t>
        </is>
      </c>
      <c r="S18" s="31" t="inlineStr">
        <is>
          <t>Nifty Realty</t>
        </is>
      </c>
      <c r="T18" s="32" t="inlineStr"/>
      <c r="U18" s="32" t="inlineStr"/>
      <c r="V18" s="32" t="inlineStr"/>
      <c r="W18" s="32" t="inlineStr"/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27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LOTUSDEV</t>
        </is>
      </c>
      <c r="D19" s="31" t="inlineStr">
        <is>
          <t>Sri Lotus Developers &amp; Realty Ltd</t>
        </is>
      </c>
      <c r="E19" s="31" t="inlineStr">
        <is>
          <t>realty</t>
        </is>
      </c>
      <c r="F19" s="31" t="inlineStr">
        <is>
          <t>Construction - Factories/Offices/Commercial</t>
        </is>
      </c>
      <c r="G19" s="31" t="inlineStr">
        <is>
          <t>midcap</t>
        </is>
      </c>
      <c r="H19" s="32" t="n">
        <v>10428.88</v>
      </c>
      <c r="I19" s="32" t="n">
        <v>213.39</v>
      </c>
      <c r="J19" s="32" t="n">
        <v>-1.39</v>
      </c>
      <c r="K19" s="32" t="n">
        <v>0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66.45</v>
      </c>
      <c r="P19" s="32" t="n">
        <v>23.68</v>
      </c>
      <c r="Q19" s="32" t="n">
        <v>161.03</v>
      </c>
      <c r="R19" s="31" t="inlineStr">
        <is>
          <t>Near 52W High Breakout</t>
        </is>
      </c>
      <c r="S19" s="31" t="inlineStr">
        <is>
          <t>Nifty Realty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UNIPARTS</t>
        </is>
      </c>
      <c r="D20" s="31" t="inlineStr">
        <is>
          <t>Uniparts India Ltd</t>
        </is>
      </c>
      <c r="E20" s="31" t="inlineStr">
        <is>
          <t>industrials</t>
        </is>
      </c>
      <c r="F20" s="31" t="inlineStr">
        <is>
          <t>Castings, Forgings &amp; Fastners</t>
        </is>
      </c>
      <c r="G20" s="31" t="inlineStr">
        <is>
          <t>smallcap</t>
        </is>
      </c>
      <c r="H20" s="32" t="n">
        <v>3965.36</v>
      </c>
      <c r="I20" s="32" t="n">
        <v>878.05</v>
      </c>
      <c r="J20" s="32" t="n">
        <v>3.16</v>
      </c>
      <c r="K20" s="32" t="n">
        <v>0</v>
      </c>
      <c r="L20" s="31" t="n">
        <v>77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78.97</v>
      </c>
      <c r="P20" s="32" t="n">
        <v>69.43000000000001</v>
      </c>
      <c r="Q20" s="32" t="n">
        <v>725.2</v>
      </c>
      <c r="R20" s="31" t="inlineStr">
        <is>
          <t>Near 52W High Breakout</t>
        </is>
      </c>
      <c r="S20" s="31" t="inlineStr">
        <is>
          <t>Nifty 50</t>
        </is>
      </c>
      <c r="T20" s="32" t="n">
        <v>-8.119999999999999</v>
      </c>
      <c r="U20" s="32" t="n">
        <v>129.08</v>
      </c>
      <c r="V20" s="32" t="n">
        <v>149.33</v>
      </c>
      <c r="W20" s="32" t="n">
        <v>25.97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JOJO</t>
        </is>
      </c>
      <c r="D21" s="31" t="inlineStr">
        <is>
          <t>JOJO Ltd</t>
        </is>
      </c>
      <c r="E21" s="31" t="inlineStr">
        <is>
          <t>Communication Services</t>
        </is>
      </c>
      <c r="F21" s="31" t="inlineStr">
        <is>
          <t>Pharma - Others</t>
        </is>
      </c>
      <c r="G21" s="31" t="inlineStr">
        <is>
          <t>smallcap</t>
        </is>
      </c>
      <c r="H21" s="32" t="n">
        <v>1558.53</v>
      </c>
      <c r="I21" s="32" t="n">
        <v>226</v>
      </c>
      <c r="J21" s="32" t="n">
        <v>1.99</v>
      </c>
      <c r="K21" s="32" t="n">
        <v>0</v>
      </c>
      <c r="L21" s="31" t="n">
        <v>95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83.79000000000001</v>
      </c>
      <c r="P21" s="32" t="n">
        <v>44.52</v>
      </c>
      <c r="Q21" s="32" t="n">
        <v>166.03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-8.119999999999999</v>
      </c>
      <c r="U21" s="32" t="n">
        <v>166.98</v>
      </c>
      <c r="V21" s="32" t="n">
        <v>190.58</v>
      </c>
      <c r="W21" s="32" t="n">
        <v>49.47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MACPOWER</t>
        </is>
      </c>
      <c r="D22" s="31" t="inlineStr">
        <is>
          <t>Macpower CNC Machines Ltd</t>
        </is>
      </c>
      <c r="E22" s="31" t="inlineStr">
        <is>
          <t>industrials</t>
        </is>
      </c>
      <c r="F22" s="31" t="inlineStr">
        <is>
          <t>CNC - Machines</t>
        </is>
      </c>
      <c r="G22" s="31" t="inlineStr">
        <is>
          <t>smallcap</t>
        </is>
      </c>
      <c r="H22" s="32" t="n">
        <v>1922.4</v>
      </c>
      <c r="I22" s="32" t="n">
        <v>1921.6</v>
      </c>
      <c r="J22" s="32" t="n">
        <v>1.69</v>
      </c>
      <c r="K22" s="32" t="n">
        <v>0</v>
      </c>
      <c r="L22" s="31" t="n">
        <v>87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71.84999999999999</v>
      </c>
      <c r="P22" s="32" t="n">
        <v>48.33</v>
      </c>
      <c r="Q22" s="32" t="n">
        <v>1452.17</v>
      </c>
      <c r="R22" s="31" t="inlineStr">
        <is>
          <t>Near 52W High Breakout</t>
        </is>
      </c>
      <c r="S22" s="31" t="inlineStr">
        <is>
          <t>Nifty 50</t>
        </is>
      </c>
      <c r="T22" s="32" t="n">
        <v>-8.119999999999999</v>
      </c>
      <c r="U22" s="32" t="n">
        <v>121.48</v>
      </c>
      <c r="V22" s="32" t="n">
        <v>141.06</v>
      </c>
      <c r="W22" s="32" t="n">
        <v>32.93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ARROWGREEN</t>
        </is>
      </c>
      <c r="D23" s="31" t="inlineStr">
        <is>
          <t>Arrow Greentech Ltd</t>
        </is>
      </c>
      <c r="E23" s="31" t="inlineStr">
        <is>
          <t>plastic products</t>
        </is>
      </c>
      <c r="F23" s="31" t="inlineStr">
        <is>
          <t>Plastics - Plastic &amp; Plastic Products</t>
        </is>
      </c>
      <c r="G23" s="31" t="inlineStr">
        <is>
          <t>smallcap</t>
        </is>
      </c>
      <c r="H23" s="32" t="n">
        <v>1361.69</v>
      </c>
      <c r="I23" s="32" t="n">
        <v>902.5</v>
      </c>
      <c r="J23" s="32" t="n">
        <v>-0.55</v>
      </c>
      <c r="K23" s="32" t="n">
        <v>0</v>
      </c>
      <c r="L23" s="31" t="n">
        <v>75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71.67</v>
      </c>
      <c r="P23" s="32" t="n">
        <v>45.61</v>
      </c>
      <c r="Q23" s="32" t="n">
        <v>670.45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-8.119999999999999</v>
      </c>
      <c r="U23" s="32" t="n">
        <v>59.41</v>
      </c>
      <c r="V23" s="32" t="n">
        <v>73.5</v>
      </c>
      <c r="W23" s="32" t="n">
        <v>25.27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TAALTECH</t>
        </is>
      </c>
      <c r="D24" s="31" t="inlineStr">
        <is>
          <t>TAAL Tech Ltd</t>
        </is>
      </c>
      <c r="E24" s="31" t="inlineStr">
        <is>
          <t>Industrials</t>
        </is>
      </c>
      <c r="F24" s="31" t="inlineStr">
        <is>
          <t>Air Transport Service</t>
        </is>
      </c>
      <c r="G24" s="31" t="inlineStr">
        <is>
          <t>smallcap</t>
        </is>
      </c>
      <c r="H24" s="32" t="n">
        <v>1678.62</v>
      </c>
      <c r="I24" s="32" t="n">
        <v>5386.5</v>
      </c>
      <c r="J24" s="32" t="n">
        <v>4.94</v>
      </c>
      <c r="K24" s="32" t="n">
        <v>0</v>
      </c>
      <c r="L24" s="31" t="n">
        <v>76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77.25</v>
      </c>
      <c r="P24" s="32" t="n">
        <v>55.62</v>
      </c>
      <c r="Q24" s="32" t="n">
        <v>4029.53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-8.119999999999999</v>
      </c>
      <c r="U24" s="32" t="n">
        <v>72.78</v>
      </c>
      <c r="V24" s="32" t="n">
        <v>88.05</v>
      </c>
      <c r="W24" s="32" t="n">
        <v>25.38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21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FILATEX</t>
        </is>
      </c>
      <c r="D25" s="31" t="inlineStr">
        <is>
          <t>Filatex India Ltd</t>
        </is>
      </c>
      <c r="E25" s="31" t="inlineStr">
        <is>
          <t>textiles</t>
        </is>
      </c>
      <c r="F25" s="31" t="inlineStr">
        <is>
          <t>Textiles - Manmade Fibre - PFY/PSF</t>
        </is>
      </c>
      <c r="G25" s="31" t="inlineStr">
        <is>
          <t>smallcap</t>
        </is>
      </c>
      <c r="H25" s="32" t="n">
        <v>4012.07</v>
      </c>
      <c r="I25" s="32" t="n">
        <v>90.34999999999999</v>
      </c>
      <c r="J25" s="32" t="n">
        <v>3.59</v>
      </c>
      <c r="K25" s="32" t="n">
        <v>0</v>
      </c>
      <c r="L25" s="31" t="n">
        <v>78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77.03</v>
      </c>
      <c r="P25" s="32" t="n">
        <v>44.67</v>
      </c>
      <c r="Q25" s="32" t="n">
        <v>66.29000000000001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-8.119999999999999</v>
      </c>
      <c r="U25" s="32" t="n">
        <v>59.22</v>
      </c>
      <c r="V25" s="32" t="n">
        <v>73.29000000000001</v>
      </c>
      <c r="W25" s="32" t="n">
        <v>26.94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CONFIPET</t>
        </is>
      </c>
      <c r="D26" s="31" t="inlineStr">
        <is>
          <t>Confidence Petroleum India Ltd</t>
        </is>
      </c>
      <c r="E26" s="31" t="inlineStr">
        <is>
          <t>miscellaneous</t>
        </is>
      </c>
      <c r="F26" s="31" t="inlineStr">
        <is>
          <t>LPG Bottling</t>
        </is>
      </c>
      <c r="G26" s="31" t="inlineStr">
        <is>
          <t>smallcap</t>
        </is>
      </c>
      <c r="H26" s="32" t="n">
        <v>2882.52</v>
      </c>
      <c r="I26" s="32" t="n">
        <v>86.76000000000001</v>
      </c>
      <c r="J26" s="32" t="n">
        <v>0.21</v>
      </c>
      <c r="K26" s="32" t="n">
        <v>0</v>
      </c>
      <c r="L26" s="31" t="n">
        <v>71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67.98</v>
      </c>
      <c r="P26" s="32" t="n">
        <v>59.56</v>
      </c>
      <c r="Q26" s="32" t="n">
        <v>62.7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-8.119999999999999</v>
      </c>
      <c r="U26" s="32" t="n">
        <v>82.47</v>
      </c>
      <c r="V26" s="32" t="n">
        <v>98.59</v>
      </c>
      <c r="W26" s="32" t="n">
        <v>23.66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ACCENTMIC</t>
        </is>
      </c>
      <c r="D27" s="31" t="inlineStr">
        <is>
          <t>Accent Microcell Ltd</t>
        </is>
      </c>
      <c r="E27" s="31" t="inlineStr">
        <is>
          <t>unknown</t>
        </is>
      </c>
      <c r="F27" s="31" t="inlineStr">
        <is>
          <t>Pharma - Formulators</t>
        </is>
      </c>
      <c r="G27" s="31" t="inlineStr">
        <is>
          <t>smallcap</t>
        </is>
      </c>
      <c r="H27" s="32" t="n">
        <v>1628.97</v>
      </c>
      <c r="I27" s="32" t="n">
        <v>679.05</v>
      </c>
      <c r="J27" s="32" t="n">
        <v>2.87</v>
      </c>
      <c r="K27" s="32" t="n">
        <v>0</v>
      </c>
      <c r="L27" s="31" t="n">
        <v>83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71.77</v>
      </c>
      <c r="P27" s="32" t="n">
        <v>66.31999999999999</v>
      </c>
      <c r="Q27" s="32" t="n">
        <v>586.37</v>
      </c>
      <c r="R27" s="31" t="inlineStr">
        <is>
          <t>Earnings / Momentum Support</t>
        </is>
      </c>
      <c r="S27" s="31" t="inlineStr">
        <is>
          <t>Nifty 50</t>
        </is>
      </c>
      <c r="T27" s="32" t="n">
        <v>-8.119999999999999</v>
      </c>
      <c r="U27" s="32" t="n">
        <v>146.61</v>
      </c>
      <c r="V27" s="32" t="n">
        <v>168.4</v>
      </c>
      <c r="W27" s="32" t="n">
        <v>30.12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WELSPUNLIV</t>
        </is>
      </c>
      <c r="D28" s="31" t="inlineStr">
        <is>
          <t>Welspun Living Ltd</t>
        </is>
      </c>
      <c r="E28" s="31" t="inlineStr">
        <is>
          <t>textiles</t>
        </is>
      </c>
      <c r="F28" s="31" t="inlineStr">
        <is>
          <t>Textiles - Home Textile</t>
        </is>
      </c>
      <c r="G28" s="31" t="inlineStr">
        <is>
          <t>largecap</t>
        </is>
      </c>
      <c r="H28" s="32" t="n">
        <v>20052.37</v>
      </c>
      <c r="I28" s="32" t="n">
        <v>212.25</v>
      </c>
      <c r="J28" s="32" t="n">
        <v>4.65</v>
      </c>
      <c r="K28" s="32" t="n">
        <v>0</v>
      </c>
      <c r="L28" s="31" t="n">
        <v>62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79.22</v>
      </c>
      <c r="P28" s="32" t="n">
        <v>42.65</v>
      </c>
      <c r="Q28" s="32" t="n">
        <v>169.53</v>
      </c>
      <c r="R28" s="31" t="inlineStr">
        <is>
          <t>Near 52W High Breakout</t>
        </is>
      </c>
      <c r="S28" s="31" t="inlineStr">
        <is>
          <t>Nifty 50</t>
        </is>
      </c>
      <c r="T28" s="32" t="n">
        <v>-8.119999999999999</v>
      </c>
      <c r="U28" s="32" t="n">
        <v>70.70999999999999</v>
      </c>
      <c r="V28" s="32" t="n">
        <v>85.79000000000001</v>
      </c>
      <c r="W28" s="32" t="n">
        <v>19.39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IRISDOREME</t>
        </is>
      </c>
      <c r="D29" s="31" t="inlineStr">
        <is>
          <t>Iris Clothings Ltd</t>
        </is>
      </c>
      <c r="E29" s="31" t="inlineStr">
        <is>
          <t>consumer discretionary</t>
        </is>
      </c>
      <c r="F29" s="31" t="inlineStr">
        <is>
          <t>Textiles - Readymade Apparel</t>
        </is>
      </c>
      <c r="G29" s="31" t="inlineStr">
        <is>
          <t>smallcap</t>
        </is>
      </c>
      <c r="H29" s="32" t="n">
        <v>1190.52</v>
      </c>
      <c r="I29" s="32" t="n">
        <v>62.55</v>
      </c>
      <c r="J29" s="32" t="n">
        <v>7.51</v>
      </c>
      <c r="K29" s="32" t="n">
        <v>0</v>
      </c>
      <c r="L29" s="31" t="n">
        <v>81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80.08</v>
      </c>
      <c r="P29" s="32" t="n">
        <v>54.68</v>
      </c>
      <c r="Q29" s="32" t="n">
        <v>49.81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-8.119999999999999</v>
      </c>
      <c r="U29" s="32" t="n">
        <v>96.7</v>
      </c>
      <c r="V29" s="32" t="n">
        <v>114.08</v>
      </c>
      <c r="W29" s="32" t="n">
        <v>28.78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UNIMECH</t>
        </is>
      </c>
      <c r="D30" s="31" t="inlineStr">
        <is>
          <t>Unimech Aerospace and Manufacturing Ltd</t>
        </is>
      </c>
      <c r="E30" s="31" t="inlineStr">
        <is>
          <t>aerospace &amp; defence</t>
        </is>
      </c>
      <c r="F30" s="31" t="inlineStr">
        <is>
          <t>Engineering - Heavy - General</t>
        </is>
      </c>
      <c r="G30" s="31" t="inlineStr">
        <is>
          <t>midcap</t>
        </is>
      </c>
      <c r="H30" s="32" t="n">
        <v>7994.67</v>
      </c>
      <c r="I30" s="32" t="n">
        <v>1570.6</v>
      </c>
      <c r="J30" s="32" t="n">
        <v>3.62</v>
      </c>
      <c r="K30" s="32" t="n">
        <v>0</v>
      </c>
      <c r="L30" s="31" t="n">
        <v>54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72.91</v>
      </c>
      <c r="P30" s="32" t="n">
        <v>44.72</v>
      </c>
      <c r="Q30" s="32" t="n">
        <v>1230.56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-8.119999999999999</v>
      </c>
      <c r="U30" s="32" t="n">
        <v>42.42</v>
      </c>
      <c r="V30" s="32" t="n">
        <v>55.01</v>
      </c>
      <c r="W30" s="32" t="n">
        <v>16.55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SHILPAMED</t>
        </is>
      </c>
      <c r="D31" s="31" t="inlineStr">
        <is>
          <t>Shilpa Medicare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midcap</t>
        </is>
      </c>
      <c r="H31" s="32" t="n">
        <v>18743.58</v>
      </c>
      <c r="I31" s="32" t="n">
        <v>958.35</v>
      </c>
      <c r="J31" s="32" t="n">
        <v>3.26</v>
      </c>
      <c r="K31" s="32" t="n">
        <v>0</v>
      </c>
      <c r="L31" s="31" t="n">
        <v>93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90.19</v>
      </c>
      <c r="P31" s="32" t="n">
        <v>79.16</v>
      </c>
      <c r="Q31" s="32" t="n">
        <v>778.02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17.16</v>
      </c>
      <c r="U31" s="32" t="n">
        <v>132.47</v>
      </c>
      <c r="V31" s="32" t="n">
        <v>98.43000000000001</v>
      </c>
      <c r="W31" s="32" t="n">
        <v>39.34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AVALON</t>
        </is>
      </c>
      <c r="D32" s="31" t="inlineStr">
        <is>
          <t>Avalon Technologies Ltd</t>
        </is>
      </c>
      <c r="E32" s="31" t="inlineStr">
        <is>
          <t>Technology</t>
        </is>
      </c>
      <c r="F32" s="31" t="inlineStr">
        <is>
          <t>Consumer Electronics - EMS</t>
        </is>
      </c>
      <c r="G32" s="31" t="inlineStr">
        <is>
          <t>midcap</t>
        </is>
      </c>
      <c r="H32" s="32" t="n">
        <v>14899.02</v>
      </c>
      <c r="I32" s="32" t="n">
        <v>2230</v>
      </c>
      <c r="J32" s="32" t="n">
        <v>0.63</v>
      </c>
      <c r="K32" s="32" t="n">
        <v>0</v>
      </c>
      <c r="L32" s="31" t="n">
        <v>80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78.94</v>
      </c>
      <c r="P32" s="32" t="n">
        <v>57.83</v>
      </c>
      <c r="Q32" s="32" t="n">
        <v>1687.97</v>
      </c>
      <c r="R32" s="31" t="inlineStr">
        <is>
          <t>Near 52W High Breakout</t>
        </is>
      </c>
      <c r="S32" s="31" t="inlineStr">
        <is>
          <t>Nifty 50</t>
        </is>
      </c>
      <c r="T32" s="32" t="n">
        <v>-8.119999999999999</v>
      </c>
      <c r="U32" s="32" t="n">
        <v>128.93</v>
      </c>
      <c r="V32" s="32" t="n">
        <v>149.16</v>
      </c>
      <c r="W32" s="32" t="n">
        <v>27.51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20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BIRLACABLE</t>
        </is>
      </c>
      <c r="D33" s="31" t="inlineStr">
        <is>
          <t>Birla Cable Ltd</t>
        </is>
      </c>
      <c r="E33" s="31" t="inlineStr">
        <is>
          <t>industrials</t>
        </is>
      </c>
      <c r="F33" s="31" t="inlineStr">
        <is>
          <t>Cables - Telecom</t>
        </is>
      </c>
      <c r="G33" s="31" t="inlineStr">
        <is>
          <t>smallcap</t>
        </is>
      </c>
      <c r="H33" s="32" t="n">
        <v>1204.95</v>
      </c>
      <c r="I33" s="32" t="n">
        <v>401.65</v>
      </c>
      <c r="J33" s="32" t="n">
        <v>4.99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81.31</v>
      </c>
      <c r="P33" s="32" t="n">
        <v>52.8</v>
      </c>
      <c r="Q33" s="32" t="n">
        <v>295.03</v>
      </c>
      <c r="R33" s="31" t="inlineStr">
        <is>
          <t>Volume Spike &amp; Near 52W High Breakout</t>
        </is>
      </c>
      <c r="S33" s="31" t="inlineStr">
        <is>
          <t>Nifty Infra</t>
        </is>
      </c>
      <c r="T33" s="32" t="inlineStr"/>
      <c r="U33" s="32" t="inlineStr"/>
      <c r="V33" s="32" t="inlineStr"/>
      <c r="W33" s="32" t="inlineStr"/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Oligopoly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31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QUADFUTURE</t>
        </is>
      </c>
      <c r="D34" s="31" t="inlineStr">
        <is>
          <t>Quadrant Future Tek Ltd</t>
        </is>
      </c>
      <c r="E34" s="31" t="inlineStr">
        <is>
          <t>industrials</t>
        </is>
      </c>
      <c r="F34" s="31" t="inlineStr">
        <is>
          <t>Railways - Kavach/Springs</t>
        </is>
      </c>
      <c r="G34" s="31" t="inlineStr">
        <is>
          <t>smallcap</t>
        </is>
      </c>
      <c r="H34" s="32" t="n">
        <v>2086</v>
      </c>
      <c r="I34" s="32" t="n">
        <v>521.5</v>
      </c>
      <c r="J34" s="32" t="n">
        <v>6.01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69.87</v>
      </c>
      <c r="P34" s="32" t="n">
        <v>39.63</v>
      </c>
      <c r="Q34" s="32" t="n">
        <v>366.9</v>
      </c>
      <c r="R34" s="31" t="inlineStr">
        <is>
          <t>Near 52W High Breakout</t>
        </is>
      </c>
      <c r="S34" s="31" t="inlineStr">
        <is>
          <t>Nifty Energy</t>
        </is>
      </c>
      <c r="T34" s="32" t="inlineStr"/>
      <c r="U34" s="32" t="inlineStr"/>
      <c r="V34" s="32" t="inlineStr"/>
      <c r="W34" s="32" t="inlineStr"/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FINCABLES</t>
        </is>
      </c>
      <c r="D35" s="31" t="inlineStr">
        <is>
          <t>Finolex Cables Ltd</t>
        </is>
      </c>
      <c r="E35" s="31" t="inlineStr">
        <is>
          <t>industrials</t>
        </is>
      </c>
      <c r="F35" s="31" t="inlineStr">
        <is>
          <t>Cables - Telecom</t>
        </is>
      </c>
      <c r="G35" s="31" t="inlineStr">
        <is>
          <t>largecap</t>
        </is>
      </c>
      <c r="H35" s="32" t="n">
        <v>21347.27</v>
      </c>
      <c r="I35" s="32" t="n">
        <v>1395.8</v>
      </c>
      <c r="J35" s="32" t="n">
        <v>2.44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68.28</v>
      </c>
      <c r="P35" s="32" t="n">
        <v>37.6</v>
      </c>
      <c r="Q35" s="32" t="n">
        <v>1069.71</v>
      </c>
      <c r="R35" s="31" t="inlineStr">
        <is>
          <t>Near 52W High Breakout</t>
        </is>
      </c>
      <c r="S35" s="31" t="inlineStr">
        <is>
          <t>Nifty Energy</t>
        </is>
      </c>
      <c r="T35" s="32" t="inlineStr"/>
      <c r="U35" s="32" t="inlineStr"/>
      <c r="V35" s="32" t="inlineStr"/>
      <c r="W35" s="32" t="inlineStr"/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Oligopoly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EBGNG</t>
        </is>
      </c>
      <c r="D36" s="31" t="inlineStr">
        <is>
          <t>GNG Electronics Ltd</t>
        </is>
      </c>
      <c r="E36" s="31" t="inlineStr">
        <is>
          <t>services</t>
        </is>
      </c>
      <c r="F36" s="31" t="inlineStr">
        <is>
          <t>New age - Platform - E-Retail</t>
        </is>
      </c>
      <c r="G36" s="31" t="inlineStr">
        <is>
          <t>midcap</t>
        </is>
      </c>
      <c r="H36" s="32" t="n">
        <v>7543.57</v>
      </c>
      <c r="I36" s="32" t="n">
        <v>661.65</v>
      </c>
      <c r="J36" s="32" t="n">
        <v>2.49</v>
      </c>
      <c r="K36" s="32" t="n">
        <v>0</v>
      </c>
      <c r="L36" s="31" t="n">
        <v>65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65.93000000000001</v>
      </c>
      <c r="P36" s="32" t="n">
        <v>37.69</v>
      </c>
      <c r="Q36" s="32" t="n">
        <v>477.44</v>
      </c>
      <c r="R36" s="31" t="inlineStr">
        <is>
          <t>Near 52W High Breakout</t>
        </is>
      </c>
      <c r="S36" s="31" t="inlineStr">
        <is>
          <t>Nifty 50</t>
        </is>
      </c>
      <c r="T36" s="32" t="n">
        <v>-8.119999999999999</v>
      </c>
      <c r="U36" s="32" t="n">
        <v>75.09</v>
      </c>
      <c r="V36" s="32" t="n">
        <v>90.56</v>
      </c>
      <c r="W36" s="32" t="n">
        <v>20.32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FOSECOIND</t>
        </is>
      </c>
      <c r="D37" s="31" t="inlineStr">
        <is>
          <t>Foseco India Ltd</t>
        </is>
      </c>
      <c r="E37" s="31" t="inlineStr">
        <is>
          <t>chemicals</t>
        </is>
      </c>
      <c r="F37" s="31" t="inlineStr">
        <is>
          <t>Chemicals - Organic</t>
        </is>
      </c>
      <c r="G37" s="31" t="inlineStr">
        <is>
          <t>midcap</t>
        </is>
      </c>
      <c r="H37" s="32" t="n">
        <v>5099.33</v>
      </c>
      <c r="I37" s="32" t="n">
        <v>6765.5</v>
      </c>
      <c r="J37" s="32" t="n">
        <v>-1.18</v>
      </c>
      <c r="K37" s="32" t="n">
        <v>0</v>
      </c>
      <c r="L37" s="31" t="n">
        <v>30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72.31999999999999</v>
      </c>
      <c r="P37" s="32" t="n">
        <v>30.75</v>
      </c>
      <c r="Q37" s="32" t="n">
        <v>5225.29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-8.119999999999999</v>
      </c>
      <c r="U37" s="32" t="n">
        <v>12.67</v>
      </c>
      <c r="V37" s="32" t="n">
        <v>22.63</v>
      </c>
      <c r="W37" s="32" t="n">
        <v>9.17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KABRAEXTRU</t>
        </is>
      </c>
      <c r="D38" s="31" t="inlineStr">
        <is>
          <t>Kabra Extrusion Technik Ltd</t>
        </is>
      </c>
      <c r="E38" s="31" t="inlineStr">
        <is>
          <t>industrials</t>
        </is>
      </c>
      <c r="F38" s="31" t="inlineStr">
        <is>
          <t>Capital Goods - Engineering Heavy</t>
        </is>
      </c>
      <c r="G38" s="31" t="inlineStr">
        <is>
          <t>smallcap</t>
        </is>
      </c>
      <c r="H38" s="32" t="n">
        <v>2212.91</v>
      </c>
      <c r="I38" s="32" t="n">
        <v>632.75</v>
      </c>
      <c r="J38" s="32" t="n">
        <v>0.74</v>
      </c>
      <c r="K38" s="32" t="n">
        <v>0</v>
      </c>
      <c r="L38" s="31" t="n">
        <v>98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73.59999999999999</v>
      </c>
      <c r="P38" s="32" t="n">
        <v>61.02</v>
      </c>
      <c r="Q38" s="32" t="n">
        <v>541.88</v>
      </c>
      <c r="R38" s="31" t="inlineStr">
        <is>
          <t>Earnings / Momentum Support</t>
        </is>
      </c>
      <c r="S38" s="31" t="inlineStr">
        <is>
          <t>Nifty 50</t>
        </is>
      </c>
      <c r="T38" s="32" t="n">
        <v>-8.119999999999999</v>
      </c>
      <c r="U38" s="32" t="n">
        <v>134.44</v>
      </c>
      <c r="V38" s="32" t="n">
        <v>155.16</v>
      </c>
      <c r="W38" s="32" t="n">
        <v>64.52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KPL</t>
        </is>
      </c>
      <c r="D39" s="31" t="inlineStr">
        <is>
          <t>Kwality Pharmaceuticals Ltd</t>
        </is>
      </c>
      <c r="E39" s="31" t="inlineStr">
        <is>
          <t>Healthcare</t>
        </is>
      </c>
      <c r="F39" s="31" t="inlineStr">
        <is>
          <t>Pharma - Formulators</t>
        </is>
      </c>
      <c r="G39" s="31" t="inlineStr">
        <is>
          <t>smallcap</t>
        </is>
      </c>
      <c r="H39" s="32" t="n">
        <v>3581.19</v>
      </c>
      <c r="I39" s="32" t="n">
        <v>3451.35</v>
      </c>
      <c r="J39" s="32" t="n">
        <v>3.09</v>
      </c>
      <c r="K39" s="32" t="n">
        <v>0</v>
      </c>
      <c r="L39" s="31" t="n">
        <v>92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71.95</v>
      </c>
      <c r="P39" s="32" t="n">
        <v>69.38</v>
      </c>
      <c r="Q39" s="32" t="n">
        <v>2654.39</v>
      </c>
      <c r="R39" s="31" t="inlineStr">
        <is>
          <t>Earnings / Momentum Support</t>
        </is>
      </c>
      <c r="S39" s="31" t="inlineStr">
        <is>
          <t>Nifty Pharma</t>
        </is>
      </c>
      <c r="T39" s="32" t="n">
        <v>17.16</v>
      </c>
      <c r="U39" s="32" t="n">
        <v>260.32</v>
      </c>
      <c r="V39" s="32" t="n">
        <v>207.55</v>
      </c>
      <c r="W39" s="32" t="n">
        <v>39.33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3" t="inlineStr">
        <is>
          <t>SOLARA</t>
        </is>
      </c>
      <c r="D40" s="33" t="inlineStr">
        <is>
          <t>Solara Active Pharma Sciences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smallcap</t>
        </is>
      </c>
      <c r="H40" s="32" t="n">
        <v>3599.63</v>
      </c>
      <c r="I40" s="32" t="n">
        <v>741.7</v>
      </c>
      <c r="J40" s="32" t="n">
        <v>4.24</v>
      </c>
      <c r="K40" s="32" t="n">
        <v>0</v>
      </c>
      <c r="L40" s="31" t="n">
        <v>34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70.77</v>
      </c>
      <c r="P40" s="32" t="n">
        <v>30.01</v>
      </c>
      <c r="Q40" s="32" t="n">
        <v>556.0599999999999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17.16</v>
      </c>
      <c r="U40" s="32" t="n">
        <v>9.859999999999999</v>
      </c>
      <c r="V40" s="32" t="n">
        <v>-6.23</v>
      </c>
      <c r="W40" s="32" t="n">
        <v>10.39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AHCL</t>
        </is>
      </c>
      <c r="D41" s="31" t="inlineStr">
        <is>
          <t>Anlon Healthcare Ltd</t>
        </is>
      </c>
      <c r="E41" s="31" t="inlineStr">
        <is>
          <t>healthcare</t>
        </is>
      </c>
      <c r="F41" s="31" t="inlineStr">
        <is>
          <t>Pharmaceuticals Bulk Drugs &amp; Formulation</t>
        </is>
      </c>
      <c r="G41" s="31" t="inlineStr">
        <is>
          <t>smallcap</t>
        </is>
      </c>
      <c r="H41" s="32" t="n">
        <v>1160.83</v>
      </c>
      <c r="I41" s="32" t="n">
        <v>21.84</v>
      </c>
      <c r="J41" s="32" t="n">
        <v>8.98</v>
      </c>
      <c r="K41" s="32" t="n">
        <v>0</v>
      </c>
      <c r="L41" s="31" t="n">
        <v>60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77.81</v>
      </c>
      <c r="P41" s="32" t="n">
        <v>42.02</v>
      </c>
      <c r="Q41" s="32" t="n">
        <v>16.51</v>
      </c>
      <c r="R41" s="31" t="inlineStr">
        <is>
          <t>Volume Spike &amp; Near 52W High Breakout</t>
        </is>
      </c>
      <c r="S41" s="31" t="inlineStr">
        <is>
          <t>Nifty Pharma</t>
        </is>
      </c>
      <c r="T41" s="32" t="n">
        <v>17.16</v>
      </c>
      <c r="U41" s="32" t="n">
        <v>62.37</v>
      </c>
      <c r="V41" s="32" t="n">
        <v>38.59</v>
      </c>
      <c r="W41" s="32" t="n">
        <v>18.58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BHEL</t>
        </is>
      </c>
      <c r="D42" s="31" t="inlineStr">
        <is>
          <t>Bharat Heavy Electricals Ltd</t>
        </is>
      </c>
      <c r="E42" s="31" t="inlineStr">
        <is>
          <t>Industrials</t>
        </is>
      </c>
      <c r="F42" s="31" t="inlineStr">
        <is>
          <t>Capital Goods - Engineering Heavy</t>
        </is>
      </c>
      <c r="G42" s="31" t="inlineStr">
        <is>
          <t>largecap</t>
        </is>
      </c>
      <c r="H42" s="32" t="n">
        <v>149450.16</v>
      </c>
      <c r="I42" s="32" t="n">
        <v>429.2</v>
      </c>
      <c r="J42" s="32" t="n">
        <v>4.53</v>
      </c>
      <c r="K42" s="32" t="n">
        <v>0</v>
      </c>
      <c r="L42" s="31" t="n">
        <v>52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65.38</v>
      </c>
      <c r="P42" s="32" t="n">
        <v>37.13</v>
      </c>
      <c r="Q42" s="32" t="n">
        <v>349.29</v>
      </c>
      <c r="R42" s="31" t="inlineStr">
        <is>
          <t>Near 52W High Breakout</t>
        </is>
      </c>
      <c r="S42" s="31" t="inlineStr">
        <is>
          <t>Nifty 50</t>
        </is>
      </c>
      <c r="T42" s="32" t="n">
        <v>-8.119999999999999</v>
      </c>
      <c r="U42" s="32" t="n">
        <v>81.55</v>
      </c>
      <c r="V42" s="32" t="n">
        <v>97.59</v>
      </c>
      <c r="W42" s="32" t="n">
        <v>15.45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RGL</t>
        </is>
      </c>
      <c r="D43" s="31" t="inlineStr">
        <is>
          <t>Renaissance Global Ltd</t>
        </is>
      </c>
      <c r="E43" s="31" t="inlineStr">
        <is>
          <t>consumer discretionary</t>
        </is>
      </c>
      <c r="F43" s="31" t="inlineStr">
        <is>
          <t>Lab Grown Diamonds</t>
        </is>
      </c>
      <c r="G43" s="31" t="inlineStr">
        <is>
          <t>smallcap</t>
        </is>
      </c>
      <c r="H43" s="32" t="n">
        <v>1680.76</v>
      </c>
      <c r="I43" s="32" t="n">
        <v>156.49</v>
      </c>
      <c r="J43" s="32" t="n">
        <v>4.68</v>
      </c>
      <c r="K43" s="32" t="n">
        <v>0</v>
      </c>
      <c r="L43" s="31" t="n">
        <v>53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74.92</v>
      </c>
      <c r="P43" s="32" t="n">
        <v>28.29</v>
      </c>
      <c r="Q43" s="32" t="n">
        <v>116.32</v>
      </c>
      <c r="R43" s="31" t="inlineStr">
        <is>
          <t>Near 52W High Breakout</t>
        </is>
      </c>
      <c r="S43" s="31" t="inlineStr">
        <is>
          <t>Nifty 50</t>
        </is>
      </c>
      <c r="T43" s="32" t="n">
        <v>-8.119999999999999</v>
      </c>
      <c r="U43" s="32" t="n">
        <v>30.15</v>
      </c>
      <c r="V43" s="32" t="n">
        <v>41.65</v>
      </c>
      <c r="W43" s="32" t="n">
        <v>15.97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EMUDHRA</t>
        </is>
      </c>
      <c r="D44" s="31" t="inlineStr">
        <is>
          <t>eMudhra Ltd</t>
        </is>
      </c>
      <c r="E44" s="31" t="inlineStr">
        <is>
          <t>i.t</t>
        </is>
      </c>
      <c r="F44" s="31" t="inlineStr">
        <is>
          <t>Services - Others</t>
        </is>
      </c>
      <c r="G44" s="31" t="inlineStr">
        <is>
          <t>midcap</t>
        </is>
      </c>
      <c r="H44" s="32" t="n">
        <v>5244.88</v>
      </c>
      <c r="I44" s="32" t="n">
        <v>633.35</v>
      </c>
      <c r="J44" s="32" t="n">
        <v>-1.39</v>
      </c>
      <c r="K44" s="32" t="n">
        <v>0</v>
      </c>
      <c r="L44" s="31" t="n">
        <v>30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66.34999999999999</v>
      </c>
      <c r="P44" s="32" t="n">
        <v>22.71</v>
      </c>
      <c r="Q44" s="32" t="n">
        <v>481.03</v>
      </c>
      <c r="R44" s="31" t="inlineStr">
        <is>
          <t>Volume Spike / Accumulation</t>
        </is>
      </c>
      <c r="S44" s="31" t="inlineStr">
        <is>
          <t>Nifty IT</t>
        </is>
      </c>
      <c r="T44" s="32" t="n">
        <v>-20.29</v>
      </c>
      <c r="U44" s="32" t="n">
        <v>-7.2</v>
      </c>
      <c r="V44" s="32" t="n">
        <v>16.43</v>
      </c>
      <c r="W44" s="32" t="n">
        <v>9.08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MENONBE</t>
        </is>
      </c>
      <c r="D45" s="31" t="inlineStr">
        <is>
          <t>Menon Bearings Ltd</t>
        </is>
      </c>
      <c r="E45" s="31" t="inlineStr">
        <is>
          <t>auto</t>
        </is>
      </c>
      <c r="F45" s="31" t="inlineStr">
        <is>
          <t>Auto Ancillaries - Bearings</t>
        </is>
      </c>
      <c r="G45" s="31" t="inlineStr">
        <is>
          <t>smallcap</t>
        </is>
      </c>
      <c r="H45" s="32" t="n">
        <v>1709.5</v>
      </c>
      <c r="I45" s="32" t="n">
        <v>305.05</v>
      </c>
      <c r="J45" s="32" t="n">
        <v>2.66</v>
      </c>
      <c r="K45" s="32" t="n">
        <v>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76.92</v>
      </c>
      <c r="P45" s="32" t="n">
        <v>65.25</v>
      </c>
      <c r="Q45" s="32" t="n">
        <v>241.1</v>
      </c>
      <c r="R45" s="31" t="inlineStr">
        <is>
          <t>Earnings / Momentum Support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RACLGEAR</t>
        </is>
      </c>
      <c r="D46" s="31" t="inlineStr">
        <is>
          <t>RACL Geartech Ltd</t>
        </is>
      </c>
      <c r="E46" s="31" t="inlineStr">
        <is>
          <t>auto</t>
        </is>
      </c>
      <c r="F46" s="31" t="inlineStr">
        <is>
          <t>Auto Ancillaries - Gears</t>
        </is>
      </c>
      <c r="G46" s="31" t="inlineStr">
        <is>
          <t>smallcap</t>
        </is>
      </c>
      <c r="H46" s="32" t="n">
        <v>2159.99</v>
      </c>
      <c r="I46" s="32" t="n">
        <v>1832.35</v>
      </c>
      <c r="J46" s="32" t="n">
        <v>-1.06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70.45</v>
      </c>
      <c r="P46" s="32" t="n">
        <v>52.81</v>
      </c>
      <c r="Q46" s="32" t="n">
        <v>1312.64</v>
      </c>
      <c r="R46" s="31" t="inlineStr">
        <is>
          <t>Volume Spike &amp; Near 52W High Breakout</t>
        </is>
      </c>
      <c r="S46" s="31" t="inlineStr">
        <is>
          <t>Nifty Auto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Less than 12%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SANSERA</t>
        </is>
      </c>
      <c r="D47" s="31" t="inlineStr">
        <is>
          <t>Sansera Engineering Ltd</t>
        </is>
      </c>
      <c r="E47" s="31" t="inlineStr">
        <is>
          <t>auto</t>
        </is>
      </c>
      <c r="F47" s="31" t="inlineStr">
        <is>
          <t>Auto Ancillaries - Diversified</t>
        </is>
      </c>
      <c r="G47" s="31" t="inlineStr">
        <is>
          <t>largecap</t>
        </is>
      </c>
      <c r="H47" s="32" t="n">
        <v>25070.63</v>
      </c>
      <c r="I47" s="32" t="n">
        <v>4017.5</v>
      </c>
      <c r="J47" s="32" t="n">
        <v>1.17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75.84999999999999</v>
      </c>
      <c r="P47" s="32" t="n">
        <v>63.79</v>
      </c>
      <c r="Q47" s="32" t="n">
        <v>3297.34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19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VALIANTORG</t>
        </is>
      </c>
      <c r="D48" s="31" t="inlineStr">
        <is>
          <t>Valiant Organics Ltd</t>
        </is>
      </c>
      <c r="E48" s="31" t="inlineStr">
        <is>
          <t>chemicals</t>
        </is>
      </c>
      <c r="F48" s="31" t="inlineStr">
        <is>
          <t>Chemicals - Organic</t>
        </is>
      </c>
      <c r="G48" s="31" t="inlineStr">
        <is>
          <t>smallcap</t>
        </is>
      </c>
      <c r="H48" s="32" t="n">
        <v>1145.07</v>
      </c>
      <c r="I48" s="32" t="n">
        <v>408.45</v>
      </c>
      <c r="J48" s="32" t="n">
        <v>5</v>
      </c>
      <c r="K48" s="32" t="n">
        <v>0</v>
      </c>
      <c r="L48" s="31" t="n">
        <v>41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71.41</v>
      </c>
      <c r="P48" s="32" t="n">
        <v>39.03</v>
      </c>
      <c r="Q48" s="32" t="n">
        <v>302.1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-8.119999999999999</v>
      </c>
      <c r="U48" s="32" t="n">
        <v>10.21</v>
      </c>
      <c r="V48" s="32" t="n">
        <v>19.95</v>
      </c>
      <c r="W48" s="32" t="n">
        <v>12.43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ACMESOLAR</t>
        </is>
      </c>
      <c r="D49" s="31" t="inlineStr">
        <is>
          <t>ACME Solar Holdings Ltd</t>
        </is>
      </c>
      <c r="E49" s="31" t="inlineStr">
        <is>
          <t>realty</t>
        </is>
      </c>
      <c r="F49" s="31" t="inlineStr">
        <is>
          <t>Engineering - Turnkey Services</t>
        </is>
      </c>
      <c r="G49" s="31" t="inlineStr">
        <is>
          <t>largecap</t>
        </is>
      </c>
      <c r="H49" s="32" t="n">
        <v>29073.74</v>
      </c>
      <c r="I49" s="32" t="n">
        <v>411.3</v>
      </c>
      <c r="J49" s="32" t="n">
        <v>-1.6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67.61</v>
      </c>
      <c r="P49" s="32" t="n">
        <v>49.44</v>
      </c>
      <c r="Q49" s="32" t="n">
        <v>325.61</v>
      </c>
      <c r="R49" s="31" t="inlineStr">
        <is>
          <t>Near 52W High Breakout</t>
        </is>
      </c>
      <c r="S49" s="31" t="inlineStr">
        <is>
          <t>Nifty Realty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More than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RML</t>
        </is>
      </c>
      <c r="D50" s="31" t="inlineStr">
        <is>
          <t>Rane (Madras) Ltd</t>
        </is>
      </c>
      <c r="E50" s="31" t="inlineStr">
        <is>
          <t>auto</t>
        </is>
      </c>
      <c r="F50" s="31" t="inlineStr">
        <is>
          <t>Auto Ancillaries - Gears</t>
        </is>
      </c>
      <c r="G50" s="31" t="inlineStr">
        <is>
          <t>smallcap</t>
        </is>
      </c>
      <c r="H50" s="32" t="n">
        <v>3542.53</v>
      </c>
      <c r="I50" s="32" t="n">
        <v>1281.8</v>
      </c>
      <c r="J50" s="32" t="n">
        <v>1.08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63.46</v>
      </c>
      <c r="P50" s="32" t="n">
        <v>54.28</v>
      </c>
      <c r="Q50" s="32" t="n">
        <v>1015.54</v>
      </c>
      <c r="R50" s="31" t="inlineStr">
        <is>
          <t>Earnings / Momentum Support</t>
        </is>
      </c>
      <c r="S50" s="31" t="inlineStr">
        <is>
          <t>Nifty Auto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KMCSHIL</t>
        </is>
      </c>
      <c r="D51" s="31" t="inlineStr">
        <is>
          <t>KMC Speciality Hospitals (India) Ltd</t>
        </is>
      </c>
      <c r="E51" s="31" t="inlineStr">
        <is>
          <t>Healthcare</t>
        </is>
      </c>
      <c r="F51" s="31" t="inlineStr">
        <is>
          <t>Hospitals</t>
        </is>
      </c>
      <c r="G51" s="31" t="inlineStr">
        <is>
          <t>smallcap</t>
        </is>
      </c>
      <c r="H51" s="32" t="n">
        <v>2558.8</v>
      </c>
      <c r="I51" s="32" t="n">
        <v>156.9</v>
      </c>
      <c r="J51" s="32" t="n">
        <v>5.8</v>
      </c>
      <c r="K51" s="32" t="n">
        <v>0</v>
      </c>
      <c r="L51" s="31" t="n">
        <v>78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77.54000000000001</v>
      </c>
      <c r="P51" s="32" t="n">
        <v>55.91</v>
      </c>
      <c r="Q51" s="32" t="n">
        <v>121.22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17.16</v>
      </c>
      <c r="U51" s="32" t="n">
        <v>134.7</v>
      </c>
      <c r="V51" s="32" t="n">
        <v>100.33</v>
      </c>
      <c r="W51" s="32" t="n">
        <v>26.99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27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LAURUSLABS</t>
        </is>
      </c>
      <c r="D52" s="31" t="inlineStr">
        <is>
          <t>Laurus Labs Ltd</t>
        </is>
      </c>
      <c r="E52" s="31" t="inlineStr">
        <is>
          <t>healthcare</t>
        </is>
      </c>
      <c r="F52" s="31" t="inlineStr">
        <is>
          <t>Pharma - API &amp; CRAMS</t>
        </is>
      </c>
      <c r="G52" s="31" t="inlineStr">
        <is>
          <t>largecap</t>
        </is>
      </c>
      <c r="H52" s="32" t="n">
        <v>105258.22</v>
      </c>
      <c r="I52" s="32" t="n">
        <v>1948.1</v>
      </c>
      <c r="J52" s="32" t="n">
        <v>2.24</v>
      </c>
      <c r="K52" s="32" t="n">
        <v>0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75.5</v>
      </c>
      <c r="P52" s="32" t="n">
        <v>72.52</v>
      </c>
      <c r="Q52" s="32" t="n">
        <v>1672.13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17.16</v>
      </c>
      <c r="U52" s="32" t="n">
        <v>109.38</v>
      </c>
      <c r="V52" s="32" t="n">
        <v>78.72</v>
      </c>
      <c r="W52" s="32" t="n">
        <v>25.14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VIKRAMTH</t>
        </is>
      </c>
      <c r="D53" s="31" t="inlineStr">
        <is>
          <t>Vikram Thermo (India) Ltd</t>
        </is>
      </c>
      <c r="E53" s="31" t="inlineStr">
        <is>
          <t>Healthcare</t>
        </is>
      </c>
      <c r="F53" s="31" t="inlineStr">
        <is>
          <t>Speciality Chemicals</t>
        </is>
      </c>
      <c r="G53" s="31" t="inlineStr">
        <is>
          <t>smallcap</t>
        </is>
      </c>
      <c r="H53" s="32" t="n">
        <v>1009.1</v>
      </c>
      <c r="I53" s="32" t="n">
        <v>321.8</v>
      </c>
      <c r="J53" s="32" t="n">
        <v>-4.99</v>
      </c>
      <c r="K53" s="32" t="n">
        <v>0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78.53</v>
      </c>
      <c r="P53" s="32" t="n">
        <v>66.48</v>
      </c>
      <c r="Q53" s="32" t="n">
        <v>264.6</v>
      </c>
      <c r="R53" s="31" t="inlineStr">
        <is>
          <t>Earnings / Momentum Support</t>
        </is>
      </c>
      <c r="S53" s="31" t="inlineStr">
        <is>
          <t>Nifty Pharma</t>
        </is>
      </c>
      <c r="T53" s="32" t="n">
        <v>17.16</v>
      </c>
      <c r="U53" s="32" t="n">
        <v>89.02</v>
      </c>
      <c r="V53" s="32" t="n">
        <v>61.33</v>
      </c>
      <c r="W53" s="32" t="n">
        <v>24.55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21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ENTERO</t>
        </is>
      </c>
      <c r="D54" s="31" t="inlineStr">
        <is>
          <t>Entero Healthcare Solutions Ltd</t>
        </is>
      </c>
      <c r="E54" s="31" t="inlineStr">
        <is>
          <t>Healthcare</t>
        </is>
      </c>
      <c r="F54" s="31" t="inlineStr">
        <is>
          <t>Pharmacy Distribution</t>
        </is>
      </c>
      <c r="G54" s="31" t="inlineStr">
        <is>
          <t>midcap</t>
        </is>
      </c>
      <c r="H54" s="32" t="n">
        <v>7253.56</v>
      </c>
      <c r="I54" s="32" t="n">
        <v>1666.6</v>
      </c>
      <c r="J54" s="32" t="n">
        <v>-3.76</v>
      </c>
      <c r="K54" s="32" t="n">
        <v>0</v>
      </c>
      <c r="L54" s="31" t="n">
        <v>67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66.09</v>
      </c>
      <c r="P54" s="32" t="n">
        <v>40.09</v>
      </c>
      <c r="Q54" s="32" t="n">
        <v>1419.71</v>
      </c>
      <c r="R54" s="31" t="inlineStr">
        <is>
          <t>Earnings / Momentum Support</t>
        </is>
      </c>
      <c r="S54" s="31" t="inlineStr">
        <is>
          <t>Nifty Pharma</t>
        </is>
      </c>
      <c r="T54" s="32" t="n">
        <v>17.16</v>
      </c>
      <c r="U54" s="32" t="n">
        <v>47.53</v>
      </c>
      <c r="V54" s="32" t="n">
        <v>25.92</v>
      </c>
      <c r="W54" s="32" t="n">
        <v>20.95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BHAGERIA</t>
        </is>
      </c>
      <c r="D55" s="31" t="inlineStr">
        <is>
          <t>Bhageria Industries Ltd</t>
        </is>
      </c>
      <c r="E55" s="31" t="inlineStr">
        <is>
          <t>chemicals</t>
        </is>
      </c>
      <c r="F55" s="31" t="inlineStr">
        <is>
          <t>Dyes &amp; Pigments</t>
        </is>
      </c>
      <c r="G55" s="31" t="inlineStr">
        <is>
          <t>smallcap</t>
        </is>
      </c>
      <c r="H55" s="32" t="n">
        <v>1391.59</v>
      </c>
      <c r="I55" s="32" t="n">
        <v>318.85</v>
      </c>
      <c r="J55" s="32" t="n">
        <v>4.99</v>
      </c>
      <c r="K55" s="32" t="n">
        <v>0</v>
      </c>
      <c r="L55" s="31" t="n">
        <v>73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76.81999999999999</v>
      </c>
      <c r="P55" s="32" t="n">
        <v>38.83</v>
      </c>
      <c r="Q55" s="32" t="n">
        <v>237.34</v>
      </c>
      <c r="R55" s="31" t="inlineStr">
        <is>
          <t>Near 52W High Breakout</t>
        </is>
      </c>
      <c r="S55" s="31" t="inlineStr">
        <is>
          <t>Nifty 50</t>
        </is>
      </c>
      <c r="T55" s="32" t="n">
        <v>-8.119999999999999</v>
      </c>
      <c r="U55" s="32" t="n">
        <v>76.87</v>
      </c>
      <c r="V55" s="32" t="n">
        <v>92.5</v>
      </c>
      <c r="W55" s="32" t="n">
        <v>24.69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26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GANDHAR</t>
        </is>
      </c>
      <c r="D56" s="31" t="inlineStr">
        <is>
          <t>Gandhar Oil Refinery (India) Ltd</t>
        </is>
      </c>
      <c r="E56" s="31" t="inlineStr">
        <is>
          <t>energy</t>
        </is>
      </c>
      <c r="F56" s="31" t="inlineStr">
        <is>
          <t>Refineries</t>
        </is>
      </c>
      <c r="G56" s="31" t="inlineStr">
        <is>
          <t>smallcap</t>
        </is>
      </c>
      <c r="H56" s="32" t="n">
        <v>2636.87</v>
      </c>
      <c r="I56" s="32" t="n">
        <v>269.4</v>
      </c>
      <c r="J56" s="32" t="n">
        <v>4.04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69.48</v>
      </c>
      <c r="P56" s="32" t="n">
        <v>75.5</v>
      </c>
      <c r="Q56" s="32" t="n">
        <v>213.02</v>
      </c>
      <c r="R56" s="31" t="inlineStr">
        <is>
          <t>Near 52W High Breakout</t>
        </is>
      </c>
      <c r="S56" s="31" t="inlineStr">
        <is>
          <t>Nifty Energy</t>
        </is>
      </c>
      <c r="T56" s="32" t="inlineStr"/>
      <c r="U56" s="32" t="inlineStr"/>
      <c r="V56" s="32" t="inlineStr"/>
      <c r="W56" s="32" t="inlineStr"/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Cyclical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Volatile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24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NRAIL</t>
        </is>
      </c>
      <c r="D57" s="31" t="inlineStr">
        <is>
          <t>N R Agarwal Industries Ltd</t>
        </is>
      </c>
      <c r="E57" s="31" t="inlineStr">
        <is>
          <t>building materials</t>
        </is>
      </c>
      <c r="F57" s="31" t="inlineStr">
        <is>
          <t>Paper</t>
        </is>
      </c>
      <c r="G57" s="31" t="inlineStr">
        <is>
          <t>smallcap</t>
        </is>
      </c>
      <c r="H57" s="32" t="n">
        <v>1069.65</v>
      </c>
      <c r="I57" s="32" t="n">
        <v>628.5</v>
      </c>
      <c r="J57" s="32" t="n">
        <v>1.14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69.20999999999999</v>
      </c>
      <c r="P57" s="32" t="n">
        <v>35.87</v>
      </c>
      <c r="Q57" s="32" t="n">
        <v>454.92</v>
      </c>
      <c r="R57" s="31" t="inlineStr">
        <is>
          <t>Near 52W High Breakout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23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MVGJL</t>
        </is>
      </c>
      <c r="D58" s="31" t="inlineStr">
        <is>
          <t>Manoj Vaibhav Gems N Jewellers Ltd</t>
        </is>
      </c>
      <c r="E58" s="31" t="inlineStr">
        <is>
          <t>consumer discretionary</t>
        </is>
      </c>
      <c r="F58" s="31" t="inlineStr">
        <is>
          <t>Diamond, Gems &amp; Jewellery</t>
        </is>
      </c>
      <c r="G58" s="31" t="inlineStr">
        <is>
          <t>smallcap</t>
        </is>
      </c>
      <c r="H58" s="32" t="n">
        <v>1052.03</v>
      </c>
      <c r="I58" s="32" t="n">
        <v>215.37</v>
      </c>
      <c r="J58" s="32" t="n">
        <v>3.96</v>
      </c>
      <c r="K58" s="32" t="n">
        <v>0</v>
      </c>
      <c r="L58" s="31" t="n">
        <v>43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69.59</v>
      </c>
      <c r="P58" s="32" t="n">
        <v>16.94</v>
      </c>
      <c r="Q58" s="32" t="n">
        <v>154.84</v>
      </c>
      <c r="R58" s="31" t="inlineStr">
        <is>
          <t>Near 52W High Breakout</t>
        </is>
      </c>
      <c r="S58" s="31" t="inlineStr">
        <is>
          <t>Nifty 50</t>
        </is>
      </c>
      <c r="T58" s="32" t="n">
        <v>-8.119999999999999</v>
      </c>
      <c r="U58" s="32" t="n">
        <v>6.57</v>
      </c>
      <c r="V58" s="32" t="n">
        <v>15.99</v>
      </c>
      <c r="W58" s="32" t="n">
        <v>12.72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22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CFF</t>
        </is>
      </c>
      <c r="D59" s="31" t="inlineStr">
        <is>
          <t>CFF Fluid Control Ltd</t>
        </is>
      </c>
      <c r="E59" s="31" t="inlineStr">
        <is>
          <t>Industrials</t>
        </is>
      </c>
      <c r="F59" s="31" t="inlineStr">
        <is>
          <t>Shipping - Proxy</t>
        </is>
      </c>
      <c r="G59" s="31" t="inlineStr">
        <is>
          <t>smallcap</t>
        </is>
      </c>
      <c r="H59" s="32" t="n">
        <v>2326.45</v>
      </c>
      <c r="I59" s="32" t="n">
        <v>1109.2</v>
      </c>
      <c r="J59" s="32" t="n">
        <v>8.359999999999999</v>
      </c>
      <c r="K59" s="32" t="n">
        <v>0</v>
      </c>
      <c r="L59" s="31" t="n">
        <v>68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70.56999999999999</v>
      </c>
      <c r="P59" s="32" t="n">
        <v>46.56</v>
      </c>
      <c r="Q59" s="32" t="n">
        <v>851.47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-8.119999999999999</v>
      </c>
      <c r="U59" s="32" t="n">
        <v>74.59</v>
      </c>
      <c r="V59" s="32" t="n">
        <v>90.01000000000001</v>
      </c>
      <c r="W59" s="32" t="n">
        <v>21.49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DIACABS</t>
        </is>
      </c>
      <c r="D60" s="31" t="inlineStr">
        <is>
          <t>Diamond Power Infrastructure Ltd</t>
        </is>
      </c>
      <c r="E60" s="31" t="inlineStr">
        <is>
          <t>industrials</t>
        </is>
      </c>
      <c r="F60" s="31" t="inlineStr">
        <is>
          <t>Cables - Power</t>
        </is>
      </c>
      <c r="G60" s="31" t="inlineStr">
        <is>
          <t>largecap</t>
        </is>
      </c>
      <c r="H60" s="32" t="n">
        <v>22490.46</v>
      </c>
      <c r="I60" s="32" t="n">
        <v>376.05</v>
      </c>
      <c r="J60" s="32" t="n">
        <v>-4.74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78.73</v>
      </c>
      <c r="P60" s="32" t="n">
        <v>67</v>
      </c>
      <c r="Q60" s="32" t="n">
        <v>283.44</v>
      </c>
      <c r="R60" s="31" t="inlineStr">
        <is>
          <t>Near 52W High Breakout</t>
        </is>
      </c>
      <c r="S60" s="31" t="inlineStr">
        <is>
          <t>Nifty Energy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18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SHUKRAPHAR</t>
        </is>
      </c>
      <c r="D61" s="31" t="inlineStr">
        <is>
          <t>Shukra Pharmaceuticals Ltd</t>
        </is>
      </c>
      <c r="E61" s="31" t="inlineStr">
        <is>
          <t>Healthcare</t>
        </is>
      </c>
      <c r="F61" s="31" t="inlineStr">
        <is>
          <t>Pharma - Others</t>
        </is>
      </c>
      <c r="G61" s="31" t="inlineStr">
        <is>
          <t>smallcap</t>
        </is>
      </c>
      <c r="H61" s="32" t="n">
        <v>2391.71</v>
      </c>
      <c r="I61" s="32" t="n">
        <v>54.26</v>
      </c>
      <c r="J61" s="32" t="n">
        <v>-0.64</v>
      </c>
      <c r="K61" s="32" t="n">
        <v>0</v>
      </c>
      <c r="L61" s="31" t="n">
        <v>91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71.95</v>
      </c>
      <c r="P61" s="32" t="n">
        <v>28.81</v>
      </c>
      <c r="Q61" s="32" t="n">
        <v>37.86</v>
      </c>
      <c r="R61" s="31" t="inlineStr">
        <is>
          <t>Earnings / Momentum Support</t>
        </is>
      </c>
      <c r="S61" s="31" t="inlineStr">
        <is>
          <t>Nifty Pharma</t>
        </is>
      </c>
      <c r="T61" s="32" t="n">
        <v>17.16</v>
      </c>
      <c r="U61" s="32" t="n">
        <v>73.63</v>
      </c>
      <c r="V61" s="32" t="n">
        <v>48.2</v>
      </c>
      <c r="W61" s="32" t="n">
        <v>38.38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MANINDS</t>
        </is>
      </c>
      <c r="D62" s="31" t="inlineStr">
        <is>
          <t>Man Industries (India) Ltd</t>
        </is>
      </c>
      <c r="E62" s="31" t="inlineStr">
        <is>
          <t>metals &amp; mining</t>
        </is>
      </c>
      <c r="F62" s="31" t="inlineStr">
        <is>
          <t>Steel - Tubes/Pipes</t>
        </is>
      </c>
      <c r="G62" s="31" t="inlineStr">
        <is>
          <t>midcap</t>
        </is>
      </c>
      <c r="H62" s="32" t="n">
        <v>6173.29</v>
      </c>
      <c r="I62" s="32" t="n">
        <v>823</v>
      </c>
      <c r="J62" s="32" t="n">
        <v>4.14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73.18000000000001</v>
      </c>
      <c r="P62" s="32" t="n">
        <v>38.39</v>
      </c>
      <c r="Q62" s="32" t="n">
        <v>643.78</v>
      </c>
      <c r="R62" s="31" t="inlineStr">
        <is>
          <t>Near 52W High Breakout</t>
        </is>
      </c>
      <c r="S62" s="31" t="inlineStr">
        <is>
          <t>Nifty Metal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25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MMP</t>
        </is>
      </c>
      <c r="D63" s="31" t="inlineStr">
        <is>
          <t>MMP Industries Ltd</t>
        </is>
      </c>
      <c r="E63" s="31" t="inlineStr">
        <is>
          <t>metals &amp; mining</t>
        </is>
      </c>
      <c r="F63" s="31" t="inlineStr">
        <is>
          <t>Aluminium Products</t>
        </is>
      </c>
      <c r="G63" s="31" t="inlineStr">
        <is>
          <t>smallcap</t>
        </is>
      </c>
      <c r="H63" s="32" t="n">
        <v>1183</v>
      </c>
      <c r="I63" s="32" t="n">
        <v>465.7</v>
      </c>
      <c r="J63" s="32" t="n">
        <v>2.05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83.45999999999999</v>
      </c>
      <c r="P63" s="32" t="n">
        <v>52.91</v>
      </c>
      <c r="Q63" s="32" t="n">
        <v>352.11</v>
      </c>
      <c r="R63" s="31" t="inlineStr">
        <is>
          <t>Near 52W High Breakout</t>
        </is>
      </c>
      <c r="S63" s="31" t="inlineStr">
        <is>
          <t>Nifty Metal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NEOGEN</t>
        </is>
      </c>
      <c r="D64" s="31" t="inlineStr">
        <is>
          <t>Neogen Chemicals Ltd</t>
        </is>
      </c>
      <c r="E64" s="31" t="inlineStr">
        <is>
          <t>chemicals</t>
        </is>
      </c>
      <c r="F64" s="31" t="inlineStr">
        <is>
          <t>Speciality Chemicals</t>
        </is>
      </c>
      <c r="G64" s="31" t="inlineStr">
        <is>
          <t>midcap</t>
        </is>
      </c>
      <c r="H64" s="32" t="n">
        <v>7196.96</v>
      </c>
      <c r="I64" s="32" t="n">
        <v>2395.6</v>
      </c>
      <c r="J64" s="32" t="n">
        <v>4.05</v>
      </c>
      <c r="K64" s="32" t="n">
        <v>0</v>
      </c>
      <c r="L64" s="31" t="n">
        <v>56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70.5</v>
      </c>
      <c r="P64" s="32" t="n">
        <v>57.42</v>
      </c>
      <c r="Q64" s="32" t="n">
        <v>1784.06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-8.119999999999999</v>
      </c>
      <c r="U64" s="32" t="n">
        <v>51.3</v>
      </c>
      <c r="V64" s="32" t="n">
        <v>64.67</v>
      </c>
      <c r="W64" s="32" t="n">
        <v>16.92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More than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KMEW</t>
        </is>
      </c>
      <c r="D65" s="31" t="inlineStr">
        <is>
          <t>Knowledge Marine &amp; Engineering Works Ltd</t>
        </is>
      </c>
      <c r="E65" s="31" t="inlineStr">
        <is>
          <t>Industrials</t>
        </is>
      </c>
      <c r="F65" s="31" t="inlineStr">
        <is>
          <t>Shipping</t>
        </is>
      </c>
      <c r="G65" s="31" t="inlineStr">
        <is>
          <t>midcap</t>
        </is>
      </c>
      <c r="H65" s="32" t="n">
        <v>7163.77</v>
      </c>
      <c r="I65" s="32" t="n">
        <v>2824.35</v>
      </c>
      <c r="J65" s="32" t="n">
        <v>4.39</v>
      </c>
      <c r="K65" s="32" t="n">
        <v>0</v>
      </c>
      <c r="L65" s="31" t="n">
        <v>77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69.7</v>
      </c>
      <c r="P65" s="32" t="n">
        <v>58.33</v>
      </c>
      <c r="Q65" s="32" t="n">
        <v>2212.27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-8.119999999999999</v>
      </c>
      <c r="U65" s="32" t="n">
        <v>125.41</v>
      </c>
      <c r="V65" s="32" t="n">
        <v>145.33</v>
      </c>
      <c r="W65" s="32" t="n">
        <v>26.36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20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SPECTRUM</t>
        </is>
      </c>
      <c r="D66" s="31" t="inlineStr">
        <is>
          <t>Spectrum Electrical Industries Ltd</t>
        </is>
      </c>
      <c r="E66" s="31" t="inlineStr">
        <is>
          <t>industrials</t>
        </is>
      </c>
      <c r="F66" s="31" t="inlineStr">
        <is>
          <t>Capital Goods - Electric General</t>
        </is>
      </c>
      <c r="G66" s="31" t="inlineStr">
        <is>
          <t>midcap</t>
        </is>
      </c>
      <c r="H66" s="32" t="n">
        <v>5212.36</v>
      </c>
      <c r="I66" s="32" t="n">
        <v>3050.4</v>
      </c>
      <c r="J66" s="32" t="n">
        <v>-1.08</v>
      </c>
      <c r="K66" s="32" t="n">
        <v>0</v>
      </c>
      <c r="L66" s="31" t="n">
        <v>88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78.16</v>
      </c>
      <c r="P66" s="32" t="n">
        <v>61.42</v>
      </c>
      <c r="Q66" s="32" t="n">
        <v>2225.25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-8.119999999999999</v>
      </c>
      <c r="U66" s="32" t="n">
        <v>119.83</v>
      </c>
      <c r="V66" s="32" t="n">
        <v>139.26</v>
      </c>
      <c r="W66" s="32" t="n">
        <v>33.93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KENNAMET</t>
        </is>
      </c>
      <c r="D67" s="31" t="inlineStr">
        <is>
          <t>Kennametal India Ltd</t>
        </is>
      </c>
      <c r="E67" s="31" t="inlineStr">
        <is>
          <t>Industrials</t>
        </is>
      </c>
      <c r="F67" s="31" t="inlineStr">
        <is>
          <t>Castings, Forgings &amp; Fastners</t>
        </is>
      </c>
      <c r="G67" s="31" t="inlineStr">
        <is>
          <t>midcap</t>
        </is>
      </c>
      <c r="H67" s="32" t="n">
        <v>9498.120000000001</v>
      </c>
      <c r="I67" s="32" t="n">
        <v>4321.6</v>
      </c>
      <c r="J67" s="32" t="n">
        <v>4.49</v>
      </c>
      <c r="K67" s="32" t="n">
        <v>0</v>
      </c>
      <c r="L67" s="31" t="n">
        <v>76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72.67</v>
      </c>
      <c r="P67" s="32" t="n">
        <v>49.73</v>
      </c>
      <c r="Q67" s="32" t="n">
        <v>3581.2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-8.119999999999999</v>
      </c>
      <c r="U67" s="32" t="n">
        <v>105.27</v>
      </c>
      <c r="V67" s="32" t="n">
        <v>123.41</v>
      </c>
      <c r="W67" s="32" t="n">
        <v>25.83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SUNRAKSHAK</t>
        </is>
      </c>
      <c r="D68" s="31" t="inlineStr">
        <is>
          <t>Sunrakshakk Industries India Ltd</t>
        </is>
      </c>
      <c r="E68" s="31" t="inlineStr">
        <is>
          <t>Consumer Cyclical</t>
        </is>
      </c>
      <c r="F68" s="31" t="inlineStr">
        <is>
          <t>Textiles - Processing/Texturising</t>
        </is>
      </c>
      <c r="G68" s="31" t="inlineStr">
        <is>
          <t>smallcap</t>
        </is>
      </c>
      <c r="H68" s="32" t="n">
        <v>1133.61</v>
      </c>
      <c r="I68" s="32" t="n">
        <v>365.6</v>
      </c>
      <c r="J68" s="32" t="n">
        <v>-1.12</v>
      </c>
      <c r="K68" s="32" t="n">
        <v>0</v>
      </c>
      <c r="L68" s="31" t="n">
        <v>50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61.69</v>
      </c>
      <c r="P68" s="32" t="n">
        <v>46.41</v>
      </c>
      <c r="Q68" s="32" t="n">
        <v>302.5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-8.119999999999999</v>
      </c>
      <c r="U68" s="32" t="n">
        <v>75.77</v>
      </c>
      <c r="V68" s="32" t="n">
        <v>91.3</v>
      </c>
      <c r="W68" s="32" t="n">
        <v>14.94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ANTELOPUS</t>
        </is>
      </c>
      <c r="D69" s="31" t="inlineStr">
        <is>
          <t>Antelopus Selan Energy Ltd</t>
        </is>
      </c>
      <c r="E69" s="31" t="inlineStr">
        <is>
          <t>energy</t>
        </is>
      </c>
      <c r="F69" s="31" t="inlineStr">
        <is>
          <t>Oil Drilling &amp; Exploration</t>
        </is>
      </c>
      <c r="G69" s="31" t="inlineStr">
        <is>
          <t>smallcap</t>
        </is>
      </c>
      <c r="H69" s="32" t="n">
        <v>3983.17</v>
      </c>
      <c r="I69" s="32" t="n">
        <v>1130.85</v>
      </c>
      <c r="J69" s="32" t="n">
        <v>-3.42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73.47</v>
      </c>
      <c r="P69" s="32" t="n">
        <v>45.4</v>
      </c>
      <c r="Q69" s="32" t="n">
        <v>774.3</v>
      </c>
      <c r="R69" s="31" t="inlineStr">
        <is>
          <t>Near 52W High Breakout</t>
        </is>
      </c>
      <c r="S69" s="31" t="inlineStr">
        <is>
          <t>Nifty Energy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29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SKYGOLD</t>
        </is>
      </c>
      <c r="D70" s="31" t="inlineStr">
        <is>
          <t>Sky Gold &amp; Diamonds Ltd</t>
        </is>
      </c>
      <c r="E70" s="31" t="inlineStr">
        <is>
          <t>Consumer Cyclical</t>
        </is>
      </c>
      <c r="F70" s="31" t="inlineStr">
        <is>
          <t>Diamond, Gems &amp; Jewellery</t>
        </is>
      </c>
      <c r="G70" s="31" t="inlineStr">
        <is>
          <t>midcap</t>
        </is>
      </c>
      <c r="H70" s="32" t="n">
        <v>12286.15</v>
      </c>
      <c r="I70" s="32" t="n">
        <v>793.3</v>
      </c>
      <c r="J70" s="32" t="n">
        <v>0.09</v>
      </c>
      <c r="K70" s="32" t="n">
        <v>0</v>
      </c>
      <c r="L70" s="31" t="n">
        <v>89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72.5</v>
      </c>
      <c r="P70" s="32" t="n">
        <v>66.83</v>
      </c>
      <c r="Q70" s="32" t="n">
        <v>625.42</v>
      </c>
      <c r="R70" s="31" t="inlineStr">
        <is>
          <t>Near 52W High Breakout</t>
        </is>
      </c>
      <c r="S70" s="31" t="inlineStr">
        <is>
          <t>Nifty 50</t>
        </is>
      </c>
      <c r="T70" s="32" t="n">
        <v>-8.119999999999999</v>
      </c>
      <c r="U70" s="32" t="n">
        <v>170.75</v>
      </c>
      <c r="V70" s="32" t="n">
        <v>194.68</v>
      </c>
      <c r="W70" s="32" t="n">
        <v>35.19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25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PAYTM</t>
        </is>
      </c>
      <c r="D71" s="31" t="inlineStr">
        <is>
          <t>One 97 Communications Ltd</t>
        </is>
      </c>
      <c r="E71" s="31" t="inlineStr">
        <is>
          <t>i.t</t>
        </is>
      </c>
      <c r="F71" s="31" t="inlineStr">
        <is>
          <t>E-Commerce - Platform - Utility</t>
        </is>
      </c>
      <c r="G71" s="31" t="inlineStr">
        <is>
          <t>largecap</t>
        </is>
      </c>
      <c r="H71" s="32" t="n">
        <v>113115.46</v>
      </c>
      <c r="I71" s="32" t="n">
        <v>1763</v>
      </c>
      <c r="J71" s="32" t="n">
        <v>-1.51</v>
      </c>
      <c r="K71" s="32" t="n">
        <v>0</v>
      </c>
      <c r="L71" s="31" t="n">
        <v>71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75.38</v>
      </c>
      <c r="P71" s="32" t="n">
        <v>30.31</v>
      </c>
      <c r="Q71" s="32" t="n">
        <v>1456.55</v>
      </c>
      <c r="R71" s="31" t="inlineStr">
        <is>
          <t>Near 52W High Breakout</t>
        </is>
      </c>
      <c r="S71" s="31" t="inlineStr">
        <is>
          <t>Nifty IT</t>
        </is>
      </c>
      <c r="T71" s="32" t="n">
        <v>-20.29</v>
      </c>
      <c r="U71" s="32" t="n">
        <v>49.76</v>
      </c>
      <c r="V71" s="32" t="n">
        <v>87.89</v>
      </c>
      <c r="W71" s="32" t="n">
        <v>23.85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TNPETRO</t>
        </is>
      </c>
      <c r="D72" s="31" t="inlineStr">
        <is>
          <t>Tamil Nadu Petro Products Ltd</t>
        </is>
      </c>
      <c r="E72" s="31" t="inlineStr">
        <is>
          <t>energy</t>
        </is>
      </c>
      <c r="F72" s="31" t="inlineStr">
        <is>
          <t>Petrochem - Others</t>
        </is>
      </c>
      <c r="G72" s="31" t="inlineStr">
        <is>
          <t>smallcap</t>
        </is>
      </c>
      <c r="H72" s="32" t="n">
        <v>1145.7</v>
      </c>
      <c r="I72" s="32" t="n">
        <v>127.34</v>
      </c>
      <c r="J72" s="32" t="n">
        <v>-0.3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73.28</v>
      </c>
      <c r="P72" s="32" t="n">
        <v>41.12</v>
      </c>
      <c r="Q72" s="32" t="n">
        <v>98.92</v>
      </c>
      <c r="R72" s="31" t="inlineStr">
        <is>
          <t>Near 52W High Breakout</t>
        </is>
      </c>
      <c r="S72" s="31" t="inlineStr">
        <is>
          <t>Nifty Energy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SAPL</t>
        </is>
      </c>
      <c r="D73" s="31" t="inlineStr">
        <is>
          <t>Sar Auto Products Ltd</t>
        </is>
      </c>
      <c r="E73" s="31" t="inlineStr">
        <is>
          <t>Consumer Cyclical</t>
        </is>
      </c>
      <c r="F73" s="31" t="inlineStr">
        <is>
          <t>Auto Ancillaries - Gears</t>
        </is>
      </c>
      <c r="G73" s="31" t="inlineStr">
        <is>
          <t>smallcap</t>
        </is>
      </c>
      <c r="H73" s="32" t="n">
        <v>2965.1</v>
      </c>
      <c r="I73" s="32" t="n">
        <v>6223</v>
      </c>
      <c r="J73" s="32" t="n">
        <v>3.65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87.66</v>
      </c>
      <c r="P73" s="32" t="n">
        <v>43.85</v>
      </c>
      <c r="Q73" s="32" t="n">
        <v>4867.76</v>
      </c>
      <c r="R73" s="31" t="inlineStr">
        <is>
          <t>Near 52W High Breakout</t>
        </is>
      </c>
      <c r="S73" s="31" t="inlineStr">
        <is>
          <t>Nifty Auto</t>
        </is>
      </c>
      <c r="T73" s="32" t="inlineStr"/>
      <c r="U73" s="32" t="inlineStr"/>
      <c r="V73" s="32" t="inlineStr"/>
      <c r="W73" s="32" t="inlineStr"/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INOVSYNTH</t>
        </is>
      </c>
      <c r="D74" s="31" t="inlineStr">
        <is>
          <t>Innovassynth Technologies (India) Ltd</t>
        </is>
      </c>
      <c r="E74" s="31" t="inlineStr">
        <is>
          <t>Basic Materials</t>
        </is>
      </c>
      <c r="F74" s="31" t="inlineStr">
        <is>
          <t>Chemicals - Speciality</t>
        </is>
      </c>
      <c r="G74" s="31" t="inlineStr">
        <is>
          <t>smallcap</t>
        </is>
      </c>
      <c r="H74" s="32" t="n">
        <v>1337.66</v>
      </c>
      <c r="I74" s="32" t="n">
        <v>144.05</v>
      </c>
      <c r="J74" s="32" t="n">
        <v>0</v>
      </c>
      <c r="K74" s="32" t="n">
        <v>0</v>
      </c>
      <c r="L74" s="31" t="n">
        <v>69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79.93000000000001</v>
      </c>
      <c r="P74" s="32" t="n">
        <v>53.95</v>
      </c>
      <c r="Q74" s="32" t="n">
        <v>125.97</v>
      </c>
      <c r="R74" s="31" t="inlineStr">
        <is>
          <t>Near 52W High Breakout</t>
        </is>
      </c>
      <c r="S74" s="31" t="inlineStr">
        <is>
          <t>Nifty 50</t>
        </is>
      </c>
      <c r="T74" s="32" t="n">
        <v>-8.119999999999999</v>
      </c>
      <c r="U74" s="32" t="n">
        <v>58.31</v>
      </c>
      <c r="V74" s="32" t="n">
        <v>72.3</v>
      </c>
      <c r="W74" s="32" t="n">
        <v>22.23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MAHSEAMLES</t>
        </is>
      </c>
      <c r="D75" s="31" t="inlineStr">
        <is>
          <t>Maharashtra Seamless Ltd</t>
        </is>
      </c>
      <c r="E75" s="31" t="inlineStr">
        <is>
          <t>metals &amp; mining</t>
        </is>
      </c>
      <c r="F75" s="31" t="inlineStr">
        <is>
          <t>Steel - Tubes/Pipes</t>
        </is>
      </c>
      <c r="G75" s="31" t="inlineStr">
        <is>
          <t>midcap</t>
        </is>
      </c>
      <c r="H75" s="32" t="n">
        <v>9650.08</v>
      </c>
      <c r="I75" s="32" t="n">
        <v>720.2</v>
      </c>
      <c r="J75" s="32" t="n">
        <v>3.93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72.56</v>
      </c>
      <c r="P75" s="32" t="n">
        <v>22.97</v>
      </c>
      <c r="Q75" s="32" t="n">
        <v>607.21</v>
      </c>
      <c r="R75" s="31" t="inlineStr">
        <is>
          <t>Near 52W High Breakout</t>
        </is>
      </c>
      <c r="S75" s="31" t="inlineStr">
        <is>
          <t>Nifty Metal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MARKSANS</t>
        </is>
      </c>
      <c r="D76" s="31" t="inlineStr">
        <is>
          <t>Marksans Pharma Ltd</t>
        </is>
      </c>
      <c r="E76" s="31" t="inlineStr">
        <is>
          <t>Healthcare</t>
        </is>
      </c>
      <c r="F76" s="31" t="inlineStr">
        <is>
          <t>Pharma - Formulators</t>
        </is>
      </c>
      <c r="G76" s="31" t="inlineStr">
        <is>
          <t>midcap</t>
        </is>
      </c>
      <c r="H76" s="32" t="n">
        <v>14487.64</v>
      </c>
      <c r="I76" s="32" t="n">
        <v>319.7</v>
      </c>
      <c r="J76" s="32" t="n">
        <v>1.03</v>
      </c>
      <c r="K76" s="32" t="n">
        <v>0</v>
      </c>
      <c r="L76" s="31" t="n">
        <v>61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69.29000000000001</v>
      </c>
      <c r="P76" s="32" t="n">
        <v>58.12</v>
      </c>
      <c r="Q76" s="32" t="n">
        <v>256.92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17.16</v>
      </c>
      <c r="U76" s="32" t="n">
        <v>78.98999999999999</v>
      </c>
      <c r="V76" s="32" t="n">
        <v>52.77</v>
      </c>
      <c r="W76" s="32" t="n">
        <v>18.94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STLTECH</t>
        </is>
      </c>
      <c r="D77" s="31" t="inlineStr">
        <is>
          <t>Sterlite Technologies Ltd</t>
        </is>
      </c>
      <c r="E77" s="31" t="inlineStr">
        <is>
          <t>industrials</t>
        </is>
      </c>
      <c r="F77" s="31" t="inlineStr">
        <is>
          <t>Cables - Telecom</t>
        </is>
      </c>
      <c r="G77" s="31" t="inlineStr">
        <is>
          <t>largecap</t>
        </is>
      </c>
      <c r="H77" s="32" t="n">
        <v>42535.68</v>
      </c>
      <c r="I77" s="32" t="n">
        <v>827.45</v>
      </c>
      <c r="J77" s="32" t="n">
        <v>1.15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73.90000000000001</v>
      </c>
      <c r="P77" s="32" t="n">
        <v>73.40000000000001</v>
      </c>
      <c r="Q77" s="32" t="n">
        <v>657.48</v>
      </c>
      <c r="R77" s="31" t="inlineStr">
        <is>
          <t>Earnings / Momentum Support</t>
        </is>
      </c>
      <c r="S77" s="31" t="inlineStr">
        <is>
          <t>Nifty Infra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DOLPHIN</t>
        </is>
      </c>
      <c r="D78" s="31" t="inlineStr">
        <is>
          <t>Dolphin Offshore Enterprises (India) Ltd</t>
        </is>
      </c>
      <c r="E78" s="31" t="inlineStr">
        <is>
          <t>energy</t>
        </is>
      </c>
      <c r="F78" s="31" t="inlineStr">
        <is>
          <t>Oil Drilling &amp; Exploration</t>
        </is>
      </c>
      <c r="G78" s="31" t="inlineStr">
        <is>
          <t>smallcap</t>
        </is>
      </c>
      <c r="H78" s="32" t="n">
        <v>2695.11</v>
      </c>
      <c r="I78" s="32" t="n">
        <v>673.7</v>
      </c>
      <c r="J78" s="32" t="n">
        <v>6.08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75.56</v>
      </c>
      <c r="P78" s="32" t="n">
        <v>38.97</v>
      </c>
      <c r="Q78" s="32" t="n">
        <v>484.72</v>
      </c>
      <c r="R78" s="31" t="inlineStr">
        <is>
          <t>Near 52W High Breakout</t>
        </is>
      </c>
      <c r="S78" s="31" t="inlineStr">
        <is>
          <t>Nifty Energy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KINGFA</t>
        </is>
      </c>
      <c r="D79" s="31" t="inlineStr">
        <is>
          <t>Kingfa Science &amp; Technology (India) Ltd</t>
        </is>
      </c>
      <c r="E79" s="31" t="inlineStr">
        <is>
          <t>Basic Materials</t>
        </is>
      </c>
      <c r="F79" s="31" t="inlineStr">
        <is>
          <t>Plastics - Plastic &amp; Plastic Products</t>
        </is>
      </c>
      <c r="G79" s="31" t="inlineStr">
        <is>
          <t>midcap</t>
        </is>
      </c>
      <c r="H79" s="32" t="n">
        <v>7935.01</v>
      </c>
      <c r="I79" s="32" t="n">
        <v>5855.5</v>
      </c>
      <c r="J79" s="32" t="n">
        <v>-0.57</v>
      </c>
      <c r="K79" s="32" t="n">
        <v>0</v>
      </c>
      <c r="L79" s="31" t="n">
        <v>31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62.75</v>
      </c>
      <c r="P79" s="32" t="n">
        <v>37.45</v>
      </c>
      <c r="Q79" s="32" t="n">
        <v>4956.98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-8.119999999999999</v>
      </c>
      <c r="U79" s="32" t="n">
        <v>32.96</v>
      </c>
      <c r="V79" s="32" t="n">
        <v>44.71</v>
      </c>
      <c r="W79" s="32" t="n">
        <v>9.25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ROSSTECH</t>
        </is>
      </c>
      <c r="D80" s="31" t="inlineStr">
        <is>
          <t>Rossell Techsys Ltd</t>
        </is>
      </c>
      <c r="E80" s="31" t="inlineStr">
        <is>
          <t>aerospace &amp; defence</t>
        </is>
      </c>
      <c r="F80" s="31" t="inlineStr">
        <is>
          <t>Aerospace &amp; Defence - Equipments</t>
        </is>
      </c>
      <c r="G80" s="31" t="inlineStr">
        <is>
          <t>midcap</t>
        </is>
      </c>
      <c r="H80" s="32" t="n">
        <v>5116.17</v>
      </c>
      <c r="I80" s="32" t="n">
        <v>1357.2</v>
      </c>
      <c r="J80" s="32" t="n">
        <v>0.54</v>
      </c>
      <c r="K80" s="32" t="n">
        <v>0</v>
      </c>
      <c r="L80" s="31" t="n">
        <v>66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75.86</v>
      </c>
      <c r="P80" s="32" t="n">
        <v>27.77</v>
      </c>
      <c r="Q80" s="32" t="n">
        <v>1007.33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-8.119999999999999</v>
      </c>
      <c r="U80" s="32" t="n">
        <v>80.89</v>
      </c>
      <c r="V80" s="32" t="n">
        <v>96.88</v>
      </c>
      <c r="W80" s="32" t="n">
        <v>20.92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23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SBC</t>
        </is>
      </c>
      <c r="D81" s="31" t="inlineStr">
        <is>
          <t>SBC Exports Ltd</t>
        </is>
      </c>
      <c r="E81" s="31" t="inlineStr">
        <is>
          <t>textiles</t>
        </is>
      </c>
      <c r="F81" s="31" t="inlineStr">
        <is>
          <t>Textiles - Readymade Apparel</t>
        </is>
      </c>
      <c r="G81" s="31" t="inlineStr">
        <is>
          <t>smallcap</t>
        </is>
      </c>
      <c r="H81" s="32" t="n">
        <v>2297.62</v>
      </c>
      <c r="I81" s="32" t="n">
        <v>48.25</v>
      </c>
      <c r="J81" s="32" t="n">
        <v>1.3</v>
      </c>
      <c r="K81" s="32" t="n">
        <v>0</v>
      </c>
      <c r="L81" s="31" t="n">
        <v>66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75.02</v>
      </c>
      <c r="P81" s="32" t="n">
        <v>33.03</v>
      </c>
      <c r="Q81" s="32" t="n">
        <v>39.52</v>
      </c>
      <c r="R81" s="31" t="inlineStr">
        <is>
          <t>Near 52W High Breakout</t>
        </is>
      </c>
      <c r="S81" s="31" t="inlineStr">
        <is>
          <t>Nifty 50</t>
        </is>
      </c>
      <c r="T81" s="32" t="n">
        <v>-8.119999999999999</v>
      </c>
      <c r="U81" s="32" t="n">
        <v>125.57</v>
      </c>
      <c r="V81" s="32" t="n">
        <v>145.51</v>
      </c>
      <c r="W81" s="32" t="n">
        <v>20.65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23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GMMPFAUDLR</t>
        </is>
      </c>
      <c r="D82" s="31" t="inlineStr">
        <is>
          <t>GMM Pfaudler Ltd</t>
        </is>
      </c>
      <c r="E82" s="31" t="inlineStr">
        <is>
          <t>industrials</t>
        </is>
      </c>
      <c r="F82" s="31" t="inlineStr">
        <is>
          <t>Glass - Others</t>
        </is>
      </c>
      <c r="G82" s="31" t="inlineStr">
        <is>
          <t>midcap</t>
        </is>
      </c>
      <c r="H82" s="32" t="n">
        <v>6129.47</v>
      </c>
      <c r="I82" s="32" t="n">
        <v>1363.4</v>
      </c>
      <c r="J82" s="32" t="n">
        <v>2.13</v>
      </c>
      <c r="K82" s="32" t="n">
        <v>0</v>
      </c>
      <c r="L82" s="31" t="n">
        <v>68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78.75</v>
      </c>
      <c r="P82" s="32" t="n">
        <v>32.95</v>
      </c>
      <c r="Q82" s="32" t="n">
        <v>1107.88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-8.119999999999999</v>
      </c>
      <c r="U82" s="32" t="n">
        <v>21.36</v>
      </c>
      <c r="V82" s="32" t="n">
        <v>32.09</v>
      </c>
      <c r="W82" s="32" t="n">
        <v>21.37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DEEPINDS</t>
        </is>
      </c>
      <c r="D83" s="31" t="inlineStr">
        <is>
          <t>Deep Industries Ltd</t>
        </is>
      </c>
      <c r="E83" s="31" t="inlineStr">
        <is>
          <t>energy</t>
        </is>
      </c>
      <c r="F83" s="31" t="inlineStr">
        <is>
          <t>Oil Drilling &amp; Exploration</t>
        </is>
      </c>
      <c r="G83" s="31" t="inlineStr">
        <is>
          <t>smallcap</t>
        </is>
      </c>
      <c r="H83" s="32" t="n">
        <v>4702.08</v>
      </c>
      <c r="I83" s="32" t="n">
        <v>734.7</v>
      </c>
      <c r="J83" s="32" t="n">
        <v>-0.06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70.95999999999999</v>
      </c>
      <c r="P83" s="32" t="n">
        <v>34.07</v>
      </c>
      <c r="Q83" s="32" t="n">
        <v>601.53</v>
      </c>
      <c r="R83" s="31" t="inlineStr">
        <is>
          <t>Earnings / Momentum Support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CUPID</t>
        </is>
      </c>
      <c r="D84" s="31" t="inlineStr">
        <is>
          <t>Cupid Ltd</t>
        </is>
      </c>
      <c r="E84" s="31" t="inlineStr">
        <is>
          <t>fmcg</t>
        </is>
      </c>
      <c r="F84" s="31" t="inlineStr">
        <is>
          <t>Contraceptives/Protectives</t>
        </is>
      </c>
      <c r="G84" s="31" t="inlineStr">
        <is>
          <t>largecap</t>
        </is>
      </c>
      <c r="H84" s="32" t="n">
        <v>37536.2</v>
      </c>
      <c r="I84" s="32" t="n">
        <v>279.15</v>
      </c>
      <c r="J84" s="32" t="n">
        <v>-0.3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84.22</v>
      </c>
      <c r="P84" s="32" t="n">
        <v>72.55</v>
      </c>
      <c r="Q84" s="32" t="n">
        <v>230.42</v>
      </c>
      <c r="R84" s="31" t="inlineStr">
        <is>
          <t>Earnings / Momentum Support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20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RAMRAT</t>
        </is>
      </c>
      <c r="D85" s="31" t="inlineStr">
        <is>
          <t>Ram Ratna Wires Ltd</t>
        </is>
      </c>
      <c r="E85" s="31" t="inlineStr">
        <is>
          <t>metals &amp; mining</t>
        </is>
      </c>
      <c r="F85" s="31" t="inlineStr">
        <is>
          <t>Copper Wires</t>
        </is>
      </c>
      <c r="G85" s="31" t="inlineStr">
        <is>
          <t>midcap</t>
        </is>
      </c>
      <c r="H85" s="32" t="n">
        <v>5205.14</v>
      </c>
      <c r="I85" s="32" t="n">
        <v>557.6</v>
      </c>
      <c r="J85" s="32" t="n">
        <v>6.05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69.31</v>
      </c>
      <c r="P85" s="32" t="n">
        <v>46.34</v>
      </c>
      <c r="Q85" s="32" t="n">
        <v>444.52</v>
      </c>
      <c r="R85" s="31" t="inlineStr">
        <is>
          <t>Earnings / Momentum Support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SAMBHV</t>
        </is>
      </c>
      <c r="D86" s="31" t="inlineStr">
        <is>
          <t>Sambhv Steel Tubes Ltd</t>
        </is>
      </c>
      <c r="E86" s="31" t="inlineStr">
        <is>
          <t>Basic Materials</t>
        </is>
      </c>
      <c r="F86" s="31" t="inlineStr">
        <is>
          <t>Steel - Tubes/Pipes</t>
        </is>
      </c>
      <c r="G86" s="31" t="inlineStr">
        <is>
          <t>smallcap</t>
        </is>
      </c>
      <c r="H86" s="32" t="n">
        <v>3803.91</v>
      </c>
      <c r="I86" s="32" t="n">
        <v>129.09</v>
      </c>
      <c r="J86" s="32" t="n">
        <v>0.54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64.28</v>
      </c>
      <c r="P86" s="32" t="n">
        <v>36.62</v>
      </c>
      <c r="Q86" s="32" t="n">
        <v>101.05</v>
      </c>
      <c r="R86" s="31" t="inlineStr">
        <is>
          <t>Near 52W High Breakout</t>
        </is>
      </c>
      <c r="S86" s="31" t="inlineStr">
        <is>
          <t>Nifty Metal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JTLIND</t>
        </is>
      </c>
      <c r="D87" s="31" t="inlineStr">
        <is>
          <t>JTL Industries Ltd</t>
        </is>
      </c>
      <c r="E87" s="31" t="inlineStr">
        <is>
          <t>metals &amp; mining</t>
        </is>
      </c>
      <c r="F87" s="31" t="inlineStr">
        <is>
          <t>Steel - Tubes/Pipes</t>
        </is>
      </c>
      <c r="G87" s="31" t="inlineStr">
        <is>
          <t>smallcap</t>
        </is>
      </c>
      <c r="H87" s="32" t="n">
        <v>3335.99</v>
      </c>
      <c r="I87" s="32" t="n">
        <v>87.31999999999999</v>
      </c>
      <c r="J87" s="32" t="n">
        <v>3.22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60.65</v>
      </c>
      <c r="P87" s="32" t="n">
        <v>15.04</v>
      </c>
      <c r="Q87" s="32" t="n">
        <v>66.69</v>
      </c>
      <c r="R87" s="31" t="inlineStr">
        <is>
          <t>Near 52W High Breakout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18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AEGISLOG</t>
        </is>
      </c>
      <c r="D88" s="31" t="inlineStr">
        <is>
          <t>Aegis Logistics Ltd</t>
        </is>
      </c>
      <c r="E88" s="31" t="inlineStr">
        <is>
          <t>Energy</t>
        </is>
      </c>
      <c r="F88" s="31" t="inlineStr">
        <is>
          <t>Logistics</t>
        </is>
      </c>
      <c r="G88" s="31" t="inlineStr">
        <is>
          <t>largecap</t>
        </is>
      </c>
      <c r="H88" s="32" t="n">
        <v>47518.38</v>
      </c>
      <c r="I88" s="32" t="n">
        <v>1353.8</v>
      </c>
      <c r="J88" s="32" t="n">
        <v>-1.98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65.16</v>
      </c>
      <c r="P88" s="32" t="n">
        <v>60.4</v>
      </c>
      <c r="Q88" s="32" t="n">
        <v>1034.15</v>
      </c>
      <c r="R88" s="31" t="inlineStr">
        <is>
          <t>Near 52W High Breakout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PRABHA</t>
        </is>
      </c>
      <c r="D89" s="31" t="inlineStr">
        <is>
          <t>Prabha Energy Ltd</t>
        </is>
      </c>
      <c r="E89" s="31" t="inlineStr">
        <is>
          <t>energy</t>
        </is>
      </c>
      <c r="F89" s="31" t="inlineStr">
        <is>
          <t>Oil Exploration/Allied Services</t>
        </is>
      </c>
      <c r="G89" s="31" t="inlineStr">
        <is>
          <t>smallcap</t>
        </is>
      </c>
      <c r="H89" s="32" t="n">
        <v>3445.93</v>
      </c>
      <c r="I89" s="32" t="n">
        <v>220.77</v>
      </c>
      <c r="J89" s="32" t="n">
        <v>-2.56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62.93</v>
      </c>
      <c r="P89" s="32" t="n">
        <v>27.56</v>
      </c>
      <c r="Q89" s="32" t="n">
        <v>175.63</v>
      </c>
      <c r="R89" s="31" t="inlineStr">
        <is>
          <t>Earnings / Momentum Support</t>
        </is>
      </c>
      <c r="S89" s="31" t="inlineStr">
        <is>
          <t>Nifty Energy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RPEL</t>
        </is>
      </c>
      <c r="D90" s="31" t="inlineStr">
        <is>
          <t>Raghav Productivity Enhancers Ltd</t>
        </is>
      </c>
      <c r="E90" s="31" t="inlineStr">
        <is>
          <t>Basic Materials</t>
        </is>
      </c>
      <c r="F90" s="31" t="inlineStr">
        <is>
          <t>Steel Products</t>
        </is>
      </c>
      <c r="G90" s="31" t="inlineStr">
        <is>
          <t>midcap</t>
        </is>
      </c>
      <c r="H90" s="32" t="n">
        <v>7596.87</v>
      </c>
      <c r="I90" s="32" t="n">
        <v>1654.3</v>
      </c>
      <c r="J90" s="32" t="n">
        <v>6.94</v>
      </c>
      <c r="K90" s="32" t="n">
        <v>0</v>
      </c>
      <c r="L90" s="31" t="n">
        <v>87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69.89</v>
      </c>
      <c r="P90" s="32" t="n">
        <v>63.31</v>
      </c>
      <c r="Q90" s="32" t="n">
        <v>1371.23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-8.119999999999999</v>
      </c>
      <c r="U90" s="32" t="n">
        <v>144.54</v>
      </c>
      <c r="V90" s="32" t="n">
        <v>166.16</v>
      </c>
      <c r="W90" s="32" t="n">
        <v>33.69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AVTNPL</t>
        </is>
      </c>
      <c r="D91" s="31" t="inlineStr">
        <is>
          <t>AVT Natural Products Ltd</t>
        </is>
      </c>
      <c r="E91" s="31" t="inlineStr">
        <is>
          <t>Basic Materials</t>
        </is>
      </c>
      <c r="F91" s="31" t="inlineStr">
        <is>
          <t>Agricultural Processing - Maize</t>
        </is>
      </c>
      <c r="G91" s="31" t="inlineStr">
        <is>
          <t>smallcap</t>
        </is>
      </c>
      <c r="H91" s="32" t="n">
        <v>1301.27</v>
      </c>
      <c r="I91" s="32" t="n">
        <v>85.45</v>
      </c>
      <c r="J91" s="32" t="n">
        <v>-0.31</v>
      </c>
      <c r="K91" s="32" t="n">
        <v>0</v>
      </c>
      <c r="L91" s="31" t="n">
        <v>27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64.84999999999999</v>
      </c>
      <c r="P91" s="32" t="n">
        <v>44.23</v>
      </c>
      <c r="Q91" s="32" t="n">
        <v>72.55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-8.119999999999999</v>
      </c>
      <c r="U91" s="32" t="n">
        <v>15.52</v>
      </c>
      <c r="V91" s="32" t="n">
        <v>25.73</v>
      </c>
      <c r="W91" s="32" t="n">
        <v>7.74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KRISHANA</t>
        </is>
      </c>
      <c r="D92" s="31" t="inlineStr">
        <is>
          <t>Krishana Phoschem Ltd</t>
        </is>
      </c>
      <c r="E92" s="31" t="inlineStr">
        <is>
          <t>Basic Materials</t>
        </is>
      </c>
      <c r="F92" s="31" t="inlineStr">
        <is>
          <t>Fertilisers</t>
        </is>
      </c>
      <c r="G92" s="31" t="inlineStr">
        <is>
          <t>midcap</t>
        </is>
      </c>
      <c r="H92" s="32" t="n">
        <v>5627.55</v>
      </c>
      <c r="I92" s="32" t="n">
        <v>182.04</v>
      </c>
      <c r="J92" s="32" t="n">
        <v>-0.89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66.45</v>
      </c>
      <c r="P92" s="32" t="n">
        <v>51.57</v>
      </c>
      <c r="Q92" s="32" t="n">
        <v>155.28</v>
      </c>
      <c r="R92" s="31" t="inlineStr">
        <is>
          <t>Earnings / Momentum Support</t>
        </is>
      </c>
      <c r="S92" s="31" t="inlineStr">
        <is>
          <t>Nifty FMCG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18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UTSSAV</t>
        </is>
      </c>
      <c r="D93" s="31" t="inlineStr">
        <is>
          <t>Utssav CZ Gold Jewels Ltd</t>
        </is>
      </c>
      <c r="E93" s="31" t="inlineStr">
        <is>
          <t>unknown</t>
        </is>
      </c>
      <c r="F93" s="31" t="inlineStr">
        <is>
          <t>Diamond, Gems &amp; Jewellery</t>
        </is>
      </c>
      <c r="G93" s="31" t="inlineStr">
        <is>
          <t>smallcap</t>
        </is>
      </c>
      <c r="H93" s="32" t="n">
        <v>1567.93</v>
      </c>
      <c r="I93" s="32" t="n">
        <v>649.3</v>
      </c>
      <c r="J93" s="32" t="n">
        <v>2.33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MONOLITH</t>
        </is>
      </c>
      <c r="D94" s="31" t="inlineStr">
        <is>
          <t>Monolithisch India Ltd</t>
        </is>
      </c>
      <c r="E94" s="31" t="inlineStr">
        <is>
          <t>unknown</t>
        </is>
      </c>
      <c r="F94" s="31" t="inlineStr">
        <is>
          <t>Refractories</t>
        </is>
      </c>
      <c r="G94" s="31" t="inlineStr">
        <is>
          <t>smallcap</t>
        </is>
      </c>
      <c r="H94" s="32" t="n">
        <v>2817.2</v>
      </c>
      <c r="I94" s="32" t="n">
        <v>1296.1</v>
      </c>
      <c r="J94" s="32" t="n">
        <v>-6.82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PIRAMALFIN</t>
        </is>
      </c>
      <c r="D2" s="31" t="inlineStr">
        <is>
          <t>Piramal Finance Ltd</t>
        </is>
      </c>
      <c r="E2" s="31" t="inlineStr">
        <is>
          <t>Financial Services</t>
        </is>
      </c>
      <c r="F2" s="31" t="inlineStr">
        <is>
          <t>Conglomerate Backed NBFC</t>
        </is>
      </c>
      <c r="G2" s="31" t="inlineStr">
        <is>
          <t>largecap</t>
        </is>
      </c>
      <c r="H2" s="32" t="n">
        <v>53331.74</v>
      </c>
      <c r="I2" s="32" t="n">
        <v>2253.8</v>
      </c>
      <c r="J2" s="32" t="n">
        <v>2.39</v>
      </c>
      <c r="K2" s="32" t="n">
        <v>0</v>
      </c>
      <c r="L2" s="31" t="n">
        <v>46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68.73999999999999</v>
      </c>
      <c r="P2" s="32" t="n">
        <v>54.56</v>
      </c>
      <c r="Q2" s="32" t="n">
        <v>1863.06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-3.15</v>
      </c>
      <c r="U2" s="32" t="n">
        <v>71.31999999999999</v>
      </c>
      <c r="V2" s="32" t="n">
        <v>76.89</v>
      </c>
      <c r="W2" s="32" t="n">
        <v>13.43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6438.16</v>
      </c>
      <c r="I3" s="32" t="n">
        <v>139.06</v>
      </c>
      <c r="J3" s="32" t="n">
        <v>0.18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80.98999999999999</v>
      </c>
      <c r="P3" s="32" t="n">
        <v>68.23</v>
      </c>
      <c r="Q3" s="32" t="n">
        <v>114.97</v>
      </c>
      <c r="R3" s="31" t="inlineStr">
        <is>
          <t>Near 52W High Breakout</t>
        </is>
      </c>
      <c r="S3" s="31" t="inlineStr">
        <is>
          <t>Nifty Bank</t>
        </is>
      </c>
      <c r="T3" s="32" t="n">
        <v>1.08</v>
      </c>
      <c r="U3" s="32" t="n">
        <v>93.08</v>
      </c>
      <c r="V3" s="32" t="n">
        <v>91.02</v>
      </c>
      <c r="W3" s="32" t="n">
        <v>36.15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19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SHAREINDIA</t>
        </is>
      </c>
      <c r="D4" s="31" t="inlineStr">
        <is>
          <t>Share India Securities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smallcap</t>
        </is>
      </c>
      <c r="H4" s="32" t="n">
        <v>4780.02</v>
      </c>
      <c r="I4" s="32" t="n">
        <v>218.44</v>
      </c>
      <c r="J4" s="32" t="n">
        <v>11.42</v>
      </c>
      <c r="K4" s="32" t="n">
        <v>0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71.8</v>
      </c>
      <c r="P4" s="32" t="n">
        <v>33.97</v>
      </c>
      <c r="Q4" s="32" t="n">
        <v>164.83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1.08</v>
      </c>
      <c r="U4" s="32" t="n">
        <v>55.21</v>
      </c>
      <c r="V4" s="32" t="n">
        <v>53.56</v>
      </c>
      <c r="W4" s="32" t="n">
        <v>24.16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26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8070.19</v>
      </c>
      <c r="I5" s="32" t="n">
        <v>88.73</v>
      </c>
      <c r="J5" s="32" t="n">
        <v>4.89</v>
      </c>
      <c r="K5" s="32" t="n">
        <v>0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82.33</v>
      </c>
      <c r="P5" s="32" t="n">
        <v>69.04000000000001</v>
      </c>
      <c r="Q5" s="32" t="n">
        <v>70.19</v>
      </c>
      <c r="R5" s="31" t="inlineStr">
        <is>
          <t>Near 52W High Breakout</t>
        </is>
      </c>
      <c r="S5" s="31" t="inlineStr">
        <is>
          <t>Nifty Bank</t>
        </is>
      </c>
      <c r="T5" s="32" t="n">
        <v>1.08</v>
      </c>
      <c r="U5" s="32" t="n">
        <v>128.08</v>
      </c>
      <c r="V5" s="32" t="n">
        <v>125.65</v>
      </c>
      <c r="W5" s="32" t="n">
        <v>31.94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CGCL</t>
        </is>
      </c>
      <c r="D6" s="31" t="inlineStr">
        <is>
          <t>Capri Global Capital Ltd</t>
        </is>
      </c>
      <c r="E6" s="31" t="inlineStr">
        <is>
          <t>financials</t>
        </is>
      </c>
      <c r="F6" s="31" t="inlineStr">
        <is>
          <t>Finance &amp; Investments - Gold Loan</t>
        </is>
      </c>
      <c r="G6" s="31" t="inlineStr">
        <is>
          <t>largecap</t>
        </is>
      </c>
      <c r="H6" s="32" t="n">
        <v>25242.11</v>
      </c>
      <c r="I6" s="32" t="n">
        <v>262.35</v>
      </c>
      <c r="J6" s="32" t="n">
        <v>2.22</v>
      </c>
      <c r="K6" s="32" t="n">
        <v>0</v>
      </c>
      <c r="L6" s="31" t="n">
        <v>37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65.09</v>
      </c>
      <c r="P6" s="32" t="n">
        <v>40.08</v>
      </c>
      <c r="Q6" s="32" t="n">
        <v>219.81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1.08</v>
      </c>
      <c r="U6" s="32" t="n">
        <v>37.7</v>
      </c>
      <c r="V6" s="32" t="n">
        <v>36.24</v>
      </c>
      <c r="W6" s="32" t="n">
        <v>11.29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26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1473.94</v>
      </c>
      <c r="I7" s="32" t="n">
        <v>589.45</v>
      </c>
      <c r="J7" s="32" t="n">
        <v>-0.82</v>
      </c>
      <c r="K7" s="32" t="n">
        <v>0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72.70999999999999</v>
      </c>
      <c r="P7" s="32" t="n">
        <v>33.57</v>
      </c>
      <c r="Q7" s="32" t="n">
        <v>465.15</v>
      </c>
      <c r="R7" s="31" t="inlineStr">
        <is>
          <t>Near 52W High Breakout</t>
        </is>
      </c>
      <c r="S7" s="31" t="inlineStr">
        <is>
          <t>Nifty Bank</t>
        </is>
      </c>
      <c r="T7" s="32" t="n">
        <v>1.08</v>
      </c>
      <c r="U7" s="32" t="n">
        <v>128.34</v>
      </c>
      <c r="V7" s="32" t="n">
        <v>125.91</v>
      </c>
      <c r="W7" s="32" t="n">
        <v>27.12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23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OFSS</t>
        </is>
      </c>
      <c r="D8" s="31" t="inlineStr">
        <is>
          <t>Oracle Financial Services Software Ltd</t>
        </is>
      </c>
      <c r="E8" s="31" t="inlineStr">
        <is>
          <t>Technology</t>
        </is>
      </c>
      <c r="F8" s="31" t="inlineStr">
        <is>
          <t>IT Product Companies</t>
        </is>
      </c>
      <c r="G8" s="31" t="inlineStr">
        <is>
          <t>largecap</t>
        </is>
      </c>
      <c r="H8" s="32" t="n">
        <v>101190.59</v>
      </c>
      <c r="I8" s="32" t="n">
        <v>11620</v>
      </c>
      <c r="J8" s="32" t="n">
        <v>0.96</v>
      </c>
      <c r="K8" s="32" t="n">
        <v>0</v>
      </c>
      <c r="L8" s="31" t="n">
        <v>44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63.13</v>
      </c>
      <c r="P8" s="32" t="n">
        <v>27.41</v>
      </c>
      <c r="Q8" s="32" t="n">
        <v>9909.49</v>
      </c>
      <c r="R8" s="31" t="inlineStr">
        <is>
          <t>Near 52W High Breakout</t>
        </is>
      </c>
      <c r="S8" s="31" t="inlineStr">
        <is>
          <t>Nifty IT</t>
        </is>
      </c>
      <c r="T8" s="32" t="n">
        <v>-20.29</v>
      </c>
      <c r="U8" s="32" t="n">
        <v>34.6</v>
      </c>
      <c r="V8" s="32" t="n">
        <v>68.87</v>
      </c>
      <c r="W8" s="32" t="n">
        <v>12.8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2026-09-17T21:14:57Z</dcterms:created>
  <dcterms:modified xmlns:dcterms="http://purl.org/dc/terms/" xmlns:xsi="http://www.w3.org/2001/XMLSchema-instance" xsi:type="dcterms:W3CDTF">2026-09-17T21:16:23Z</dcterms:modified>
</cp:coreProperties>
</file>