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Universe'!$A$1:$J$419</definedName>
    <definedName name="_xlnm._FilterDatabase" localSheetId="3" hidden="1">'Confluence Overlap'!$A$1:$K$96</definedName>
    <definedName name="_xlnm._FilterDatabase" localSheetId="4" hidden="1">'Monit Non Financial'!$A$1:$CE$378</definedName>
    <definedName name="_xlnm._FilterDatabase" localSheetId="5" hidden="1">'Monit Banks NBFC'!$A$1:$CA$42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Financial'!$A$1:$CG$98</definedName>
    <definedName name="_xlnm._FilterDatabase" localSheetId="9" hidden="1">'Scan Match Banks NBFC'!$A$1:$CC$4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13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1" customWidth="1" min="3" max="3"/>
    <col width="38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594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84</v>
      </c>
      <c r="G6" s="19" t="n">
        <v>48455.7</v>
      </c>
      <c r="H6" s="18" t="inlineStr">
        <is>
          <t>Potential Leader</t>
        </is>
      </c>
      <c r="J6" s="18" t="inlineStr">
        <is>
          <t>co-working</t>
        </is>
      </c>
      <c r="K6" s="16" t="n">
        <v>1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486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66</v>
      </c>
      <c r="G7" s="19" t="n">
        <v>2886.06</v>
      </c>
      <c r="H7" s="18" t="inlineStr">
        <is>
          <t>Potential Leader</t>
        </is>
      </c>
      <c r="J7" s="18" t="inlineStr">
        <is>
          <t>power &amp; utilities</t>
        </is>
      </c>
      <c r="K7" s="16" t="n">
        <v>16</v>
      </c>
      <c r="L7" s="16" t="n">
        <v>10</v>
      </c>
      <c r="M7" s="20" t="inlineStr">
        <is>
          <t>60.0%</t>
        </is>
      </c>
    </row>
    <row r="8">
      <c r="A8" s="16" t="n">
        <v>3</v>
      </c>
      <c r="B8" s="17" t="n">
        <v>480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65</v>
      </c>
      <c r="G8" s="19" t="n">
        <v>100378.37</v>
      </c>
      <c r="H8" s="18" t="inlineStr">
        <is>
          <t>Potential Leader</t>
        </is>
      </c>
      <c r="J8" s="18" t="inlineStr">
        <is>
          <t>aerospace &amp; defence</t>
        </is>
      </c>
      <c r="K8" s="16" t="n">
        <v>63</v>
      </c>
      <c r="L8" s="16" t="n">
        <v>44</v>
      </c>
      <c r="M8" s="20" t="inlineStr">
        <is>
          <t>43.2%</t>
        </is>
      </c>
    </row>
    <row r="9">
      <c r="A9" s="16" t="n">
        <v>4</v>
      </c>
      <c r="B9" s="17" t="n">
        <v>414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54</v>
      </c>
      <c r="G9" s="19" t="n">
        <v>5192.27</v>
      </c>
      <c r="H9" s="18" t="inlineStr">
        <is>
          <t>Potential Leader</t>
        </is>
      </c>
      <c r="J9" s="18" t="inlineStr">
        <is>
          <t>industrials</t>
        </is>
      </c>
      <c r="K9" s="16" t="n">
        <v>292</v>
      </c>
      <c r="L9" s="16" t="n">
        <v>237</v>
      </c>
      <c r="M9" s="20" t="inlineStr">
        <is>
          <t>23.2%</t>
        </is>
      </c>
    </row>
    <row r="10">
      <c r="A10" s="16" t="n">
        <v>5</v>
      </c>
      <c r="B10" s="17" t="n">
        <v>408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53</v>
      </c>
      <c r="G10" s="19" t="n">
        <v>37200.04</v>
      </c>
      <c r="H10" s="18" t="inlineStr">
        <is>
          <t>Potential Leader</t>
        </is>
      </c>
      <c r="J10" s="18" t="inlineStr">
        <is>
          <t>healthcare</t>
        </is>
      </c>
      <c r="K10" s="16" t="n">
        <v>245</v>
      </c>
      <c r="L10" s="16" t="n">
        <v>205</v>
      </c>
      <c r="M10" s="20" t="inlineStr">
        <is>
          <t>19.5%</t>
        </is>
      </c>
    </row>
    <row r="11">
      <c r="A11" s="16" t="n">
        <v>6</v>
      </c>
      <c r="B11" s="17" t="n">
        <v>348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43</v>
      </c>
      <c r="G11" s="19" t="n">
        <v>5290.96</v>
      </c>
      <c r="H11" s="18" t="inlineStr">
        <is>
          <t>Potential Leader</t>
        </is>
      </c>
      <c r="J11" s="18" t="inlineStr">
        <is>
          <t>chemicals</t>
        </is>
      </c>
      <c r="K11" s="16" t="n">
        <v>167</v>
      </c>
      <c r="L11" s="16" t="n">
        <v>143</v>
      </c>
      <c r="M11" s="20" t="inlineStr">
        <is>
          <t>16.8%</t>
        </is>
      </c>
    </row>
    <row r="12">
      <c r="A12" s="16" t="n">
        <v>7</v>
      </c>
      <c r="B12" s="17" t="n">
        <v>330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40</v>
      </c>
      <c r="G12" s="19" t="n">
        <v>555.03</v>
      </c>
      <c r="H12" s="18" t="inlineStr">
        <is>
          <t>Potential Leader</t>
        </is>
      </c>
      <c r="J12" s="18" t="inlineStr">
        <is>
          <t>realty</t>
        </is>
      </c>
      <c r="K12" s="16" t="n">
        <v>66</v>
      </c>
      <c r="L12" s="16" t="n">
        <v>60</v>
      </c>
      <c r="M12" s="20" t="inlineStr">
        <is>
          <t>10.0%</t>
        </is>
      </c>
    </row>
    <row r="13">
      <c r="A13" s="16" t="n">
        <v>8</v>
      </c>
      <c r="B13" s="17" t="n">
        <v>300</v>
      </c>
      <c r="C13" s="17" t="inlineStr">
        <is>
          <t>SSWL</t>
        </is>
      </c>
      <c r="D13" s="18" t="inlineStr">
        <is>
          <t>Steel Strips Wheels Limited</t>
        </is>
      </c>
      <c r="E13" s="18" t="inlineStr">
        <is>
          <t>auto</t>
        </is>
      </c>
      <c r="F13" s="16" t="n">
        <v>35</v>
      </c>
      <c r="G13" s="19" t="n">
        <v>4988.91</v>
      </c>
      <c r="H13" s="18" t="inlineStr">
        <is>
          <t>Potential Leader</t>
        </is>
      </c>
      <c r="J13" s="18" t="inlineStr">
        <is>
          <t>fmcg</t>
        </is>
      </c>
      <c r="K13" s="16" t="n">
        <v>124</v>
      </c>
      <c r="L13" s="16" t="n">
        <v>116</v>
      </c>
      <c r="M13" s="20" t="inlineStr">
        <is>
          <t>6.9%</t>
        </is>
      </c>
    </row>
    <row r="14">
      <c r="A14" s="16" t="n">
        <v>9</v>
      </c>
      <c r="B14" s="17" t="n">
        <v>282</v>
      </c>
      <c r="C14" s="17" t="inlineStr">
        <is>
          <t>ADOR</t>
        </is>
      </c>
      <c r="D14" s="18" t="inlineStr">
        <is>
          <t>Ador Welding Ltd</t>
        </is>
      </c>
      <c r="E14" s="18" t="inlineStr">
        <is>
          <t>industrials</t>
        </is>
      </c>
      <c r="F14" s="16" t="n">
        <v>32</v>
      </c>
      <c r="G14" s="19" t="n">
        <v>2620.17</v>
      </c>
      <c r="H14" s="18" t="inlineStr">
        <is>
          <t>Potential Leader</t>
        </is>
      </c>
      <c r="J14" s="18" t="inlineStr">
        <is>
          <t>building materials</t>
        </is>
      </c>
      <c r="K14" s="16" t="n">
        <v>75</v>
      </c>
      <c r="L14" s="16" t="n">
        <v>71</v>
      </c>
      <c r="M14" s="20" t="inlineStr">
        <is>
          <t>5.6%</t>
        </is>
      </c>
    </row>
    <row r="15">
      <c r="A15" s="16" t="n">
        <v>10</v>
      </c>
      <c r="B15" s="17" t="n">
        <v>282</v>
      </c>
      <c r="C15" s="17" t="inlineStr">
        <is>
          <t>CYIENTDLM</t>
        </is>
      </c>
      <c r="D15" s="18" t="inlineStr">
        <is>
          <t>Cyient DLM Ltd</t>
        </is>
      </c>
      <c r="E15" s="18" t="inlineStr">
        <is>
          <t>consumer discretionary</t>
        </is>
      </c>
      <c r="F15" s="16" t="n">
        <v>32</v>
      </c>
      <c r="G15" s="19" t="n">
        <v>5628.28</v>
      </c>
      <c r="H15" s="18" t="inlineStr">
        <is>
          <t>Potential Leader</t>
        </is>
      </c>
      <c r="J15" s="18" t="inlineStr">
        <is>
          <t>consumer discretionary</t>
        </is>
      </c>
      <c r="K15" s="16" t="n">
        <v>145</v>
      </c>
      <c r="L15" s="16" t="n">
        <v>139</v>
      </c>
      <c r="M15" s="20" t="inlineStr">
        <is>
          <t>4.3%</t>
        </is>
      </c>
    </row>
    <row r="16">
      <c r="A16" s="16" t="n">
        <v>11</v>
      </c>
      <c r="B16" s="17" t="n">
        <v>282</v>
      </c>
      <c r="C16" s="17" t="inlineStr">
        <is>
          <t>IRISDOREME</t>
        </is>
      </c>
      <c r="D16" s="18" t="inlineStr">
        <is>
          <t>Iris Clothings Ltd</t>
        </is>
      </c>
      <c r="E16" s="18" t="inlineStr">
        <is>
          <t>consumer discretionary</t>
        </is>
      </c>
      <c r="F16" s="16" t="n">
        <v>32</v>
      </c>
      <c r="G16" s="19" t="n">
        <v>1071.95</v>
      </c>
      <c r="H16" s="18" t="inlineStr">
        <is>
          <t>Potential Leader</t>
        </is>
      </c>
      <c r="J16" s="18" t="inlineStr">
        <is>
          <t>telecom</t>
        </is>
      </c>
      <c r="K16" s="16" t="n">
        <v>10</v>
      </c>
      <c r="L16" s="16" t="n">
        <v>10</v>
      </c>
      <c r="M16" s="20" t="inlineStr">
        <is>
          <t>0.0%</t>
        </is>
      </c>
    </row>
    <row r="17">
      <c r="A17" s="16" t="n">
        <v>12</v>
      </c>
      <c r="B17" s="17" t="n">
        <v>282</v>
      </c>
      <c r="C17" s="17" t="inlineStr">
        <is>
          <t>RADICO</t>
        </is>
      </c>
      <c r="D17" s="18" t="inlineStr">
        <is>
          <t>Radico Khaitan Limited</t>
        </is>
      </c>
      <c r="E17" s="18" t="inlineStr">
        <is>
          <t>fmcg</t>
        </is>
      </c>
      <c r="F17" s="16" t="n">
        <v>32</v>
      </c>
      <c r="G17" s="19" t="n">
        <v>60871.8</v>
      </c>
      <c r="H17" s="18" t="inlineStr">
        <is>
          <t>Potential Leader</t>
        </is>
      </c>
      <c r="J17" s="18" t="inlineStr">
        <is>
          <t>miscellaneous</t>
        </is>
      </c>
      <c r="K17" s="16" t="n">
        <v>57</v>
      </c>
      <c r="L17" s="16" t="n">
        <v>59</v>
      </c>
      <c r="M17" s="21" t="inlineStr">
        <is>
          <t>-3.4%</t>
        </is>
      </c>
    </row>
    <row r="18">
      <c r="A18" s="16" t="n">
        <v>13</v>
      </c>
      <c r="B18" s="17" t="n">
        <v>282</v>
      </c>
      <c r="C18" s="17" t="inlineStr">
        <is>
          <t>RPTECH</t>
        </is>
      </c>
      <c r="D18" s="18" t="inlineStr">
        <is>
          <t>Rashi Peripherals Ltd</t>
        </is>
      </c>
      <c r="E18" s="18" t="inlineStr">
        <is>
          <t>services</t>
        </is>
      </c>
      <c r="F18" s="16" t="n">
        <v>32</v>
      </c>
      <c r="G18" s="19" t="n">
        <v>5850.57</v>
      </c>
      <c r="H18" s="18" t="inlineStr">
        <is>
          <t>Potential Leader</t>
        </is>
      </c>
      <c r="J18" s="18" t="inlineStr">
        <is>
          <t>auto</t>
        </is>
      </c>
      <c r="K18" s="16" t="n">
        <v>214</v>
      </c>
      <c r="L18" s="16" t="n">
        <v>222</v>
      </c>
      <c r="M18" s="21" t="inlineStr">
        <is>
          <t>-3.6%</t>
        </is>
      </c>
    </row>
    <row r="19">
      <c r="A19" s="16" t="n">
        <v>14</v>
      </c>
      <c r="B19" s="17" t="n">
        <v>276</v>
      </c>
      <c r="C19" s="17" t="inlineStr">
        <is>
          <t>KAPSTON</t>
        </is>
      </c>
      <c r="D19" s="18" t="inlineStr">
        <is>
          <t>Kapston Services Ltd</t>
        </is>
      </c>
      <c r="E19" s="18" t="inlineStr">
        <is>
          <t>miscellaneous</t>
        </is>
      </c>
      <c r="F19" s="16" t="n">
        <v>31</v>
      </c>
      <c r="G19" s="19" t="n">
        <v>1714.55</v>
      </c>
      <c r="H19" s="18" t="inlineStr">
        <is>
          <t>Potential Leader</t>
        </is>
      </c>
      <c r="J19" s="18" t="inlineStr">
        <is>
          <t>energy</t>
        </is>
      </c>
      <c r="K19" s="16" t="n">
        <v>57</v>
      </c>
      <c r="L19" s="16" t="n">
        <v>60</v>
      </c>
      <c r="M19" s="21" t="inlineStr">
        <is>
          <t>-5.0%</t>
        </is>
      </c>
    </row>
    <row r="20">
      <c r="A20" s="16" t="n">
        <v>15</v>
      </c>
      <c r="B20" s="17" t="n">
        <v>276</v>
      </c>
      <c r="C20" s="17" t="inlineStr">
        <is>
          <t>SETL</t>
        </is>
      </c>
      <c r="D20" s="18" t="inlineStr">
        <is>
          <t>Standard Enginnering Technology Ltd</t>
        </is>
      </c>
      <c r="E20" s="18" t="inlineStr">
        <is>
          <t>industrials</t>
        </is>
      </c>
      <c r="F20" s="16" t="n">
        <v>31</v>
      </c>
      <c r="G20" s="19" t="n">
        <v>5930.89</v>
      </c>
      <c r="H20" s="18" t="inlineStr">
        <is>
          <t>Potential Leader</t>
        </is>
      </c>
      <c r="J20" s="18" t="inlineStr">
        <is>
          <t>bank</t>
        </is>
      </c>
      <c r="K20" s="16" t="n">
        <v>72</v>
      </c>
      <c r="L20" s="16" t="n">
        <v>76</v>
      </c>
      <c r="M20" s="21" t="inlineStr">
        <is>
          <t>-5.3%</t>
        </is>
      </c>
    </row>
    <row r="21">
      <c r="A21" s="16" t="n">
        <v>16</v>
      </c>
      <c r="B21" s="17" t="n">
        <v>261</v>
      </c>
      <c r="C21" s="17" t="inlineStr">
        <is>
          <t>HAPPYFORGE</t>
        </is>
      </c>
      <c r="D21" s="18" t="inlineStr">
        <is>
          <t>Happy Forgings Ltd</t>
        </is>
      </c>
      <c r="E21" s="18" t="inlineStr">
        <is>
          <t>industrials</t>
        </is>
      </c>
      <c r="F21" s="16" t="n">
        <v>29</v>
      </c>
      <c r="G21" s="19" t="n">
        <v>18005.57</v>
      </c>
      <c r="H21" s="18" t="inlineStr">
        <is>
          <t>Potential Leader</t>
        </is>
      </c>
    </row>
    <row r="22">
      <c r="A22" s="16" t="n">
        <v>17</v>
      </c>
      <c r="B22" s="17" t="n">
        <v>252</v>
      </c>
      <c r="C22" s="17" t="inlineStr">
        <is>
          <t>EMCURE</t>
        </is>
      </c>
      <c r="D22" s="18" t="inlineStr">
        <is>
          <t>Emcure Pharmaceuticals Ltd</t>
        </is>
      </c>
      <c r="E22" s="18" t="inlineStr">
        <is>
          <t>healthcare</t>
        </is>
      </c>
      <c r="F22" s="16" t="n">
        <v>28</v>
      </c>
      <c r="G22" s="19" t="n">
        <v>37911.37</v>
      </c>
      <c r="H22" s="18" t="inlineStr">
        <is>
          <t>Potential Leader</t>
        </is>
      </c>
    </row>
    <row r="23">
      <c r="A23" s="16" t="n">
        <v>18</v>
      </c>
      <c r="B23" s="17" t="n">
        <v>252</v>
      </c>
      <c r="C23" s="17" t="inlineStr">
        <is>
          <t>SONACOMS</t>
        </is>
      </c>
      <c r="D23" s="18" t="inlineStr">
        <is>
          <t>Sona BLW Precision Forgings Ltd</t>
        </is>
      </c>
      <c r="E23" s="18" t="inlineStr">
        <is>
          <t>auto</t>
        </is>
      </c>
      <c r="F23" s="16" t="n">
        <v>28</v>
      </c>
      <c r="G23" s="19" t="n">
        <v>49762.79</v>
      </c>
      <c r="H23" s="18" t="inlineStr">
        <is>
          <t>Potential Leader</t>
        </is>
      </c>
    </row>
    <row r="24">
      <c r="A24" s="16" t="n">
        <v>19</v>
      </c>
      <c r="B24" s="17" t="n">
        <v>249</v>
      </c>
      <c r="C24" s="17" t="inlineStr">
        <is>
          <t>AETHER</t>
        </is>
      </c>
      <c r="D24" s="18" t="inlineStr">
        <is>
          <t>Aether Industries Ltd</t>
        </is>
      </c>
      <c r="E24" s="18" t="inlineStr">
        <is>
          <t>chemicals</t>
        </is>
      </c>
      <c r="F24" s="16" t="n">
        <v>27</v>
      </c>
      <c r="G24" s="19" t="n">
        <v>21687.89</v>
      </c>
      <c r="H24" s="18" t="inlineStr">
        <is>
          <t>Potential Leader</t>
        </is>
      </c>
    </row>
    <row r="25">
      <c r="A25" s="16" t="n">
        <v>20</v>
      </c>
      <c r="B25" s="17" t="n">
        <v>231</v>
      </c>
      <c r="C25" s="17" t="inlineStr">
        <is>
          <t>DIACABS</t>
        </is>
      </c>
      <c r="D25" s="18" t="inlineStr">
        <is>
          <t>Diamond Power Infrastructure Ltd</t>
        </is>
      </c>
      <c r="E25" s="18" t="inlineStr">
        <is>
          <t>industrials</t>
        </is>
      </c>
      <c r="F25" s="16" t="n">
        <v>24</v>
      </c>
      <c r="G25" s="19" t="n">
        <v>19076.35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GLAXO</t>
        </is>
      </c>
      <c r="B30" s="18" t="inlineStr">
        <is>
          <t>Glaxosmithkline Pharmaceuticals Limited</t>
        </is>
      </c>
      <c r="C30" s="18" t="inlineStr">
        <is>
          <t>healthcare</t>
        </is>
      </c>
      <c r="D30" s="16" t="n">
        <v>10</v>
      </c>
      <c r="E30" s="16" t="n">
        <v>2</v>
      </c>
      <c r="F30" s="19" t="n">
        <v>44077.76</v>
      </c>
      <c r="J30" s="17" t="inlineStr">
        <is>
          <t>SCPL</t>
        </is>
      </c>
      <c r="K30" s="18" t="inlineStr">
        <is>
          <t>fmcg</t>
        </is>
      </c>
      <c r="L30" s="19" t="n">
        <v>305</v>
      </c>
      <c r="M30" s="19" t="n">
        <v>646.49</v>
      </c>
      <c r="N30" s="16" t="n">
        <v>27</v>
      </c>
    </row>
    <row r="31">
      <c r="A31" s="17" t="inlineStr">
        <is>
          <t>BALKRISIND</t>
        </is>
      </c>
      <c r="B31" s="18" t="inlineStr">
        <is>
          <t>Balkrishna Industries Limited</t>
        </is>
      </c>
      <c r="C31" s="18" t="inlineStr">
        <is>
          <t>auto</t>
        </is>
      </c>
      <c r="D31" s="16" t="n">
        <v>10</v>
      </c>
      <c r="E31" s="16" t="n">
        <v>1</v>
      </c>
      <c r="F31" s="19" t="n">
        <v>48308.03</v>
      </c>
      <c r="J31" s="17" t="inlineStr">
        <is>
          <t>VINDHYATEL</t>
        </is>
      </c>
      <c r="K31" s="18" t="inlineStr">
        <is>
          <t>realty</t>
        </is>
      </c>
      <c r="L31" s="19" t="n">
        <v>298</v>
      </c>
      <c r="M31" s="19" t="n">
        <v>2878.57</v>
      </c>
      <c r="N31" s="16" t="n">
        <v>18</v>
      </c>
    </row>
    <row r="32">
      <c r="A32" s="17" t="inlineStr">
        <is>
          <t>COFORGE</t>
        </is>
      </c>
      <c r="B32" s="18" t="inlineStr">
        <is>
          <t>Coforge (Niit Tech) Ltd</t>
        </is>
      </c>
      <c r="C32" s="18" t="inlineStr">
        <is>
          <t>i.t</t>
        </is>
      </c>
      <c r="D32" s="16" t="n">
        <v>10</v>
      </c>
      <c r="E32" s="16" t="n">
        <v>2</v>
      </c>
      <c r="F32" s="19" t="n">
        <v>80525.46000000001</v>
      </c>
      <c r="J32" s="17" t="inlineStr">
        <is>
          <t>TINNARUBR</t>
        </is>
      </c>
      <c r="K32" s="18" t="inlineStr">
        <is>
          <t>fmcg</t>
        </is>
      </c>
      <c r="L32" s="19" t="n">
        <v>295</v>
      </c>
      <c r="M32" s="19" t="n">
        <v>2048.93</v>
      </c>
      <c r="N32" s="16" t="n">
        <v>28</v>
      </c>
    </row>
    <row r="33">
      <c r="A33" s="17" t="inlineStr">
        <is>
          <t>THEJO</t>
        </is>
      </c>
      <c r="B33" s="18" t="inlineStr">
        <is>
          <t>Thejo Engineering Ltd</t>
        </is>
      </c>
      <c r="C33" s="18" t="inlineStr">
        <is>
          <t>industrials</t>
        </is>
      </c>
      <c r="D33" s="16" t="n">
        <v>10</v>
      </c>
      <c r="E33" s="16" t="n">
        <v>0</v>
      </c>
      <c r="F33" s="19" t="n">
        <v>2337.09</v>
      </c>
      <c r="J33" s="17" t="inlineStr">
        <is>
          <t>BIRLACABLE</t>
        </is>
      </c>
      <c r="K33" s="18" t="inlineStr">
        <is>
          <t>industrials</t>
        </is>
      </c>
      <c r="L33" s="19" t="n">
        <v>293</v>
      </c>
      <c r="M33" s="19" t="n">
        <v>840.78</v>
      </c>
      <c r="N33" s="16" t="n">
        <v>19</v>
      </c>
    </row>
    <row r="34">
      <c r="A34" s="17" t="inlineStr">
        <is>
          <t>INDIGOPNTS</t>
        </is>
      </c>
      <c r="B34" s="18" t="inlineStr">
        <is>
          <t>Indigo Paints Ltd</t>
        </is>
      </c>
      <c r="C34" s="18" t="inlineStr">
        <is>
          <t>building materials</t>
        </is>
      </c>
      <c r="D34" s="16" t="n">
        <v>10</v>
      </c>
      <c r="E34" s="16" t="n">
        <v>2</v>
      </c>
      <c r="F34" s="19" t="n">
        <v>5365.9</v>
      </c>
      <c r="J34" s="17" t="inlineStr">
        <is>
          <t>INDOBORAX</t>
        </is>
      </c>
      <c r="K34" s="18" t="inlineStr">
        <is>
          <t>chemicals</t>
        </is>
      </c>
      <c r="L34" s="19" t="n">
        <v>293</v>
      </c>
      <c r="M34" s="19" t="n">
        <v>1390.78</v>
      </c>
      <c r="N34" s="16" t="n">
        <v>17</v>
      </c>
    </row>
    <row r="35">
      <c r="A35" s="17" t="inlineStr">
        <is>
          <t>ANTHEM</t>
        </is>
      </c>
      <c r="B35" s="18" t="inlineStr">
        <is>
          <t>Anthem Biosciences Ltd</t>
        </is>
      </c>
      <c r="C35" s="18" t="inlineStr">
        <is>
          <t>healthcare</t>
        </is>
      </c>
      <c r="D35" s="16" t="n">
        <v>10</v>
      </c>
      <c r="E35" s="16" t="n">
        <v>1</v>
      </c>
      <c r="F35" s="19" t="n">
        <v>50234.2</v>
      </c>
      <c r="J35" s="17" t="inlineStr">
        <is>
          <t>PIXTRANS</t>
        </is>
      </c>
      <c r="K35" s="18" t="inlineStr">
        <is>
          <t>fmcg</t>
        </is>
      </c>
      <c r="L35" s="19" t="n">
        <v>292</v>
      </c>
      <c r="M35" s="19" t="n">
        <v>2701.88</v>
      </c>
      <c r="N35" s="16" t="n">
        <v>18</v>
      </c>
    </row>
    <row r="36">
      <c r="A36" s="17" t="inlineStr">
        <is>
          <t>LTFOODS</t>
        </is>
      </c>
      <c r="B36" s="18" t="inlineStr">
        <is>
          <t>L T Foods Ltd</t>
        </is>
      </c>
      <c r="C36" s="18" t="inlineStr">
        <is>
          <t>fmcg</t>
        </is>
      </c>
      <c r="D36" s="16" t="n">
        <v>10</v>
      </c>
      <c r="E36" s="16" t="n">
        <v>0</v>
      </c>
      <c r="F36" s="19" t="n">
        <v>14560.32</v>
      </c>
      <c r="J36" s="17" t="inlineStr">
        <is>
          <t>RPTECH</t>
        </is>
      </c>
      <c r="K36" s="18" t="inlineStr">
        <is>
          <t>services</t>
        </is>
      </c>
      <c r="L36" s="19" t="n">
        <v>290</v>
      </c>
      <c r="M36" s="19" t="n">
        <v>5850.57</v>
      </c>
      <c r="N36" s="16" t="n">
        <v>30</v>
      </c>
    </row>
    <row r="37">
      <c r="A37" s="17" t="inlineStr">
        <is>
          <t>KILITCH</t>
        </is>
      </c>
      <c r="B37" s="18" t="inlineStr">
        <is>
          <t>Kilitch Drugs (india) Limited</t>
        </is>
      </c>
      <c r="C37" s="18" t="inlineStr">
        <is>
          <t>healthcare</t>
        </is>
      </c>
      <c r="D37" s="16" t="n">
        <v>10</v>
      </c>
      <c r="E37" s="16" t="n">
        <v>2</v>
      </c>
      <c r="F37" s="19" t="n">
        <v>669.37</v>
      </c>
      <c r="J37" s="17" t="inlineStr">
        <is>
          <t>RANEHOLDIN</t>
        </is>
      </c>
      <c r="K37" s="18" t="inlineStr">
        <is>
          <t>financials</t>
        </is>
      </c>
      <c r="L37" s="19" t="n">
        <v>290</v>
      </c>
      <c r="M37" s="19" t="n">
        <v>2536.02</v>
      </c>
      <c r="N37" s="16" t="n">
        <v>27</v>
      </c>
    </row>
    <row r="38">
      <c r="A38" s="17" t="inlineStr">
        <is>
          <t>KOTHARIPET</t>
        </is>
      </c>
      <c r="B38" s="18" t="inlineStr">
        <is>
          <t>Kothari Petrochemicals Limited</t>
        </is>
      </c>
      <c r="C38" s="18" t="inlineStr">
        <is>
          <t>energy</t>
        </is>
      </c>
      <c r="D38" s="16" t="n">
        <v>10</v>
      </c>
      <c r="E38" s="16" t="n">
        <v>0</v>
      </c>
      <c r="F38" s="19" t="n">
        <v>857.1</v>
      </c>
      <c r="J38" s="17" t="inlineStr">
        <is>
          <t>IOLCP</t>
        </is>
      </c>
      <c r="K38" s="18" t="inlineStr">
        <is>
          <t>healthcare</t>
        </is>
      </c>
      <c r="L38" s="19" t="n">
        <v>290</v>
      </c>
      <c r="M38" s="19" t="n">
        <v>4817.96</v>
      </c>
      <c r="N38" s="16" t="n">
        <v>16</v>
      </c>
    </row>
    <row r="39">
      <c r="A39" s="17" t="inlineStr">
        <is>
          <t>SMLMAH</t>
        </is>
      </c>
      <c r="B39" s="18" t="inlineStr">
        <is>
          <t>SML Mahindra Ltd</t>
        </is>
      </c>
      <c r="C39" s="18" t="inlineStr">
        <is>
          <t>auto</t>
        </is>
      </c>
      <c r="D39" s="16" t="n">
        <v>10</v>
      </c>
      <c r="E39" s="16" t="n">
        <v>1</v>
      </c>
      <c r="F39" s="19" t="n">
        <v>7537.56</v>
      </c>
      <c r="J39" s="17" t="inlineStr">
        <is>
          <t>FCL</t>
        </is>
      </c>
      <c r="K39" s="18" t="inlineStr">
        <is>
          <t>chemicals</t>
        </is>
      </c>
      <c r="L39" s="19" t="n">
        <v>288</v>
      </c>
      <c r="M39" s="19" t="n">
        <v>5006.19</v>
      </c>
      <c r="N39" s="16" t="n">
        <v>17</v>
      </c>
    </row>
    <row r="40">
      <c r="A40" s="17" t="inlineStr">
        <is>
          <t>PFIZER</t>
        </is>
      </c>
      <c r="B40" s="18" t="inlineStr">
        <is>
          <t>Pfizer Limited</t>
        </is>
      </c>
      <c r="C40" s="18" t="inlineStr">
        <is>
          <t>healthcare</t>
        </is>
      </c>
      <c r="D40" s="16" t="n">
        <v>10</v>
      </c>
      <c r="E40" s="16" t="n">
        <v>2</v>
      </c>
      <c r="F40" s="19" t="n">
        <v>22409.53</v>
      </c>
      <c r="J40" s="17" t="inlineStr">
        <is>
          <t>CHEMBONDCH</t>
        </is>
      </c>
      <c r="K40" s="18" t="inlineStr">
        <is>
          <t>chemicals</t>
        </is>
      </c>
      <c r="L40" s="19" t="n">
        <v>288</v>
      </c>
      <c r="M40" s="19" t="n">
        <v>704.02</v>
      </c>
      <c r="N40" s="16" t="n">
        <v>4</v>
      </c>
    </row>
    <row r="41">
      <c r="A41" s="17" t="inlineStr">
        <is>
          <t>DOLPHIN</t>
        </is>
      </c>
      <c r="B41" s="18" t="inlineStr">
        <is>
          <t>Dolphin Offshore Enterprises (India) Ltd</t>
        </is>
      </c>
      <c r="C41" s="18" t="inlineStr">
        <is>
          <t>energy</t>
        </is>
      </c>
      <c r="D41" s="16" t="n">
        <v>9</v>
      </c>
      <c r="E41" s="16" t="n">
        <v>0</v>
      </c>
      <c r="F41" s="19" t="n">
        <v>1762.4</v>
      </c>
      <c r="J41" s="17" t="inlineStr">
        <is>
          <t>UJJIVANSFB</t>
        </is>
      </c>
      <c r="K41" s="18" t="inlineStr">
        <is>
          <t>bank</t>
        </is>
      </c>
      <c r="L41" s="19" t="n">
        <v>287</v>
      </c>
      <c r="M41" s="19" t="n">
        <v>13644.02</v>
      </c>
      <c r="N41" s="16" t="n">
        <v>25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124.13</v>
      </c>
      <c r="D47" s="28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2540.04</v>
      </c>
    </row>
    <row r="48">
      <c r="A48" s="16" t="n">
        <v>2</v>
      </c>
      <c r="B48" s="27" t="n">
        <v>99</v>
      </c>
      <c r="C48" s="28" t="n">
        <v>98.34999999999999</v>
      </c>
      <c r="D48" s="28" t="n">
        <v>287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37200.04</v>
      </c>
    </row>
    <row r="49">
      <c r="A49" s="16" t="n">
        <v>3</v>
      </c>
      <c r="B49" s="27" t="n">
        <v>98</v>
      </c>
      <c r="C49" s="28" t="n">
        <v>94.69</v>
      </c>
      <c r="D49" s="28" t="n">
        <v>270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31861.56</v>
      </c>
    </row>
    <row r="50">
      <c r="A50" s="16" t="n">
        <v>4</v>
      </c>
      <c r="B50" s="27" t="n">
        <v>98</v>
      </c>
      <c r="C50" s="28" t="n">
        <v>74.41</v>
      </c>
      <c r="D50" s="28" t="n">
        <v>260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13292.21</v>
      </c>
    </row>
    <row r="51">
      <c r="A51" s="16" t="n">
        <v>5</v>
      </c>
      <c r="B51" s="27" t="n">
        <v>98</v>
      </c>
      <c r="C51" s="28" t="n">
        <v>61.34</v>
      </c>
      <c r="D51" s="28" t="n">
        <v>260</v>
      </c>
      <c r="E51" s="17" t="inlineStr">
        <is>
          <t>YASHO</t>
        </is>
      </c>
      <c r="F51" s="18" t="inlineStr">
        <is>
          <t>Yasho Industries Ltd</t>
        </is>
      </c>
      <c r="G51" s="18" t="inlineStr">
        <is>
          <t>chemicals</t>
        </is>
      </c>
      <c r="H51" s="19" t="n">
        <v>5192.27</v>
      </c>
    </row>
    <row r="52">
      <c r="A52" s="16" t="n">
        <v>6</v>
      </c>
      <c r="B52" s="27" t="n">
        <v>98</v>
      </c>
      <c r="C52" s="28" t="n">
        <v>59.77</v>
      </c>
      <c r="D52" s="28" t="n">
        <v>275</v>
      </c>
      <c r="E52" s="17" t="inlineStr">
        <is>
          <t>HFCL</t>
        </is>
      </c>
      <c r="F52" s="18" t="inlineStr">
        <is>
          <t>HFCL Ltd</t>
        </is>
      </c>
      <c r="G52" s="18" t="inlineStr">
        <is>
          <t>telecom</t>
        </is>
      </c>
      <c r="H52" s="19" t="n">
        <v>32791.63</v>
      </c>
    </row>
    <row r="53">
      <c r="A53" s="16" t="n">
        <v>7</v>
      </c>
      <c r="B53" s="27" t="n">
        <v>97</v>
      </c>
      <c r="C53" s="28" t="n">
        <v>54.98</v>
      </c>
      <c r="D53" s="28" t="n">
        <v>277</v>
      </c>
      <c r="E53" s="17" t="inlineStr">
        <is>
          <t>INDSWFTLAB</t>
        </is>
      </c>
      <c r="F53" s="18" t="inlineStr">
        <is>
          <t>Ind-swift Laboratories Limited</t>
        </is>
      </c>
      <c r="G53" s="18" t="inlineStr">
        <is>
          <t>healthcare</t>
        </is>
      </c>
      <c r="H53" s="19" t="n">
        <v>2475.62</v>
      </c>
    </row>
    <row r="54">
      <c r="A54" s="16" t="n">
        <v>8</v>
      </c>
      <c r="B54" s="27" t="n">
        <v>97</v>
      </c>
      <c r="C54" s="28" t="n">
        <v>54.78</v>
      </c>
      <c r="D54" s="28" t="n">
        <v>268</v>
      </c>
      <c r="E54" s="17" t="inlineStr">
        <is>
          <t>UFBL</t>
        </is>
      </c>
      <c r="F54" s="18" t="inlineStr">
        <is>
          <t>United Foodbrands Ltd</t>
        </is>
      </c>
      <c r="G54" s="18" t="inlineStr">
        <is>
          <t>consumer discretionary</t>
        </is>
      </c>
      <c r="H54" s="19" t="n">
        <v>3170.1</v>
      </c>
    </row>
    <row r="55">
      <c r="A55" s="16" t="n">
        <v>9</v>
      </c>
      <c r="B55" s="27" t="n">
        <v>97</v>
      </c>
      <c r="C55" s="28" t="n">
        <v>51.01</v>
      </c>
      <c r="D55" s="28" t="n">
        <v>280</v>
      </c>
      <c r="E55" s="17" t="inlineStr">
        <is>
          <t>E2E</t>
        </is>
      </c>
      <c r="F55" s="18" t="inlineStr">
        <is>
          <t>E2E Networks Ltd</t>
        </is>
      </c>
      <c r="G55" s="18" t="inlineStr">
        <is>
          <t>i.t</t>
        </is>
      </c>
      <c r="H55" s="19" t="n">
        <v>12897.14</v>
      </c>
    </row>
    <row r="56">
      <c r="A56" s="16" t="n">
        <v>10</v>
      </c>
      <c r="B56" s="27" t="n">
        <v>97</v>
      </c>
      <c r="C56" s="28" t="n">
        <v>51.01</v>
      </c>
      <c r="D56" s="28" t="n">
        <v>245</v>
      </c>
      <c r="E56" s="17" t="inlineStr">
        <is>
          <t>VENUSREM</t>
        </is>
      </c>
      <c r="F56" s="18" t="inlineStr">
        <is>
          <t>Venus Remedies Limited</t>
        </is>
      </c>
      <c r="G56" s="18" t="inlineStr">
        <is>
          <t>healthcare</t>
        </is>
      </c>
      <c r="H56" s="19" t="n">
        <v>2096.88</v>
      </c>
    </row>
    <row r="57">
      <c r="A57" s="16" t="n">
        <v>11</v>
      </c>
      <c r="B57" s="27" t="n">
        <v>96</v>
      </c>
      <c r="C57" s="28" t="n">
        <v>50.67</v>
      </c>
      <c r="D57" s="28" t="n">
        <v>273</v>
      </c>
      <c r="E57" s="17" t="inlineStr">
        <is>
          <t>HITECHCORP</t>
        </is>
      </c>
      <c r="F57" s="18" t="inlineStr">
        <is>
          <t>Hitech Corporation</t>
        </is>
      </c>
      <c r="G57" s="18" t="inlineStr">
        <is>
          <t>industrials</t>
        </is>
      </c>
      <c r="H57" s="19" t="n">
        <v>555.03</v>
      </c>
    </row>
    <row r="58">
      <c r="A58" s="16" t="n">
        <v>12</v>
      </c>
      <c r="B58" s="27" t="n">
        <v>96</v>
      </c>
      <c r="C58" s="28" t="n">
        <v>49.24</v>
      </c>
      <c r="D58" s="28" t="n">
        <v>277</v>
      </c>
      <c r="E58" s="17" t="inlineStr">
        <is>
          <t>KPL</t>
        </is>
      </c>
      <c r="F58" s="18" t="inlineStr">
        <is>
          <t>Kwality Pharmaceuticals Limited</t>
        </is>
      </c>
      <c r="G58" s="18" t="inlineStr">
        <is>
          <t>Healthcare</t>
        </is>
      </c>
      <c r="H58" s="19" t="n">
        <v>3452.42</v>
      </c>
    </row>
    <row r="59">
      <c r="A59" s="16" t="n">
        <v>13</v>
      </c>
      <c r="B59" s="27" t="n">
        <v>96</v>
      </c>
      <c r="C59" s="28" t="n">
        <v>46.38</v>
      </c>
      <c r="D59" s="28" t="n">
        <v>260</v>
      </c>
      <c r="E59" s="17" t="inlineStr">
        <is>
          <t>BAFNAPH</t>
        </is>
      </c>
      <c r="F59" s="18" t="inlineStr">
        <is>
          <t>Bafna Pharmaceuticals Ltd</t>
        </is>
      </c>
      <c r="G59" s="18" t="inlineStr">
        <is>
          <t>healthcare</t>
        </is>
      </c>
      <c r="H59" s="19" t="n">
        <v>647.59</v>
      </c>
    </row>
    <row r="60">
      <c r="A60" s="16" t="n">
        <v>14</v>
      </c>
      <c r="B60" s="27" t="n">
        <v>96</v>
      </c>
      <c r="C60" s="28" t="n">
        <v>45.78</v>
      </c>
      <c r="D60" s="28" t="n">
        <v>275</v>
      </c>
      <c r="E60" s="17" t="inlineStr">
        <is>
          <t>BLISSGVS</t>
        </is>
      </c>
      <c r="F60" s="18" t="inlineStr">
        <is>
          <t>Bliss Gvs Pharma Limited</t>
        </is>
      </c>
      <c r="G60" s="18" t="inlineStr">
        <is>
          <t>healthcare</t>
        </is>
      </c>
      <c r="H60" s="19" t="n">
        <v>5239.71</v>
      </c>
    </row>
    <row r="61">
      <c r="A61" s="16" t="n">
        <v>15</v>
      </c>
      <c r="B61" s="27" t="n">
        <v>95</v>
      </c>
      <c r="C61" s="28" t="n">
        <v>44.49</v>
      </c>
      <c r="D61" s="28" t="n">
        <v>273</v>
      </c>
      <c r="E61" s="17" t="inlineStr">
        <is>
          <t>SETL</t>
        </is>
      </c>
      <c r="F61" s="18" t="inlineStr">
        <is>
          <t>Standard Enginnering Technology Ltd</t>
        </is>
      </c>
      <c r="G61" s="18" t="inlineStr">
        <is>
          <t>industrials</t>
        </is>
      </c>
      <c r="H61" s="19" t="n">
        <v>5930.89</v>
      </c>
    </row>
    <row r="62">
      <c r="A62" s="16" t="n">
        <v>16</v>
      </c>
      <c r="B62" s="27" t="n">
        <v>95</v>
      </c>
      <c r="C62" s="28" t="n">
        <v>44.43</v>
      </c>
      <c r="D62" s="28" t="n">
        <v>278</v>
      </c>
      <c r="E62" s="17" t="inlineStr">
        <is>
          <t>UNIVASTU</t>
        </is>
      </c>
      <c r="F62" s="18" t="inlineStr">
        <is>
          <t>Univastu India Ltd</t>
        </is>
      </c>
      <c r="G62" s="18" t="inlineStr">
        <is>
          <t>realty</t>
        </is>
      </c>
      <c r="H62" s="19" t="n">
        <v>524.6</v>
      </c>
    </row>
    <row r="63">
      <c r="A63" s="16" t="n">
        <v>17</v>
      </c>
      <c r="B63" s="27" t="n">
        <v>95</v>
      </c>
      <c r="C63" s="28" t="n">
        <v>42.43</v>
      </c>
      <c r="D63" s="28" t="n">
        <v>285</v>
      </c>
      <c r="E63" s="17" t="inlineStr">
        <is>
          <t>RPEL</t>
        </is>
      </c>
      <c r="F63" s="18" t="inlineStr">
        <is>
          <t>Raghav Productivity Enhancers Ltd</t>
        </is>
      </c>
      <c r="G63" s="18" t="inlineStr">
        <is>
          <t>building materials</t>
        </is>
      </c>
      <c r="H63" s="19" t="n">
        <v>5978.58</v>
      </c>
    </row>
    <row r="64">
      <c r="A64" s="16" t="n">
        <v>18</v>
      </c>
      <c r="B64" s="29" t="n">
        <v>94</v>
      </c>
      <c r="C64" s="28" t="n">
        <v>42.38</v>
      </c>
      <c r="D64" s="28" t="n">
        <v>273</v>
      </c>
      <c r="E64" s="17" t="inlineStr">
        <is>
          <t>NRL</t>
        </is>
      </c>
      <c r="F64" s="18" t="inlineStr">
        <is>
          <t>Nupur Recyclers Ltd</t>
        </is>
      </c>
      <c r="G64" s="18" t="inlineStr">
        <is>
          <t>services</t>
        </is>
      </c>
      <c r="H64" s="19" t="n">
        <v>810.3200000000001</v>
      </c>
    </row>
    <row r="65">
      <c r="A65" s="16" t="n">
        <v>19</v>
      </c>
      <c r="B65" s="29" t="n">
        <v>94</v>
      </c>
      <c r="C65" s="28" t="n">
        <v>42.27</v>
      </c>
      <c r="D65" s="28" t="n">
        <v>268</v>
      </c>
      <c r="E65" s="17" t="inlineStr">
        <is>
          <t>MTARTECH</t>
        </is>
      </c>
      <c r="F65" s="18" t="inlineStr">
        <is>
          <t>MTAR Technologies Ltd</t>
        </is>
      </c>
      <c r="G65" s="18" t="inlineStr">
        <is>
          <t>aerospace &amp; defence</t>
        </is>
      </c>
      <c r="H65" s="19" t="n">
        <v>21202.59</v>
      </c>
    </row>
    <row r="66">
      <c r="A66" s="16" t="n">
        <v>20</v>
      </c>
      <c r="B66" s="29" t="n">
        <v>94</v>
      </c>
      <c r="C66" s="28" t="n">
        <v>41.96</v>
      </c>
      <c r="D66" s="28" t="n">
        <v>290</v>
      </c>
      <c r="E66" s="17" t="inlineStr">
        <is>
          <t>RPTECH</t>
        </is>
      </c>
      <c r="F66" s="18" t="inlineStr">
        <is>
          <t>Rashi Peripherals Ltd</t>
        </is>
      </c>
      <c r="G66" s="18" t="inlineStr">
        <is>
          <t>services</t>
        </is>
      </c>
      <c r="H66" s="19" t="n">
        <v>5850.57</v>
      </c>
    </row>
    <row r="67">
      <c r="A67" s="16" t="n">
        <v>21</v>
      </c>
      <c r="B67" s="29" t="n">
        <v>94</v>
      </c>
      <c r="C67" s="28" t="n">
        <v>41.61</v>
      </c>
      <c r="D67" s="28" t="n">
        <v>278</v>
      </c>
      <c r="E67" s="17" t="inlineStr">
        <is>
          <t>MODISONLTD</t>
        </is>
      </c>
      <c r="F67" s="18" t="inlineStr">
        <is>
          <t>Modison Ltd</t>
        </is>
      </c>
      <c r="G67" s="18" t="inlineStr">
        <is>
          <t>industrials</t>
        </is>
      </c>
      <c r="H67" s="19" t="n">
        <v>997.6799999999999</v>
      </c>
    </row>
    <row r="68">
      <c r="A68" s="16" t="n">
        <v>22</v>
      </c>
      <c r="B68" s="29" t="n">
        <v>93</v>
      </c>
      <c r="C68" s="28" t="n">
        <v>41.56</v>
      </c>
      <c r="D68" s="28" t="n">
        <v>283</v>
      </c>
      <c r="E68" s="17" t="inlineStr">
        <is>
          <t>CPPLUS</t>
        </is>
      </c>
      <c r="F68" s="18" t="inlineStr">
        <is>
          <t>Aditya Infotech Ltd</t>
        </is>
      </c>
      <c r="G68" s="18" t="inlineStr">
        <is>
          <t>consumer discretionary</t>
        </is>
      </c>
      <c r="H68" s="19" t="n">
        <v>44848</v>
      </c>
    </row>
    <row r="69">
      <c r="A69" s="16" t="n">
        <v>23</v>
      </c>
      <c r="B69" s="29" t="n">
        <v>93</v>
      </c>
      <c r="C69" s="28" t="n">
        <v>40.62</v>
      </c>
      <c r="D69" s="28" t="n">
        <v>305</v>
      </c>
      <c r="E69" s="17" t="inlineStr">
        <is>
          <t>SCPL</t>
        </is>
      </c>
      <c r="F69" s="18" t="inlineStr">
        <is>
          <t>Sheetal Cool Products Ltd</t>
        </is>
      </c>
      <c r="G69" s="18" t="inlineStr">
        <is>
          <t>fmcg</t>
        </is>
      </c>
      <c r="H69" s="19" t="n">
        <v>646.49</v>
      </c>
    </row>
    <row r="70">
      <c r="A70" s="16" t="n">
        <v>24</v>
      </c>
      <c r="B70" s="29" t="n">
        <v>93</v>
      </c>
      <c r="C70" s="28" t="n">
        <v>40.21</v>
      </c>
      <c r="D70" s="28" t="n">
        <v>250</v>
      </c>
      <c r="E70" s="17" t="inlineStr">
        <is>
          <t>SKYGOLD</t>
        </is>
      </c>
      <c r="F70" s="18" t="inlineStr">
        <is>
          <t>Sky Gold Ltd</t>
        </is>
      </c>
      <c r="G70" s="18" t="inlineStr">
        <is>
          <t>consumer discretionary</t>
        </is>
      </c>
      <c r="H70" s="19" t="n">
        <v>12235.81</v>
      </c>
    </row>
    <row r="71">
      <c r="A71" s="16" t="n">
        <v>25</v>
      </c>
      <c r="B71" s="29" t="n">
        <v>93</v>
      </c>
      <c r="C71" s="28" t="n">
        <v>38.83</v>
      </c>
      <c r="D71" s="28" t="n">
        <v>250</v>
      </c>
      <c r="E71" s="17" t="inlineStr">
        <is>
          <t>KAPSTON</t>
        </is>
      </c>
      <c r="F71" s="18" t="inlineStr">
        <is>
          <t>Kapston Services Ltd</t>
        </is>
      </c>
      <c r="G71" s="18" t="inlineStr">
        <is>
          <t>miscellaneous</t>
        </is>
      </c>
      <c r="H71" s="19" t="n">
        <v>1714.55</v>
      </c>
    </row>
    <row r="72">
      <c r="A72" s="16" t="n">
        <v>26</v>
      </c>
      <c r="B72" s="29" t="n">
        <v>92</v>
      </c>
      <c r="C72" s="28" t="n">
        <v>37.69</v>
      </c>
      <c r="D72" s="28" t="n">
        <v>277</v>
      </c>
      <c r="E72" s="17" t="inlineStr">
        <is>
          <t>CNL</t>
        </is>
      </c>
      <c r="F72" s="18" t="inlineStr">
        <is>
          <t>Creative Newtech Limited</t>
        </is>
      </c>
      <c r="G72" s="18" t="inlineStr">
        <is>
          <t>Technology</t>
        </is>
      </c>
      <c r="H72" s="19" t="n">
        <v>1841.04</v>
      </c>
    </row>
    <row r="73">
      <c r="A73" s="16" t="n">
        <v>27</v>
      </c>
      <c r="B73" s="29" t="n">
        <v>92</v>
      </c>
      <c r="C73" s="28" t="n">
        <v>37.4</v>
      </c>
      <c r="D73" s="28" t="n">
        <v>255</v>
      </c>
      <c r="E73" s="17" t="inlineStr">
        <is>
          <t>KABRAEXTRU</t>
        </is>
      </c>
      <c r="F73" s="18" t="inlineStr">
        <is>
          <t>Kabra Extrusion Technik Limited</t>
        </is>
      </c>
      <c r="G73" s="18" t="inlineStr">
        <is>
          <t>industrials</t>
        </is>
      </c>
      <c r="H73" s="19" t="n">
        <v>1779.07</v>
      </c>
    </row>
    <row r="74">
      <c r="A74" s="16" t="n">
        <v>28</v>
      </c>
      <c r="B74" s="29" t="n">
        <v>92</v>
      </c>
      <c r="C74" s="28" t="n">
        <v>37.19</v>
      </c>
      <c r="D74" s="28" t="n">
        <v>293</v>
      </c>
      <c r="E74" s="17" t="inlineStr">
        <is>
          <t>BIRLACABLE</t>
        </is>
      </c>
      <c r="F74" s="18" t="inlineStr">
        <is>
          <t>Birla Cable Limited</t>
        </is>
      </c>
      <c r="G74" s="18" t="inlineStr">
        <is>
          <t>industrials</t>
        </is>
      </c>
      <c r="H74" s="19" t="n">
        <v>840.78</v>
      </c>
    </row>
    <row r="75">
      <c r="A75" s="16" t="n">
        <v>29</v>
      </c>
      <c r="B75" s="29" t="n">
        <v>92</v>
      </c>
      <c r="C75" s="28" t="n">
        <v>37.02</v>
      </c>
      <c r="D75" s="28" t="n">
        <v>278</v>
      </c>
      <c r="E75" s="17" t="inlineStr">
        <is>
          <t>SPECTRUM</t>
        </is>
      </c>
      <c r="F75" s="18" t="inlineStr">
        <is>
          <t>Spectrum Electrical Industries Ltd</t>
        </is>
      </c>
      <c r="G75" s="18" t="inlineStr">
        <is>
          <t>industrials</t>
        </is>
      </c>
      <c r="H75" s="19" t="n">
        <v>3777.14</v>
      </c>
    </row>
    <row r="76">
      <c r="A76" s="16" t="n">
        <v>30</v>
      </c>
      <c r="B76" s="29" t="n">
        <v>91</v>
      </c>
      <c r="C76" s="28" t="n">
        <v>36.65</v>
      </c>
      <c r="D76" s="28" t="n">
        <v>238</v>
      </c>
      <c r="E76" s="17" t="inlineStr">
        <is>
          <t>MARINE</t>
        </is>
      </c>
      <c r="F76" s="18" t="inlineStr">
        <is>
          <t>Marine Electricals (India) Ltd</t>
        </is>
      </c>
      <c r="G76" s="18" t="inlineStr">
        <is>
          <t>industrials</t>
        </is>
      </c>
      <c r="H76" s="19" t="n">
        <v>4893.86</v>
      </c>
    </row>
    <row r="77">
      <c r="A77" s="16" t="n">
        <v>31</v>
      </c>
      <c r="B77" s="29" t="n">
        <v>91</v>
      </c>
      <c r="C77" s="28" t="n">
        <v>36.57</v>
      </c>
      <c r="D77" s="28" t="n">
        <v>250</v>
      </c>
      <c r="E77" s="17" t="inlineStr">
        <is>
          <t>COMSYN</t>
        </is>
      </c>
      <c r="F77" s="18" t="inlineStr">
        <is>
          <t>Commercial Syn Bags Ltd</t>
        </is>
      </c>
      <c r="G77" s="18" t="inlineStr">
        <is>
          <t>industrials</t>
        </is>
      </c>
      <c r="H77" s="19" t="n">
        <v>1079.28</v>
      </c>
    </row>
    <row r="78">
      <c r="A78" s="16" t="n">
        <v>32</v>
      </c>
      <c r="B78" s="29" t="n">
        <v>91</v>
      </c>
      <c r="C78" s="28" t="n">
        <v>35.6</v>
      </c>
      <c r="D78" s="28" t="n">
        <v>262</v>
      </c>
      <c r="E78" s="17" t="inlineStr">
        <is>
          <t>MOREPENLAB</t>
        </is>
      </c>
      <c r="F78" s="18" t="inlineStr">
        <is>
          <t>Morepen Laboratories Limited</t>
        </is>
      </c>
      <c r="G78" s="18" t="inlineStr">
        <is>
          <t>healthcare</t>
        </is>
      </c>
      <c r="H78" s="19" t="n">
        <v>4213.22</v>
      </c>
    </row>
    <row r="79">
      <c r="A79" s="16" t="n">
        <v>33</v>
      </c>
      <c r="B79" s="29" t="n">
        <v>91</v>
      </c>
      <c r="C79" s="28" t="n">
        <v>35.5</v>
      </c>
      <c r="D79" s="28" t="n">
        <v>253</v>
      </c>
      <c r="E79" s="17" t="inlineStr">
        <is>
          <t>KMEW</t>
        </is>
      </c>
      <c r="F79" s="18" t="inlineStr">
        <is>
          <t>Knowledge Marine &amp; Engineering Works Ltd</t>
        </is>
      </c>
      <c r="G79" s="18" t="inlineStr">
        <is>
          <t>transportation</t>
        </is>
      </c>
      <c r="H79" s="19" t="n">
        <v>6407.05</v>
      </c>
    </row>
    <row r="80">
      <c r="A80" s="16" t="n">
        <v>34</v>
      </c>
      <c r="B80" s="29" t="n">
        <v>90</v>
      </c>
      <c r="C80" s="28" t="n">
        <v>34.48</v>
      </c>
      <c r="D80" s="28" t="n">
        <v>283</v>
      </c>
      <c r="E80" s="17" t="inlineStr">
        <is>
          <t>PARAS</t>
        </is>
      </c>
      <c r="F80" s="18" t="inlineStr">
        <is>
          <t>Paras Defence and Space Technologies Ltd</t>
        </is>
      </c>
      <c r="G80" s="18" t="inlineStr">
        <is>
          <t>aerospace &amp; defence</t>
        </is>
      </c>
      <c r="H80" s="19" t="n">
        <v>10347.41</v>
      </c>
    </row>
    <row r="81">
      <c r="A81" s="16" t="n">
        <v>35</v>
      </c>
      <c r="B81" s="29" t="n">
        <v>90</v>
      </c>
      <c r="C81" s="28" t="n">
        <v>34.41</v>
      </c>
      <c r="D81" s="28" t="n">
        <v>270</v>
      </c>
      <c r="E81" s="17" t="inlineStr">
        <is>
          <t>CYIENTDLM</t>
        </is>
      </c>
      <c r="F81" s="18" t="inlineStr">
        <is>
          <t>Cyient DLM Ltd</t>
        </is>
      </c>
      <c r="G81" s="18" t="inlineStr">
        <is>
          <t>consumer discretionary</t>
        </is>
      </c>
      <c r="H81" s="19" t="n">
        <v>5628.28</v>
      </c>
    </row>
    <row r="82">
      <c r="A82" s="16" t="n">
        <v>36</v>
      </c>
      <c r="B82" s="29" t="n">
        <v>90</v>
      </c>
      <c r="C82" s="28" t="n">
        <v>34.37</v>
      </c>
      <c r="D82" s="28" t="n">
        <v>298</v>
      </c>
      <c r="E82" s="17" t="inlineStr">
        <is>
          <t>VINDHYATEL</t>
        </is>
      </c>
      <c r="F82" s="18" t="inlineStr">
        <is>
          <t>Vindhya Telelinks Limited</t>
        </is>
      </c>
      <c r="G82" s="18" t="inlineStr">
        <is>
          <t>realty</t>
        </is>
      </c>
      <c r="H82" s="19" t="n">
        <v>2878.57</v>
      </c>
    </row>
    <row r="8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OMAXE</t>
        </is>
      </c>
      <c r="B2" s="31" t="inlineStr">
        <is>
          <t>Omaxe Limited</t>
        </is>
      </c>
      <c r="C2" s="31" t="inlineStr">
        <is>
          <t>realty</t>
        </is>
      </c>
      <c r="D2" s="31" t="inlineStr">
        <is>
          <t>construction</t>
        </is>
      </c>
      <c r="E2" s="31" t="inlineStr">
        <is>
          <t>smallcap</t>
        </is>
      </c>
      <c r="F2" s="31" t="n">
        <v>1518.62</v>
      </c>
      <c r="G2" s="31" t="n">
        <v>98.37</v>
      </c>
      <c r="H2" s="31" t="n">
        <v>19.99</v>
      </c>
      <c r="I2" s="31" t="n">
        <v>19398685</v>
      </c>
      <c r="J2" s="31" t="inlineStr">
        <is>
          <t>532880</t>
        </is>
      </c>
    </row>
    <row r="3">
      <c r="A3" s="31" t="inlineStr">
        <is>
          <t>MUNJALAU</t>
        </is>
      </c>
      <c r="B3" s="31" t="inlineStr">
        <is>
          <t>Munjal Auto Industries Limited</t>
        </is>
      </c>
      <c r="C3" s="31" t="inlineStr">
        <is>
          <t>auto</t>
        </is>
      </c>
      <c r="D3" s="31" t="inlineStr">
        <is>
          <t>auto ancillaries</t>
        </is>
      </c>
      <c r="E3" s="31" t="inlineStr">
        <is>
          <t>smallcap</t>
        </is>
      </c>
      <c r="F3" s="31" t="n">
        <v>1020.2</v>
      </c>
      <c r="G3" s="31" t="n">
        <v>119.37</v>
      </c>
      <c r="H3" s="31" t="n">
        <v>19.57</v>
      </c>
      <c r="I3" s="31" t="n">
        <v>41518431</v>
      </c>
      <c r="J3" s="31" t="inlineStr">
        <is>
          <t>520059</t>
        </is>
      </c>
    </row>
    <row r="4">
      <c r="A4" s="31" t="inlineStr">
        <is>
          <t>SURAKSHA</t>
        </is>
      </c>
      <c r="B4" s="31" t="inlineStr">
        <is>
          <t>Suraksha Diagnostic Ltd</t>
        </is>
      </c>
      <c r="C4" s="31" t="inlineStr">
        <is>
          <t>healthcare</t>
        </is>
      </c>
      <c r="D4" s="31" t="inlineStr">
        <is>
          <t>healthcare</t>
        </is>
      </c>
      <c r="E4" s="31" t="inlineStr">
        <is>
          <t>smallcap</t>
        </is>
      </c>
      <c r="F4" s="31" t="n">
        <v>1344.99</v>
      </c>
      <c r="G4" s="31" t="n">
        <v>304.45</v>
      </c>
      <c r="H4" s="31" t="n">
        <v>12.61</v>
      </c>
      <c r="I4" s="31" t="n">
        <v>3887175</v>
      </c>
      <c r="J4" s="31" t="inlineStr">
        <is>
          <t>544293</t>
        </is>
      </c>
    </row>
    <row r="5">
      <c r="A5" s="31" t="inlineStr">
        <is>
          <t>KANPRPLA</t>
        </is>
      </c>
      <c r="B5" s="31" t="inlineStr">
        <is>
          <t>Kanpur Plastipack Ltd</t>
        </is>
      </c>
      <c r="C5" s="31" t="inlineStr">
        <is>
          <t>industrials</t>
        </is>
      </c>
      <c r="D5" s="31" t="inlineStr">
        <is>
          <t>packaging</t>
        </is>
      </c>
      <c r="E5" s="31" t="inlineStr">
        <is>
          <t>smallcap</t>
        </is>
      </c>
      <c r="F5" s="31" t="n">
        <v>528.55</v>
      </c>
      <c r="G5" s="31" t="n">
        <v>260.38</v>
      </c>
      <c r="H5" s="31" t="n">
        <v>12.02</v>
      </c>
      <c r="I5" s="31" t="n">
        <v>918762</v>
      </c>
      <c r="J5" s="31" t="inlineStr">
        <is>
          <t>507779</t>
        </is>
      </c>
    </row>
    <row r="6">
      <c r="A6" s="31" t="inlineStr">
        <is>
          <t>PRECWIRE</t>
        </is>
      </c>
      <c r="B6" s="31" t="inlineStr">
        <is>
          <t>Precision Wires India Limited</t>
        </is>
      </c>
      <c r="C6" s="31" t="inlineStr">
        <is>
          <t>metals &amp; mining</t>
        </is>
      </c>
      <c r="D6" s="31" t="inlineStr">
        <is>
          <t>mining / minerals / metals</t>
        </is>
      </c>
      <c r="E6" s="31" t="inlineStr">
        <is>
          <t>midcap</t>
        </is>
      </c>
      <c r="F6" s="31" t="n">
        <v>7571.91</v>
      </c>
      <c r="G6" s="31" t="n">
        <v>468.65</v>
      </c>
      <c r="H6" s="31" t="n">
        <v>10.98</v>
      </c>
      <c r="I6" s="31" t="n">
        <v>6856446</v>
      </c>
      <c r="J6" s="31" t="inlineStr">
        <is>
          <t>523539</t>
        </is>
      </c>
    </row>
    <row r="7">
      <c r="A7" s="31" t="inlineStr">
        <is>
          <t>MOREPENLAB</t>
        </is>
      </c>
      <c r="B7" s="31" t="inlineStr">
        <is>
          <t>Morepen Laboratories Limited</t>
        </is>
      </c>
      <c r="C7" s="31" t="inlineStr">
        <is>
          <t>healthcare</t>
        </is>
      </c>
      <c r="D7" s="31" t="inlineStr">
        <is>
          <t>pharmaceuticals - indian - bulk drugs &amp; formln</t>
        </is>
      </c>
      <c r="E7" s="31" t="inlineStr">
        <is>
          <t>smallcap</t>
        </is>
      </c>
      <c r="F7" s="31" t="n">
        <v>4213.22</v>
      </c>
      <c r="G7" s="31" t="n">
        <v>80.89</v>
      </c>
      <c r="H7" s="31" t="n">
        <v>10.11</v>
      </c>
      <c r="I7" s="31" t="n">
        <v>51803828</v>
      </c>
      <c r="J7" s="31" t="inlineStr">
        <is>
          <t>500288</t>
        </is>
      </c>
    </row>
    <row r="8">
      <c r="A8" s="31" t="inlineStr">
        <is>
          <t>SALSTEEL</t>
        </is>
      </c>
      <c r="B8" s="31" t="inlineStr">
        <is>
          <t>SAL Steel</t>
        </is>
      </c>
      <c r="C8" s="31" t="inlineStr">
        <is>
          <t>metals &amp; mining</t>
        </is>
      </c>
      <c r="D8" s="31" t="inlineStr">
        <is>
          <t>steel - sponge iron</t>
        </is>
      </c>
      <c r="E8" s="31" t="inlineStr">
        <is>
          <t>smallcap</t>
        </is>
      </c>
      <c r="F8" s="31" t="n">
        <v>852.53</v>
      </c>
      <c r="G8" s="31" t="n">
        <v>69.34999999999999</v>
      </c>
      <c r="H8" s="31" t="n">
        <v>9.99</v>
      </c>
      <c r="I8" s="31" t="n">
        <v>1402916</v>
      </c>
      <c r="J8" s="31" t="inlineStr">
        <is>
          <t>532604</t>
        </is>
      </c>
    </row>
    <row r="9">
      <c r="A9" s="31" t="inlineStr">
        <is>
          <t>MIDHANI</t>
        </is>
      </c>
      <c r="B9" s="31" t="inlineStr">
        <is>
          <t>Mishra Dhatu Nigam Ltd</t>
        </is>
      </c>
      <c r="C9" s="31" t="inlineStr">
        <is>
          <t>aerospace &amp; defence</t>
        </is>
      </c>
      <c r="D9" s="31" t="inlineStr">
        <is>
          <t>steel - medium / small</t>
        </is>
      </c>
      <c r="E9" s="31" t="inlineStr">
        <is>
          <t>midcap</t>
        </is>
      </c>
      <c r="F9" s="31" t="n">
        <v>8013.47</v>
      </c>
      <c r="G9" s="31" t="n">
        <v>444.85</v>
      </c>
      <c r="H9" s="31" t="n">
        <v>8.91</v>
      </c>
      <c r="I9" s="31" t="n">
        <v>16215062</v>
      </c>
      <c r="J9" s="31" t="inlineStr">
        <is>
          <t>541195</t>
        </is>
      </c>
    </row>
    <row r="10">
      <c r="A10" s="31" t="inlineStr">
        <is>
          <t>ASTRAL</t>
        </is>
      </c>
      <c r="B10" s="31" t="inlineStr">
        <is>
          <t>Astral Ltd</t>
        </is>
      </c>
      <c r="C10" s="31" t="inlineStr">
        <is>
          <t>plastic products</t>
        </is>
      </c>
      <c r="D10" s="31" t="inlineStr">
        <is>
          <t>plastics products</t>
        </is>
      </c>
      <c r="E10" s="31" t="inlineStr">
        <is>
          <t>largecap</t>
        </is>
      </c>
      <c r="F10" s="31" t="n">
        <v>38279.96</v>
      </c>
      <c r="G10" s="31" t="n">
        <v>1592</v>
      </c>
      <c r="H10" s="31" t="n">
        <v>8.74</v>
      </c>
      <c r="I10" s="31" t="n">
        <v>24714367</v>
      </c>
      <c r="J10" s="31" t="inlineStr">
        <is>
          <t>532830</t>
        </is>
      </c>
    </row>
    <row r="11">
      <c r="A11" s="31" t="inlineStr">
        <is>
          <t>GANESHHOU</t>
        </is>
      </c>
      <c r="B11" s="31" t="inlineStr">
        <is>
          <t>Ganesh Housing Ltd</t>
        </is>
      </c>
      <c r="C11" s="31" t="inlineStr">
        <is>
          <t>realty</t>
        </is>
      </c>
      <c r="D11" s="31" t="inlineStr">
        <is>
          <t>construction</t>
        </is>
      </c>
      <c r="E11" s="31" t="inlineStr">
        <is>
          <t>midcap</t>
        </is>
      </c>
      <c r="F11" s="31" t="n">
        <v>6370.36</v>
      </c>
      <c r="G11" s="31" t="n">
        <v>832</v>
      </c>
      <c r="H11" s="31" t="n">
        <v>8.69</v>
      </c>
      <c r="I11" s="31" t="n">
        <v>223000</v>
      </c>
      <c r="J11" s="31" t="inlineStr">
        <is>
          <t>526367</t>
        </is>
      </c>
    </row>
    <row r="12">
      <c r="A12" s="31" t="inlineStr">
        <is>
          <t>SOLARINDS</t>
        </is>
      </c>
      <c r="B12" s="31" t="inlineStr">
        <is>
          <t>Solar Industries India Limited</t>
        </is>
      </c>
      <c r="C12" s="31" t="inlineStr">
        <is>
          <t>aerospace &amp; defence</t>
        </is>
      </c>
      <c r="D12" s="31" t="inlineStr">
        <is>
          <t>chemicals</t>
        </is>
      </c>
      <c r="E12" s="31" t="inlineStr">
        <is>
          <t>largecap</t>
        </is>
      </c>
      <c r="F12" s="31" t="n">
        <v>169849.83</v>
      </c>
      <c r="G12" s="31" t="n">
        <v>20324</v>
      </c>
      <c r="H12" s="31" t="n">
        <v>8.51</v>
      </c>
      <c r="I12" s="31" t="n">
        <v>1403916</v>
      </c>
      <c r="J12" s="31" t="inlineStr">
        <is>
          <t>532725</t>
        </is>
      </c>
    </row>
    <row r="13">
      <c r="A13" s="31" t="inlineStr">
        <is>
          <t>RPEL</t>
        </is>
      </c>
      <c r="B13" s="31" t="inlineStr">
        <is>
          <t>Raghav Productivity Enhancers Ltd</t>
        </is>
      </c>
      <c r="C13" s="31" t="inlineStr">
        <is>
          <t>building materials</t>
        </is>
      </c>
      <c r="D13" s="31" t="inlineStr">
        <is>
          <t>refractories / intermediates</t>
        </is>
      </c>
      <c r="E13" s="31" t="inlineStr">
        <is>
          <t>midcap</t>
        </is>
      </c>
      <c r="F13" s="31" t="n">
        <v>5978.58</v>
      </c>
      <c r="G13" s="31" t="n">
        <v>1396</v>
      </c>
      <c r="H13" s="31" t="n">
        <v>8.279999999999999</v>
      </c>
      <c r="I13" s="31" t="n">
        <v>262554</v>
      </c>
      <c r="J13" s="31" t="inlineStr">
        <is>
          <t>539837</t>
        </is>
      </c>
    </row>
    <row r="14">
      <c r="A14" s="31" t="inlineStr">
        <is>
          <t>MUKKA</t>
        </is>
      </c>
      <c r="B14" s="31" t="inlineStr">
        <is>
          <t>Mukka Proteins Ltd</t>
        </is>
      </c>
      <c r="C14" s="31" t="inlineStr">
        <is>
          <t>fmcg</t>
        </is>
      </c>
      <c r="D14" s="31" t="inlineStr">
        <is>
          <t>food - processing - indian</t>
        </is>
      </c>
      <c r="E14" s="31" t="inlineStr">
        <is>
          <t>smallcap</t>
        </is>
      </c>
      <c r="F14" s="31" t="n">
        <v>713.4</v>
      </c>
      <c r="G14" s="31" t="n">
        <v>26.16</v>
      </c>
      <c r="H14" s="31" t="n">
        <v>8.19</v>
      </c>
      <c r="I14" s="31" t="n">
        <v>5342396</v>
      </c>
      <c r="J14" s="31" t="inlineStr">
        <is>
          <t>544135</t>
        </is>
      </c>
    </row>
    <row r="15">
      <c r="A15" s="31" t="inlineStr">
        <is>
          <t>NELCO</t>
        </is>
      </c>
      <c r="B15" s="31" t="inlineStr">
        <is>
          <t>Nelco Limited</t>
        </is>
      </c>
      <c r="C15" s="31" t="inlineStr">
        <is>
          <t>telecom</t>
        </is>
      </c>
      <c r="D15" s="31" t="inlineStr">
        <is>
          <t>telecommunications - service provider</t>
        </is>
      </c>
      <c r="E15" s="31" t="inlineStr">
        <is>
          <t>smallcap</t>
        </is>
      </c>
      <c r="F15" s="31" t="n">
        <v>2270.66</v>
      </c>
      <c r="G15" s="31" t="n">
        <v>1047.5</v>
      </c>
      <c r="H15" s="31" t="n">
        <v>7.54</v>
      </c>
      <c r="I15" s="31" t="n">
        <v>1199433</v>
      </c>
      <c r="J15" s="31" t="inlineStr">
        <is>
          <t>504112</t>
        </is>
      </c>
    </row>
    <row r="16">
      <c r="A16" s="31" t="inlineStr">
        <is>
          <t>AZAD</t>
        </is>
      </c>
      <c r="B16" s="31" t="inlineStr">
        <is>
          <t>Azad Engineering Ltd</t>
        </is>
      </c>
      <c r="C16" s="31" t="inlineStr">
        <is>
          <t>aerospace &amp; defence</t>
        </is>
      </c>
      <c r="D16" s="31" t="inlineStr">
        <is>
          <t>engineering</t>
        </is>
      </c>
      <c r="E16" s="31" t="inlineStr">
        <is>
          <t>midcap</t>
        </is>
      </c>
      <c r="F16" s="31" t="n">
        <v>15965.25</v>
      </c>
      <c r="G16" s="31" t="n">
        <v>2665.1</v>
      </c>
      <c r="H16" s="31" t="n">
        <v>7.49</v>
      </c>
      <c r="I16" s="31" t="n">
        <v>1826213</v>
      </c>
      <c r="J16" s="31" t="inlineStr">
        <is>
          <t>544061</t>
        </is>
      </c>
    </row>
    <row r="17">
      <c r="A17" s="31" t="inlineStr">
        <is>
          <t>STEELCAS</t>
        </is>
      </c>
      <c r="B17" s="31" t="inlineStr">
        <is>
          <t>Steelcast Ltd</t>
        </is>
      </c>
      <c r="C17" s="31" t="inlineStr">
        <is>
          <t>industrials</t>
        </is>
      </c>
      <c r="D17" s="31" t="inlineStr">
        <is>
          <t>castings &amp; forgings</t>
        </is>
      </c>
      <c r="E17" s="31" t="inlineStr">
        <is>
          <t>smallcap</t>
        </is>
      </c>
      <c r="F17" s="31" t="n">
        <v>3323.41</v>
      </c>
      <c r="G17" s="31" t="n">
        <v>354.15</v>
      </c>
      <c r="H17" s="31" t="n">
        <v>7.4</v>
      </c>
      <c r="I17" s="31" t="n">
        <v>680360</v>
      </c>
      <c r="J17" s="31" t="inlineStr">
        <is>
          <t>513517</t>
        </is>
      </c>
    </row>
    <row r="18">
      <c r="A18" s="31" t="inlineStr">
        <is>
          <t>VADILALIND</t>
        </is>
      </c>
      <c r="B18" s="31" t="inlineStr">
        <is>
          <t>Vadilal Industries Limited</t>
        </is>
      </c>
      <c r="C18" s="31" t="inlineStr">
        <is>
          <t>fmcg</t>
        </is>
      </c>
      <c r="D18" s="31" t="inlineStr">
        <is>
          <t>food - processing - indian</t>
        </is>
      </c>
      <c r="E18" s="31" t="inlineStr">
        <is>
          <t>midcap</t>
        </is>
      </c>
      <c r="F18" s="31" t="n">
        <v>5290.96</v>
      </c>
      <c r="G18" s="31" t="n">
        <v>7781</v>
      </c>
      <c r="H18" s="31" t="n">
        <v>7.38</v>
      </c>
      <c r="I18" s="31" t="n">
        <v>356736</v>
      </c>
      <c r="J18" s="31" t="inlineStr">
        <is>
          <t>519156</t>
        </is>
      </c>
    </row>
    <row r="19">
      <c r="A19" s="31" t="inlineStr">
        <is>
          <t>PVP</t>
        </is>
      </c>
      <c r="B19" s="31" t="inlineStr">
        <is>
          <t>Pvp Ventures Limited</t>
        </is>
      </c>
      <c r="C19" s="31" t="inlineStr">
        <is>
          <t>realty</t>
        </is>
      </c>
      <c r="D19" s="31" t="inlineStr">
        <is>
          <t>construction</t>
        </is>
      </c>
      <c r="E19" s="31" t="inlineStr">
        <is>
          <t>smallcap</t>
        </is>
      </c>
      <c r="F19" s="31" t="n">
        <v>897.35</v>
      </c>
      <c r="G19" s="31" t="n">
        <v>36.67</v>
      </c>
      <c r="H19" s="31" t="n">
        <v>7.38</v>
      </c>
      <c r="I19" s="31" t="n">
        <v>2684334</v>
      </c>
      <c r="J19" s="31" t="inlineStr">
        <is>
          <t>517556</t>
        </is>
      </c>
    </row>
    <row r="20">
      <c r="A20" s="31" t="inlineStr">
        <is>
          <t>RPGLIFE</t>
        </is>
      </c>
      <c r="B20" s="31" t="inlineStr">
        <is>
          <t>Rpg Life Sciences Limited</t>
        </is>
      </c>
      <c r="C20" s="31" t="inlineStr">
        <is>
          <t>healthcare</t>
        </is>
      </c>
      <c r="D20" s="31" t="inlineStr">
        <is>
          <t>pharmaceuticals - indian - bulk drugs &amp; formln</t>
        </is>
      </c>
      <c r="E20" s="31" t="inlineStr">
        <is>
          <t>smallcap</t>
        </is>
      </c>
      <c r="F20" s="31" t="n">
        <v>4355.38</v>
      </c>
      <c r="G20" s="31" t="n">
        <v>2805</v>
      </c>
      <c r="H20" s="31" t="n">
        <v>7.36</v>
      </c>
      <c r="I20" s="31" t="n">
        <v>79875</v>
      </c>
      <c r="J20" s="31" t="inlineStr">
        <is>
          <t>532983</t>
        </is>
      </c>
    </row>
    <row r="21">
      <c r="A21" s="31" t="inlineStr">
        <is>
          <t>INGERRAND</t>
        </is>
      </c>
      <c r="B21" s="31" t="inlineStr">
        <is>
          <t>Ingersoll Rand (india) Limited</t>
        </is>
      </c>
      <c r="C21" s="31" t="inlineStr">
        <is>
          <t>industrials</t>
        </is>
      </c>
      <c r="D21" s="31" t="inlineStr">
        <is>
          <t>compressors / drilling equipment</t>
        </is>
      </c>
      <c r="E21" s="31" t="inlineStr">
        <is>
          <t>midcap</t>
        </is>
      </c>
      <c r="F21" s="31" t="n">
        <v>13603.91</v>
      </c>
      <c r="G21" s="31" t="n">
        <v>4606.4</v>
      </c>
      <c r="H21" s="31" t="n">
        <v>7.32</v>
      </c>
      <c r="I21" s="31" t="n">
        <v>163508</v>
      </c>
      <c r="J21" s="31" t="inlineStr">
        <is>
          <t>500210</t>
        </is>
      </c>
    </row>
    <row r="22">
      <c r="A22" s="31" t="inlineStr">
        <is>
          <t>NETWEB</t>
        </is>
      </c>
      <c r="B22" s="31" t="inlineStr">
        <is>
          <t>Netweb Technologies India Ltd</t>
        </is>
      </c>
      <c r="C22" s="31" t="inlineStr">
        <is>
          <t>i.t</t>
        </is>
      </c>
      <c r="D22" s="31" t="inlineStr">
        <is>
          <t>computers - hardware</t>
        </is>
      </c>
      <c r="E22" s="31" t="inlineStr">
        <is>
          <t>largecap</t>
        </is>
      </c>
      <c r="F22" s="31" t="n">
        <v>27672.04</v>
      </c>
      <c r="G22" s="31" t="n">
        <v>5181</v>
      </c>
      <c r="H22" s="31" t="n">
        <v>7.1</v>
      </c>
      <c r="I22" s="31" t="n">
        <v>3457670</v>
      </c>
      <c r="J22" s="31" t="inlineStr">
        <is>
          <t>543945</t>
        </is>
      </c>
    </row>
    <row r="23">
      <c r="A23" s="31" t="inlineStr">
        <is>
          <t>MARINE</t>
        </is>
      </c>
      <c r="B23" s="31" t="inlineStr">
        <is>
          <t>Marine Electricals (India) Ltd</t>
        </is>
      </c>
      <c r="C23" s="31" t="inlineStr">
        <is>
          <t>industrials</t>
        </is>
      </c>
      <c r="D23" s="31" t="inlineStr">
        <is>
          <t>electric equipment</t>
        </is>
      </c>
      <c r="E23" s="31" t="inlineStr">
        <is>
          <t>smallcap</t>
        </is>
      </c>
      <c r="F23" s="31" t="n">
        <v>4893.86</v>
      </c>
      <c r="G23" s="31" t="n">
        <v>371.2</v>
      </c>
      <c r="H23" s="31" t="n">
        <v>6.97</v>
      </c>
      <c r="I23" s="31" t="n">
        <v>1561386</v>
      </c>
      <c r="J23" s="31" t="inlineStr">
        <is>
          <t>535119</t>
        </is>
      </c>
    </row>
    <row r="24">
      <c r="A24" s="31" t="inlineStr">
        <is>
          <t>SARDAEN</t>
        </is>
      </c>
      <c r="B24" s="31" t="inlineStr">
        <is>
          <t>Sarda Energy &amp; Minerals Limited</t>
        </is>
      </c>
      <c r="C24" s="31" t="inlineStr">
        <is>
          <t>metals &amp; mining</t>
        </is>
      </c>
      <c r="D24" s="31" t="inlineStr">
        <is>
          <t>steel - medium / small</t>
        </is>
      </c>
      <c r="E24" s="31" t="inlineStr">
        <is>
          <t>midcap</t>
        </is>
      </c>
      <c r="F24" s="31" t="n">
        <v>17472.83</v>
      </c>
      <c r="G24" s="31" t="n">
        <v>523.3</v>
      </c>
      <c r="H24" s="31" t="n">
        <v>6.92</v>
      </c>
      <c r="I24" s="31" t="n">
        <v>23546092</v>
      </c>
      <c r="J24" s="31" t="inlineStr">
        <is>
          <t>504614</t>
        </is>
      </c>
    </row>
    <row r="25">
      <c r="A25" s="31" t="inlineStr">
        <is>
          <t>LMW</t>
        </is>
      </c>
      <c r="B25" s="31" t="inlineStr">
        <is>
          <t>LMW Ltd</t>
        </is>
      </c>
      <c r="C25" s="31" t="inlineStr">
        <is>
          <t>industrials</t>
        </is>
      </c>
      <c r="D25" s="31" t="inlineStr">
        <is>
          <t>textile machinery</t>
        </is>
      </c>
      <c r="E25" s="31" t="inlineStr">
        <is>
          <t>midcap</t>
        </is>
      </c>
      <c r="F25" s="31" t="n">
        <v>18506.16</v>
      </c>
      <c r="G25" s="31" t="n">
        <v>18747</v>
      </c>
      <c r="H25" s="31" t="n">
        <v>6.82</v>
      </c>
      <c r="I25" s="31" t="n">
        <v>33295</v>
      </c>
      <c r="J25" s="31" t="inlineStr">
        <is>
          <t>500252</t>
        </is>
      </c>
    </row>
    <row r="26">
      <c r="A26" s="31" t="inlineStr">
        <is>
          <t>WINDLAS</t>
        </is>
      </c>
      <c r="B26" s="31" t="inlineStr">
        <is>
          <t>Windlas Biotech Ltd</t>
        </is>
      </c>
      <c r="C26" s="31" t="inlineStr">
        <is>
          <t>healthcare</t>
        </is>
      </c>
      <c r="D26" s="31" t="inlineStr">
        <is>
          <t>pharmaceuticals - indian - formulations</t>
        </is>
      </c>
      <c r="E26" s="31" t="inlineStr">
        <is>
          <t>smallcap</t>
        </is>
      </c>
      <c r="F26" s="31" t="n">
        <v>1946.2</v>
      </c>
      <c r="G26" s="31" t="n">
        <v>949.5</v>
      </c>
      <c r="H26" s="31" t="n">
        <v>6.13</v>
      </c>
      <c r="I26" s="31" t="n">
        <v>278835</v>
      </c>
      <c r="J26" s="31" t="inlineStr">
        <is>
          <t>543329</t>
        </is>
      </c>
    </row>
    <row r="27">
      <c r="A27" s="31" t="inlineStr">
        <is>
          <t>MUNJALSHOW</t>
        </is>
      </c>
      <c r="B27" s="31" t="inlineStr">
        <is>
          <t>Munjal Showa Limited</t>
        </is>
      </c>
      <c r="C27" s="31" t="inlineStr">
        <is>
          <t>auto</t>
        </is>
      </c>
      <c r="D27" s="31" t="inlineStr">
        <is>
          <t>auto ancillaries</t>
        </is>
      </c>
      <c r="E27" s="31" t="inlineStr">
        <is>
          <t>smallcap</t>
        </is>
      </c>
      <c r="F27" s="31" t="n">
        <v>539.53</v>
      </c>
      <c r="G27" s="31" t="n">
        <v>140.08</v>
      </c>
      <c r="H27" s="31" t="n">
        <v>5.81</v>
      </c>
      <c r="I27" s="31" t="n">
        <v>465863</v>
      </c>
      <c r="J27" s="31" t="inlineStr">
        <is>
          <t>520043</t>
        </is>
      </c>
    </row>
    <row r="28">
      <c r="A28" s="31" t="inlineStr">
        <is>
          <t>UGARSUGAR</t>
        </is>
      </c>
      <c r="B28" s="31" t="inlineStr">
        <is>
          <t>The Ugar Sugar Works Limited</t>
        </is>
      </c>
      <c r="C28" s="31" t="inlineStr">
        <is>
          <t>fmcg</t>
        </is>
      </c>
      <c r="D28" s="31" t="inlineStr">
        <is>
          <t>sugar</t>
        </is>
      </c>
      <c r="E28" s="31" t="inlineStr">
        <is>
          <t>smallcap</t>
        </is>
      </c>
      <c r="F28" s="31" t="n">
        <v>511.99</v>
      </c>
      <c r="G28" s="31" t="n">
        <v>46.46</v>
      </c>
      <c r="H28" s="31" t="n">
        <v>5.23</v>
      </c>
      <c r="I28" s="31" t="n">
        <v>850453</v>
      </c>
      <c r="J28" s="31" t="inlineStr">
        <is>
          <t>530363</t>
        </is>
      </c>
    </row>
    <row r="29">
      <c r="A29" s="31" t="inlineStr">
        <is>
          <t>CYIENTDLM</t>
        </is>
      </c>
      <c r="B29" s="31" t="inlineStr">
        <is>
          <t>Cyient DLM Ltd</t>
        </is>
      </c>
      <c r="C29" s="31" t="inlineStr">
        <is>
          <t>consumer discretionary</t>
        </is>
      </c>
      <c r="D29" s="31" t="inlineStr">
        <is>
          <t>electronics - components</t>
        </is>
      </c>
      <c r="E29" s="31" t="inlineStr">
        <is>
          <t>midcap</t>
        </is>
      </c>
      <c r="F29" s="31" t="n">
        <v>5628.28</v>
      </c>
      <c r="G29" s="31" t="n">
        <v>725</v>
      </c>
      <c r="H29" s="31" t="n">
        <v>5.23</v>
      </c>
      <c r="I29" s="31" t="n">
        <v>1350071</v>
      </c>
      <c r="J29" s="31" t="inlineStr">
        <is>
          <t>543933</t>
        </is>
      </c>
    </row>
    <row r="30">
      <c r="A30" s="31" t="inlineStr">
        <is>
          <t>EDELWEISS</t>
        </is>
      </c>
      <c r="B30" s="31" t="inlineStr">
        <is>
          <t>Edelweiss Financial Services Limited</t>
        </is>
      </c>
      <c r="C30" s="31" t="inlineStr">
        <is>
          <t>financials</t>
        </is>
      </c>
      <c r="D30" s="31" t="inlineStr">
        <is>
          <t>finance &amp; investments</t>
        </is>
      </c>
      <c r="E30" s="31" t="inlineStr">
        <is>
          <t>midcap</t>
        </is>
      </c>
      <c r="F30" s="31" t="n">
        <v>11271.3</v>
      </c>
      <c r="G30" s="31" t="n">
        <v>124.88</v>
      </c>
      <c r="H30" s="31" t="n">
        <v>5.03</v>
      </c>
      <c r="I30" s="31" t="n">
        <v>10071054</v>
      </c>
      <c r="J30" s="31" t="inlineStr">
        <is>
          <t>532922</t>
        </is>
      </c>
    </row>
    <row r="31">
      <c r="A31" s="31" t="inlineStr">
        <is>
          <t>VENUSREM</t>
        </is>
      </c>
      <c r="B31" s="31" t="inlineStr">
        <is>
          <t>Venus Remedies Limited</t>
        </is>
      </c>
      <c r="C31" s="31" t="inlineStr">
        <is>
          <t>healthcare</t>
        </is>
      </c>
      <c r="D31" s="31" t="inlineStr">
        <is>
          <t>pharmaceuticals - indian - formulations</t>
        </is>
      </c>
      <c r="E31" s="31" t="inlineStr">
        <is>
          <t>smallcap</t>
        </is>
      </c>
      <c r="F31" s="31" t="n">
        <v>2096.88</v>
      </c>
      <c r="G31" s="31" t="n">
        <v>1729.3</v>
      </c>
      <c r="H31" s="31" t="n">
        <v>5</v>
      </c>
      <c r="I31" s="31" t="n">
        <v>72791</v>
      </c>
      <c r="J31" s="31" t="inlineStr">
        <is>
          <t>526953</t>
        </is>
      </c>
    </row>
    <row r="32">
      <c r="A32" s="31" t="inlineStr">
        <is>
          <t>SICALLOG</t>
        </is>
      </c>
      <c r="B32" s="31" t="inlineStr">
        <is>
          <t>Sical Logistics Ltd</t>
        </is>
      </c>
      <c r="C32" s="31" t="inlineStr">
        <is>
          <t>transportation</t>
        </is>
      </c>
      <c r="D32" s="31" t="inlineStr">
        <is>
          <t>miscellaneous</t>
        </is>
      </c>
      <c r="E32" s="31" t="inlineStr">
        <is>
          <t>smallcap</t>
        </is>
      </c>
      <c r="F32" s="31" t="n">
        <v>855.05</v>
      </c>
      <c r="G32" s="31" t="n">
        <v>117.4</v>
      </c>
      <c r="H32" s="31" t="n">
        <v>5</v>
      </c>
      <c r="I32" s="31" t="n">
        <v>94379</v>
      </c>
      <c r="J32" s="31" t="inlineStr">
        <is>
          <t>520086</t>
        </is>
      </c>
    </row>
    <row r="33">
      <c r="A33" s="31" t="inlineStr">
        <is>
          <t>VALIANTORG</t>
        </is>
      </c>
      <c r="B33" s="31" t="inlineStr">
        <is>
          <t>Valiant Organics Ltd</t>
        </is>
      </c>
      <c r="C33" s="31" t="inlineStr">
        <is>
          <t>chemicals</t>
        </is>
      </c>
      <c r="D33" s="31" t="inlineStr">
        <is>
          <t>chemicals</t>
        </is>
      </c>
      <c r="E33" s="31" t="inlineStr">
        <is>
          <t>smallcap</t>
        </is>
      </c>
      <c r="F33" s="31" t="n">
        <v>868.65</v>
      </c>
      <c r="G33" s="31" t="n">
        <v>341.55</v>
      </c>
      <c r="H33" s="31" t="n">
        <v>5</v>
      </c>
      <c r="I33" s="31" t="n">
        <v>98755</v>
      </c>
      <c r="J33" s="31" t="inlineStr">
        <is>
          <t>540145</t>
        </is>
      </c>
    </row>
    <row r="34">
      <c r="A34" s="31" t="inlineStr">
        <is>
          <t>UNIVASTU</t>
        </is>
      </c>
      <c r="B34" s="31" t="inlineStr">
        <is>
          <t>Univastu India Ltd</t>
        </is>
      </c>
      <c r="C34" s="31" t="inlineStr">
        <is>
          <t>realty</t>
        </is>
      </c>
      <c r="D34" s="31" t="inlineStr">
        <is>
          <t>construction</t>
        </is>
      </c>
      <c r="E34" s="31" t="inlineStr">
        <is>
          <t>smallcap</t>
        </is>
      </c>
      <c r="F34" s="31" t="n">
        <v>524.6</v>
      </c>
      <c r="G34" s="31" t="n">
        <v>153.04</v>
      </c>
      <c r="H34" s="31" t="n">
        <v>4.99</v>
      </c>
      <c r="I34" s="31" t="n">
        <v>167225</v>
      </c>
      <c r="J34" s="31" t="inlineStr">
        <is>
          <t>538442</t>
        </is>
      </c>
    </row>
    <row r="35">
      <c r="A35" s="31" t="inlineStr">
        <is>
          <t>KRN</t>
        </is>
      </c>
      <c r="B35" s="31" t="inlineStr">
        <is>
          <t>KRN Heat Exchanger and Refrigeration Ltd</t>
        </is>
      </c>
      <c r="C35" s="31" t="inlineStr">
        <is>
          <t>industrials</t>
        </is>
      </c>
      <c r="D35" s="31" t="inlineStr">
        <is>
          <t>engineering</t>
        </is>
      </c>
      <c r="E35" s="31" t="inlineStr">
        <is>
          <t>midcap</t>
        </is>
      </c>
      <c r="F35" s="31" t="n">
        <v>8429.09</v>
      </c>
      <c r="G35" s="31" t="n">
        <v>1398.4</v>
      </c>
      <c r="H35" s="31" t="n">
        <v>4.99</v>
      </c>
      <c r="I35" s="31" t="n">
        <v>58664</v>
      </c>
      <c r="J35" s="31" t="inlineStr">
        <is>
          <t>544263</t>
        </is>
      </c>
    </row>
    <row r="36">
      <c r="A36" s="31" t="inlineStr">
        <is>
          <t>BLISSGVS</t>
        </is>
      </c>
      <c r="B36" s="31" t="inlineStr">
        <is>
          <t>Bliss Gvs Pharma Limited</t>
        </is>
      </c>
      <c r="C36" s="31" t="inlineStr">
        <is>
          <t>healthcare</t>
        </is>
      </c>
      <c r="D36" s="31" t="inlineStr">
        <is>
          <t>pharmaceuticals - indian - formulations</t>
        </is>
      </c>
      <c r="E36" s="31" t="inlineStr">
        <is>
          <t>midcap</t>
        </is>
      </c>
      <c r="F36" s="31" t="n">
        <v>5239.71</v>
      </c>
      <c r="G36" s="31" t="n">
        <v>514</v>
      </c>
      <c r="H36" s="31" t="n">
        <v>4.99</v>
      </c>
      <c r="I36" s="31" t="n">
        <v>832827</v>
      </c>
      <c r="J36" s="31" t="inlineStr">
        <is>
          <t>506197</t>
        </is>
      </c>
    </row>
    <row r="37">
      <c r="A37" s="31" t="inlineStr">
        <is>
          <t>SHALPAINTS</t>
        </is>
      </c>
      <c r="B37" s="31" t="inlineStr">
        <is>
          <t>Shalimar Paints Limited</t>
        </is>
      </c>
      <c r="C37" s="31" t="inlineStr">
        <is>
          <t>building materials</t>
        </is>
      </c>
      <c r="D37" s="31" t="inlineStr">
        <is>
          <t>paints / varnishes</t>
        </is>
      </c>
      <c r="E37" s="31" t="inlineStr">
        <is>
          <t>smallcap</t>
        </is>
      </c>
      <c r="F37" s="31" t="n">
        <v>702.09</v>
      </c>
      <c r="G37" s="31" t="n">
        <v>87.04000000000001</v>
      </c>
      <c r="H37" s="31" t="n">
        <v>4.99</v>
      </c>
      <c r="I37" s="31" t="n">
        <v>237946</v>
      </c>
      <c r="J37" s="31" t="inlineStr">
        <is>
          <t>509874</t>
        </is>
      </c>
    </row>
    <row r="38">
      <c r="A38" s="31" t="inlineStr">
        <is>
          <t>COMSYN</t>
        </is>
      </c>
      <c r="B38" s="31" t="inlineStr">
        <is>
          <t>Commercial Syn Bags Ltd</t>
        </is>
      </c>
      <c r="C38" s="31" t="inlineStr">
        <is>
          <t>industrials</t>
        </is>
      </c>
      <c r="D38" s="31" t="inlineStr">
        <is>
          <t>packaging</t>
        </is>
      </c>
      <c r="E38" s="31" t="inlineStr">
        <is>
          <t>smallcap</t>
        </is>
      </c>
      <c r="F38" s="31" t="n">
        <v>1079.28</v>
      </c>
      <c r="G38" s="31" t="n">
        <v>282.66</v>
      </c>
      <c r="H38" s="31" t="n">
        <v>4.98</v>
      </c>
      <c r="I38" s="31" t="n">
        <v>555727</v>
      </c>
      <c r="J38" s="31" t="inlineStr">
        <is>
          <t>539986</t>
        </is>
      </c>
    </row>
    <row r="39">
      <c r="A39" s="31" t="inlineStr">
        <is>
          <t>RBA</t>
        </is>
      </c>
      <c r="B39" s="31" t="inlineStr">
        <is>
          <t>Restaurant Brands Asia Ltd</t>
        </is>
      </c>
      <c r="C39" s="31" t="inlineStr">
        <is>
          <t>consumer discretionary</t>
        </is>
      </c>
      <c r="D39" s="31" t="inlineStr">
        <is>
          <t>hotels</t>
        </is>
      </c>
      <c r="E39" s="31" t="inlineStr">
        <is>
          <t>midcap</t>
        </is>
      </c>
      <c r="F39" s="31" t="n">
        <v>6594.08</v>
      </c>
      <c r="G39" s="31" t="n">
        <v>98.34999999999999</v>
      </c>
      <c r="H39" s="31" t="n">
        <v>4.83</v>
      </c>
      <c r="I39" s="31" t="n">
        <v>28890605</v>
      </c>
      <c r="J39" s="31" t="inlineStr">
        <is>
          <t>543248</t>
        </is>
      </c>
    </row>
    <row r="40">
      <c r="A40" s="31" t="inlineStr">
        <is>
          <t>PARAS</t>
        </is>
      </c>
      <c r="B40" s="31" t="inlineStr">
        <is>
          <t>Paras Defence and Space Technologies Ltd</t>
        </is>
      </c>
      <c r="C40" s="31" t="inlineStr">
        <is>
          <t>aerospace &amp; defence</t>
        </is>
      </c>
      <c r="D40" s="31" t="inlineStr">
        <is>
          <t>engineering</t>
        </is>
      </c>
      <c r="E40" s="31" t="inlineStr">
        <is>
          <t>midcap</t>
        </is>
      </c>
      <c r="F40" s="31" t="n">
        <v>10347.41</v>
      </c>
      <c r="G40" s="31" t="n">
        <v>1342.2</v>
      </c>
      <c r="H40" s="31" t="n">
        <v>4.8</v>
      </c>
      <c r="I40" s="31" t="n">
        <v>1643001</v>
      </c>
      <c r="J40" s="31" t="inlineStr">
        <is>
          <t>543367</t>
        </is>
      </c>
    </row>
    <row r="41">
      <c r="A41" s="31" t="inlineStr">
        <is>
          <t>IOLCP</t>
        </is>
      </c>
      <c r="B41" s="31" t="inlineStr">
        <is>
          <t>Iol Chemicals And Pharmaceuticals Limited</t>
        </is>
      </c>
      <c r="C41" s="31" t="inlineStr">
        <is>
          <t>healthcare</t>
        </is>
      </c>
      <c r="D41" s="31" t="inlineStr">
        <is>
          <t>pharmaceuticals - indian - bulk drugs &amp; formln</t>
        </is>
      </c>
      <c r="E41" s="31" t="inlineStr">
        <is>
          <t>smallcap</t>
        </is>
      </c>
      <c r="F41" s="31" t="n">
        <v>4817.96</v>
      </c>
      <c r="G41" s="31" t="n">
        <v>166.02</v>
      </c>
      <c r="H41" s="31" t="n">
        <v>4.8</v>
      </c>
      <c r="I41" s="31" t="n">
        <v>3198375</v>
      </c>
      <c r="J41" s="31" t="inlineStr">
        <is>
          <t>524164</t>
        </is>
      </c>
    </row>
    <row r="42">
      <c r="A42" s="31" t="inlineStr">
        <is>
          <t>RATNAVEER</t>
        </is>
      </c>
      <c r="B42" s="31" t="inlineStr">
        <is>
          <t>Ratnaveer Precision Engineering Ltd</t>
        </is>
      </c>
      <c r="C42" s="31" t="inlineStr">
        <is>
          <t>metals &amp; mining</t>
        </is>
      </c>
      <c r="D42" s="31" t="inlineStr">
        <is>
          <t>steel - medium / small</t>
        </is>
      </c>
      <c r="E42" s="31" t="inlineStr">
        <is>
          <t>smallcap</t>
        </is>
      </c>
      <c r="F42" s="31" t="n">
        <v>1472.53</v>
      </c>
      <c r="G42" s="31" t="n">
        <v>220</v>
      </c>
      <c r="H42" s="31" t="n">
        <v>4.76</v>
      </c>
      <c r="I42" s="31" t="n">
        <v>10124724</v>
      </c>
      <c r="J42" s="31" t="inlineStr">
        <is>
          <t>543978</t>
        </is>
      </c>
    </row>
    <row r="43">
      <c r="A43" s="31" t="inlineStr">
        <is>
          <t>GHCLTEXTIL</t>
        </is>
      </c>
      <c r="B43" s="31" t="inlineStr">
        <is>
          <t>GHCL Textiles Ltd</t>
        </is>
      </c>
      <c r="C43" s="31" t="inlineStr">
        <is>
          <t>textiles</t>
        </is>
      </c>
      <c r="D43" s="31" t="inlineStr">
        <is>
          <t>textiles - spinning - synthetic / blended</t>
        </is>
      </c>
      <c r="E43" s="31" t="inlineStr">
        <is>
          <t>smallcap</t>
        </is>
      </c>
      <c r="F43" s="31" t="n">
        <v>1140.05</v>
      </c>
      <c r="G43" s="31" t="n">
        <v>121.26</v>
      </c>
      <c r="H43" s="31" t="n">
        <v>4.6</v>
      </c>
      <c r="I43" s="31" t="n">
        <v>744997</v>
      </c>
      <c r="J43" s="31" t="inlineStr">
        <is>
          <t>543918</t>
        </is>
      </c>
    </row>
    <row r="44">
      <c r="A44" s="31" t="inlineStr">
        <is>
          <t>MODISONLTD</t>
        </is>
      </c>
      <c r="B44" s="31" t="inlineStr">
        <is>
          <t>Modison Ltd</t>
        </is>
      </c>
      <c r="C44" s="31" t="inlineStr">
        <is>
          <t>industrials</t>
        </is>
      </c>
      <c r="D44" s="31" t="inlineStr">
        <is>
          <t>electric equipment</t>
        </is>
      </c>
      <c r="E44" s="31" t="inlineStr">
        <is>
          <t>smallcap</t>
        </is>
      </c>
      <c r="F44" s="31" t="n">
        <v>997.6799999999999</v>
      </c>
      <c r="G44" s="31" t="n">
        <v>323</v>
      </c>
      <c r="H44" s="31" t="n">
        <v>4.6</v>
      </c>
      <c r="I44" s="31" t="n">
        <v>311233</v>
      </c>
      <c r="J44" s="31" t="inlineStr">
        <is>
          <t>506261</t>
        </is>
      </c>
    </row>
    <row r="45">
      <c r="A45" s="31" t="inlineStr">
        <is>
          <t>JSFB</t>
        </is>
      </c>
      <c r="B45" s="31" t="inlineStr">
        <is>
          <t>Jana Small Finance Bank Ltd</t>
        </is>
      </c>
      <c r="C45" s="31" t="inlineStr">
        <is>
          <t>bank</t>
        </is>
      </c>
      <c r="D45" s="31" t="inlineStr">
        <is>
          <t>banks - private sector</t>
        </is>
      </c>
      <c r="E45" s="31" t="inlineStr">
        <is>
          <t>midcap</t>
        </is>
      </c>
      <c r="F45" s="31" t="n">
        <v>5547.26</v>
      </c>
      <c r="G45" s="31" t="n">
        <v>571.15</v>
      </c>
      <c r="H45" s="31" t="n">
        <v>4.54</v>
      </c>
      <c r="I45" s="31" t="n">
        <v>1193623</v>
      </c>
      <c r="J45" s="31" t="n"/>
    </row>
    <row r="46">
      <c r="A46" s="31" t="inlineStr">
        <is>
          <t>UTTAMSUGAR</t>
        </is>
      </c>
      <c r="B46" s="31" t="inlineStr">
        <is>
          <t>Uttam Sugar Mills Limited</t>
        </is>
      </c>
      <c r="C46" s="31" t="inlineStr">
        <is>
          <t>fmcg</t>
        </is>
      </c>
      <c r="D46" s="31" t="inlineStr">
        <is>
          <t>sugar</t>
        </is>
      </c>
      <c r="E46" s="31" t="inlineStr">
        <is>
          <t>smallcap</t>
        </is>
      </c>
      <c r="F46" s="31" t="n">
        <v>964.4400000000001</v>
      </c>
      <c r="G46" s="31" t="n">
        <v>264.99</v>
      </c>
      <c r="H46" s="31" t="n">
        <v>4.52</v>
      </c>
      <c r="I46" s="31" t="n">
        <v>395523</v>
      </c>
      <c r="J46" s="31" t="inlineStr">
        <is>
          <t>532729</t>
        </is>
      </c>
    </row>
    <row r="47">
      <c r="A47" s="31" t="inlineStr">
        <is>
          <t>LINCOLN</t>
        </is>
      </c>
      <c r="B47" s="31" t="inlineStr">
        <is>
          <t>Lincoln Pharmaceuticals Limited</t>
        </is>
      </c>
      <c r="C47" s="31" t="inlineStr">
        <is>
          <t>healthcare</t>
        </is>
      </c>
      <c r="D47" s="31" t="inlineStr">
        <is>
          <t>pharmaceuticals - indian - formulations</t>
        </is>
      </c>
      <c r="E47" s="31" t="inlineStr">
        <is>
          <t>smallcap</t>
        </is>
      </c>
      <c r="F47" s="31" t="n">
        <v>1194.77</v>
      </c>
      <c r="G47" s="31" t="n">
        <v>619.5</v>
      </c>
      <c r="H47" s="31" t="n">
        <v>4.5</v>
      </c>
      <c r="I47" s="31" t="n">
        <v>1060832</v>
      </c>
      <c r="J47" s="31" t="inlineStr">
        <is>
          <t>531633</t>
        </is>
      </c>
    </row>
    <row r="48">
      <c r="A48" s="31" t="inlineStr">
        <is>
          <t>MAXESTATES</t>
        </is>
      </c>
      <c r="B48" s="31" t="inlineStr">
        <is>
          <t>Max Estates Ltd</t>
        </is>
      </c>
      <c r="C48" s="31" t="inlineStr">
        <is>
          <t>realty</t>
        </is>
      </c>
      <c r="D48" s="31" t="inlineStr">
        <is>
          <t>construction</t>
        </is>
      </c>
      <c r="E48" s="31" t="inlineStr">
        <is>
          <t>midcap</t>
        </is>
      </c>
      <c r="F48" s="31" t="n">
        <v>6975.61</v>
      </c>
      <c r="G48" s="31" t="n">
        <v>439.55</v>
      </c>
      <c r="H48" s="31" t="n">
        <v>4.49</v>
      </c>
      <c r="I48" s="31" t="n">
        <v>222318</v>
      </c>
      <c r="J48" s="31" t="inlineStr">
        <is>
          <t>544008</t>
        </is>
      </c>
    </row>
    <row r="49">
      <c r="A49" s="31" t="inlineStr">
        <is>
          <t>MAGADSUGAR</t>
        </is>
      </c>
      <c r="B49" s="31" t="inlineStr">
        <is>
          <t>Magadh Sugar &amp; Energy Ltd</t>
        </is>
      </c>
      <c r="C49" s="31" t="inlineStr">
        <is>
          <t>fmcg</t>
        </is>
      </c>
      <c r="D49" s="31" t="inlineStr">
        <is>
          <t>sugar</t>
        </is>
      </c>
      <c r="E49" s="31" t="inlineStr">
        <is>
          <t>smallcap</t>
        </is>
      </c>
      <c r="F49" s="31" t="n">
        <v>740.87</v>
      </c>
      <c r="G49" s="31" t="n">
        <v>542.85</v>
      </c>
      <c r="H49" s="31" t="n">
        <v>4.32</v>
      </c>
      <c r="I49" s="31" t="n">
        <v>78615</v>
      </c>
      <c r="J49" s="31" t="inlineStr">
        <is>
          <t>540650</t>
        </is>
      </c>
    </row>
    <row r="50">
      <c r="A50" s="31" t="inlineStr">
        <is>
          <t>MOLDTECH</t>
        </is>
      </c>
      <c r="B50" s="31" t="inlineStr">
        <is>
          <t>Mold-tek Technologies Limited</t>
        </is>
      </c>
      <c r="C50" s="31" t="inlineStr">
        <is>
          <t>realty</t>
        </is>
      </c>
      <c r="D50" s="31" t="inlineStr">
        <is>
          <t>engineering - turnkey services</t>
        </is>
      </c>
      <c r="E50" s="31" t="inlineStr">
        <is>
          <t>smallcap</t>
        </is>
      </c>
      <c r="F50" s="31" t="n">
        <v>526.41</v>
      </c>
      <c r="G50" s="31" t="n">
        <v>188.42</v>
      </c>
      <c r="H50" s="31" t="n">
        <v>4.3</v>
      </c>
      <c r="I50" s="31" t="n">
        <v>88383</v>
      </c>
      <c r="J50" s="31" t="inlineStr">
        <is>
          <t>526263</t>
        </is>
      </c>
    </row>
    <row r="51">
      <c r="A51" s="31" t="inlineStr">
        <is>
          <t>IFCI</t>
        </is>
      </c>
      <c r="B51" s="31" t="inlineStr">
        <is>
          <t>Ifci Limited</t>
        </is>
      </c>
      <c r="C51" s="31" t="inlineStr">
        <is>
          <t>financials</t>
        </is>
      </c>
      <c r="D51" s="31" t="inlineStr">
        <is>
          <t>finance - term-lending institutions</t>
        </is>
      </c>
      <c r="E51" s="31" t="inlineStr">
        <is>
          <t>largecap</t>
        </is>
      </c>
      <c r="F51" s="31" t="n">
        <v>20395.96</v>
      </c>
      <c r="G51" s="31" t="n">
        <v>76.66</v>
      </c>
      <c r="H51" s="31" t="n">
        <v>4.29</v>
      </c>
      <c r="I51" s="31" t="n">
        <v>40726842</v>
      </c>
      <c r="J51" s="31" t="inlineStr">
        <is>
          <t>500106</t>
        </is>
      </c>
    </row>
    <row r="52">
      <c r="A52" s="31" t="inlineStr">
        <is>
          <t>TI</t>
        </is>
      </c>
      <c r="B52" s="31" t="inlineStr">
        <is>
          <t>Tilaknagar Industries Limited</t>
        </is>
      </c>
      <c r="C52" s="31" t="inlineStr">
        <is>
          <t>fmcg</t>
        </is>
      </c>
      <c r="D52" s="31" t="inlineStr">
        <is>
          <t>breweries &amp; distilleries</t>
        </is>
      </c>
      <c r="E52" s="31" t="inlineStr">
        <is>
          <t>midcap</t>
        </is>
      </c>
      <c r="F52" s="31" t="n">
        <v>12887.2</v>
      </c>
      <c r="G52" s="31" t="n">
        <v>553.7</v>
      </c>
      <c r="H52" s="31" t="n">
        <v>4.29</v>
      </c>
      <c r="I52" s="31" t="n">
        <v>4183284</v>
      </c>
      <c r="J52" s="31" t="inlineStr">
        <is>
          <t>507205</t>
        </is>
      </c>
    </row>
    <row r="53">
      <c r="A53" s="31" t="inlineStr">
        <is>
          <t>BHARATSE</t>
        </is>
      </c>
      <c r="B53" s="31" t="inlineStr">
        <is>
          <t>Bharat Seats Ltd</t>
        </is>
      </c>
      <c r="C53" s="31" t="inlineStr">
        <is>
          <t>auto</t>
        </is>
      </c>
      <c r="D53" s="31" t="inlineStr">
        <is>
          <t>auto ancillaries</t>
        </is>
      </c>
      <c r="E53" s="31" t="inlineStr">
        <is>
          <t>smallcap</t>
        </is>
      </c>
      <c r="F53" s="31" t="n">
        <v>1454.32</v>
      </c>
      <c r="G53" s="31" t="n">
        <v>245.25</v>
      </c>
      <c r="H53" s="31" t="n">
        <v>4.23</v>
      </c>
      <c r="I53" s="31" t="n">
        <v>1253060</v>
      </c>
      <c r="J53" s="31" t="inlineStr">
        <is>
          <t>523229</t>
        </is>
      </c>
    </row>
    <row r="54">
      <c r="A54" s="31" t="inlineStr">
        <is>
          <t>KMEW</t>
        </is>
      </c>
      <c r="B54" s="31" t="inlineStr">
        <is>
          <t>Knowledge Marine &amp; Engineering Works Ltd</t>
        </is>
      </c>
      <c r="C54" s="31" t="inlineStr">
        <is>
          <t>transportation</t>
        </is>
      </c>
      <c r="D54" s="31" t="inlineStr">
        <is>
          <t>miscellaneous</t>
        </is>
      </c>
      <c r="E54" s="31" t="inlineStr">
        <is>
          <t>midcap</t>
        </is>
      </c>
      <c r="F54" s="31" t="n">
        <v>6407.05</v>
      </c>
      <c r="G54" s="31" t="n">
        <v>2709.8</v>
      </c>
      <c r="H54" s="31" t="n">
        <v>4.23</v>
      </c>
      <c r="I54" s="31" t="n">
        <v>76044</v>
      </c>
      <c r="J54" s="31" t="inlineStr">
        <is>
          <t>543273</t>
        </is>
      </c>
    </row>
    <row r="55">
      <c r="A55" s="31" t="inlineStr">
        <is>
          <t>CONCOR</t>
        </is>
      </c>
      <c r="B55" s="31" t="inlineStr">
        <is>
          <t>Container Corporation Of India Limited</t>
        </is>
      </c>
      <c r="C55" s="31" t="inlineStr">
        <is>
          <t>transportation</t>
        </is>
      </c>
      <c r="D55" s="31" t="inlineStr">
        <is>
          <t>miscellaneous</t>
        </is>
      </c>
      <c r="E55" s="31" t="inlineStr">
        <is>
          <t>largecap</t>
        </is>
      </c>
      <c r="F55" s="31" t="n">
        <v>38994.84</v>
      </c>
      <c r="G55" s="31" t="n">
        <v>533.65</v>
      </c>
      <c r="H55" s="31" t="n">
        <v>4.22</v>
      </c>
      <c r="I55" s="31" t="n">
        <v>9407347</v>
      </c>
      <c r="J55" s="31" t="inlineStr">
        <is>
          <t>531344</t>
        </is>
      </c>
    </row>
    <row r="56">
      <c r="A56" s="31" t="inlineStr">
        <is>
          <t>DALMIASUG</t>
        </is>
      </c>
      <c r="B56" s="31" t="inlineStr">
        <is>
          <t>Dalmia Bharat Sugar And Industries Limited</t>
        </is>
      </c>
      <c r="C56" s="31" t="inlineStr">
        <is>
          <t>fmcg</t>
        </is>
      </c>
      <c r="D56" s="31" t="inlineStr">
        <is>
          <t>sugar</t>
        </is>
      </c>
      <c r="E56" s="31" t="inlineStr">
        <is>
          <t>smallcap</t>
        </is>
      </c>
      <c r="F56" s="31" t="n">
        <v>3304.75</v>
      </c>
      <c r="G56" s="31" t="n">
        <v>427.35</v>
      </c>
      <c r="H56" s="31" t="n">
        <v>4.21</v>
      </c>
      <c r="I56" s="31" t="n">
        <v>1069652</v>
      </c>
      <c r="J56" s="31" t="inlineStr">
        <is>
          <t>500097</t>
        </is>
      </c>
    </row>
    <row r="57">
      <c r="A57" s="31" t="inlineStr">
        <is>
          <t>SPECTRUM</t>
        </is>
      </c>
      <c r="B57" s="31" t="inlineStr">
        <is>
          <t>Spectrum Electrical Industries Ltd</t>
        </is>
      </c>
      <c r="C57" s="31" t="inlineStr">
        <is>
          <t>industrials</t>
        </is>
      </c>
      <c r="D57" s="31" t="inlineStr">
        <is>
          <t>electric equipment</t>
        </is>
      </c>
      <c r="E57" s="31" t="inlineStr">
        <is>
          <t>smallcap</t>
        </is>
      </c>
      <c r="F57" s="31" t="n">
        <v>3777.14</v>
      </c>
      <c r="G57" s="31" t="n">
        <v>2375</v>
      </c>
      <c r="H57" s="31" t="n">
        <v>4</v>
      </c>
      <c r="I57" s="31" t="n">
        <v>13322</v>
      </c>
      <c r="J57" s="31" t="inlineStr">
        <is>
          <t>535112</t>
        </is>
      </c>
    </row>
    <row r="58">
      <c r="A58" s="31" t="inlineStr">
        <is>
          <t>NILKAMAL</t>
        </is>
      </c>
      <c r="B58" s="31" t="inlineStr">
        <is>
          <t>Nilkamal Limited</t>
        </is>
      </c>
      <c r="C58" s="31" t="inlineStr">
        <is>
          <t>plastic products</t>
        </is>
      </c>
      <c r="D58" s="31" t="inlineStr">
        <is>
          <t>plastics products</t>
        </is>
      </c>
      <c r="E58" s="31" t="inlineStr">
        <is>
          <t>smallcap</t>
        </is>
      </c>
      <c r="F58" s="31" t="n">
        <v>2788.42</v>
      </c>
      <c r="G58" s="31" t="n">
        <v>1932.7</v>
      </c>
      <c r="H58" s="31" t="n">
        <v>3.95</v>
      </c>
      <c r="I58" s="31" t="n">
        <v>89591</v>
      </c>
      <c r="J58" s="31" t="inlineStr">
        <is>
          <t>523385</t>
        </is>
      </c>
    </row>
    <row r="59">
      <c r="A59" s="31" t="inlineStr">
        <is>
          <t>POONAWALLA</t>
        </is>
      </c>
      <c r="B59" s="31" t="inlineStr">
        <is>
          <t>Poonawalla Fincorp Ltd</t>
        </is>
      </c>
      <c r="C59" s="31" t="inlineStr">
        <is>
          <t>financials</t>
        </is>
      </c>
      <c r="D59" s="31" t="inlineStr">
        <is>
          <t>finance &amp; investments</t>
        </is>
      </c>
      <c r="E59" s="31" t="inlineStr">
        <is>
          <t>largecap</t>
        </is>
      </c>
      <c r="F59" s="31" t="n">
        <v>42897.9</v>
      </c>
      <c r="G59" s="31" t="n">
        <v>502.7</v>
      </c>
      <c r="H59" s="31" t="n">
        <v>3.84</v>
      </c>
      <c r="I59" s="31" t="n">
        <v>2427517</v>
      </c>
      <c r="J59" s="31" t="inlineStr">
        <is>
          <t>524000</t>
        </is>
      </c>
    </row>
    <row r="60">
      <c r="A60" s="31" t="inlineStr">
        <is>
          <t>INNOVACAP</t>
        </is>
      </c>
      <c r="B60" s="31" t="inlineStr">
        <is>
          <t>Innova Captab Ltd</t>
        </is>
      </c>
      <c r="C60" s="31" t="inlineStr">
        <is>
          <t>healthcare</t>
        </is>
      </c>
      <c r="D60" s="31" t="inlineStr">
        <is>
          <t>pharmaceuticals - indian - bulk drugs &amp; formln</t>
        </is>
      </c>
      <c r="E60" s="31" t="inlineStr">
        <is>
          <t>midcap</t>
        </is>
      </c>
      <c r="F60" s="31" t="n">
        <v>5830.65</v>
      </c>
      <c r="G60" s="31" t="n">
        <v>1050</v>
      </c>
      <c r="H60" s="31" t="n">
        <v>3.73</v>
      </c>
      <c r="I60" s="31" t="n">
        <v>215156</v>
      </c>
      <c r="J60" s="31" t="inlineStr">
        <is>
          <t>544067</t>
        </is>
      </c>
    </row>
    <row r="61">
      <c r="A61" s="31" t="inlineStr">
        <is>
          <t>RAYMOND</t>
        </is>
      </c>
      <c r="B61" s="31" t="inlineStr">
        <is>
          <t>Raymond Limited</t>
        </is>
      </c>
      <c r="C61" s="31" t="inlineStr">
        <is>
          <t>transportation</t>
        </is>
      </c>
      <c r="D61" s="31" t="inlineStr">
        <is>
          <t>transport - airlines</t>
        </is>
      </c>
      <c r="E61" s="31" t="inlineStr">
        <is>
          <t>smallcap</t>
        </is>
      </c>
      <c r="F61" s="31" t="n">
        <v>4156.2</v>
      </c>
      <c r="G61" s="31" t="n">
        <v>642</v>
      </c>
      <c r="H61" s="31" t="n">
        <v>3.72</v>
      </c>
      <c r="I61" s="31" t="n">
        <v>921896</v>
      </c>
      <c r="J61" s="31" t="inlineStr">
        <is>
          <t>500330</t>
        </is>
      </c>
    </row>
    <row r="62">
      <c r="A62" s="31" t="inlineStr">
        <is>
          <t>BIRLACABLE</t>
        </is>
      </c>
      <c r="B62" s="31" t="inlineStr">
        <is>
          <t>Birla Cable Limited</t>
        </is>
      </c>
      <c r="C62" s="31" t="inlineStr">
        <is>
          <t>industrials</t>
        </is>
      </c>
      <c r="D62" s="31" t="inlineStr">
        <is>
          <t>cables - telephone</t>
        </is>
      </c>
      <c r="E62" s="31" t="inlineStr">
        <is>
          <t>smallcap</t>
        </is>
      </c>
      <c r="F62" s="31" t="n">
        <v>840.78</v>
      </c>
      <c r="G62" s="31" t="n">
        <v>305</v>
      </c>
      <c r="H62" s="31" t="n">
        <v>3.68</v>
      </c>
      <c r="I62" s="31" t="n">
        <v>478343</v>
      </c>
      <c r="J62" s="31" t="inlineStr">
        <is>
          <t>500060</t>
        </is>
      </c>
    </row>
    <row r="63">
      <c r="A63" s="31" t="inlineStr">
        <is>
          <t>AIIL</t>
        </is>
      </c>
      <c r="B63" s="31" t="inlineStr">
        <is>
          <t>Authum Investment &amp; Infrastructure Ltd</t>
        </is>
      </c>
      <c r="C63" s="31" t="inlineStr">
        <is>
          <t>financials</t>
        </is>
      </c>
      <c r="D63" s="31" t="inlineStr">
        <is>
          <t>finance &amp; investments</t>
        </is>
      </c>
      <c r="E63" s="31" t="inlineStr">
        <is>
          <t>largecap</t>
        </is>
      </c>
      <c r="F63" s="31" t="n">
        <v>48698.84</v>
      </c>
      <c r="G63" s="31" t="n">
        <v>575</v>
      </c>
      <c r="H63" s="31" t="n">
        <v>3.64</v>
      </c>
      <c r="I63" s="31" t="n">
        <v>249548</v>
      </c>
      <c r="J63" s="31" t="inlineStr">
        <is>
          <t>539177</t>
        </is>
      </c>
    </row>
    <row r="64">
      <c r="A64" s="31" t="inlineStr">
        <is>
          <t>BASF</t>
        </is>
      </c>
      <c r="B64" s="31" t="inlineStr">
        <is>
          <t>Basf India Limited</t>
        </is>
      </c>
      <c r="C64" s="31" t="inlineStr">
        <is>
          <t>chemicals</t>
        </is>
      </c>
      <c r="D64" s="31" t="inlineStr">
        <is>
          <t>chemicals</t>
        </is>
      </c>
      <c r="E64" s="31" t="inlineStr">
        <is>
          <t>midcap</t>
        </is>
      </c>
      <c r="F64" s="31" t="n">
        <v>17475.28</v>
      </c>
      <c r="G64" s="31" t="n">
        <v>4134.2</v>
      </c>
      <c r="H64" s="31" t="n">
        <v>3.61</v>
      </c>
      <c r="I64" s="31" t="n">
        <v>66291</v>
      </c>
      <c r="J64" s="31" t="inlineStr">
        <is>
          <t>500042</t>
        </is>
      </c>
    </row>
    <row r="65">
      <c r="A65" s="31" t="inlineStr">
        <is>
          <t>TNPETRO</t>
        </is>
      </c>
      <c r="B65" s="31" t="inlineStr">
        <is>
          <t>Tamilnadu Petroproducts Limited</t>
        </is>
      </c>
      <c r="C65" s="31" t="inlineStr">
        <is>
          <t>energy</t>
        </is>
      </c>
      <c r="D65" s="31" t="inlineStr">
        <is>
          <t>petrochemicals</t>
        </is>
      </c>
      <c r="E65" s="31" t="inlineStr">
        <is>
          <t>smallcap</t>
        </is>
      </c>
      <c r="F65" s="31" t="n">
        <v>933.63</v>
      </c>
      <c r="G65" s="31" t="n">
        <v>110.59</v>
      </c>
      <c r="H65" s="31" t="n">
        <v>3.58</v>
      </c>
      <c r="I65" s="31" t="n">
        <v>698449</v>
      </c>
      <c r="J65" s="31" t="inlineStr">
        <is>
          <t>500777</t>
        </is>
      </c>
    </row>
    <row r="66">
      <c r="A66" s="31" t="inlineStr">
        <is>
          <t>BIL</t>
        </is>
      </c>
      <c r="B66" s="31" t="inlineStr">
        <is>
          <t>Bhartiya International Limited</t>
        </is>
      </c>
      <c r="C66" s="31" t="inlineStr">
        <is>
          <t>consumer discretionary</t>
        </is>
      </c>
      <c r="D66" s="31" t="inlineStr">
        <is>
          <t>leather / leather products</t>
        </is>
      </c>
      <c r="E66" s="31" t="inlineStr">
        <is>
          <t>smallcap</t>
        </is>
      </c>
      <c r="F66" s="31" t="n">
        <v>1117.22</v>
      </c>
      <c r="G66" s="31" t="n">
        <v>850</v>
      </c>
      <c r="H66" s="31" t="n">
        <v>3.58</v>
      </c>
      <c r="I66" s="31" t="n">
        <v>37467</v>
      </c>
      <c r="J66" s="31" t="inlineStr">
        <is>
          <t>526666</t>
        </is>
      </c>
    </row>
    <row r="67">
      <c r="A67" s="31" t="inlineStr">
        <is>
          <t>GANDHAR</t>
        </is>
      </c>
      <c r="B67" s="31" t="inlineStr">
        <is>
          <t>Gandhar Oil Refinery (India) Ltd</t>
        </is>
      </c>
      <c r="C67" s="31" t="inlineStr">
        <is>
          <t>energy</t>
        </is>
      </c>
      <c r="D67" s="31" t="inlineStr">
        <is>
          <t>refineries</t>
        </is>
      </c>
      <c r="E67" s="31" t="inlineStr">
        <is>
          <t>smallcap</t>
        </is>
      </c>
      <c r="F67" s="31" t="n">
        <v>2382.49</v>
      </c>
      <c r="G67" s="31" t="n">
        <v>244.75</v>
      </c>
      <c r="H67" s="31" t="n">
        <v>3.58</v>
      </c>
      <c r="I67" s="31" t="n">
        <v>1608171</v>
      </c>
      <c r="J67" s="31" t="inlineStr">
        <is>
          <t>544029</t>
        </is>
      </c>
    </row>
    <row r="68">
      <c r="A68" s="31" t="inlineStr">
        <is>
          <t>NEOGEN</t>
        </is>
      </c>
      <c r="B68" s="31" t="inlineStr">
        <is>
          <t>Neogen Chemicals Ltd</t>
        </is>
      </c>
      <c r="C68" s="31" t="inlineStr">
        <is>
          <t>chemicals</t>
        </is>
      </c>
      <c r="D68" s="31" t="inlineStr">
        <is>
          <t>chemicals</t>
        </is>
      </c>
      <c r="E68" s="31" t="inlineStr">
        <is>
          <t>midcap</t>
        </is>
      </c>
      <c r="F68" s="31" t="n">
        <v>5730.16</v>
      </c>
      <c r="G68" s="31" t="n">
        <v>2138.9</v>
      </c>
      <c r="H68" s="31" t="n">
        <v>3.42</v>
      </c>
      <c r="I68" s="31" t="n">
        <v>130705</v>
      </c>
      <c r="J68" s="31" t="inlineStr">
        <is>
          <t>542665</t>
        </is>
      </c>
    </row>
    <row r="69">
      <c r="A69" s="31" t="inlineStr">
        <is>
          <t>ORISSAMINE</t>
        </is>
      </c>
      <c r="B69" s="31" t="inlineStr">
        <is>
          <t>The Orissa Minerals Development Company Limited</t>
        </is>
      </c>
      <c r="C69" s="31" t="inlineStr">
        <is>
          <t>metals &amp; mining</t>
        </is>
      </c>
      <c r="D69" s="31" t="inlineStr">
        <is>
          <t>mining / minerals / metals</t>
        </is>
      </c>
      <c r="E69" s="31" t="inlineStr">
        <is>
          <t>smallcap</t>
        </is>
      </c>
      <c r="F69" s="31" t="n">
        <v>2702.88</v>
      </c>
      <c r="G69" s="31" t="n">
        <v>5003.7</v>
      </c>
      <c r="H69" s="31" t="n">
        <v>3.4</v>
      </c>
      <c r="I69" s="31" t="n">
        <v>189359</v>
      </c>
      <c r="J69" s="31" t="inlineStr">
        <is>
          <t>590086</t>
        </is>
      </c>
    </row>
    <row r="70">
      <c r="A70" s="31" t="inlineStr">
        <is>
          <t>GALAXYSURF</t>
        </is>
      </c>
      <c r="B70" s="31" t="inlineStr">
        <is>
          <t>Galaxy Surfactants Ltd</t>
        </is>
      </c>
      <c r="C70" s="31" t="inlineStr">
        <is>
          <t>chemicals</t>
        </is>
      </c>
      <c r="D70" s="31" t="inlineStr">
        <is>
          <t>chemicals</t>
        </is>
      </c>
      <c r="E70" s="31" t="inlineStr">
        <is>
          <t>midcap</t>
        </is>
      </c>
      <c r="F70" s="31" t="n">
        <v>7243.76</v>
      </c>
      <c r="G70" s="31" t="n">
        <v>2090.4</v>
      </c>
      <c r="H70" s="31" t="n">
        <v>3.36</v>
      </c>
      <c r="I70" s="31" t="n">
        <v>23444</v>
      </c>
      <c r="J70" s="31" t="inlineStr">
        <is>
          <t>540935</t>
        </is>
      </c>
    </row>
    <row r="71">
      <c r="A71" s="31" t="inlineStr">
        <is>
          <t>APLAPOLLO</t>
        </is>
      </c>
      <c r="B71" s="31" t="inlineStr">
        <is>
          <t>Apl Apollo Tubes Limited</t>
        </is>
      </c>
      <c r="C71" s="31" t="inlineStr">
        <is>
          <t>industrials</t>
        </is>
      </c>
      <c r="D71" s="31" t="inlineStr">
        <is>
          <t>steel - large</t>
        </is>
      </c>
      <c r="E71" s="31" t="inlineStr">
        <is>
          <t>largecap</t>
        </is>
      </c>
      <c r="F71" s="31" t="n">
        <v>55884.31</v>
      </c>
      <c r="G71" s="31" t="n">
        <v>2064.3</v>
      </c>
      <c r="H71" s="31" t="n">
        <v>3.36</v>
      </c>
      <c r="I71" s="31" t="n">
        <v>1636459</v>
      </c>
      <c r="J71" s="31" t="inlineStr">
        <is>
          <t>533758</t>
        </is>
      </c>
    </row>
    <row r="72">
      <c r="A72" s="31" t="inlineStr">
        <is>
          <t>FLUOROCHEM</t>
        </is>
      </c>
      <c r="B72" s="31" t="inlineStr">
        <is>
          <t>Gujarat Fluorochemicals Ltd</t>
        </is>
      </c>
      <c r="C72" s="31" t="inlineStr">
        <is>
          <t>chemicals</t>
        </is>
      </c>
      <c r="D72" s="31" t="inlineStr">
        <is>
          <t>chemicals</t>
        </is>
      </c>
      <c r="E72" s="31" t="inlineStr">
        <is>
          <t>largecap</t>
        </is>
      </c>
      <c r="F72" s="31" t="n">
        <v>48511.96</v>
      </c>
      <c r="G72" s="31" t="n">
        <v>4714.7</v>
      </c>
      <c r="H72" s="31" t="n">
        <v>3.26</v>
      </c>
      <c r="I72" s="31" t="n">
        <v>1215076</v>
      </c>
      <c r="J72" s="31" t="inlineStr">
        <is>
          <t>542812</t>
        </is>
      </c>
    </row>
    <row r="73">
      <c r="A73" s="31" t="inlineStr">
        <is>
          <t>GUJALKALI</t>
        </is>
      </c>
      <c r="B73" s="31" t="inlineStr">
        <is>
          <t>Gujarat Alkalies And Chemicals Limited</t>
        </is>
      </c>
      <c r="C73" s="31" t="inlineStr">
        <is>
          <t>chemicals</t>
        </is>
      </c>
      <c r="D73" s="31" t="inlineStr">
        <is>
          <t>chemicals</t>
        </is>
      </c>
      <c r="E73" s="31" t="inlineStr">
        <is>
          <t>smallcap</t>
        </is>
      </c>
      <c r="F73" s="31" t="n">
        <v>4974.25</v>
      </c>
      <c r="G73" s="31" t="n">
        <v>694.35</v>
      </c>
      <c r="H73" s="31" t="n">
        <v>3.26</v>
      </c>
      <c r="I73" s="31" t="n">
        <v>97835</v>
      </c>
      <c r="J73" s="31" t="inlineStr">
        <is>
          <t>530001</t>
        </is>
      </c>
    </row>
    <row r="74">
      <c r="A74" s="31" t="inlineStr">
        <is>
          <t>TTKHLTCARE</t>
        </is>
      </c>
      <c r="B74" s="31" t="inlineStr">
        <is>
          <t>Ttk Healthcare Limited</t>
        </is>
      </c>
      <c r="C74" s="31" t="inlineStr">
        <is>
          <t>miscellaneous</t>
        </is>
      </c>
      <c r="D74" s="31" t="inlineStr">
        <is>
          <t>diversified - medium / small</t>
        </is>
      </c>
      <c r="E74" s="31" t="inlineStr">
        <is>
          <t>smallcap</t>
        </is>
      </c>
      <c r="F74" s="31" t="n">
        <v>1533.57</v>
      </c>
      <c r="G74" s="31" t="n">
        <v>1139.1</v>
      </c>
      <c r="H74" s="31" t="n">
        <v>3.24</v>
      </c>
      <c r="I74" s="31" t="n">
        <v>61248</v>
      </c>
      <c r="J74" s="31" t="inlineStr">
        <is>
          <t>507747</t>
        </is>
      </c>
    </row>
    <row r="75">
      <c r="A75" s="31" t="inlineStr">
        <is>
          <t>DBOL</t>
        </is>
      </c>
      <c r="B75" s="31" t="inlineStr">
        <is>
          <t>Dhampur Bio Organics Ltd</t>
        </is>
      </c>
      <c r="C75" s="31" t="inlineStr">
        <is>
          <t>fmcg</t>
        </is>
      </c>
      <c r="D75" s="31" t="inlineStr">
        <is>
          <t>sugar</t>
        </is>
      </c>
      <c r="E75" s="31" t="inlineStr">
        <is>
          <t>smallcap</t>
        </is>
      </c>
      <c r="F75" s="31" t="n">
        <v>761.0700000000001</v>
      </c>
      <c r="G75" s="31" t="n">
        <v>117.76</v>
      </c>
      <c r="H75" s="31" t="n">
        <v>3.2</v>
      </c>
      <c r="I75" s="31" t="n">
        <v>374211</v>
      </c>
      <c r="J75" s="31" t="inlineStr">
        <is>
          <t>543593</t>
        </is>
      </c>
    </row>
    <row r="76">
      <c r="A76" s="31" t="inlineStr">
        <is>
          <t>RADICO</t>
        </is>
      </c>
      <c r="B76" s="31" t="inlineStr">
        <is>
          <t>Radico Khaitan Limited</t>
        </is>
      </c>
      <c r="C76" s="31" t="inlineStr">
        <is>
          <t>fmcg</t>
        </is>
      </c>
      <c r="D76" s="31" t="inlineStr">
        <is>
          <t>breweries &amp; distilleries</t>
        </is>
      </c>
      <c r="E76" s="31" t="inlineStr">
        <is>
          <t>largecap</t>
        </is>
      </c>
      <c r="F76" s="31" t="n">
        <v>60871.8</v>
      </c>
      <c r="G76" s="31" t="n">
        <v>4675.2</v>
      </c>
      <c r="H76" s="31" t="n">
        <v>3.14</v>
      </c>
      <c r="I76" s="31" t="n">
        <v>787239</v>
      </c>
      <c r="J76" s="31" t="inlineStr">
        <is>
          <t>532497</t>
        </is>
      </c>
    </row>
    <row r="77">
      <c r="A77" s="31" t="inlineStr">
        <is>
          <t>TATATECH</t>
        </is>
      </c>
      <c r="B77" s="31" t="inlineStr">
        <is>
          <t>Tata Technologies Ltd</t>
        </is>
      </c>
      <c r="C77" s="31" t="inlineStr">
        <is>
          <t>i.t</t>
        </is>
      </c>
      <c r="D77" s="31" t="inlineStr">
        <is>
          <t>computers - software - medium / small</t>
        </is>
      </c>
      <c r="E77" s="31" t="inlineStr">
        <is>
          <t>largecap</t>
        </is>
      </c>
      <c r="F77" s="31" t="n">
        <v>35131.6</v>
      </c>
      <c r="G77" s="31" t="n">
        <v>868.4</v>
      </c>
      <c r="H77" s="31" t="n">
        <v>3.12</v>
      </c>
      <c r="I77" s="31" t="n">
        <v>1593490</v>
      </c>
      <c r="J77" s="31" t="inlineStr">
        <is>
          <t>544028</t>
        </is>
      </c>
    </row>
    <row r="78">
      <c r="A78" s="31" t="inlineStr">
        <is>
          <t>NEULANDLAB</t>
        </is>
      </c>
      <c r="B78" s="31" t="inlineStr">
        <is>
          <t>Neuland Laboratories Limited</t>
        </is>
      </c>
      <c r="C78" s="31" t="inlineStr">
        <is>
          <t>healthcare</t>
        </is>
      </c>
      <c r="D78" s="31" t="inlineStr">
        <is>
          <t>pharmaceuticals - indian - bulk drugs</t>
        </is>
      </c>
      <c r="E78" s="31" t="inlineStr">
        <is>
          <t>largecap</t>
        </is>
      </c>
      <c r="F78" s="31" t="n">
        <v>29451.01</v>
      </c>
      <c r="G78" s="31" t="n">
        <v>23207</v>
      </c>
      <c r="H78" s="31" t="n">
        <v>3.1</v>
      </c>
      <c r="I78" s="31" t="n">
        <v>96590</v>
      </c>
      <c r="J78" s="31" t="inlineStr">
        <is>
          <t>524558</t>
        </is>
      </c>
    </row>
    <row r="79">
      <c r="A79" s="31" t="inlineStr">
        <is>
          <t>MANAKSTEEL</t>
        </is>
      </c>
      <c r="B79" s="31" t="inlineStr">
        <is>
          <t>Manaksia Steels Limited</t>
        </is>
      </c>
      <c r="C79" s="31" t="inlineStr">
        <is>
          <t>metals &amp; mining</t>
        </is>
      </c>
      <c r="D79" s="31" t="inlineStr">
        <is>
          <t>steel - medium / small</t>
        </is>
      </c>
      <c r="E79" s="31" t="inlineStr">
        <is>
          <t>smallcap</t>
        </is>
      </c>
      <c r="F79" s="31" t="n">
        <v>555.14</v>
      </c>
      <c r="G79" s="31" t="n">
        <v>85.3</v>
      </c>
      <c r="H79" s="31" t="n">
        <v>3.08</v>
      </c>
      <c r="I79" s="31" t="n">
        <v>94999</v>
      </c>
      <c r="J79" s="31" t="inlineStr">
        <is>
          <t>539044</t>
        </is>
      </c>
    </row>
    <row r="80">
      <c r="A80" s="31" t="inlineStr">
        <is>
          <t>MAHASTEEL</t>
        </is>
      </c>
      <c r="B80" s="31" t="inlineStr">
        <is>
          <t>Mahamaya Steel Industries Limited</t>
        </is>
      </c>
      <c r="C80" s="31" t="inlineStr">
        <is>
          <t>metals &amp; mining</t>
        </is>
      </c>
      <c r="D80" s="31" t="inlineStr">
        <is>
          <t>steel - medium / small</t>
        </is>
      </c>
      <c r="E80" s="31" t="inlineStr">
        <is>
          <t>smallcap</t>
        </is>
      </c>
      <c r="F80" s="31" t="n">
        <v>1708.19</v>
      </c>
      <c r="G80" s="31" t="n">
        <v>1025</v>
      </c>
      <c r="H80" s="31" t="n">
        <v>3.06</v>
      </c>
      <c r="I80" s="31" t="n">
        <v>16399</v>
      </c>
      <c r="J80" s="31" t="inlineStr">
        <is>
          <t>513554</t>
        </is>
      </c>
    </row>
    <row r="81">
      <c r="A81" s="31" t="inlineStr">
        <is>
          <t>ROLEXRINGS</t>
        </is>
      </c>
      <c r="B81" s="31" t="inlineStr">
        <is>
          <t>Rolex Rings Ltd</t>
        </is>
      </c>
      <c r="C81" s="31" t="inlineStr">
        <is>
          <t>auto</t>
        </is>
      </c>
      <c r="D81" s="31" t="inlineStr">
        <is>
          <t>auto ancillaries</t>
        </is>
      </c>
      <c r="E81" s="31" t="inlineStr">
        <is>
          <t>smallcap</t>
        </is>
      </c>
      <c r="F81" s="31" t="n">
        <v>4828.19</v>
      </c>
      <c r="G81" s="31" t="n">
        <v>178.26</v>
      </c>
      <c r="H81" s="31" t="n">
        <v>3.03</v>
      </c>
      <c r="I81" s="31" t="n">
        <v>8062504</v>
      </c>
      <c r="J81" s="31" t="inlineStr">
        <is>
          <t>543325</t>
        </is>
      </c>
    </row>
    <row r="82">
      <c r="A82" s="31" t="inlineStr">
        <is>
          <t>SAREGAMA</t>
        </is>
      </c>
      <c r="B82" s="31" t="inlineStr">
        <is>
          <t>Saregama India Limited</t>
        </is>
      </c>
      <c r="C82" s="31" t="inlineStr">
        <is>
          <t>media</t>
        </is>
      </c>
      <c r="D82" s="31" t="inlineStr">
        <is>
          <t>entertainment / electronic media software</t>
        </is>
      </c>
      <c r="E82" s="31" t="inlineStr">
        <is>
          <t>midcap</t>
        </is>
      </c>
      <c r="F82" s="31" t="n">
        <v>10201.55</v>
      </c>
      <c r="G82" s="31" t="n">
        <v>531.65</v>
      </c>
      <c r="H82" s="31" t="n">
        <v>3.02</v>
      </c>
      <c r="I82" s="31" t="n">
        <v>646371</v>
      </c>
      <c r="J82" s="31" t="inlineStr">
        <is>
          <t>532163</t>
        </is>
      </c>
    </row>
    <row r="83">
      <c r="A83" s="31" t="inlineStr">
        <is>
          <t>GEOJITFSL</t>
        </is>
      </c>
      <c r="B83" s="31" t="inlineStr">
        <is>
          <t>Geojit Financial Services Ltd</t>
        </is>
      </c>
      <c r="C83" s="31" t="inlineStr">
        <is>
          <t>financials</t>
        </is>
      </c>
      <c r="D83" s="31" t="inlineStr">
        <is>
          <t>finance &amp; investments</t>
        </is>
      </c>
      <c r="E83" s="31" t="inlineStr">
        <is>
          <t>smallcap</t>
        </is>
      </c>
      <c r="F83" s="31" t="n">
        <v>2143.1</v>
      </c>
      <c r="G83" s="31" t="n">
        <v>80</v>
      </c>
      <c r="H83" s="31" t="n">
        <v>2.96</v>
      </c>
      <c r="I83" s="31" t="n">
        <v>824733</v>
      </c>
      <c r="J83" s="31" t="inlineStr">
        <is>
          <t>532285</t>
        </is>
      </c>
    </row>
    <row r="84">
      <c r="A84" s="31" t="inlineStr">
        <is>
          <t>ESABINDIA</t>
        </is>
      </c>
      <c r="B84" s="31" t="inlineStr">
        <is>
          <t>Esab India Limited</t>
        </is>
      </c>
      <c r="C84" s="31" t="inlineStr">
        <is>
          <t>industrials</t>
        </is>
      </c>
      <c r="D84" s="31" t="inlineStr">
        <is>
          <t>electrodes - welding equipment</t>
        </is>
      </c>
      <c r="E84" s="31" t="inlineStr">
        <is>
          <t>midcap</t>
        </is>
      </c>
      <c r="F84" s="31" t="n">
        <v>8959.51</v>
      </c>
      <c r="G84" s="31" t="n">
        <v>6200</v>
      </c>
      <c r="H84" s="31" t="n">
        <v>2.94</v>
      </c>
      <c r="I84" s="31" t="n">
        <v>28892</v>
      </c>
      <c r="J84" s="31" t="inlineStr">
        <is>
          <t>500133</t>
        </is>
      </c>
    </row>
    <row r="85">
      <c r="A85" s="31" t="inlineStr">
        <is>
          <t>NSLNISP</t>
        </is>
      </c>
      <c r="B85" s="31" t="inlineStr">
        <is>
          <t>NMDC Steel Ltd</t>
        </is>
      </c>
      <c r="C85" s="31" t="inlineStr">
        <is>
          <t>metals &amp; mining</t>
        </is>
      </c>
      <c r="D85" s="31" t="inlineStr">
        <is>
          <t>steel - large</t>
        </is>
      </c>
      <c r="E85" s="31" t="inlineStr">
        <is>
          <t>midcap</t>
        </is>
      </c>
      <c r="F85" s="31" t="n">
        <v>12938.62</v>
      </c>
      <c r="G85" s="31" t="n">
        <v>45.29</v>
      </c>
      <c r="H85" s="31" t="n">
        <v>2.93</v>
      </c>
      <c r="I85" s="31" t="n">
        <v>5732293</v>
      </c>
      <c r="J85" s="31" t="inlineStr">
        <is>
          <t>543768</t>
        </is>
      </c>
    </row>
    <row r="86">
      <c r="A86" s="31" t="inlineStr">
        <is>
          <t>GAEL</t>
        </is>
      </c>
      <c r="B86" s="31" t="inlineStr">
        <is>
          <t>Gujarat Ambuja Exports Limited</t>
        </is>
      </c>
      <c r="C86" s="31" t="inlineStr">
        <is>
          <t>fmcg</t>
        </is>
      </c>
      <c r="D86" s="31" t="inlineStr">
        <is>
          <t>miscellaneous</t>
        </is>
      </c>
      <c r="E86" s="31" t="inlineStr">
        <is>
          <t>midcap</t>
        </is>
      </c>
      <c r="F86" s="31" t="n">
        <v>7745.57</v>
      </c>
      <c r="G86" s="31" t="n">
        <v>170.18</v>
      </c>
      <c r="H86" s="31" t="n">
        <v>2.91</v>
      </c>
      <c r="I86" s="31" t="n">
        <v>564493</v>
      </c>
      <c r="J86" s="31" t="inlineStr">
        <is>
          <t>524226</t>
        </is>
      </c>
    </row>
    <row r="87">
      <c r="A87" s="31" t="inlineStr">
        <is>
          <t>KENNAMET</t>
        </is>
      </c>
      <c r="B87" s="31" t="inlineStr">
        <is>
          <t>Kennametal India Ltd</t>
        </is>
      </c>
      <c r="C87" s="31" t="inlineStr">
        <is>
          <t>industrials</t>
        </is>
      </c>
      <c r="D87" s="31" t="inlineStr">
        <is>
          <t>castings &amp; forgings</t>
        </is>
      </c>
      <c r="E87" s="31" t="inlineStr">
        <is>
          <t>midcap</t>
        </is>
      </c>
      <c r="F87" s="31" t="n">
        <v>7257</v>
      </c>
      <c r="G87" s="31" t="n">
        <v>3674.1</v>
      </c>
      <c r="H87" s="31" t="n">
        <v>2.85</v>
      </c>
      <c r="I87" s="31" t="n">
        <v>79894</v>
      </c>
      <c r="J87" s="31" t="inlineStr">
        <is>
          <t>505890</t>
        </is>
      </c>
    </row>
    <row r="88">
      <c r="A88" s="31" t="inlineStr">
        <is>
          <t>KALYANKJIL</t>
        </is>
      </c>
      <c r="B88" s="31" t="inlineStr">
        <is>
          <t>Kalyan Jewellers India Ltd</t>
        </is>
      </c>
      <c r="C88" s="31" t="inlineStr">
        <is>
          <t>consumer discretionary</t>
        </is>
      </c>
      <c r="D88" s="31" t="inlineStr">
        <is>
          <t>diamond cutting / jewellery</t>
        </is>
      </c>
      <c r="E88" s="31" t="inlineStr">
        <is>
          <t>largecap</t>
        </is>
      </c>
      <c r="F88" s="31" t="n">
        <v>62191.62</v>
      </c>
      <c r="G88" s="31" t="n">
        <v>613.4</v>
      </c>
      <c r="H88" s="31" t="n">
        <v>2.8</v>
      </c>
      <c r="I88" s="31" t="n">
        <v>32286360</v>
      </c>
      <c r="J88" s="31" t="inlineStr">
        <is>
          <t>543278</t>
        </is>
      </c>
    </row>
    <row r="89">
      <c r="A89" s="31" t="inlineStr">
        <is>
          <t>BDL</t>
        </is>
      </c>
      <c r="B89" s="31" t="inlineStr">
        <is>
          <t>Bharat Dynamics Ltd</t>
        </is>
      </c>
      <c r="C89" s="31" t="inlineStr">
        <is>
          <t>aerospace &amp; defence</t>
        </is>
      </c>
      <c r="D89" s="31" t="inlineStr">
        <is>
          <t>engineering</t>
        </is>
      </c>
      <c r="E89" s="31" t="inlineStr">
        <is>
          <t>largecap</t>
        </is>
      </c>
      <c r="F89" s="31" t="n">
        <v>47931.71</v>
      </c>
      <c r="G89" s="31" t="n">
        <v>1375.5</v>
      </c>
      <c r="H89" s="31" t="n">
        <v>2.65</v>
      </c>
      <c r="I89" s="31" t="n">
        <v>8277712</v>
      </c>
      <c r="J89" s="31" t="inlineStr">
        <is>
          <t>541143</t>
        </is>
      </c>
    </row>
    <row r="90">
      <c r="A90" s="31" t="inlineStr">
        <is>
          <t>HFCL</t>
        </is>
      </c>
      <c r="B90" s="31" t="inlineStr">
        <is>
          <t>HFCL Ltd</t>
        </is>
      </c>
      <c r="C90" s="31" t="inlineStr">
        <is>
          <t>telecom</t>
        </is>
      </c>
      <c r="D90" s="31" t="inlineStr">
        <is>
          <t>cables - telephone</t>
        </is>
      </c>
      <c r="E90" s="31" t="inlineStr">
        <is>
          <t>largecap</t>
        </is>
      </c>
      <c r="F90" s="31" t="n">
        <v>32791.63</v>
      </c>
      <c r="G90" s="31" t="n">
        <v>227.36</v>
      </c>
      <c r="H90" s="31" t="n">
        <v>2.64</v>
      </c>
      <c r="I90" s="31" t="n">
        <v>23585794</v>
      </c>
      <c r="J90" s="31" t="inlineStr">
        <is>
          <t>500183</t>
        </is>
      </c>
    </row>
    <row r="91">
      <c r="A91" s="31" t="inlineStr">
        <is>
          <t>GLAND</t>
        </is>
      </c>
      <c r="B91" s="31" t="inlineStr">
        <is>
          <t>Gland Pharma Ltd</t>
        </is>
      </c>
      <c r="C91" s="31" t="inlineStr">
        <is>
          <t>healthcare</t>
        </is>
      </c>
      <c r="D91" s="31" t="inlineStr">
        <is>
          <t>pharmaceuticals - indian - formulations</t>
        </is>
      </c>
      <c r="E91" s="31" t="inlineStr">
        <is>
          <t>largecap</t>
        </is>
      </c>
      <c r="F91" s="31" t="n">
        <v>48240.81</v>
      </c>
      <c r="G91" s="31" t="n">
        <v>2967.6</v>
      </c>
      <c r="H91" s="31" t="n">
        <v>2.64</v>
      </c>
      <c r="I91" s="31" t="n">
        <v>793051</v>
      </c>
      <c r="J91" s="31" t="inlineStr">
        <is>
          <t>543245</t>
        </is>
      </c>
    </row>
    <row r="92">
      <c r="A92" s="31" t="inlineStr">
        <is>
          <t>CARBORUNIV</t>
        </is>
      </c>
      <c r="B92" s="31" t="inlineStr">
        <is>
          <t>Carborundum Universal Limited</t>
        </is>
      </c>
      <c r="C92" s="31" t="inlineStr">
        <is>
          <t>industrials</t>
        </is>
      </c>
      <c r="D92" s="31" t="inlineStr">
        <is>
          <t>abrasives and grinding wheels</t>
        </is>
      </c>
      <c r="E92" s="31" t="inlineStr">
        <is>
          <t>largecap</t>
        </is>
      </c>
      <c r="F92" s="31" t="n">
        <v>22360.13</v>
      </c>
      <c r="G92" s="31" t="n">
        <v>1184.6</v>
      </c>
      <c r="H92" s="31" t="n">
        <v>2.63</v>
      </c>
      <c r="I92" s="31" t="n">
        <v>232967</v>
      </c>
      <c r="J92" s="31" t="inlineStr">
        <is>
          <t>513375</t>
        </is>
      </c>
    </row>
    <row r="93">
      <c r="A93" s="31" t="inlineStr">
        <is>
          <t>CARERATING</t>
        </is>
      </c>
      <c r="B93" s="31" t="inlineStr">
        <is>
          <t>CARE Ratings Ltd</t>
        </is>
      </c>
      <c r="C93" s="31" t="inlineStr">
        <is>
          <t>financials</t>
        </is>
      </c>
      <c r="D93" s="31" t="inlineStr">
        <is>
          <t>miscellaneous</t>
        </is>
      </c>
      <c r="E93" s="31" t="inlineStr">
        <is>
          <t>midcap</t>
        </is>
      </c>
      <c r="F93" s="31" t="n">
        <v>5076</v>
      </c>
      <c r="G93" s="31" t="n">
        <v>1732</v>
      </c>
      <c r="H93" s="31" t="n">
        <v>2.63</v>
      </c>
      <c r="I93" s="31" t="n">
        <v>33451</v>
      </c>
      <c r="J93" s="31" t="inlineStr">
        <is>
          <t>534804</t>
        </is>
      </c>
    </row>
    <row r="94">
      <c r="A94" s="31" t="inlineStr">
        <is>
          <t>KDDL</t>
        </is>
      </c>
      <c r="B94" s="31" t="inlineStr">
        <is>
          <t>Kddl Limited</t>
        </is>
      </c>
      <c r="C94" s="31" t="inlineStr">
        <is>
          <t>consumer discretionary</t>
        </is>
      </c>
      <c r="D94" s="31" t="inlineStr">
        <is>
          <t>miscellaneous</t>
        </is>
      </c>
      <c r="E94" s="31" t="inlineStr">
        <is>
          <t>smallcap</t>
        </is>
      </c>
      <c r="F94" s="31" t="n">
        <v>4725.63</v>
      </c>
      <c r="G94" s="31" t="n">
        <v>3950.1</v>
      </c>
      <c r="H94" s="31" t="n">
        <v>2.58</v>
      </c>
      <c r="I94" s="31" t="n">
        <v>22301</v>
      </c>
      <c r="J94" s="31" t="inlineStr">
        <is>
          <t>532054</t>
        </is>
      </c>
    </row>
    <row r="95">
      <c r="A95" s="31" t="inlineStr">
        <is>
          <t>OBEROIRLTY</t>
        </is>
      </c>
      <c r="B95" s="31" t="inlineStr">
        <is>
          <t>Oberoi Realty Limited</t>
        </is>
      </c>
      <c r="C95" s="31" t="inlineStr">
        <is>
          <t>realty</t>
        </is>
      </c>
      <c r="D95" s="31" t="inlineStr">
        <is>
          <t>construction</t>
        </is>
      </c>
      <c r="E95" s="31" t="inlineStr">
        <is>
          <t>largecap</t>
        </is>
      </c>
      <c r="F95" s="31" t="n">
        <v>65215.7</v>
      </c>
      <c r="G95" s="31" t="n">
        <v>1846</v>
      </c>
      <c r="H95" s="31" t="n">
        <v>2.56</v>
      </c>
      <c r="I95" s="31" t="n">
        <v>1629454</v>
      </c>
      <c r="J95" s="31" t="inlineStr">
        <is>
          <t>533273</t>
        </is>
      </c>
    </row>
    <row r="96">
      <c r="A96" s="31" t="inlineStr">
        <is>
          <t>HONASA</t>
        </is>
      </c>
      <c r="B96" s="31" t="inlineStr">
        <is>
          <t>Honasa Consumer Ltd</t>
        </is>
      </c>
      <c r="C96" s="31" t="inlineStr">
        <is>
          <t>services</t>
        </is>
      </c>
      <c r="D96" s="31" t="inlineStr">
        <is>
          <t>trading</t>
        </is>
      </c>
      <c r="E96" s="31" t="inlineStr">
        <is>
          <t>midcap</t>
        </is>
      </c>
      <c r="F96" s="31" t="n">
        <v>15235.11</v>
      </c>
      <c r="G96" s="31" t="n">
        <v>479</v>
      </c>
      <c r="H96" s="31" t="n">
        <v>2.48</v>
      </c>
      <c r="I96" s="31" t="n">
        <v>2523334</v>
      </c>
      <c r="J96" s="31" t="inlineStr">
        <is>
          <t>544014</t>
        </is>
      </c>
    </row>
    <row r="97">
      <c r="A97" s="31" t="inlineStr">
        <is>
          <t>PAYTM</t>
        </is>
      </c>
      <c r="B97" s="31" t="inlineStr">
        <is>
          <t>One 97 Communications Ltd</t>
        </is>
      </c>
      <c r="C97" s="31" t="inlineStr">
        <is>
          <t>i.t</t>
        </is>
      </c>
      <c r="D97" s="31" t="inlineStr">
        <is>
          <t>miscellaneous</t>
        </is>
      </c>
      <c r="E97" s="31" t="inlineStr">
        <is>
          <t>largecap</t>
        </is>
      </c>
      <c r="F97" s="31" t="n">
        <v>102050.51</v>
      </c>
      <c r="G97" s="31" t="n">
        <v>1649.5</v>
      </c>
      <c r="H97" s="31" t="n">
        <v>2.45</v>
      </c>
      <c r="I97" s="31" t="n">
        <v>6117382</v>
      </c>
      <c r="J97" s="31" t="inlineStr">
        <is>
          <t>543396</t>
        </is>
      </c>
    </row>
    <row r="98">
      <c r="A98" s="31" t="inlineStr">
        <is>
          <t>ANDHRSUGAR</t>
        </is>
      </c>
      <c r="B98" s="31" t="inlineStr">
        <is>
          <t>The Andhra Sugars Limited</t>
        </is>
      </c>
      <c r="C98" s="31" t="inlineStr">
        <is>
          <t>chemicals</t>
        </is>
      </c>
      <c r="D98" s="31" t="inlineStr">
        <is>
          <t>chlor alkali / soda ash</t>
        </is>
      </c>
      <c r="E98" s="31" t="inlineStr">
        <is>
          <t>smallcap</t>
        </is>
      </c>
      <c r="F98" s="31" t="n">
        <v>1344.51</v>
      </c>
      <c r="G98" s="31" t="n">
        <v>100.43</v>
      </c>
      <c r="H98" s="31" t="n">
        <v>2.38</v>
      </c>
      <c r="I98" s="31" t="n">
        <v>1016715</v>
      </c>
      <c r="J98" s="31" t="inlineStr">
        <is>
          <t>590062</t>
        </is>
      </c>
    </row>
    <row r="99">
      <c r="A99" s="31" t="inlineStr">
        <is>
          <t>SOMANYCERA</t>
        </is>
      </c>
      <c r="B99" s="31" t="inlineStr">
        <is>
          <t>Somany Ceramics Limited</t>
        </is>
      </c>
      <c r="C99" s="31" t="inlineStr">
        <is>
          <t>building materials</t>
        </is>
      </c>
      <c r="D99" s="31" t="inlineStr">
        <is>
          <t>ceramics - tiles / sanitaryware</t>
        </is>
      </c>
      <c r="E99" s="31" t="inlineStr">
        <is>
          <t>smallcap</t>
        </is>
      </c>
      <c r="F99" s="31" t="n">
        <v>2092.68</v>
      </c>
      <c r="G99" s="31" t="n">
        <v>519.15</v>
      </c>
      <c r="H99" s="31" t="n">
        <v>2.18</v>
      </c>
      <c r="I99" s="31" t="n">
        <v>2044121</v>
      </c>
      <c r="J99" s="31" t="inlineStr">
        <is>
          <t>531548</t>
        </is>
      </c>
    </row>
    <row r="100">
      <c r="A100" s="31" t="inlineStr">
        <is>
          <t>MANALIPETC</t>
        </is>
      </c>
      <c r="B100" s="31" t="inlineStr">
        <is>
          <t>Manali Petrochemicals Limited</t>
        </is>
      </c>
      <c r="C100" s="31" t="inlineStr">
        <is>
          <t>energy</t>
        </is>
      </c>
      <c r="D100" s="31" t="inlineStr">
        <is>
          <t>petrochemicals</t>
        </is>
      </c>
      <c r="E100" s="31" t="inlineStr">
        <is>
          <t>smallcap</t>
        </is>
      </c>
      <c r="F100" s="31" t="n">
        <v>1127.11</v>
      </c>
      <c r="G100" s="31" t="n">
        <v>68.83</v>
      </c>
      <c r="H100" s="31" t="n">
        <v>2.14</v>
      </c>
      <c r="I100" s="31" t="n">
        <v>977060</v>
      </c>
      <c r="J100" s="31" t="inlineStr">
        <is>
          <t>500268</t>
        </is>
      </c>
    </row>
    <row r="101">
      <c r="A101" s="31" t="inlineStr">
        <is>
          <t>AJANTPHARM</t>
        </is>
      </c>
      <c r="B101" s="31" t="inlineStr">
        <is>
          <t>Ajanta Pharma Limited</t>
        </is>
      </c>
      <c r="C101" s="31" t="inlineStr">
        <is>
          <t>healthcare</t>
        </is>
      </c>
      <c r="D101" s="31" t="inlineStr">
        <is>
          <t>pharmaceuticals - indian - formulations</t>
        </is>
      </c>
      <c r="E101" s="31" t="inlineStr">
        <is>
          <t>largecap</t>
        </is>
      </c>
      <c r="F101" s="31" t="n">
        <v>43814.92</v>
      </c>
      <c r="G101" s="31" t="n">
        <v>3616</v>
      </c>
      <c r="H101" s="31" t="n">
        <v>2.12</v>
      </c>
      <c r="I101" s="31" t="n">
        <v>136792</v>
      </c>
      <c r="J101" s="31" t="inlineStr">
        <is>
          <t>532331</t>
        </is>
      </c>
    </row>
    <row r="102">
      <c r="A102" s="31" t="inlineStr">
        <is>
          <t>HSCL</t>
        </is>
      </c>
      <c r="B102" s="31" t="inlineStr">
        <is>
          <t>Himadri Speciality Chemical Limited</t>
        </is>
      </c>
      <c r="C102" s="31" t="inlineStr">
        <is>
          <t>chemicals</t>
        </is>
      </c>
      <c r="D102" s="31" t="inlineStr">
        <is>
          <t>chemicals</t>
        </is>
      </c>
      <c r="E102" s="31" t="inlineStr">
        <is>
          <t>largecap</t>
        </is>
      </c>
      <c r="F102" s="31" t="n">
        <v>38118.12</v>
      </c>
      <c r="G102" s="31" t="n">
        <v>778.15</v>
      </c>
      <c r="H102" s="31" t="n">
        <v>2.07</v>
      </c>
      <c r="I102" s="31" t="n">
        <v>3575841</v>
      </c>
      <c r="J102" s="31" t="inlineStr">
        <is>
          <t>500184</t>
        </is>
      </c>
    </row>
    <row r="103">
      <c r="A103" s="31" t="inlineStr">
        <is>
          <t>ADOR</t>
        </is>
      </c>
      <c r="B103" s="31" t="inlineStr">
        <is>
          <t>Ador Welding Ltd</t>
        </is>
      </c>
      <c r="C103" s="31" t="inlineStr">
        <is>
          <t>industrials</t>
        </is>
      </c>
      <c r="D103" s="31" t="inlineStr">
        <is>
          <t>electrodes - welding equipment</t>
        </is>
      </c>
      <c r="E103" s="31" t="inlineStr">
        <is>
          <t>smallcap</t>
        </is>
      </c>
      <c r="F103" s="31" t="n">
        <v>2620.17</v>
      </c>
      <c r="G103" s="31" t="n">
        <v>1509</v>
      </c>
      <c r="H103" s="31" t="n">
        <v>2.05</v>
      </c>
      <c r="I103" s="31" t="n">
        <v>23945</v>
      </c>
      <c r="J103" s="31" t="inlineStr">
        <is>
          <t>517041</t>
        </is>
      </c>
    </row>
    <row r="104">
      <c r="A104" s="31" t="inlineStr">
        <is>
          <t>ANANTRAJ</t>
        </is>
      </c>
      <c r="B104" s="31" t="inlineStr">
        <is>
          <t>Anant Raj Limited</t>
        </is>
      </c>
      <c r="C104" s="31" t="inlineStr">
        <is>
          <t>realty</t>
        </is>
      </c>
      <c r="D104" s="31" t="inlineStr">
        <is>
          <t>construction</t>
        </is>
      </c>
      <c r="E104" s="31" t="inlineStr">
        <is>
          <t>largecap</t>
        </is>
      </c>
      <c r="F104" s="31" t="n">
        <v>21817.54</v>
      </c>
      <c r="G104" s="31" t="n">
        <v>627.05</v>
      </c>
      <c r="H104" s="31" t="n">
        <v>2.02</v>
      </c>
      <c r="I104" s="31" t="n">
        <v>2147193</v>
      </c>
      <c r="J104" s="31" t="inlineStr">
        <is>
          <t>515055</t>
        </is>
      </c>
    </row>
    <row r="105">
      <c r="A105" s="31" t="inlineStr">
        <is>
          <t>PITTIENG</t>
        </is>
      </c>
      <c r="B105" s="31" t="inlineStr">
        <is>
          <t>Pitti Engineering Ltd</t>
        </is>
      </c>
      <c r="C105" s="31" t="inlineStr">
        <is>
          <t>industrials</t>
        </is>
      </c>
      <c r="D105" s="31" t="inlineStr">
        <is>
          <t>engineering</t>
        </is>
      </c>
      <c r="E105" s="31" t="inlineStr">
        <is>
          <t>smallcap</t>
        </is>
      </c>
      <c r="F105" s="31" t="n">
        <v>3616.06</v>
      </c>
      <c r="G105" s="31" t="n">
        <v>1064.95</v>
      </c>
      <c r="H105" s="31" t="n">
        <v>2</v>
      </c>
      <c r="I105" s="31" t="n">
        <v>344293</v>
      </c>
      <c r="J105" s="31" t="inlineStr">
        <is>
          <t>513519</t>
        </is>
      </c>
    </row>
    <row r="106">
      <c r="A106" s="31" t="inlineStr">
        <is>
          <t>RPTECH</t>
        </is>
      </c>
      <c r="B106" s="31" t="inlineStr">
        <is>
          <t>Rashi Peripherals Ltd</t>
        </is>
      </c>
      <c r="C106" s="31" t="inlineStr">
        <is>
          <t>services</t>
        </is>
      </c>
      <c r="D106" s="31" t="inlineStr">
        <is>
          <t>trading</t>
        </is>
      </c>
      <c r="E106" s="31" t="inlineStr">
        <is>
          <t>midcap</t>
        </is>
      </c>
      <c r="F106" s="31" t="n">
        <v>5850.57</v>
      </c>
      <c r="G106" s="31" t="n">
        <v>871.75</v>
      </c>
      <c r="H106" s="31" t="n">
        <v>1.97</v>
      </c>
      <c r="I106" s="31" t="n">
        <v>237152</v>
      </c>
      <c r="J106" s="31" t="n"/>
    </row>
    <row r="107">
      <c r="A107" s="31" t="inlineStr">
        <is>
          <t>ENTERO</t>
        </is>
      </c>
      <c r="B107" s="31" t="inlineStr">
        <is>
          <t>Entero Healthcare Solutions Ltd</t>
        </is>
      </c>
      <c r="C107" s="31" t="inlineStr">
        <is>
          <t>healthcare</t>
        </is>
      </c>
      <c r="D107" s="31" t="inlineStr">
        <is>
          <t>trading</t>
        </is>
      </c>
      <c r="E107" s="31" t="inlineStr">
        <is>
          <t>midcap</t>
        </is>
      </c>
      <c r="F107" s="31" t="n">
        <v>6211.61</v>
      </c>
      <c r="G107" s="31" t="n">
        <v>1448</v>
      </c>
      <c r="H107" s="31" t="n">
        <v>1.95</v>
      </c>
      <c r="I107" s="31" t="n">
        <v>228095</v>
      </c>
      <c r="J107" s="31" t="inlineStr">
        <is>
          <t>544122</t>
        </is>
      </c>
    </row>
    <row r="108">
      <c r="A108" s="31" t="inlineStr">
        <is>
          <t>REDINGTON</t>
        </is>
      </c>
      <c r="B108" s="31" t="inlineStr">
        <is>
          <t>Redington (india) Limited</t>
        </is>
      </c>
      <c r="C108" s="31" t="inlineStr">
        <is>
          <t>services</t>
        </is>
      </c>
      <c r="D108" s="31" t="inlineStr">
        <is>
          <t>trading</t>
        </is>
      </c>
      <c r="E108" s="31" t="inlineStr">
        <is>
          <t>largecap</t>
        </is>
      </c>
      <c r="F108" s="31" t="n">
        <v>27717.81</v>
      </c>
      <c r="G108" s="31" t="n">
        <v>346</v>
      </c>
      <c r="H108" s="31" t="n">
        <v>1.94</v>
      </c>
      <c r="I108" s="31" t="n">
        <v>2357801</v>
      </c>
      <c r="J108" s="31" t="inlineStr">
        <is>
          <t>532805</t>
        </is>
      </c>
    </row>
    <row r="109">
      <c r="A109" s="31" t="inlineStr">
        <is>
          <t>LODHA</t>
        </is>
      </c>
      <c r="B109" s="31" t="inlineStr">
        <is>
          <t>Lodha Developers Ltd</t>
        </is>
      </c>
      <c r="C109" s="31" t="inlineStr">
        <is>
          <t>realty</t>
        </is>
      </c>
      <c r="D109" s="31" t="inlineStr">
        <is>
          <t>construction</t>
        </is>
      </c>
      <c r="E109" s="31" t="inlineStr">
        <is>
          <t>largecap</t>
        </is>
      </c>
      <c r="F109" s="31" t="n">
        <v>121090.24</v>
      </c>
      <c r="G109" s="31" t="n">
        <v>1232.3</v>
      </c>
      <c r="H109" s="31" t="n">
        <v>1.93</v>
      </c>
      <c r="I109" s="31" t="n">
        <v>2423103</v>
      </c>
      <c r="J109" s="31" t="inlineStr">
        <is>
          <t>543287</t>
        </is>
      </c>
    </row>
    <row r="110">
      <c r="A110" s="31" t="inlineStr">
        <is>
          <t>SUBEXLTD</t>
        </is>
      </c>
      <c r="B110" s="31" t="inlineStr">
        <is>
          <t>Subex Ltd</t>
        </is>
      </c>
      <c r="C110" s="31" t="inlineStr">
        <is>
          <t>i.t</t>
        </is>
      </c>
      <c r="D110" s="31" t="inlineStr">
        <is>
          <t>computers - software - medium / small</t>
        </is>
      </c>
      <c r="E110" s="31" t="inlineStr">
        <is>
          <t>smallcap</t>
        </is>
      </c>
      <c r="F110" s="31" t="n">
        <v>785.12</v>
      </c>
      <c r="G110" s="31" t="n">
        <v>13.73</v>
      </c>
      <c r="H110" s="31" t="n">
        <v>1.93</v>
      </c>
      <c r="I110" s="31" t="n">
        <v>856615</v>
      </c>
      <c r="J110" s="31" t="inlineStr">
        <is>
          <t>532348</t>
        </is>
      </c>
    </row>
    <row r="111">
      <c r="A111" s="31" t="inlineStr">
        <is>
          <t>PANACHE</t>
        </is>
      </c>
      <c r="B111" s="31" t="inlineStr">
        <is>
          <t>Panache Digilife Ltd</t>
        </is>
      </c>
      <c r="C111" s="31" t="inlineStr">
        <is>
          <t>i.t</t>
        </is>
      </c>
      <c r="D111" s="31" t="inlineStr">
        <is>
          <t>computers - hardware</t>
        </is>
      </c>
      <c r="E111" s="31" t="inlineStr">
        <is>
          <t>smallcap</t>
        </is>
      </c>
      <c r="F111" s="31" t="n">
        <v>805.58</v>
      </c>
      <c r="G111" s="31" t="n">
        <v>500</v>
      </c>
      <c r="H111" s="31" t="n">
        <v>1.93</v>
      </c>
      <c r="I111" s="31" t="n">
        <v>22383</v>
      </c>
      <c r="J111" s="31" t="inlineStr">
        <is>
          <t>538424</t>
        </is>
      </c>
    </row>
    <row r="112">
      <c r="A112" s="31" t="inlineStr">
        <is>
          <t>GRINDWELL</t>
        </is>
      </c>
      <c r="B112" s="31" t="inlineStr">
        <is>
          <t>Grindwell Norton Limited</t>
        </is>
      </c>
      <c r="C112" s="31" t="inlineStr">
        <is>
          <t>industrials</t>
        </is>
      </c>
      <c r="D112" s="31" t="inlineStr">
        <is>
          <t>abrasives and grinding wheels</t>
        </is>
      </c>
      <c r="E112" s="31" t="inlineStr">
        <is>
          <t>largecap</t>
        </is>
      </c>
      <c r="F112" s="31" t="n">
        <v>23038.62</v>
      </c>
      <c r="G112" s="31" t="n">
        <v>2146.3</v>
      </c>
      <c r="H112" s="31" t="n">
        <v>1.9</v>
      </c>
      <c r="I112" s="31" t="n">
        <v>17532</v>
      </c>
      <c r="J112" s="31" t="inlineStr">
        <is>
          <t>506076</t>
        </is>
      </c>
    </row>
    <row r="113">
      <c r="A113" s="31" t="inlineStr">
        <is>
          <t>360ONE</t>
        </is>
      </c>
      <c r="B113" s="31" t="inlineStr">
        <is>
          <t>360 ONE WAM Ltd</t>
        </is>
      </c>
      <c r="C113" s="31" t="inlineStr">
        <is>
          <t>financials</t>
        </is>
      </c>
      <c r="D113" s="31" t="inlineStr">
        <is>
          <t>finance &amp; investments</t>
        </is>
      </c>
      <c r="E113" s="31" t="inlineStr">
        <is>
          <t>largecap</t>
        </is>
      </c>
      <c r="F113" s="31" t="n">
        <v>47500.81</v>
      </c>
      <c r="G113" s="31" t="n">
        <v>1183</v>
      </c>
      <c r="H113" s="31" t="n">
        <v>1.89</v>
      </c>
      <c r="I113" s="31" t="n">
        <v>770015</v>
      </c>
      <c r="J113" s="31" t="inlineStr">
        <is>
          <t>542772</t>
        </is>
      </c>
    </row>
    <row r="114">
      <c r="A114" s="31" t="inlineStr">
        <is>
          <t>SANATHAN</t>
        </is>
      </c>
      <c r="B114" s="31" t="inlineStr">
        <is>
          <t>Sanathan Textiles Ltd</t>
        </is>
      </c>
      <c r="C114" s="31" t="inlineStr">
        <is>
          <t>textiles</t>
        </is>
      </c>
      <c r="D114" s="31" t="inlineStr">
        <is>
          <t>textiles - cotton/blended</t>
        </is>
      </c>
      <c r="E114" s="31" t="inlineStr">
        <is>
          <t>smallcap</t>
        </is>
      </c>
      <c r="F114" s="31" t="n">
        <v>4232.02</v>
      </c>
      <c r="G114" s="31" t="n">
        <v>484.8</v>
      </c>
      <c r="H114" s="31" t="n">
        <v>1.88</v>
      </c>
      <c r="I114" s="31" t="n">
        <v>17230</v>
      </c>
      <c r="J114" s="31" t="inlineStr">
        <is>
          <t>544314</t>
        </is>
      </c>
    </row>
    <row r="115">
      <c r="A115" s="31" t="inlineStr">
        <is>
          <t>HEG</t>
        </is>
      </c>
      <c r="B115" s="31" t="inlineStr">
        <is>
          <t>Heg Limited</t>
        </is>
      </c>
      <c r="C115" s="31" t="inlineStr">
        <is>
          <t>industrials</t>
        </is>
      </c>
      <c r="D115" s="31" t="inlineStr">
        <is>
          <t>electrodes - graphites</t>
        </is>
      </c>
      <c r="E115" s="31" t="inlineStr">
        <is>
          <t>midcap</t>
        </is>
      </c>
      <c r="F115" s="31" t="n">
        <v>13088.7</v>
      </c>
      <c r="G115" s="31" t="n">
        <v>687</v>
      </c>
      <c r="H115" s="31" t="n">
        <v>1.88</v>
      </c>
      <c r="I115" s="31" t="n">
        <v>1212142</v>
      </c>
      <c r="J115" s="31" t="inlineStr">
        <is>
          <t>509631</t>
        </is>
      </c>
    </row>
    <row r="116">
      <c r="A116" s="31" t="inlineStr">
        <is>
          <t>GRPLTD</t>
        </is>
      </c>
      <c r="B116" s="31" t="inlineStr">
        <is>
          <t>Grp Limited</t>
        </is>
      </c>
      <c r="C116" s="31" t="inlineStr">
        <is>
          <t>fmcg</t>
        </is>
      </c>
      <c r="D116" s="31" t="inlineStr">
        <is>
          <t>miscellaneous</t>
        </is>
      </c>
      <c r="E116" s="31" t="inlineStr">
        <is>
          <t>smallcap</t>
        </is>
      </c>
      <c r="F116" s="31" t="n">
        <v>1027.15</v>
      </c>
      <c r="G116" s="31" t="n">
        <v>2013</v>
      </c>
      <c r="H116" s="31" t="n">
        <v>1.84</v>
      </c>
      <c r="I116" s="31" t="n">
        <v>1464</v>
      </c>
      <c r="J116" s="31" t="inlineStr">
        <is>
          <t>509152</t>
        </is>
      </c>
    </row>
    <row r="117">
      <c r="A117" s="31" t="inlineStr">
        <is>
          <t>GLAXO</t>
        </is>
      </c>
      <c r="B117" s="31" t="inlineStr">
        <is>
          <t>Glaxosmithkline Pharmaceuticals Limited</t>
        </is>
      </c>
      <c r="C117" s="31" t="inlineStr">
        <is>
          <t>healthcare</t>
        </is>
      </c>
      <c r="D117" s="31" t="inlineStr">
        <is>
          <t>pharmaceuticals - multinational</t>
        </is>
      </c>
      <c r="E117" s="31" t="inlineStr">
        <is>
          <t>largecap</t>
        </is>
      </c>
      <c r="F117" s="31" t="n">
        <v>44077.76</v>
      </c>
      <c r="G117" s="31" t="n">
        <v>2667.7</v>
      </c>
      <c r="H117" s="31" t="n">
        <v>1.81</v>
      </c>
      <c r="I117" s="31" t="n">
        <v>59367</v>
      </c>
      <c r="J117" s="31" t="inlineStr">
        <is>
          <t>500660</t>
        </is>
      </c>
    </row>
    <row r="118">
      <c r="A118" s="31" t="inlineStr">
        <is>
          <t>THELEELA</t>
        </is>
      </c>
      <c r="B118" s="31" t="inlineStr">
        <is>
          <t>Leela Palaces Hotels &amp; Resorts Ltd</t>
        </is>
      </c>
      <c r="C118" s="31" t="inlineStr">
        <is>
          <t>services</t>
        </is>
      </c>
      <c r="D118" s="31" t="inlineStr">
        <is>
          <t>hotels</t>
        </is>
      </c>
      <c r="E118" s="31" t="inlineStr">
        <is>
          <t>midcap</t>
        </is>
      </c>
      <c r="F118" s="31" t="n">
        <v>17106.99</v>
      </c>
      <c r="G118" s="31" t="n">
        <v>508.45</v>
      </c>
      <c r="H118" s="31" t="n">
        <v>1.74</v>
      </c>
      <c r="I118" s="31" t="n">
        <v>370862</v>
      </c>
      <c r="J118" s="31" t="inlineStr">
        <is>
          <t>544408</t>
        </is>
      </c>
    </row>
    <row r="119">
      <c r="A119" s="31" t="inlineStr">
        <is>
          <t>MTARTECH</t>
        </is>
      </c>
      <c r="B119" s="31" t="inlineStr">
        <is>
          <t>MTAR Technologies Ltd</t>
        </is>
      </c>
      <c r="C119" s="31" t="inlineStr">
        <is>
          <t>aerospace &amp; defence</t>
        </is>
      </c>
      <c r="D119" s="31" t="inlineStr">
        <is>
          <t>engineering</t>
        </is>
      </c>
      <c r="E119" s="31" t="inlineStr">
        <is>
          <t>largecap</t>
        </is>
      </c>
      <c r="F119" s="31" t="n">
        <v>21202.59</v>
      </c>
      <c r="G119" s="31" t="n">
        <v>7234</v>
      </c>
      <c r="H119" s="31" t="n">
        <v>1.72</v>
      </c>
      <c r="I119" s="31" t="n">
        <v>139398</v>
      </c>
      <c r="J119" s="31" t="inlineStr">
        <is>
          <t>543270</t>
        </is>
      </c>
    </row>
    <row r="120">
      <c r="A120" s="31" t="inlineStr">
        <is>
          <t>TINNARUBR</t>
        </is>
      </c>
      <c r="B120" s="31" t="inlineStr">
        <is>
          <t>Tinna Rubber &amp; Infrastructure Ltd</t>
        </is>
      </c>
      <c r="C120" s="31" t="inlineStr">
        <is>
          <t>fmcg</t>
        </is>
      </c>
      <c r="D120" s="31" t="inlineStr">
        <is>
          <t>miscellaneous</t>
        </is>
      </c>
      <c r="E120" s="31" t="inlineStr">
        <is>
          <t>smallcap</t>
        </is>
      </c>
      <c r="F120" s="31" t="n">
        <v>2048.93</v>
      </c>
      <c r="G120" s="31" t="n">
        <v>1102.8</v>
      </c>
      <c r="H120" s="31" t="n">
        <v>1.72</v>
      </c>
      <c r="I120" s="31" t="n">
        <v>66796</v>
      </c>
      <c r="J120" s="31" t="inlineStr">
        <is>
          <t>530475</t>
        </is>
      </c>
    </row>
    <row r="121">
      <c r="A121" s="31" t="inlineStr">
        <is>
          <t>CUPID</t>
        </is>
      </c>
      <c r="B121" s="31" t="inlineStr">
        <is>
          <t>Cupid Limited</t>
        </is>
      </c>
      <c r="C121" s="31" t="inlineStr">
        <is>
          <t>fmcg</t>
        </is>
      </c>
      <c r="D121" s="31" t="inlineStr">
        <is>
          <t>personal care - indian</t>
        </is>
      </c>
      <c r="E121" s="31" t="inlineStr">
        <is>
          <t>largecap</t>
        </is>
      </c>
      <c r="F121" s="31" t="n">
        <v>37200.04</v>
      </c>
      <c r="G121" s="31" t="n">
        <v>294.86</v>
      </c>
      <c r="H121" s="31" t="n">
        <v>1.72</v>
      </c>
      <c r="I121" s="31" t="n">
        <v>46358975</v>
      </c>
      <c r="J121" s="31" t="inlineStr">
        <is>
          <t>530843</t>
        </is>
      </c>
    </row>
    <row r="122">
      <c r="A122" s="31" t="inlineStr">
        <is>
          <t>RAJRATAN</t>
        </is>
      </c>
      <c r="B122" s="31" t="inlineStr">
        <is>
          <t>Rajratan Global Wire Ltd</t>
        </is>
      </c>
      <c r="C122" s="31" t="inlineStr">
        <is>
          <t>metals &amp; mining</t>
        </is>
      </c>
      <c r="D122" s="31" t="inlineStr">
        <is>
          <t>steel - medium / small</t>
        </is>
      </c>
      <c r="E122" s="31" t="inlineStr">
        <is>
          <t>smallcap</t>
        </is>
      </c>
      <c r="F122" s="31" t="n">
        <v>2632.98</v>
      </c>
      <c r="G122" s="31" t="n">
        <v>527.25</v>
      </c>
      <c r="H122" s="31" t="n">
        <v>1.69</v>
      </c>
      <c r="I122" s="31" t="n">
        <v>90303</v>
      </c>
      <c r="J122" s="31" t="inlineStr">
        <is>
          <t>517522</t>
        </is>
      </c>
    </row>
    <row r="123">
      <c r="A123" s="31" t="inlineStr">
        <is>
          <t>IPCALAB</t>
        </is>
      </c>
      <c r="B123" s="31" t="inlineStr">
        <is>
          <t>Ipca Laboratories Limited</t>
        </is>
      </c>
      <c r="C123" s="31" t="inlineStr">
        <is>
          <t>healthcare</t>
        </is>
      </c>
      <c r="D123" s="31" t="inlineStr">
        <is>
          <t>pharmaceuticals - indian - bulk drugs &amp; formln</t>
        </is>
      </c>
      <c r="E123" s="31" t="inlineStr">
        <is>
          <t>largecap</t>
        </is>
      </c>
      <c r="F123" s="31" t="n">
        <v>44357.65</v>
      </c>
      <c r="G123" s="31" t="n">
        <v>1796.3</v>
      </c>
      <c r="H123" s="31" t="n">
        <v>1.68</v>
      </c>
      <c r="I123" s="31" t="n">
        <v>1835516</v>
      </c>
      <c r="J123" s="31" t="inlineStr">
        <is>
          <t>524494</t>
        </is>
      </c>
    </row>
    <row r="124">
      <c r="A124" s="31" t="inlineStr">
        <is>
          <t>OIL</t>
        </is>
      </c>
      <c r="B124" s="31" t="inlineStr">
        <is>
          <t>Oil India Limited</t>
        </is>
      </c>
      <c r="C124" s="31" t="inlineStr">
        <is>
          <t>energy</t>
        </is>
      </c>
      <c r="D124" s="31" t="inlineStr">
        <is>
          <t>oil drilling / allied services</t>
        </is>
      </c>
      <c r="E124" s="31" t="inlineStr">
        <is>
          <t>largecap</t>
        </is>
      </c>
      <c r="F124" s="31" t="n">
        <v>76507.5</v>
      </c>
      <c r="G124" s="31" t="n">
        <v>479.8</v>
      </c>
      <c r="H124" s="31" t="n">
        <v>1.65</v>
      </c>
      <c r="I124" s="31" t="n">
        <v>3904296</v>
      </c>
      <c r="J124" s="31" t="inlineStr">
        <is>
          <t>533106</t>
        </is>
      </c>
    </row>
    <row r="125">
      <c r="A125" s="31" t="inlineStr">
        <is>
          <t>AVADHSUGAR</t>
        </is>
      </c>
      <c r="B125" s="31" t="inlineStr">
        <is>
          <t>Avadh Sugar &amp; Energy</t>
        </is>
      </c>
      <c r="C125" s="31" t="inlineStr">
        <is>
          <t>fmcg</t>
        </is>
      </c>
      <c r="D125" s="31" t="inlineStr">
        <is>
          <t>sugar</t>
        </is>
      </c>
      <c r="E125" s="31" t="inlineStr">
        <is>
          <t>smallcap</t>
        </is>
      </c>
      <c r="F125" s="31" t="n">
        <v>1270.77</v>
      </c>
      <c r="G125" s="31" t="n">
        <v>637.2</v>
      </c>
      <c r="H125" s="31" t="n">
        <v>1.63</v>
      </c>
      <c r="I125" s="31" t="n">
        <v>180144</v>
      </c>
      <c r="J125" s="31" t="inlineStr">
        <is>
          <t>540649</t>
        </is>
      </c>
    </row>
    <row r="126">
      <c r="A126" s="31" t="inlineStr">
        <is>
          <t>IIFL</t>
        </is>
      </c>
      <c r="B126" s="31" t="inlineStr">
        <is>
          <t>IIFL Finance Ltd</t>
        </is>
      </c>
      <c r="C126" s="31" t="inlineStr">
        <is>
          <t>financials</t>
        </is>
      </c>
      <c r="D126" s="31" t="inlineStr">
        <is>
          <t>finance &amp; investments</t>
        </is>
      </c>
      <c r="E126" s="31" t="inlineStr">
        <is>
          <t>largecap</t>
        </is>
      </c>
      <c r="F126" s="31" t="n">
        <v>26338.25</v>
      </c>
      <c r="G126" s="31" t="n">
        <v>635.95</v>
      </c>
      <c r="H126" s="31" t="n">
        <v>1.63</v>
      </c>
      <c r="I126" s="31" t="n">
        <v>2076609</v>
      </c>
      <c r="J126" s="31" t="inlineStr">
        <is>
          <t>532636</t>
        </is>
      </c>
    </row>
    <row r="127">
      <c r="A127" s="31" t="inlineStr">
        <is>
          <t>RRKABEL</t>
        </is>
      </c>
      <c r="B127" s="31" t="inlineStr">
        <is>
          <t>R R Kabel Ltd</t>
        </is>
      </c>
      <c r="C127" s="31" t="inlineStr">
        <is>
          <t>industrials</t>
        </is>
      </c>
      <c r="D127" s="31" t="inlineStr">
        <is>
          <t>cables - power</t>
        </is>
      </c>
      <c r="E127" s="31" t="inlineStr">
        <is>
          <t>largecap</t>
        </is>
      </c>
      <c r="F127" s="31" t="n">
        <v>31814.32</v>
      </c>
      <c r="G127" s="31" t="n">
        <v>2834.2</v>
      </c>
      <c r="H127" s="31" t="n">
        <v>1.6</v>
      </c>
      <c r="I127" s="31" t="n">
        <v>174863</v>
      </c>
      <c r="J127" s="31" t="inlineStr">
        <is>
          <t>543981</t>
        </is>
      </c>
    </row>
    <row r="128">
      <c r="A128" s="31" t="inlineStr">
        <is>
          <t>ALKYLAMINE</t>
        </is>
      </c>
      <c r="B128" s="31" t="inlineStr">
        <is>
          <t>Alkyl Amines Chemicals Limited</t>
        </is>
      </c>
      <c r="C128" s="31" t="inlineStr">
        <is>
          <t>chemicals</t>
        </is>
      </c>
      <c r="D128" s="31" t="inlineStr">
        <is>
          <t>chemicals</t>
        </is>
      </c>
      <c r="E128" s="31" t="inlineStr">
        <is>
          <t>midcap</t>
        </is>
      </c>
      <c r="F128" s="31" t="n">
        <v>9960.209999999999</v>
      </c>
      <c r="G128" s="31" t="n">
        <v>1920</v>
      </c>
      <c r="H128" s="31" t="n">
        <v>1.6</v>
      </c>
      <c r="I128" s="31" t="n">
        <v>35430</v>
      </c>
      <c r="J128" s="31" t="inlineStr">
        <is>
          <t>506767</t>
        </is>
      </c>
    </row>
    <row r="129">
      <c r="A129" s="31" t="inlineStr">
        <is>
          <t>IRISDOREME</t>
        </is>
      </c>
      <c r="B129" s="31" t="inlineStr">
        <is>
          <t>Iris Clothings Ltd</t>
        </is>
      </c>
      <c r="C129" s="31" t="inlineStr">
        <is>
          <t>consumer discretionary</t>
        </is>
      </c>
      <c r="D129" s="31" t="inlineStr">
        <is>
          <t>textiles - products</t>
        </is>
      </c>
      <c r="E129" s="31" t="inlineStr">
        <is>
          <t>smallcap</t>
        </is>
      </c>
      <c r="F129" s="31" t="n">
        <v>1071.95</v>
      </c>
      <c r="G129" s="31" t="n">
        <v>57.74</v>
      </c>
      <c r="H129" s="31" t="n">
        <v>1.6</v>
      </c>
      <c r="I129" s="31" t="n">
        <v>1575386</v>
      </c>
      <c r="J129" s="31" t="inlineStr">
        <is>
          <t>535123</t>
        </is>
      </c>
    </row>
    <row r="130">
      <c r="A130" s="31" t="inlineStr">
        <is>
          <t>PANAMAPET</t>
        </is>
      </c>
      <c r="B130" s="31" t="inlineStr">
        <is>
          <t>Panama Petrochem Limited</t>
        </is>
      </c>
      <c r="C130" s="31" t="inlineStr">
        <is>
          <t>energy</t>
        </is>
      </c>
      <c r="D130" s="31" t="inlineStr">
        <is>
          <t>petrochemicals</t>
        </is>
      </c>
      <c r="E130" s="31" t="inlineStr">
        <is>
          <t>smallcap</t>
        </is>
      </c>
      <c r="F130" s="31" t="n">
        <v>3299.93</v>
      </c>
      <c r="G130" s="31" t="n">
        <v>488.2</v>
      </c>
      <c r="H130" s="31" t="n">
        <v>1.59</v>
      </c>
      <c r="I130" s="31" t="n">
        <v>5602552</v>
      </c>
      <c r="J130" s="31" t="inlineStr">
        <is>
          <t>524820</t>
        </is>
      </c>
    </row>
    <row r="131">
      <c r="A131" s="31" t="inlineStr">
        <is>
          <t>DMCC</t>
        </is>
      </c>
      <c r="B131" s="31" t="inlineStr">
        <is>
          <t>DMCC Speciality Chemicals Ltd</t>
        </is>
      </c>
      <c r="C131" s="31" t="inlineStr">
        <is>
          <t>chemicals</t>
        </is>
      </c>
      <c r="D131" s="31" t="inlineStr">
        <is>
          <t>chemicals</t>
        </is>
      </c>
      <c r="E131" s="31" t="inlineStr">
        <is>
          <t>smallcap</t>
        </is>
      </c>
      <c r="F131" s="31" t="n">
        <v>753.5599999999999</v>
      </c>
      <c r="G131" s="31" t="n">
        <v>304</v>
      </c>
      <c r="H131" s="31" t="n">
        <v>1.57</v>
      </c>
      <c r="I131" s="31" t="n">
        <v>187439</v>
      </c>
      <c r="J131" s="31" t="inlineStr">
        <is>
          <t>506405</t>
        </is>
      </c>
    </row>
    <row r="132">
      <c r="A132" s="31" t="inlineStr">
        <is>
          <t>SUNDRMFAST</t>
        </is>
      </c>
      <c r="B132" s="31" t="inlineStr">
        <is>
          <t>Sundram Fasteners Limited</t>
        </is>
      </c>
      <c r="C132" s="31" t="inlineStr">
        <is>
          <t>auto</t>
        </is>
      </c>
      <c r="D132" s="31" t="inlineStr">
        <is>
          <t>auto ancillaries</t>
        </is>
      </c>
      <c r="E132" s="31" t="inlineStr">
        <is>
          <t>largecap</t>
        </is>
      </c>
      <c r="F132" s="31" t="n">
        <v>25426.58</v>
      </c>
      <c r="G132" s="31" t="n">
        <v>1229</v>
      </c>
      <c r="H132" s="31" t="n">
        <v>1.57</v>
      </c>
      <c r="I132" s="31" t="n">
        <v>164015</v>
      </c>
      <c r="J132" s="31" t="inlineStr">
        <is>
          <t>500403</t>
        </is>
      </c>
    </row>
    <row r="133">
      <c r="A133" s="31" t="inlineStr">
        <is>
          <t>DHAMPURSUG</t>
        </is>
      </c>
      <c r="B133" s="31" t="inlineStr">
        <is>
          <t>Dhampur Sugar Mills Limited</t>
        </is>
      </c>
      <c r="C133" s="31" t="inlineStr">
        <is>
          <t>fmcg</t>
        </is>
      </c>
      <c r="D133" s="31" t="inlineStr">
        <is>
          <t>sugar</t>
        </is>
      </c>
      <c r="E133" s="31" t="inlineStr">
        <is>
          <t>smallcap</t>
        </is>
      </c>
      <c r="F133" s="31" t="n">
        <v>1016.04</v>
      </c>
      <c r="G133" s="31" t="n">
        <v>161.73</v>
      </c>
      <c r="H133" s="31" t="n">
        <v>1.57</v>
      </c>
      <c r="I133" s="31" t="n">
        <v>1050330</v>
      </c>
      <c r="J133" s="31" t="inlineStr">
        <is>
          <t>500119</t>
        </is>
      </c>
    </row>
    <row r="134">
      <c r="A134" s="31" t="inlineStr">
        <is>
          <t>STYLAMIND</t>
        </is>
      </c>
      <c r="B134" s="31" t="inlineStr">
        <is>
          <t>Stylam Industries Ltd</t>
        </is>
      </c>
      <c r="C134" s="31" t="inlineStr">
        <is>
          <t>building materials</t>
        </is>
      </c>
      <c r="D134" s="31" t="inlineStr">
        <is>
          <t>miscellaneous</t>
        </is>
      </c>
      <c r="E134" s="31" t="inlineStr">
        <is>
          <t>midcap</t>
        </is>
      </c>
      <c r="F134" s="31" t="n">
        <v>6048.25</v>
      </c>
      <c r="G134" s="31" t="n">
        <v>3600</v>
      </c>
      <c r="H134" s="31" t="n">
        <v>1.56</v>
      </c>
      <c r="I134" s="31" t="n">
        <v>24498</v>
      </c>
      <c r="J134" s="31" t="inlineStr">
        <is>
          <t>526951</t>
        </is>
      </c>
    </row>
    <row r="135">
      <c r="A135" s="31" t="inlineStr">
        <is>
          <t>COFORGE</t>
        </is>
      </c>
      <c r="B135" s="31" t="inlineStr">
        <is>
          <t>Coforge (Niit Tech) Ltd</t>
        </is>
      </c>
      <c r="C135" s="31" t="inlineStr">
        <is>
          <t>i.t</t>
        </is>
      </c>
      <c r="D135" s="31" t="inlineStr">
        <is>
          <t>computers - software - large</t>
        </is>
      </c>
      <c r="E135" s="31" t="inlineStr">
        <is>
          <t>largecap</t>
        </is>
      </c>
      <c r="F135" s="31" t="n">
        <v>80525.46000000001</v>
      </c>
      <c r="G135" s="31" t="n">
        <v>1829</v>
      </c>
      <c r="H135" s="31" t="n">
        <v>1.53</v>
      </c>
      <c r="I135" s="31" t="n">
        <v>3740169</v>
      </c>
      <c r="J135" s="31" t="inlineStr">
        <is>
          <t>532541</t>
        </is>
      </c>
    </row>
    <row r="136">
      <c r="A136" s="31" t="inlineStr">
        <is>
          <t>BEPL</t>
        </is>
      </c>
      <c r="B136" s="31" t="inlineStr">
        <is>
          <t>Bhansali Engineering Polymers Limited</t>
        </is>
      </c>
      <c r="C136" s="31" t="inlineStr">
        <is>
          <t>energy</t>
        </is>
      </c>
      <c r="D136" s="31" t="inlineStr">
        <is>
          <t>petrochemicals</t>
        </is>
      </c>
      <c r="E136" s="31" t="inlineStr">
        <is>
          <t>smallcap</t>
        </is>
      </c>
      <c r="F136" s="31" t="n">
        <v>3049.26</v>
      </c>
      <c r="G136" s="31" t="n">
        <v>122.36</v>
      </c>
      <c r="H136" s="31" t="n">
        <v>1.51</v>
      </c>
      <c r="I136" s="31" t="n">
        <v>663619</v>
      </c>
      <c r="J136" s="31" t="inlineStr">
        <is>
          <t>500052</t>
        </is>
      </c>
    </row>
    <row r="137">
      <c r="A137" s="31" t="inlineStr">
        <is>
          <t>STLTECH</t>
        </is>
      </c>
      <c r="B137" s="31" t="inlineStr">
        <is>
          <t>Sterlite Technologies Limited</t>
        </is>
      </c>
      <c r="C137" s="31" t="inlineStr">
        <is>
          <t>industrials</t>
        </is>
      </c>
      <c r="D137" s="31" t="inlineStr">
        <is>
          <t>cables - telephone</t>
        </is>
      </c>
      <c r="E137" s="31" t="inlineStr">
        <is>
          <t>largecap</t>
        </is>
      </c>
      <c r="F137" s="31" t="n">
        <v>31861.56</v>
      </c>
      <c r="G137" s="31" t="n">
        <v>660.8</v>
      </c>
      <c r="H137" s="31" t="n">
        <v>1.51</v>
      </c>
      <c r="I137" s="31" t="n">
        <v>2986860</v>
      </c>
      <c r="J137" s="31" t="inlineStr">
        <is>
          <t>532374</t>
        </is>
      </c>
    </row>
    <row r="138">
      <c r="A138" s="31" t="inlineStr">
        <is>
          <t>YASHO</t>
        </is>
      </c>
      <c r="B138" s="31" t="inlineStr">
        <is>
          <t>Yasho Industries Ltd</t>
        </is>
      </c>
      <c r="C138" s="31" t="inlineStr">
        <is>
          <t>chemicals</t>
        </is>
      </c>
      <c r="D138" s="31" t="inlineStr">
        <is>
          <t>chemicals</t>
        </is>
      </c>
      <c r="E138" s="31" t="inlineStr">
        <is>
          <t>midcap</t>
        </is>
      </c>
      <c r="F138" s="31" t="n">
        <v>5192.27</v>
      </c>
      <c r="G138" s="31" t="n">
        <v>4276.5</v>
      </c>
      <c r="H138" s="31" t="n">
        <v>1.51</v>
      </c>
      <c r="I138" s="31" t="n">
        <v>22421</v>
      </c>
      <c r="J138" s="31" t="inlineStr">
        <is>
          <t>541167</t>
        </is>
      </c>
    </row>
    <row r="139">
      <c r="A139" s="31" t="inlineStr">
        <is>
          <t>MACPOWER</t>
        </is>
      </c>
      <c r="B139" s="31" t="inlineStr">
        <is>
          <t>Macpower CNC Machines Ltd</t>
        </is>
      </c>
      <c r="C139" s="31" t="inlineStr">
        <is>
          <t>industrials</t>
        </is>
      </c>
      <c r="D139" s="31" t="inlineStr">
        <is>
          <t>engineering</t>
        </is>
      </c>
      <c r="E139" s="31" t="inlineStr">
        <is>
          <t>smallcap</t>
        </is>
      </c>
      <c r="F139" s="31" t="n">
        <v>1755.03</v>
      </c>
      <c r="G139" s="31" t="n">
        <v>1752.1</v>
      </c>
      <c r="H139" s="31" t="n">
        <v>1.49</v>
      </c>
      <c r="I139" s="31" t="n">
        <v>23194</v>
      </c>
      <c r="J139" s="31" t="inlineStr">
        <is>
          <t>535057</t>
        </is>
      </c>
    </row>
    <row r="140">
      <c r="A140" s="31" t="inlineStr">
        <is>
          <t>EPL</t>
        </is>
      </c>
      <c r="B140" s="31" t="inlineStr">
        <is>
          <t>EPL Ltd</t>
        </is>
      </c>
      <c r="C140" s="31" t="inlineStr">
        <is>
          <t>industrials</t>
        </is>
      </c>
      <c r="D140" s="31" t="inlineStr">
        <is>
          <t>packaging</t>
        </is>
      </c>
      <c r="E140" s="31" t="inlineStr">
        <is>
          <t>midcap</t>
        </is>
      </c>
      <c r="F140" s="31" t="n">
        <v>7551.55</v>
      </c>
      <c r="G140" s="31" t="n">
        <v>247.24</v>
      </c>
      <c r="H140" s="31" t="n">
        <v>1.48</v>
      </c>
      <c r="I140" s="31" t="n">
        <v>2611078</v>
      </c>
      <c r="J140" s="31" t="inlineStr">
        <is>
          <t>500135</t>
        </is>
      </c>
    </row>
    <row r="141">
      <c r="A141" s="31" t="inlineStr">
        <is>
          <t>HATSUN</t>
        </is>
      </c>
      <c r="B141" s="31" t="inlineStr">
        <is>
          <t>Hatsun Agro Product Limited</t>
        </is>
      </c>
      <c r="C141" s="31" t="inlineStr">
        <is>
          <t>fmcg</t>
        </is>
      </c>
      <c r="D141" s="31" t="inlineStr">
        <is>
          <t>food - processing - indian</t>
        </is>
      </c>
      <c r="E141" s="31" t="inlineStr">
        <is>
          <t>largecap</t>
        </is>
      </c>
      <c r="F141" s="31" t="n">
        <v>20994.02</v>
      </c>
      <c r="G141" s="31" t="n">
        <v>963.95</v>
      </c>
      <c r="H141" s="31" t="n">
        <v>1.46</v>
      </c>
      <c r="I141" s="31" t="n">
        <v>49134</v>
      </c>
      <c r="J141" s="31" t="inlineStr">
        <is>
          <t>531531</t>
        </is>
      </c>
    </row>
    <row r="142">
      <c r="A142" s="31" t="inlineStr">
        <is>
          <t>HITECHCORP</t>
        </is>
      </c>
      <c r="B142" s="31" t="inlineStr">
        <is>
          <t>Hitech Corporation</t>
        </is>
      </c>
      <c r="C142" s="31" t="inlineStr">
        <is>
          <t>industrials</t>
        </is>
      </c>
      <c r="D142" s="31" t="inlineStr">
        <is>
          <t>packaging</t>
        </is>
      </c>
      <c r="E142" s="31" t="inlineStr">
        <is>
          <t>smallcap</t>
        </is>
      </c>
      <c r="F142" s="31" t="n">
        <v>555.03</v>
      </c>
      <c r="G142" s="31" t="n">
        <v>331</v>
      </c>
      <c r="H142" s="31" t="n">
        <v>1.46</v>
      </c>
      <c r="I142" s="31" t="n">
        <v>19491</v>
      </c>
      <c r="J142" s="31" t="inlineStr">
        <is>
          <t>526217</t>
        </is>
      </c>
    </row>
    <row r="143">
      <c r="A143" s="31" t="inlineStr">
        <is>
          <t>PTCIL</t>
        </is>
      </c>
      <c r="B143" s="31" t="inlineStr">
        <is>
          <t>PTC Industries Ltd</t>
        </is>
      </c>
      <c r="C143" s="31" t="inlineStr">
        <is>
          <t>industrials</t>
        </is>
      </c>
      <c r="D143" s="31" t="inlineStr">
        <is>
          <t>castings &amp; forgings</t>
        </is>
      </c>
      <c r="E143" s="31" t="inlineStr">
        <is>
          <t>largecap</t>
        </is>
      </c>
      <c r="F143" s="31" t="n">
        <v>28344.91</v>
      </c>
      <c r="G143" s="31" t="n">
        <v>19167</v>
      </c>
      <c r="H143" s="31" t="n">
        <v>1.44</v>
      </c>
      <c r="I143" s="31" t="n">
        <v>7370</v>
      </c>
      <c r="J143" s="31" t="inlineStr">
        <is>
          <t>539006</t>
        </is>
      </c>
    </row>
    <row r="144">
      <c r="A144" s="31" t="inlineStr">
        <is>
          <t>SMARTWORKS</t>
        </is>
      </c>
      <c r="B144" s="31" t="inlineStr">
        <is>
          <t>Smartworks Coworking Spaces Ltd</t>
        </is>
      </c>
      <c r="C144" s="31" t="inlineStr">
        <is>
          <t>co-working</t>
        </is>
      </c>
      <c r="D144" s="31" t="inlineStr">
        <is>
          <t>miscellaneous</t>
        </is>
      </c>
      <c r="E144" s="31" t="inlineStr">
        <is>
          <t>midcap</t>
        </is>
      </c>
      <c r="F144" s="31" t="n">
        <v>5462.87</v>
      </c>
      <c r="G144" s="31" t="n">
        <v>495.5</v>
      </c>
      <c r="H144" s="31" t="n">
        <v>1.43</v>
      </c>
      <c r="I144" s="31" t="n">
        <v>58999</v>
      </c>
      <c r="J144" s="31" t="inlineStr">
        <is>
          <t>544447</t>
        </is>
      </c>
    </row>
    <row r="145">
      <c r="A145" s="31" t="inlineStr">
        <is>
          <t>AARTIIND</t>
        </is>
      </c>
      <c r="B145" s="31" t="inlineStr">
        <is>
          <t>Aarti Industries Limited</t>
        </is>
      </c>
      <c r="C145" s="31" t="inlineStr">
        <is>
          <t>chemicals</t>
        </is>
      </c>
      <c r="D145" s="31" t="inlineStr">
        <is>
          <t>chemicals</t>
        </is>
      </c>
      <c r="E145" s="31" t="inlineStr">
        <is>
          <t>midcap</t>
        </is>
      </c>
      <c r="F145" s="31" t="n">
        <v>18328.58</v>
      </c>
      <c r="G145" s="31" t="n">
        <v>538.2</v>
      </c>
      <c r="H145" s="31" t="n">
        <v>1.38</v>
      </c>
      <c r="I145" s="31" t="n">
        <v>2850685</v>
      </c>
      <c r="J145" s="31" t="inlineStr">
        <is>
          <t>524208</t>
        </is>
      </c>
    </row>
    <row r="146">
      <c r="A146" s="31" t="inlineStr">
        <is>
          <t>GRWRHITECH</t>
        </is>
      </c>
      <c r="B146" s="31" t="inlineStr">
        <is>
          <t>Garware Hi Tech Films Ltd</t>
        </is>
      </c>
      <c r="C146" s="31" t="inlineStr">
        <is>
          <t>industrials</t>
        </is>
      </c>
      <c r="D146" s="31" t="inlineStr">
        <is>
          <t>packaging</t>
        </is>
      </c>
      <c r="E146" s="31" t="inlineStr">
        <is>
          <t>midcap</t>
        </is>
      </c>
      <c r="F146" s="31" t="n">
        <v>16310.3</v>
      </c>
      <c r="G146" s="31" t="n">
        <v>7230</v>
      </c>
      <c r="H146" s="31" t="n">
        <v>1.37</v>
      </c>
      <c r="I146" s="31" t="n">
        <v>78803</v>
      </c>
      <c r="J146" s="31" t="inlineStr">
        <is>
          <t>500655</t>
        </is>
      </c>
    </row>
    <row r="147">
      <c r="A147" s="31" t="inlineStr">
        <is>
          <t>NAUKRI</t>
        </is>
      </c>
      <c r="B147" s="31" t="inlineStr">
        <is>
          <t>Info Edge (india) Limited</t>
        </is>
      </c>
      <c r="C147" s="31" t="inlineStr">
        <is>
          <t>i.t</t>
        </is>
      </c>
      <c r="D147" s="31" t="inlineStr">
        <is>
          <t>miscellaneous</t>
        </is>
      </c>
      <c r="E147" s="31" t="inlineStr">
        <is>
          <t>largecap</t>
        </is>
      </c>
      <c r="F147" s="31" t="n">
        <v>88185.2</v>
      </c>
      <c r="G147" s="31" t="n">
        <v>1357.3</v>
      </c>
      <c r="H147" s="31" t="n">
        <v>1.37</v>
      </c>
      <c r="I147" s="31" t="n">
        <v>2302841</v>
      </c>
      <c r="J147" s="31" t="inlineStr">
        <is>
          <t>532777</t>
        </is>
      </c>
    </row>
    <row r="148">
      <c r="A148" s="31" t="inlineStr">
        <is>
          <t>JSWDULUX</t>
        </is>
      </c>
      <c r="B148" s="31" t="inlineStr">
        <is>
          <t>JSW Dulux Ltd</t>
        </is>
      </c>
      <c r="C148" s="31" t="inlineStr">
        <is>
          <t>building materials</t>
        </is>
      </c>
      <c r="D148" s="31" t="inlineStr">
        <is>
          <t>paints / varnishes</t>
        </is>
      </c>
      <c r="E148" s="31" t="inlineStr">
        <is>
          <t>midcap</t>
        </is>
      </c>
      <c r="F148" s="31" t="n">
        <v>14377.08</v>
      </c>
      <c r="G148" s="31" t="n">
        <v>3142</v>
      </c>
      <c r="H148" s="31" t="n">
        <v>1.37</v>
      </c>
      <c r="I148" s="31" t="n">
        <v>9966</v>
      </c>
      <c r="J148" s="31" t="inlineStr">
        <is>
          <t>500710</t>
        </is>
      </c>
    </row>
    <row r="149">
      <c r="A149" s="31" t="inlineStr">
        <is>
          <t>SHRIRAMFIN</t>
        </is>
      </c>
      <c r="B149" s="31" t="inlineStr">
        <is>
          <t>Shriram Finance Ltd</t>
        </is>
      </c>
      <c r="C149" s="31" t="inlineStr">
        <is>
          <t>financials</t>
        </is>
      </c>
      <c r="D149" s="31" t="inlineStr">
        <is>
          <t>finance &amp; investments</t>
        </is>
      </c>
      <c r="E149" s="31" t="inlineStr">
        <is>
          <t>largecap</t>
        </is>
      </c>
      <c r="F149" s="31" t="n">
        <v>265855.88</v>
      </c>
      <c r="G149" s="31" t="n">
        <v>1132.3</v>
      </c>
      <c r="H149" s="31" t="n">
        <v>1.35</v>
      </c>
      <c r="I149" s="31" t="n">
        <v>7399467</v>
      </c>
      <c r="J149" s="31" t="inlineStr">
        <is>
          <t>511218</t>
        </is>
      </c>
    </row>
    <row r="150">
      <c r="A150" s="31" t="inlineStr">
        <is>
          <t>KRISHANA</t>
        </is>
      </c>
      <c r="B150" s="31" t="inlineStr">
        <is>
          <t>Krishana Phoschem Ltd</t>
        </is>
      </c>
      <c r="C150" s="31" t="inlineStr">
        <is>
          <t>chemicals</t>
        </is>
      </c>
      <c r="D150" s="31" t="inlineStr">
        <is>
          <t>fertilizers</t>
        </is>
      </c>
      <c r="E150" s="31" t="inlineStr">
        <is>
          <t>smallcap</t>
        </is>
      </c>
      <c r="F150" s="31" t="n">
        <v>1152.78</v>
      </c>
      <c r="G150" s="31" t="n">
        <v>188.94</v>
      </c>
      <c r="H150" s="31" t="n">
        <v>1.34</v>
      </c>
      <c r="I150" s="31" t="n">
        <v>577409</v>
      </c>
      <c r="J150" s="31" t="inlineStr">
        <is>
          <t>538405</t>
        </is>
      </c>
    </row>
    <row r="151">
      <c r="A151" s="31" t="inlineStr">
        <is>
          <t>KINGFA</t>
        </is>
      </c>
      <c r="B151" s="31" t="inlineStr">
        <is>
          <t>Kingfa Science &amp; Technology (india) Limited</t>
        </is>
      </c>
      <c r="C151" s="31" t="inlineStr">
        <is>
          <t>plastic products</t>
        </is>
      </c>
      <c r="D151" s="31" t="inlineStr">
        <is>
          <t>plastics products</t>
        </is>
      </c>
      <c r="E151" s="31" t="inlineStr">
        <is>
          <t>midcap</t>
        </is>
      </c>
      <c r="F151" s="31" t="n">
        <v>7735.13</v>
      </c>
      <c r="G151" s="31" t="n">
        <v>6028.5</v>
      </c>
      <c r="H151" s="31" t="n">
        <v>1.33</v>
      </c>
      <c r="I151" s="31" t="n">
        <v>28005</v>
      </c>
      <c r="J151" s="31" t="inlineStr">
        <is>
          <t>524019</t>
        </is>
      </c>
    </row>
    <row r="152">
      <c r="A152" s="31" t="inlineStr">
        <is>
          <t>KAPSTON</t>
        </is>
      </c>
      <c r="B152" s="31" t="inlineStr">
        <is>
          <t>Kapston Services Ltd</t>
        </is>
      </c>
      <c r="C152" s="31" t="inlineStr">
        <is>
          <t>miscellaneous</t>
        </is>
      </c>
      <c r="D152" s="31" t="inlineStr">
        <is>
          <t>miscellaneous</t>
        </is>
      </c>
      <c r="E152" s="31" t="inlineStr">
        <is>
          <t>smallcap</t>
        </is>
      </c>
      <c r="F152" s="31" t="n">
        <v>1714.55</v>
      </c>
      <c r="G152" s="31" t="n">
        <v>585.9</v>
      </c>
      <c r="H152" s="31" t="n">
        <v>1.33</v>
      </c>
      <c r="I152" s="31" t="n">
        <v>91754</v>
      </c>
      <c r="J152" s="31" t="inlineStr">
        <is>
          <t>535064</t>
        </is>
      </c>
    </row>
    <row r="153">
      <c r="A153" s="31" t="inlineStr">
        <is>
          <t>UNIPARTS</t>
        </is>
      </c>
      <c r="B153" s="31" t="inlineStr">
        <is>
          <t>Uniparts India Ltd</t>
        </is>
      </c>
      <c r="C153" s="31" t="inlineStr">
        <is>
          <t>industrials</t>
        </is>
      </c>
      <c r="D153" s="31" t="inlineStr">
        <is>
          <t>engineering</t>
        </is>
      </c>
      <c r="E153" s="31" t="inlineStr">
        <is>
          <t>smallcap</t>
        </is>
      </c>
      <c r="F153" s="31" t="n">
        <v>3639.44</v>
      </c>
      <c r="G153" s="31" t="n">
        <v>824.3</v>
      </c>
      <c r="H153" s="31" t="n">
        <v>1.32</v>
      </c>
      <c r="I153" s="31" t="n">
        <v>91263</v>
      </c>
      <c r="J153" s="31" t="inlineStr">
        <is>
          <t>543689</t>
        </is>
      </c>
    </row>
    <row r="154">
      <c r="A154" s="31" t="inlineStr">
        <is>
          <t>GLENMARK</t>
        </is>
      </c>
      <c r="B154" s="31" t="inlineStr">
        <is>
          <t>Glenmark Pharmaceuticals Limited</t>
        </is>
      </c>
      <c r="C154" s="31" t="inlineStr">
        <is>
          <t>healthcare</t>
        </is>
      </c>
      <c r="D154" s="31" t="inlineStr">
        <is>
          <t>pharmaceuticals - indian - bulk drugs &amp; formln</t>
        </is>
      </c>
      <c r="E154" s="31" t="inlineStr">
        <is>
          <t>largecap</t>
        </is>
      </c>
      <c r="F154" s="31" t="n">
        <v>64228.9</v>
      </c>
      <c r="G154" s="31" t="n">
        <v>2320</v>
      </c>
      <c r="H154" s="31" t="n">
        <v>1.31</v>
      </c>
      <c r="I154" s="31" t="n">
        <v>822026</v>
      </c>
      <c r="J154" s="31" t="inlineStr">
        <is>
          <t>532296</t>
        </is>
      </c>
    </row>
    <row r="155">
      <c r="A155" s="31" t="inlineStr">
        <is>
          <t>GUFICBIO</t>
        </is>
      </c>
      <c r="B155" s="31" t="inlineStr">
        <is>
          <t>Gufic Biosciences Limited</t>
        </is>
      </c>
      <c r="C155" s="31" t="inlineStr">
        <is>
          <t>healthcare</t>
        </is>
      </c>
      <c r="D155" s="31" t="inlineStr">
        <is>
          <t>pharmaceuticals - indian - bulk drugs &amp; formln</t>
        </is>
      </c>
      <c r="E155" s="31" t="inlineStr">
        <is>
          <t>smallcap</t>
        </is>
      </c>
      <c r="F155" s="31" t="n">
        <v>4323.18</v>
      </c>
      <c r="G155" s="31" t="n">
        <v>430.25</v>
      </c>
      <c r="H155" s="31" t="n">
        <v>1.26</v>
      </c>
      <c r="I155" s="31" t="n">
        <v>75423</v>
      </c>
      <c r="J155" s="31" t="inlineStr">
        <is>
          <t>509079</t>
        </is>
      </c>
    </row>
    <row r="156">
      <c r="A156" s="31" t="inlineStr">
        <is>
          <t>ETERNAL</t>
        </is>
      </c>
      <c r="B156" s="31" t="inlineStr">
        <is>
          <t>Eternal Ltd</t>
        </is>
      </c>
      <c r="C156" s="31" t="inlineStr">
        <is>
          <t>i.t</t>
        </is>
      </c>
      <c r="D156" s="31" t="inlineStr">
        <is>
          <t>miscellaneous</t>
        </is>
      </c>
      <c r="E156" s="31" t="inlineStr">
        <is>
          <t>largecap</t>
        </is>
      </c>
      <c r="F156" s="31" t="n">
        <v>306881.15</v>
      </c>
      <c r="G156" s="31" t="n">
        <v>318</v>
      </c>
      <c r="H156" s="31" t="n">
        <v>1.26</v>
      </c>
      <c r="I156" s="31" t="n">
        <v>51541644</v>
      </c>
      <c r="J156" s="31" t="inlineStr">
        <is>
          <t>543320</t>
        </is>
      </c>
    </row>
    <row r="157">
      <c r="A157" s="31" t="inlineStr">
        <is>
          <t>LT</t>
        </is>
      </c>
      <c r="B157" s="31" t="inlineStr">
        <is>
          <t>Larsen &amp; Toubro Limited</t>
        </is>
      </c>
      <c r="C157" s="31" t="inlineStr">
        <is>
          <t>realty</t>
        </is>
      </c>
      <c r="D157" s="31" t="inlineStr">
        <is>
          <t>engineering - turnkey services</t>
        </is>
      </c>
      <c r="E157" s="31" t="inlineStr">
        <is>
          <t>largecap</t>
        </is>
      </c>
      <c r="F157" s="31" t="n">
        <v>555436.9</v>
      </c>
      <c r="G157" s="31" t="n">
        <v>4070.7</v>
      </c>
      <c r="H157" s="31" t="n">
        <v>1.26</v>
      </c>
      <c r="I157" s="31" t="n">
        <v>4543956</v>
      </c>
      <c r="J157" s="31" t="inlineStr">
        <is>
          <t>500510</t>
        </is>
      </c>
    </row>
    <row r="158">
      <c r="A158" s="31" t="inlineStr">
        <is>
          <t>JGCHEM</t>
        </is>
      </c>
      <c r="B158" s="31" t="inlineStr">
        <is>
          <t>J.G.Chemicals Ltd</t>
        </is>
      </c>
      <c r="C158" s="31" t="inlineStr">
        <is>
          <t>chemicals</t>
        </is>
      </c>
      <c r="D158" s="31" t="inlineStr">
        <is>
          <t>chemicals</t>
        </is>
      </c>
      <c r="E158" s="31" t="inlineStr">
        <is>
          <t>smallcap</t>
        </is>
      </c>
      <c r="F158" s="31" t="n">
        <v>2438.74</v>
      </c>
      <c r="G158" s="31" t="n">
        <v>613</v>
      </c>
      <c r="H158" s="31" t="n">
        <v>1.21</v>
      </c>
      <c r="I158" s="31" t="n">
        <v>245276</v>
      </c>
      <c r="J158" s="31" t="n"/>
    </row>
    <row r="159">
      <c r="A159" s="31" t="inlineStr">
        <is>
          <t>NRBBEARING</t>
        </is>
      </c>
      <c r="B159" s="31" t="inlineStr">
        <is>
          <t>Nrb Bearing Limited</t>
        </is>
      </c>
      <c r="C159" s="31" t="inlineStr">
        <is>
          <t>industrials</t>
        </is>
      </c>
      <c r="D159" s="31" t="inlineStr">
        <is>
          <t>bearings</t>
        </is>
      </c>
      <c r="E159" s="31" t="inlineStr">
        <is>
          <t>smallcap</t>
        </is>
      </c>
      <c r="F159" s="31" t="n">
        <v>4412.4</v>
      </c>
      <c r="G159" s="31" t="n">
        <v>467.2</v>
      </c>
      <c r="H159" s="31" t="n">
        <v>1.2</v>
      </c>
      <c r="I159" s="31" t="n">
        <v>328048</v>
      </c>
      <c r="J159" s="31" t="inlineStr">
        <is>
          <t>530367</t>
        </is>
      </c>
    </row>
    <row r="160">
      <c r="A160" s="31" t="inlineStr">
        <is>
          <t>JKPAPER</t>
        </is>
      </c>
      <c r="B160" s="31" t="inlineStr">
        <is>
          <t>Jk Paper Limited</t>
        </is>
      </c>
      <c r="C160" s="31" t="inlineStr">
        <is>
          <t>building materials</t>
        </is>
      </c>
      <c r="D160" s="31" t="inlineStr">
        <is>
          <t>paper</t>
        </is>
      </c>
      <c r="E160" s="31" t="inlineStr">
        <is>
          <t>midcap</t>
        </is>
      </c>
      <c r="F160" s="31" t="n">
        <v>7083.22</v>
      </c>
      <c r="G160" s="31" t="n">
        <v>393.55</v>
      </c>
      <c r="H160" s="31" t="n">
        <v>1.2</v>
      </c>
      <c r="I160" s="31" t="n">
        <v>200910</v>
      </c>
      <c r="J160" s="31" t="inlineStr">
        <is>
          <t>532162</t>
        </is>
      </c>
    </row>
    <row r="161">
      <c r="A161" s="31" t="inlineStr">
        <is>
          <t>5PAISA</t>
        </is>
      </c>
      <c r="B161" s="31" t="inlineStr">
        <is>
          <t>5Paisa Capital Ltd</t>
        </is>
      </c>
      <c r="C161" s="31" t="inlineStr">
        <is>
          <t>financials</t>
        </is>
      </c>
      <c r="D161" s="31" t="inlineStr">
        <is>
          <t>finance &amp; investments</t>
        </is>
      </c>
      <c r="E161" s="31" t="inlineStr">
        <is>
          <t>smallcap</t>
        </is>
      </c>
      <c r="F161" s="31" t="n">
        <v>1769.1</v>
      </c>
      <c r="G161" s="31" t="n">
        <v>391.65</v>
      </c>
      <c r="H161" s="31" t="n">
        <v>1.19</v>
      </c>
      <c r="I161" s="31" t="n">
        <v>54890</v>
      </c>
      <c r="J161" s="31" t="inlineStr">
        <is>
          <t>540776</t>
        </is>
      </c>
    </row>
    <row r="162">
      <c r="A162" s="31" t="inlineStr">
        <is>
          <t>BEL</t>
        </is>
      </c>
      <c r="B162" s="31" t="inlineStr">
        <is>
          <t>Bharat Electronics Limited</t>
        </is>
      </c>
      <c r="C162" s="31" t="inlineStr">
        <is>
          <t>aerospace &amp; defence</t>
        </is>
      </c>
      <c r="D162" s="31" t="inlineStr">
        <is>
          <t>electronics - components</t>
        </is>
      </c>
      <c r="E162" s="31" t="inlineStr">
        <is>
          <t>largecap</t>
        </is>
      </c>
      <c r="F162" s="31" t="n">
        <v>296667.37</v>
      </c>
      <c r="G162" s="31" t="n">
        <v>410.5</v>
      </c>
      <c r="H162" s="31" t="n">
        <v>1.18</v>
      </c>
      <c r="I162" s="31" t="n">
        <v>27221552</v>
      </c>
      <c r="J162" s="31" t="inlineStr">
        <is>
          <t>500049</t>
        </is>
      </c>
    </row>
    <row r="163">
      <c r="A163" s="31" t="inlineStr">
        <is>
          <t>GRAPHITE</t>
        </is>
      </c>
      <c r="B163" s="31" t="inlineStr">
        <is>
          <t>Graphite India Limited</t>
        </is>
      </c>
      <c r="C163" s="31" t="inlineStr">
        <is>
          <t>industrials</t>
        </is>
      </c>
      <c r="D163" s="31" t="inlineStr">
        <is>
          <t>electrodes - graphites</t>
        </is>
      </c>
      <c r="E163" s="31" t="inlineStr">
        <is>
          <t>midcap</t>
        </is>
      </c>
      <c r="F163" s="31" t="n">
        <v>14279.03</v>
      </c>
      <c r="G163" s="31" t="n">
        <v>734.85</v>
      </c>
      <c r="H163" s="31" t="n">
        <v>1.18</v>
      </c>
      <c r="I163" s="31" t="n">
        <v>684781</v>
      </c>
      <c r="J163" s="31" t="inlineStr">
        <is>
          <t>509488</t>
        </is>
      </c>
    </row>
    <row r="164">
      <c r="A164" s="31" t="inlineStr">
        <is>
          <t>TALBROAUTO</t>
        </is>
      </c>
      <c r="B164" s="31" t="inlineStr">
        <is>
          <t>Talbros Automotive Components Limited</t>
        </is>
      </c>
      <c r="C164" s="31" t="inlineStr">
        <is>
          <t>auto</t>
        </is>
      </c>
      <c r="D164" s="31" t="inlineStr">
        <is>
          <t>auto ancillaries</t>
        </is>
      </c>
      <c r="E164" s="31" t="inlineStr">
        <is>
          <t>smallcap</t>
        </is>
      </c>
      <c r="F164" s="31" t="n">
        <v>2530.55</v>
      </c>
      <c r="G164" s="31" t="n">
        <v>422.25</v>
      </c>
      <c r="H164" s="31" t="n">
        <v>1.17</v>
      </c>
      <c r="I164" s="31" t="n">
        <v>130287</v>
      </c>
      <c r="J164" s="31" t="inlineStr">
        <is>
          <t>505160</t>
        </is>
      </c>
    </row>
    <row r="165">
      <c r="A165" s="31" t="inlineStr">
        <is>
          <t>PPLPHARMA</t>
        </is>
      </c>
      <c r="B165" s="31" t="inlineStr">
        <is>
          <t>Piramal Pharma Ltd</t>
        </is>
      </c>
      <c r="C165" s="31" t="inlineStr">
        <is>
          <t>healthcare</t>
        </is>
      </c>
      <c r="D165" s="31" t="inlineStr">
        <is>
          <t>pharmaceuticals - indian - bulk drugs &amp; formln</t>
        </is>
      </c>
      <c r="E165" s="31" t="inlineStr">
        <is>
          <t>largecap</t>
        </is>
      </c>
      <c r="F165" s="31" t="n">
        <v>28516.15</v>
      </c>
      <c r="G165" s="31" t="n">
        <v>212.67</v>
      </c>
      <c r="H165" s="31" t="n">
        <v>1.16</v>
      </c>
      <c r="I165" s="31" t="n">
        <v>2244788</v>
      </c>
      <c r="J165" s="31" t="inlineStr">
        <is>
          <t>543635</t>
        </is>
      </c>
    </row>
    <row r="166">
      <c r="A166" s="31" t="inlineStr">
        <is>
          <t>SEAMECLTD</t>
        </is>
      </c>
      <c r="B166" s="31" t="inlineStr">
        <is>
          <t>Seamec Limited</t>
        </is>
      </c>
      <c r="C166" s="31" t="inlineStr">
        <is>
          <t>miscellaneous</t>
        </is>
      </c>
      <c r="D166" s="31" t="inlineStr">
        <is>
          <t>miscellaneous</t>
        </is>
      </c>
      <c r="E166" s="31" t="inlineStr">
        <is>
          <t>smallcap</t>
        </is>
      </c>
      <c r="F166" s="31" t="n">
        <v>3933.76</v>
      </c>
      <c r="G166" s="31" t="n">
        <v>1539.2</v>
      </c>
      <c r="H166" s="31" t="n">
        <v>1.14</v>
      </c>
      <c r="I166" s="31" t="n">
        <v>255511</v>
      </c>
      <c r="J166" s="31" t="inlineStr">
        <is>
          <t>526807</t>
        </is>
      </c>
    </row>
    <row r="167">
      <c r="A167" s="31" t="inlineStr">
        <is>
          <t>GIPCL</t>
        </is>
      </c>
      <c r="B167" s="31" t="inlineStr">
        <is>
          <t>Gujarat Industries Power Company Limited</t>
        </is>
      </c>
      <c r="C167" s="31" t="inlineStr">
        <is>
          <t>power &amp; utilities</t>
        </is>
      </c>
      <c r="D167" s="31" t="inlineStr">
        <is>
          <t>power generation and supply</t>
        </is>
      </c>
      <c r="E167" s="31" t="inlineStr">
        <is>
          <t>smallcap</t>
        </is>
      </c>
      <c r="F167" s="31" t="n">
        <v>2555.48</v>
      </c>
      <c r="G167" s="31" t="n">
        <v>175.97</v>
      </c>
      <c r="H167" s="31" t="n">
        <v>1.1</v>
      </c>
      <c r="I167" s="31" t="n">
        <v>678748</v>
      </c>
      <c r="J167" s="31" t="inlineStr">
        <is>
          <t>517300</t>
        </is>
      </c>
    </row>
    <row r="168">
      <c r="A168" s="31" t="inlineStr">
        <is>
          <t>CONCORDBIO</t>
        </is>
      </c>
      <c r="B168" s="31" t="inlineStr">
        <is>
          <t>Concord Biotech Ltd</t>
        </is>
      </c>
      <c r="C168" s="31" t="inlineStr">
        <is>
          <t>healthcare</t>
        </is>
      </c>
      <c r="D168" s="31" t="inlineStr">
        <is>
          <t>pharmaceuticals - indian - bulk drugs &amp; formln</t>
        </is>
      </c>
      <c r="E168" s="31" t="inlineStr">
        <is>
          <t>midcap</t>
        </is>
      </c>
      <c r="F168" s="31" t="n">
        <v>14948.61</v>
      </c>
      <c r="G168" s="31" t="n">
        <v>1460</v>
      </c>
      <c r="H168" s="31" t="n">
        <v>1.06</v>
      </c>
      <c r="I168" s="31" t="n">
        <v>110289</v>
      </c>
      <c r="J168" s="31" t="inlineStr">
        <is>
          <t>543960</t>
        </is>
      </c>
    </row>
    <row r="169">
      <c r="A169" s="31" t="inlineStr">
        <is>
          <t>ASIANENE</t>
        </is>
      </c>
      <c r="B169" s="31" t="inlineStr">
        <is>
          <t>Asian Energy Services Ltd</t>
        </is>
      </c>
      <c r="C169" s="31" t="inlineStr">
        <is>
          <t>energy</t>
        </is>
      </c>
      <c r="D169" s="31" t="inlineStr">
        <is>
          <t>oil drilling / allied services</t>
        </is>
      </c>
      <c r="E169" s="31" t="inlineStr">
        <is>
          <t>smallcap</t>
        </is>
      </c>
      <c r="F169" s="31" t="n">
        <v>1953.94</v>
      </c>
      <c r="G169" s="31" t="n">
        <v>410</v>
      </c>
      <c r="H169" s="31" t="n">
        <v>1.04</v>
      </c>
      <c r="I169" s="31" t="n">
        <v>313877</v>
      </c>
      <c r="J169" s="31" t="inlineStr">
        <is>
          <t>530355</t>
        </is>
      </c>
    </row>
    <row r="170">
      <c r="A170" s="31" t="inlineStr">
        <is>
          <t>KKCL</t>
        </is>
      </c>
      <c r="B170" s="31" t="inlineStr">
        <is>
          <t>Kewal Kiran Clothing Limited</t>
        </is>
      </c>
      <c r="C170" s="31" t="inlineStr">
        <is>
          <t>consumer discretionary</t>
        </is>
      </c>
      <c r="D170" s="31" t="inlineStr">
        <is>
          <t>textiles - products</t>
        </is>
      </c>
      <c r="E170" s="31" t="inlineStr">
        <is>
          <t>smallcap</t>
        </is>
      </c>
      <c r="F170" s="31" t="n">
        <v>3282.16</v>
      </c>
      <c r="G170" s="31" t="n">
        <v>529</v>
      </c>
      <c r="H170" s="31" t="n">
        <v>1.03</v>
      </c>
      <c r="I170" s="31" t="n">
        <v>15296</v>
      </c>
      <c r="J170" s="31" t="inlineStr">
        <is>
          <t>532732</t>
        </is>
      </c>
    </row>
    <row r="171">
      <c r="A171" s="31" t="inlineStr">
        <is>
          <t>PRIMO</t>
        </is>
      </c>
      <c r="B171" s="31" t="inlineStr">
        <is>
          <t>Primo Chemicals Ltd</t>
        </is>
      </c>
      <c r="C171" s="31" t="inlineStr">
        <is>
          <t>chemicals</t>
        </is>
      </c>
      <c r="D171" s="31" t="inlineStr">
        <is>
          <t>chlor alkali / soda ash</t>
        </is>
      </c>
      <c r="E171" s="31" t="inlineStr">
        <is>
          <t>smallcap</t>
        </is>
      </c>
      <c r="F171" s="31" t="n">
        <v>591.08</v>
      </c>
      <c r="G171" s="31" t="n">
        <v>24.54</v>
      </c>
      <c r="H171" s="31" t="n">
        <v>1.03</v>
      </c>
      <c r="I171" s="31" t="n">
        <v>115807</v>
      </c>
      <c r="J171" s="31" t="inlineStr">
        <is>
          <t>506852</t>
        </is>
      </c>
    </row>
    <row r="172">
      <c r="A172" s="31" t="inlineStr">
        <is>
          <t>MENONBE</t>
        </is>
      </c>
      <c r="B172" s="31" t="inlineStr">
        <is>
          <t>Menon Bearings Limited</t>
        </is>
      </c>
      <c r="C172" s="31" t="inlineStr">
        <is>
          <t>auto</t>
        </is>
      </c>
      <c r="D172" s="31" t="inlineStr">
        <is>
          <t>auto ancillaries</t>
        </is>
      </c>
      <c r="E172" s="31" t="inlineStr">
        <is>
          <t>smallcap</t>
        </is>
      </c>
      <c r="F172" s="31" t="n">
        <v>1329.38</v>
      </c>
      <c r="G172" s="31" t="n">
        <v>238</v>
      </c>
      <c r="H172" s="31" t="n">
        <v>1.01</v>
      </c>
      <c r="I172" s="31" t="n">
        <v>30050</v>
      </c>
      <c r="J172" s="31" t="inlineStr">
        <is>
          <t>523828</t>
        </is>
      </c>
    </row>
    <row r="173">
      <c r="A173" s="31" t="inlineStr">
        <is>
          <t>ALIVUS</t>
        </is>
      </c>
      <c r="B173" s="31" t="inlineStr">
        <is>
          <t>Alivus Life Sciences Ltd</t>
        </is>
      </c>
      <c r="C173" s="31" t="inlineStr">
        <is>
          <t>healthcare</t>
        </is>
      </c>
      <c r="D173" s="31" t="inlineStr">
        <is>
          <t>pharmaceuticals - indian - bulk drugs &amp; formln</t>
        </is>
      </c>
      <c r="E173" s="31" t="inlineStr">
        <is>
          <t>midcap</t>
        </is>
      </c>
      <c r="F173" s="31" t="n">
        <v>17104.54</v>
      </c>
      <c r="G173" s="31" t="n">
        <v>1374.6</v>
      </c>
      <c r="H173" s="31" t="n">
        <v>1</v>
      </c>
      <c r="I173" s="31" t="n">
        <v>76088</v>
      </c>
      <c r="J173" s="31" t="inlineStr">
        <is>
          <t>543322</t>
        </is>
      </c>
    </row>
    <row r="174">
      <c r="A174" s="31" t="inlineStr">
        <is>
          <t>NYKAA</t>
        </is>
      </c>
      <c r="B174" s="31" t="inlineStr">
        <is>
          <t>FSN E-Commerce Ventures Ltd</t>
        </is>
      </c>
      <c r="C174" s="31" t="inlineStr">
        <is>
          <t>i.t</t>
        </is>
      </c>
      <c r="D174" s="31" t="inlineStr">
        <is>
          <t>trading</t>
        </is>
      </c>
      <c r="E174" s="31" t="inlineStr">
        <is>
          <t>largecap</t>
        </is>
      </c>
      <c r="F174" s="31" t="n">
        <v>93074.28</v>
      </c>
      <c r="G174" s="31" t="n">
        <v>331.15</v>
      </c>
      <c r="H174" s="31" t="n">
        <v>0.95</v>
      </c>
      <c r="I174" s="31" t="n">
        <v>14337462</v>
      </c>
      <c r="J174" s="31" t="inlineStr">
        <is>
          <t>543384</t>
        </is>
      </c>
    </row>
    <row r="175">
      <c r="A175" s="31" t="inlineStr">
        <is>
          <t>AYMSYNTEX</t>
        </is>
      </c>
      <c r="B175" s="31" t="inlineStr">
        <is>
          <t>Aym Syntex Limited</t>
        </is>
      </c>
      <c r="C175" s="31" t="inlineStr">
        <is>
          <t>textiles</t>
        </is>
      </c>
      <c r="D175" s="31" t="inlineStr">
        <is>
          <t>textiles - processing</t>
        </is>
      </c>
      <c r="E175" s="31" t="inlineStr">
        <is>
          <t>smallcap</t>
        </is>
      </c>
      <c r="F175" s="31" t="n">
        <v>1502.71</v>
      </c>
      <c r="G175" s="31" t="n">
        <v>255.6</v>
      </c>
      <c r="H175" s="31" t="n">
        <v>0.95</v>
      </c>
      <c r="I175" s="31" t="n">
        <v>15044</v>
      </c>
      <c r="J175" s="31" t="inlineStr">
        <is>
          <t>508933</t>
        </is>
      </c>
    </row>
    <row r="176">
      <c r="A176" s="31" t="inlineStr">
        <is>
          <t>WELCORP</t>
        </is>
      </c>
      <c r="B176" s="31" t="inlineStr">
        <is>
          <t>Welspun Corp Limited</t>
        </is>
      </c>
      <c r="C176" s="31" t="inlineStr">
        <is>
          <t>industrials</t>
        </is>
      </c>
      <c r="D176" s="31" t="inlineStr">
        <is>
          <t>steel - large</t>
        </is>
      </c>
      <c r="E176" s="31" t="inlineStr">
        <is>
          <t>largecap</t>
        </is>
      </c>
      <c r="F176" s="31" t="n">
        <v>48455.7</v>
      </c>
      <c r="G176" s="31" t="n">
        <v>1885</v>
      </c>
      <c r="H176" s="31" t="n">
        <v>0.93</v>
      </c>
      <c r="I176" s="31" t="n">
        <v>484980</v>
      </c>
      <c r="J176" s="31" t="inlineStr">
        <is>
          <t>532144</t>
        </is>
      </c>
    </row>
    <row r="177">
      <c r="A177" s="31" t="inlineStr">
        <is>
          <t>HUHTAMAKI</t>
        </is>
      </c>
      <c r="B177" s="31" t="inlineStr">
        <is>
          <t>Huhtamaki India Ltd</t>
        </is>
      </c>
      <c r="C177" s="31" t="inlineStr">
        <is>
          <t>industrials</t>
        </is>
      </c>
      <c r="D177" s="31" t="inlineStr">
        <is>
          <t>packaging</t>
        </is>
      </c>
      <c r="E177" s="31" t="inlineStr">
        <is>
          <t>smallcap</t>
        </is>
      </c>
      <c r="F177" s="31" t="n">
        <v>2202.6</v>
      </c>
      <c r="G177" s="31" t="n">
        <v>280.95</v>
      </c>
      <c r="H177" s="31" t="n">
        <v>0.92</v>
      </c>
      <c r="I177" s="31" t="n">
        <v>158696</v>
      </c>
      <c r="J177" s="31" t="inlineStr">
        <is>
          <t>509820</t>
        </is>
      </c>
    </row>
    <row r="178">
      <c r="A178" s="31" t="inlineStr">
        <is>
          <t>PERSISTENT</t>
        </is>
      </c>
      <c r="B178" s="31" t="inlineStr">
        <is>
          <t>Persistent Systems Limited</t>
        </is>
      </c>
      <c r="C178" s="31" t="inlineStr">
        <is>
          <t>i.t</t>
        </is>
      </c>
      <c r="D178" s="31" t="inlineStr">
        <is>
          <t>computers - software - large</t>
        </is>
      </c>
      <c r="E178" s="31" t="inlineStr">
        <is>
          <t>largecap</t>
        </is>
      </c>
      <c r="F178" s="31" t="n">
        <v>87330.39999999999</v>
      </c>
      <c r="G178" s="31" t="n">
        <v>5523</v>
      </c>
      <c r="H178" s="31" t="n">
        <v>0.9</v>
      </c>
      <c r="I178" s="31" t="n">
        <v>464966</v>
      </c>
      <c r="J178" s="31" t="inlineStr">
        <is>
          <t>533179</t>
        </is>
      </c>
    </row>
    <row r="179">
      <c r="A179" s="31" t="inlineStr">
        <is>
          <t>IDFCFIRSTB</t>
        </is>
      </c>
      <c r="B179" s="31" t="inlineStr">
        <is>
          <t>IDFC First Bank Ltd</t>
        </is>
      </c>
      <c r="C179" s="31" t="inlineStr">
        <is>
          <t>bank</t>
        </is>
      </c>
      <c r="D179" s="31" t="inlineStr">
        <is>
          <t>banks - private sector</t>
        </is>
      </c>
      <c r="E179" s="31" t="inlineStr">
        <is>
          <t>largecap</t>
        </is>
      </c>
      <c r="F179" s="31" t="n">
        <v>72596.38</v>
      </c>
      <c r="G179" s="31" t="n">
        <v>86.55</v>
      </c>
      <c r="H179" s="31" t="n">
        <v>0.87</v>
      </c>
      <c r="I179" s="31" t="n">
        <v>29952128</v>
      </c>
      <c r="J179" s="31" t="inlineStr">
        <is>
          <t>539437</t>
        </is>
      </c>
    </row>
    <row r="180">
      <c r="A180" s="31" t="inlineStr">
        <is>
          <t>TECHM</t>
        </is>
      </c>
      <c r="B180" s="31" t="inlineStr">
        <is>
          <t>Tech Mahindra Limited</t>
        </is>
      </c>
      <c r="C180" s="31" t="inlineStr">
        <is>
          <t>i.t</t>
        </is>
      </c>
      <c r="D180" s="31" t="inlineStr">
        <is>
          <t>computers - software - large</t>
        </is>
      </c>
      <c r="E180" s="31" t="inlineStr">
        <is>
          <t>largecap</t>
        </is>
      </c>
      <c r="F180" s="31" t="n">
        <v>161023.52</v>
      </c>
      <c r="G180" s="31" t="n">
        <v>1639</v>
      </c>
      <c r="H180" s="31" t="n">
        <v>0.86</v>
      </c>
      <c r="I180" s="31" t="n">
        <v>6789076</v>
      </c>
      <c r="J180" s="31" t="inlineStr">
        <is>
          <t>532755</t>
        </is>
      </c>
    </row>
    <row r="181">
      <c r="A181" s="31" t="inlineStr">
        <is>
          <t>NAZARA</t>
        </is>
      </c>
      <c r="B181" s="31" t="inlineStr">
        <is>
          <t>Nazara Technologies Ltd</t>
        </is>
      </c>
      <c r="C181" s="31" t="inlineStr">
        <is>
          <t>i.t</t>
        </is>
      </c>
      <c r="D181" s="31" t="inlineStr">
        <is>
          <t>telecommunications - service provider</t>
        </is>
      </c>
      <c r="E181" s="31" t="inlineStr">
        <is>
          <t>midcap</t>
        </is>
      </c>
      <c r="F181" s="31" t="n">
        <v>13640.11</v>
      </c>
      <c r="G181" s="31" t="n">
        <v>355.2</v>
      </c>
      <c r="H181" s="31" t="n">
        <v>0.85</v>
      </c>
      <c r="I181" s="31" t="n">
        <v>1174739</v>
      </c>
      <c r="J181" s="31" t="inlineStr">
        <is>
          <t>543280</t>
        </is>
      </c>
    </row>
    <row r="182">
      <c r="A182" s="31" t="inlineStr">
        <is>
          <t>INDGN</t>
        </is>
      </c>
      <c r="B182" s="31" t="inlineStr">
        <is>
          <t>Indegene Ltd</t>
        </is>
      </c>
      <c r="C182" s="31" t="inlineStr">
        <is>
          <t>healthcare</t>
        </is>
      </c>
      <c r="D182" s="31" t="inlineStr">
        <is>
          <t>miscellaneous</t>
        </is>
      </c>
      <c r="E182" s="31" t="inlineStr">
        <is>
          <t>midcap</t>
        </is>
      </c>
      <c r="F182" s="31" t="n">
        <v>13676.57</v>
      </c>
      <c r="G182" s="31" t="n">
        <v>569.9</v>
      </c>
      <c r="H182" s="31" t="n">
        <v>0.8</v>
      </c>
      <c r="I182" s="31" t="n">
        <v>336818</v>
      </c>
      <c r="J182" s="31" t="inlineStr">
        <is>
          <t>544172</t>
        </is>
      </c>
    </row>
    <row r="183">
      <c r="A183" s="31" t="inlineStr">
        <is>
          <t>MUFIN</t>
        </is>
      </c>
      <c r="B183" s="31" t="inlineStr">
        <is>
          <t>Mufin Green Finance Ltd</t>
        </is>
      </c>
      <c r="C183" s="31" t="inlineStr">
        <is>
          <t>financials</t>
        </is>
      </c>
      <c r="D183" s="31" t="inlineStr">
        <is>
          <t>finance &amp; investments</t>
        </is>
      </c>
      <c r="E183" s="31" t="inlineStr">
        <is>
          <t>smallcap</t>
        </is>
      </c>
      <c r="F183" s="31" t="n">
        <v>2694.61</v>
      </c>
      <c r="G183" s="31" t="n">
        <v>136.47</v>
      </c>
      <c r="H183" s="31" t="n">
        <v>0.79</v>
      </c>
      <c r="I183" s="31" t="n">
        <v>1162110</v>
      </c>
      <c r="J183" s="31" t="inlineStr">
        <is>
          <t>542774</t>
        </is>
      </c>
    </row>
    <row r="184">
      <c r="A184" s="31" t="inlineStr">
        <is>
          <t>NGLFINE</t>
        </is>
      </c>
      <c r="B184" s="31" t="inlineStr">
        <is>
          <t>NGL Fine Chem Ltd</t>
        </is>
      </c>
      <c r="C184" s="31" t="inlineStr">
        <is>
          <t>healthcare</t>
        </is>
      </c>
      <c r="D184" s="31" t="inlineStr">
        <is>
          <t>pharmaceuticals - indian - bulk drugs</t>
        </is>
      </c>
      <c r="E184" s="31" t="inlineStr">
        <is>
          <t>smallcap</t>
        </is>
      </c>
      <c r="F184" s="31" t="n">
        <v>2130</v>
      </c>
      <c r="G184" s="31" t="n">
        <v>3435.5</v>
      </c>
      <c r="H184" s="31" t="n">
        <v>0.78</v>
      </c>
      <c r="I184" s="31" t="n">
        <v>15619</v>
      </c>
      <c r="J184" s="31" t="inlineStr">
        <is>
          <t>524774</t>
        </is>
      </c>
    </row>
    <row r="185">
      <c r="A185" s="31" t="inlineStr">
        <is>
          <t>COSMOFIRST</t>
        </is>
      </c>
      <c r="B185" s="31" t="inlineStr">
        <is>
          <t>Cosmo First Ltd</t>
        </is>
      </c>
      <c r="C185" s="31" t="inlineStr">
        <is>
          <t>industrials</t>
        </is>
      </c>
      <c r="D185" s="31" t="inlineStr">
        <is>
          <t>packaging</t>
        </is>
      </c>
      <c r="E185" s="31" t="inlineStr">
        <is>
          <t>smallcap</t>
        </is>
      </c>
      <c r="F185" s="31" t="n">
        <v>2442.01</v>
      </c>
      <c r="G185" s="31" t="n">
        <v>916</v>
      </c>
      <c r="H185" s="31" t="n">
        <v>0.77</v>
      </c>
      <c r="I185" s="31" t="n">
        <v>73254</v>
      </c>
      <c r="J185" s="31" t="inlineStr">
        <is>
          <t>508814</t>
        </is>
      </c>
    </row>
    <row r="186">
      <c r="A186" s="31" t="inlineStr">
        <is>
          <t>VMART</t>
        </is>
      </c>
      <c r="B186" s="31" t="inlineStr">
        <is>
          <t>V-mart Retail Limited</t>
        </is>
      </c>
      <c r="C186" s="31" t="inlineStr">
        <is>
          <t>consumer discretionary</t>
        </is>
      </c>
      <c r="D186" s="31" t="inlineStr">
        <is>
          <t>trading</t>
        </is>
      </c>
      <c r="E186" s="31" t="inlineStr">
        <is>
          <t>midcap</t>
        </is>
      </c>
      <c r="F186" s="31" t="n">
        <v>6480.78</v>
      </c>
      <c r="G186" s="31" t="n">
        <v>807.3</v>
      </c>
      <c r="H186" s="31" t="n">
        <v>0.77</v>
      </c>
      <c r="I186" s="31" t="n">
        <v>99861</v>
      </c>
      <c r="J186" s="31" t="inlineStr">
        <is>
          <t>534976</t>
        </is>
      </c>
    </row>
    <row r="187">
      <c r="A187" s="31" t="inlineStr">
        <is>
          <t>MBAPL</t>
        </is>
      </c>
      <c r="B187" s="31" t="inlineStr">
        <is>
          <t>Madhya Bharat Agro Products Ltd</t>
        </is>
      </c>
      <c r="C187" s="31" t="inlineStr">
        <is>
          <t>chemicals</t>
        </is>
      </c>
      <c r="D187" s="31" t="inlineStr">
        <is>
          <t>fertilizers</t>
        </is>
      </c>
      <c r="E187" s="31" t="inlineStr">
        <is>
          <t>smallcap</t>
        </is>
      </c>
      <c r="F187" s="31" t="n">
        <v>1450.14</v>
      </c>
      <c r="G187" s="31" t="n">
        <v>167</v>
      </c>
      <c r="H187" s="31" t="n">
        <v>0.75</v>
      </c>
      <c r="I187" s="31" t="n">
        <v>802624</v>
      </c>
      <c r="J187" s="31" t="inlineStr">
        <is>
          <t>538370</t>
        </is>
      </c>
    </row>
    <row r="188">
      <c r="A188" s="31" t="inlineStr">
        <is>
          <t>MAZDOCK</t>
        </is>
      </c>
      <c r="B188" s="31" t="inlineStr">
        <is>
          <t>Mazagon Dock Shipbuilders Ltd</t>
        </is>
      </c>
      <c r="C188" s="31" t="inlineStr">
        <is>
          <t>aerospace &amp; defence</t>
        </is>
      </c>
      <c r="D188" s="31" t="inlineStr">
        <is>
          <t>miscellaneous</t>
        </is>
      </c>
      <c r="E188" s="31" t="inlineStr">
        <is>
          <t>largecap</t>
        </is>
      </c>
      <c r="F188" s="31" t="n">
        <v>103023.25</v>
      </c>
      <c r="G188" s="31" t="n">
        <v>2571</v>
      </c>
      <c r="H188" s="31" t="n">
        <v>0.74</v>
      </c>
      <c r="I188" s="31" t="n">
        <v>1816161</v>
      </c>
      <c r="J188" s="31" t="inlineStr">
        <is>
          <t>543237</t>
        </is>
      </c>
    </row>
    <row r="189">
      <c r="A189" s="31" t="inlineStr">
        <is>
          <t>OLECTRA</t>
        </is>
      </c>
      <c r="B189" s="31" t="inlineStr">
        <is>
          <t>Olectra Greentech Ltd</t>
        </is>
      </c>
      <c r="C189" s="31" t="inlineStr">
        <is>
          <t>auto</t>
        </is>
      </c>
      <c r="D189" s="31" t="inlineStr">
        <is>
          <t>automobiles - lcvs / hcvs</t>
        </is>
      </c>
      <c r="E189" s="31" t="inlineStr">
        <is>
          <t>midcap</t>
        </is>
      </c>
      <c r="F189" s="31" t="n">
        <v>11422.36</v>
      </c>
      <c r="G189" s="31" t="n">
        <v>1393.5</v>
      </c>
      <c r="H189" s="31" t="n">
        <v>0.72</v>
      </c>
      <c r="I189" s="31" t="n">
        <v>452108</v>
      </c>
      <c r="J189" s="31" t="inlineStr">
        <is>
          <t>532439</t>
        </is>
      </c>
    </row>
    <row r="190">
      <c r="A190" s="31" t="inlineStr">
        <is>
          <t>M&amp;M</t>
        </is>
      </c>
      <c r="B190" s="31" t="inlineStr">
        <is>
          <t>Mahindra &amp; Mahindra Limited</t>
        </is>
      </c>
      <c r="C190" s="31" t="inlineStr">
        <is>
          <t>auto</t>
        </is>
      </c>
      <c r="D190" s="31" t="inlineStr">
        <is>
          <t>automobiles - passenger cars</t>
        </is>
      </c>
      <c r="E190" s="31" t="inlineStr">
        <is>
          <t>largecap</t>
        </is>
      </c>
      <c r="F190" s="31" t="n">
        <v>430273.41</v>
      </c>
      <c r="G190" s="31" t="n">
        <v>3428.2</v>
      </c>
      <c r="H190" s="31" t="n">
        <v>0.72</v>
      </c>
      <c r="I190" s="31" t="n">
        <v>4476998</v>
      </c>
      <c r="J190" s="31" t="inlineStr">
        <is>
          <t>500520</t>
        </is>
      </c>
    </row>
    <row r="191">
      <c r="A191" s="31" t="inlineStr">
        <is>
          <t>INDUSINDBK</t>
        </is>
      </c>
      <c r="B191" s="31" t="inlineStr">
        <is>
          <t>Indusind Bank Limited</t>
        </is>
      </c>
      <c r="C191" s="31" t="inlineStr">
        <is>
          <t>bank</t>
        </is>
      </c>
      <c r="D191" s="31" t="inlineStr">
        <is>
          <t>banks - private sector</t>
        </is>
      </c>
      <c r="E191" s="31" t="inlineStr">
        <is>
          <t>largecap</t>
        </is>
      </c>
      <c r="F191" s="31" t="n">
        <v>78606.7</v>
      </c>
      <c r="G191" s="31" t="n">
        <v>1024.7</v>
      </c>
      <c r="H191" s="31" t="n">
        <v>0.71</v>
      </c>
      <c r="I191" s="31" t="n">
        <v>1317697</v>
      </c>
      <c r="J191" s="31" t="inlineStr">
        <is>
          <t>532187</t>
        </is>
      </c>
    </row>
    <row r="192">
      <c r="A192" s="31" t="inlineStr">
        <is>
          <t>PARACABLES</t>
        </is>
      </c>
      <c r="B192" s="31" t="inlineStr">
        <is>
          <t>Paramount Communications Limited</t>
        </is>
      </c>
      <c r="C192" s="31" t="inlineStr">
        <is>
          <t>industrials</t>
        </is>
      </c>
      <c r="D192" s="31" t="inlineStr">
        <is>
          <t>cables - power</t>
        </is>
      </c>
      <c r="E192" s="31" t="inlineStr">
        <is>
          <t>smallcap</t>
        </is>
      </c>
      <c r="F192" s="31" t="n">
        <v>2221.41</v>
      </c>
      <c r="G192" s="31" t="n">
        <v>68.69</v>
      </c>
      <c r="H192" s="31" t="n">
        <v>0.6899999999999999</v>
      </c>
      <c r="I192" s="31" t="n">
        <v>2515201</v>
      </c>
      <c r="J192" s="31" t="inlineStr">
        <is>
          <t>530555</t>
        </is>
      </c>
    </row>
    <row r="193">
      <c r="A193" s="31" t="inlineStr">
        <is>
          <t>INDIGO</t>
        </is>
      </c>
      <c r="B193" s="31" t="inlineStr">
        <is>
          <t>Interglobe Aviation Limited</t>
        </is>
      </c>
      <c r="C193" s="31" t="inlineStr">
        <is>
          <t>transportation</t>
        </is>
      </c>
      <c r="D193" s="31" t="inlineStr">
        <is>
          <t>transport - airlines</t>
        </is>
      </c>
      <c r="E193" s="31" t="inlineStr">
        <is>
          <t>largecap</t>
        </is>
      </c>
      <c r="F193" s="31" t="n">
        <v>204309.82</v>
      </c>
      <c r="G193" s="31" t="n">
        <v>5370</v>
      </c>
      <c r="H193" s="31" t="n">
        <v>0.6899999999999999</v>
      </c>
      <c r="I193" s="31" t="n">
        <v>445325</v>
      </c>
      <c r="J193" s="31" t="inlineStr">
        <is>
          <t>539448</t>
        </is>
      </c>
    </row>
    <row r="194">
      <c r="A194" s="31" t="inlineStr">
        <is>
          <t>VARROC</t>
        </is>
      </c>
      <c r="B194" s="31" t="inlineStr">
        <is>
          <t>Varroc Engineering Ltd</t>
        </is>
      </c>
      <c r="C194" s="31" t="inlineStr">
        <is>
          <t>auto</t>
        </is>
      </c>
      <c r="D194" s="31" t="inlineStr">
        <is>
          <t>auto ancillaries</t>
        </is>
      </c>
      <c r="E194" s="31" t="inlineStr">
        <is>
          <t>midcap</t>
        </is>
      </c>
      <c r="F194" s="31" t="n">
        <v>12866.91</v>
      </c>
      <c r="G194" s="31" t="n">
        <v>841.95</v>
      </c>
      <c r="H194" s="31" t="n">
        <v>0.6899999999999999</v>
      </c>
      <c r="I194" s="31" t="n">
        <v>330258</v>
      </c>
      <c r="J194" s="31" t="inlineStr">
        <is>
          <t>541578</t>
        </is>
      </c>
    </row>
    <row r="195">
      <c r="A195" s="31" t="inlineStr">
        <is>
          <t>3MINDIA</t>
        </is>
      </c>
      <c r="B195" s="31" t="inlineStr">
        <is>
          <t>3m India Limited</t>
        </is>
      </c>
      <c r="C195" s="31" t="inlineStr">
        <is>
          <t>miscellaneous</t>
        </is>
      </c>
      <c r="D195" s="31" t="inlineStr">
        <is>
          <t>diversified - large</t>
        </is>
      </c>
      <c r="E195" s="31" t="inlineStr">
        <is>
          <t>largecap</t>
        </is>
      </c>
      <c r="F195" s="31" t="n">
        <v>40683.8</v>
      </c>
      <c r="G195" s="31" t="n">
        <v>36180</v>
      </c>
      <c r="H195" s="31" t="n">
        <v>0.68</v>
      </c>
      <c r="I195" s="31" t="n">
        <v>4039</v>
      </c>
      <c r="J195" s="31" t="inlineStr">
        <is>
          <t>523395</t>
        </is>
      </c>
    </row>
    <row r="196">
      <c r="A196" s="31" t="inlineStr">
        <is>
          <t>ANANDRATHI</t>
        </is>
      </c>
      <c r="B196" s="31" t="inlineStr">
        <is>
          <t>Anand Rathi Wealth Ltd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largecap</t>
        </is>
      </c>
      <c r="F196" s="31" t="n">
        <v>35831.71</v>
      </c>
      <c r="G196" s="31" t="n">
        <v>2202.8</v>
      </c>
      <c r="H196" s="31" t="n">
        <v>0.63</v>
      </c>
      <c r="I196" s="31" t="n">
        <v>222246</v>
      </c>
      <c r="J196" s="31" t="inlineStr">
        <is>
          <t>543415</t>
        </is>
      </c>
    </row>
    <row r="197">
      <c r="A197" s="31" t="inlineStr">
        <is>
          <t>EICHERMOT</t>
        </is>
      </c>
      <c r="B197" s="31" t="inlineStr">
        <is>
          <t>Eicher Motors Limited</t>
        </is>
      </c>
      <c r="C197" s="31" t="inlineStr">
        <is>
          <t>auto</t>
        </is>
      </c>
      <c r="D197" s="31" t="inlineStr">
        <is>
          <t>automobiles - motorcycles / mopeds</t>
        </is>
      </c>
      <c r="E197" s="31" t="inlineStr">
        <is>
          <t>largecap</t>
        </is>
      </c>
      <c r="F197" s="31" t="n">
        <v>219598.02</v>
      </c>
      <c r="G197" s="31" t="n">
        <v>8100</v>
      </c>
      <c r="H197" s="31" t="n">
        <v>0.63</v>
      </c>
      <c r="I197" s="31" t="n">
        <v>461657</v>
      </c>
      <c r="J197" s="31" t="inlineStr">
        <is>
          <t>505200</t>
        </is>
      </c>
    </row>
    <row r="198">
      <c r="A198" s="31" t="inlineStr">
        <is>
          <t>PNBHOUSING</t>
        </is>
      </c>
      <c r="B198" s="31" t="inlineStr">
        <is>
          <t>Pnb Housing Finance Limited</t>
        </is>
      </c>
      <c r="C198" s="31" t="inlineStr">
        <is>
          <t>financials</t>
        </is>
      </c>
      <c r="D198" s="31" t="inlineStr">
        <is>
          <t>finance - housing</t>
        </is>
      </c>
      <c r="E198" s="31" t="inlineStr">
        <is>
          <t>largecap</t>
        </is>
      </c>
      <c r="F198" s="31" t="n">
        <v>29761.98</v>
      </c>
      <c r="G198" s="31" t="n">
        <v>1164.8</v>
      </c>
      <c r="H198" s="31" t="n">
        <v>0.62</v>
      </c>
      <c r="I198" s="31" t="n">
        <v>1092121</v>
      </c>
      <c r="J198" s="31" t="inlineStr">
        <is>
          <t>540173</t>
        </is>
      </c>
    </row>
    <row r="199">
      <c r="A199" s="31" t="inlineStr">
        <is>
          <t>UNOMINDA</t>
        </is>
      </c>
      <c r="B199" s="31" t="inlineStr">
        <is>
          <t>Uno Minda Ltd</t>
        </is>
      </c>
      <c r="C199" s="31" t="inlineStr">
        <is>
          <t>auto</t>
        </is>
      </c>
      <c r="D199" s="31" t="inlineStr">
        <is>
          <t>auto ancillaries</t>
        </is>
      </c>
      <c r="E199" s="31" t="inlineStr">
        <is>
          <t>largecap</t>
        </is>
      </c>
      <c r="F199" s="31" t="n">
        <v>73627.07000000001</v>
      </c>
      <c r="G199" s="31" t="n">
        <v>1240</v>
      </c>
      <c r="H199" s="31" t="n">
        <v>0.62</v>
      </c>
      <c r="I199" s="31" t="n">
        <v>1607756</v>
      </c>
      <c r="J199" s="31" t="inlineStr">
        <is>
          <t>532539</t>
        </is>
      </c>
    </row>
    <row r="200">
      <c r="A200" s="31" t="inlineStr">
        <is>
          <t>TBOTEK</t>
        </is>
      </c>
      <c r="B200" s="31" t="inlineStr">
        <is>
          <t>TBO Tek Ltd</t>
        </is>
      </c>
      <c r="C200" s="31" t="inlineStr">
        <is>
          <t>i.t</t>
        </is>
      </c>
      <c r="D200" s="31" t="inlineStr">
        <is>
          <t>travel agencies</t>
        </is>
      </c>
      <c r="E200" s="31" t="inlineStr">
        <is>
          <t>midcap</t>
        </is>
      </c>
      <c r="F200" s="31" t="n">
        <v>17805.14</v>
      </c>
      <c r="G200" s="31" t="n">
        <v>1606.4</v>
      </c>
      <c r="H200" s="31" t="n">
        <v>0.61</v>
      </c>
      <c r="I200" s="31" t="n">
        <v>57906</v>
      </c>
      <c r="J200" s="31" t="inlineStr">
        <is>
          <t>544174</t>
        </is>
      </c>
    </row>
    <row r="201">
      <c r="A201" s="31" t="inlineStr">
        <is>
          <t>KEI</t>
        </is>
      </c>
      <c r="B201" s="31" t="inlineStr">
        <is>
          <t>Kei Industries Limited</t>
        </is>
      </c>
      <c r="C201" s="31" t="inlineStr">
        <is>
          <t>industrials</t>
        </is>
      </c>
      <c r="D201" s="31" t="inlineStr">
        <is>
          <t>cables - power</t>
        </is>
      </c>
      <c r="E201" s="31" t="inlineStr">
        <is>
          <t>largecap</t>
        </is>
      </c>
      <c r="F201" s="31" t="n">
        <v>53966.54</v>
      </c>
      <c r="G201" s="31" t="n">
        <v>5789</v>
      </c>
      <c r="H201" s="31" t="n">
        <v>0.61</v>
      </c>
      <c r="I201" s="31" t="n">
        <v>843333</v>
      </c>
      <c r="J201" s="31" t="inlineStr">
        <is>
          <t>517569</t>
        </is>
      </c>
    </row>
    <row r="202">
      <c r="A202" s="31" t="inlineStr">
        <is>
          <t>LALPATHLAB</t>
        </is>
      </c>
      <c r="B202" s="31" t="inlineStr">
        <is>
          <t>Dr. Lal Path Labs Ltd.</t>
        </is>
      </c>
      <c r="C202" s="31" t="inlineStr">
        <is>
          <t>healthcare</t>
        </is>
      </c>
      <c r="D202" s="31" t="inlineStr">
        <is>
          <t>healthcare</t>
        </is>
      </c>
      <c r="E202" s="31" t="inlineStr">
        <is>
          <t>largecap</t>
        </is>
      </c>
      <c r="F202" s="31" t="n">
        <v>32687.69</v>
      </c>
      <c r="G202" s="31" t="n">
        <v>1965</v>
      </c>
      <c r="H202" s="31" t="n">
        <v>0.6</v>
      </c>
      <c r="I202" s="31" t="n">
        <v>205127</v>
      </c>
      <c r="J202" s="31" t="inlineStr">
        <is>
          <t>539524</t>
        </is>
      </c>
    </row>
    <row r="203">
      <c r="A203" s="31" t="inlineStr">
        <is>
          <t>AUBANK</t>
        </is>
      </c>
      <c r="B203" s="31" t="inlineStr">
        <is>
          <t>AU Small Finance Bank Ltd</t>
        </is>
      </c>
      <c r="C203" s="31" t="inlineStr">
        <is>
          <t>bank</t>
        </is>
      </c>
      <c r="D203" s="31" t="inlineStr">
        <is>
          <t>banks - private sector</t>
        </is>
      </c>
      <c r="E203" s="31" t="inlineStr">
        <is>
          <t>largecap</t>
        </is>
      </c>
      <c r="F203" s="31" t="n">
        <v>80207.41</v>
      </c>
      <c r="G203" s="31" t="n">
        <v>1098</v>
      </c>
      <c r="H203" s="31" t="n">
        <v>0.6</v>
      </c>
      <c r="I203" s="31" t="n">
        <v>3255108</v>
      </c>
      <c r="J203" s="31" t="inlineStr">
        <is>
          <t>540611</t>
        </is>
      </c>
    </row>
    <row r="204">
      <c r="A204" s="31" t="inlineStr">
        <is>
          <t>UNIMECH</t>
        </is>
      </c>
      <c r="B204" s="31" t="inlineStr">
        <is>
          <t>Unimech Aerospace and Manufacturing Ltd</t>
        </is>
      </c>
      <c r="C204" s="31" t="inlineStr">
        <is>
          <t>aerospace &amp; defence</t>
        </is>
      </c>
      <c r="D204" s="31" t="inlineStr">
        <is>
          <t>engineering</t>
        </is>
      </c>
      <c r="E204" s="31" t="inlineStr">
        <is>
          <t>midcap</t>
        </is>
      </c>
      <c r="F204" s="31" t="n">
        <v>7228.8</v>
      </c>
      <c r="G204" s="31" t="n">
        <v>1426.9</v>
      </c>
      <c r="H204" s="31" t="n">
        <v>0.59</v>
      </c>
      <c r="I204" s="31" t="n">
        <v>111242</v>
      </c>
      <c r="J204" s="31" t="inlineStr">
        <is>
          <t>544322</t>
        </is>
      </c>
    </row>
    <row r="205">
      <c r="A205" s="31" t="inlineStr">
        <is>
          <t>ENGINERSIN</t>
        </is>
      </c>
      <c r="B205" s="31" t="inlineStr">
        <is>
          <t>Engineers India Limited</t>
        </is>
      </c>
      <c r="C205" s="31" t="inlineStr">
        <is>
          <t>realty</t>
        </is>
      </c>
      <c r="D205" s="31" t="inlineStr">
        <is>
          <t>engineering - turnkey services</t>
        </is>
      </c>
      <c r="E205" s="31" t="inlineStr">
        <is>
          <t>midcap</t>
        </is>
      </c>
      <c r="F205" s="31" t="n">
        <v>13657.07</v>
      </c>
      <c r="G205" s="31" t="n">
        <v>240.58</v>
      </c>
      <c r="H205" s="31" t="n">
        <v>0.58</v>
      </c>
      <c r="I205" s="31" t="n">
        <v>1969783</v>
      </c>
      <c r="J205" s="31" t="inlineStr">
        <is>
          <t>532178</t>
        </is>
      </c>
    </row>
    <row r="206">
      <c r="A206" s="31" t="inlineStr">
        <is>
          <t>BOSCHLTD</t>
        </is>
      </c>
      <c r="B206" s="31" t="inlineStr">
        <is>
          <t>Bosch Limited</t>
        </is>
      </c>
      <c r="C206" s="31" t="inlineStr">
        <is>
          <t>auto</t>
        </is>
      </c>
      <c r="D206" s="31" t="inlineStr">
        <is>
          <t>auto ancillaries</t>
        </is>
      </c>
      <c r="E206" s="31" t="inlineStr">
        <is>
          <t>largecap</t>
        </is>
      </c>
      <c r="F206" s="31" t="n">
        <v>133278.13</v>
      </c>
      <c r="G206" s="31" t="n">
        <v>46750</v>
      </c>
      <c r="H206" s="31" t="n">
        <v>0.58</v>
      </c>
      <c r="I206" s="31" t="n">
        <v>97235</v>
      </c>
      <c r="J206" s="31" t="inlineStr">
        <is>
          <t>500530</t>
        </is>
      </c>
    </row>
    <row r="207">
      <c r="A207" s="31" t="inlineStr">
        <is>
          <t>ASIANPAINT</t>
        </is>
      </c>
      <c r="B207" s="31" t="inlineStr">
        <is>
          <t>Asian Paints Limited</t>
        </is>
      </c>
      <c r="C207" s="31" t="inlineStr">
        <is>
          <t>building materials</t>
        </is>
      </c>
      <c r="D207" s="31" t="inlineStr">
        <is>
          <t>paints / varnishes</t>
        </is>
      </c>
      <c r="E207" s="31" t="inlineStr">
        <is>
          <t>largecap</t>
        </is>
      </c>
      <c r="F207" s="31" t="n">
        <v>262388.56</v>
      </c>
      <c r="G207" s="31" t="n">
        <v>2755.5</v>
      </c>
      <c r="H207" s="31" t="n">
        <v>0.57</v>
      </c>
      <c r="I207" s="31" t="n">
        <v>1110398</v>
      </c>
      <c r="J207" s="31" t="inlineStr">
        <is>
          <t>500820</t>
        </is>
      </c>
    </row>
    <row r="208">
      <c r="A208" s="31" t="inlineStr">
        <is>
          <t>E2E</t>
        </is>
      </c>
      <c r="B208" s="31" t="inlineStr">
        <is>
          <t>E2E Networks Ltd</t>
        </is>
      </c>
      <c r="C208" s="31" t="inlineStr">
        <is>
          <t>i.t</t>
        </is>
      </c>
      <c r="D208" s="31" t="inlineStr">
        <is>
          <t>computers - software - medium / small</t>
        </is>
      </c>
      <c r="E208" s="31" t="inlineStr">
        <is>
          <t>midcap</t>
        </is>
      </c>
      <c r="F208" s="31" t="n">
        <v>12897.14</v>
      </c>
      <c r="G208" s="31" t="n">
        <v>635</v>
      </c>
      <c r="H208" s="31" t="n">
        <v>0.57</v>
      </c>
      <c r="I208" s="31" t="n">
        <v>629942</v>
      </c>
      <c r="J208" s="31" t="inlineStr">
        <is>
          <t>535080</t>
        </is>
      </c>
    </row>
    <row r="209">
      <c r="A209" s="31" t="inlineStr">
        <is>
          <t>SREEL</t>
        </is>
      </c>
      <c r="B209" s="31" t="inlineStr">
        <is>
          <t>Sreeleathers Limited</t>
        </is>
      </c>
      <c r="C209" s="31" t="inlineStr">
        <is>
          <t>consumer discretionary</t>
        </is>
      </c>
      <c r="D209" s="31" t="inlineStr">
        <is>
          <t>trading</t>
        </is>
      </c>
      <c r="E209" s="31" t="inlineStr">
        <is>
          <t>smallcap</t>
        </is>
      </c>
      <c r="F209" s="31" t="n">
        <v>534.1900000000001</v>
      </c>
      <c r="G209" s="31" t="n">
        <v>240.48</v>
      </c>
      <c r="H209" s="31" t="n">
        <v>0.57</v>
      </c>
      <c r="I209" s="31" t="n">
        <v>19543</v>
      </c>
      <c r="J209" s="31" t="inlineStr">
        <is>
          <t>535601</t>
        </is>
      </c>
    </row>
    <row r="210">
      <c r="A210" s="31" t="inlineStr">
        <is>
          <t>CHOLAFIN</t>
        </is>
      </c>
      <c r="B210" s="31" t="inlineStr">
        <is>
          <t>Cholamandalam Investment And Finance Company Limited</t>
        </is>
      </c>
      <c r="C210" s="31" t="inlineStr">
        <is>
          <t>financials</t>
        </is>
      </c>
      <c r="D210" s="31" t="inlineStr">
        <is>
          <t>finance &amp; investments</t>
        </is>
      </c>
      <c r="E210" s="31" t="inlineStr">
        <is>
          <t>largecap</t>
        </is>
      </c>
      <c r="F210" s="31" t="n">
        <v>163219.18</v>
      </c>
      <c r="G210" s="31" t="n">
        <v>1927.9</v>
      </c>
      <c r="H210" s="31" t="n">
        <v>0.54</v>
      </c>
      <c r="I210" s="31" t="n">
        <v>1700809</v>
      </c>
      <c r="J210" s="31" t="inlineStr">
        <is>
          <t>511243</t>
        </is>
      </c>
    </row>
    <row r="211">
      <c r="A211" s="31" t="inlineStr">
        <is>
          <t>ETHOSLTD</t>
        </is>
      </c>
      <c r="B211" s="31" t="inlineStr">
        <is>
          <t>Ethos Ltd</t>
        </is>
      </c>
      <c r="C211" s="31" t="inlineStr">
        <is>
          <t>consumer discretionary</t>
        </is>
      </c>
      <c r="D211" s="31" t="inlineStr">
        <is>
          <t>trading</t>
        </is>
      </c>
      <c r="E211" s="31" t="inlineStr">
        <is>
          <t>midcap</t>
        </is>
      </c>
      <c r="F211" s="31" t="n">
        <v>7570.55</v>
      </c>
      <c r="G211" s="31" t="n">
        <v>2805</v>
      </c>
      <c r="H211" s="31" t="n">
        <v>0.53</v>
      </c>
      <c r="I211" s="31" t="n">
        <v>12142</v>
      </c>
      <c r="J211" s="31" t="inlineStr">
        <is>
          <t>543532</t>
        </is>
      </c>
    </row>
    <row r="212">
      <c r="A212" s="31" t="inlineStr">
        <is>
          <t>BEML</t>
        </is>
      </c>
      <c r="B212" s="31" t="inlineStr">
        <is>
          <t>Beml Limited</t>
        </is>
      </c>
      <c r="C212" s="31" t="inlineStr">
        <is>
          <t>aerospace &amp; defence</t>
        </is>
      </c>
      <c r="D212" s="31" t="inlineStr">
        <is>
          <t>engineering</t>
        </is>
      </c>
      <c r="E212" s="31" t="inlineStr">
        <is>
          <t>midcap</t>
        </is>
      </c>
      <c r="F212" s="31" t="n">
        <v>15844.07</v>
      </c>
      <c r="G212" s="31" t="n">
        <v>1910.6</v>
      </c>
      <c r="H212" s="31" t="n">
        <v>0.53</v>
      </c>
      <c r="I212" s="31" t="n">
        <v>217005</v>
      </c>
      <c r="J212" s="31" t="inlineStr">
        <is>
          <t>500048</t>
        </is>
      </c>
    </row>
    <row r="213">
      <c r="A213" s="31" t="inlineStr">
        <is>
          <t>SIGMAADV</t>
        </is>
      </c>
      <c r="B213" s="31" t="inlineStr">
        <is>
          <t>Sigma Advanced System Ltd</t>
        </is>
      </c>
      <c r="C213" s="31" t="inlineStr">
        <is>
          <t>aerospace &amp; defence</t>
        </is>
      </c>
      <c r="D213" s="31" t="inlineStr">
        <is>
          <t>electronics - components</t>
        </is>
      </c>
      <c r="E213" s="31" t="inlineStr">
        <is>
          <t>midcap</t>
        </is>
      </c>
      <c r="F213" s="31" t="n">
        <v>13292.21</v>
      </c>
      <c r="G213" s="31" t="n">
        <v>687.15</v>
      </c>
      <c r="H213" s="31" t="n">
        <v>0.48</v>
      </c>
      <c r="I213" s="31" t="n">
        <v>197280</v>
      </c>
      <c r="J213" s="31" t="inlineStr">
        <is>
          <t>532408</t>
        </is>
      </c>
    </row>
    <row r="214">
      <c r="A214" s="31" t="inlineStr">
        <is>
          <t>SMCGLOBAL</t>
        </is>
      </c>
      <c r="B214" s="31" t="inlineStr">
        <is>
          <t>SMC Global Securities Ltd</t>
        </is>
      </c>
      <c r="C214" s="31" t="inlineStr">
        <is>
          <t>financials</t>
        </is>
      </c>
      <c r="D214" s="31" t="inlineStr">
        <is>
          <t>finance &amp; investments</t>
        </is>
      </c>
      <c r="E214" s="31" t="inlineStr">
        <is>
          <t>smallcap</t>
        </is>
      </c>
      <c r="F214" s="31" t="n">
        <v>1663.05</v>
      </c>
      <c r="G214" s="31" t="n">
        <v>79.40000000000001</v>
      </c>
      <c r="H214" s="31" t="n">
        <v>0.46</v>
      </c>
      <c r="I214" s="31" t="n">
        <v>238702</v>
      </c>
      <c r="J214" s="31" t="inlineStr">
        <is>
          <t>543263</t>
        </is>
      </c>
    </row>
    <row r="215">
      <c r="A215" s="31" t="inlineStr">
        <is>
          <t>MAHSEAMLES</t>
        </is>
      </c>
      <c r="B215" s="31" t="inlineStr">
        <is>
          <t>Maharashtra Seamless Limited</t>
        </is>
      </c>
      <c r="C215" s="31" t="inlineStr">
        <is>
          <t>industrials</t>
        </is>
      </c>
      <c r="D215" s="31" t="inlineStr">
        <is>
          <t>steel - large</t>
        </is>
      </c>
      <c r="E215" s="31" t="inlineStr">
        <is>
          <t>midcap</t>
        </is>
      </c>
      <c r="F215" s="31" t="n">
        <v>7972.96</v>
      </c>
      <c r="G215" s="31" t="n">
        <v>612.45</v>
      </c>
      <c r="H215" s="31" t="n">
        <v>0.41</v>
      </c>
      <c r="I215" s="31" t="n">
        <v>204850</v>
      </c>
      <c r="J215" s="31" t="inlineStr">
        <is>
          <t>500265</t>
        </is>
      </c>
    </row>
    <row r="216">
      <c r="A216" s="31" t="inlineStr">
        <is>
          <t>ZENTEC</t>
        </is>
      </c>
      <c r="B216" s="31" t="inlineStr">
        <is>
          <t>Zen Technologies Limited</t>
        </is>
      </c>
      <c r="C216" s="31" t="inlineStr">
        <is>
          <t>aerospace &amp; defence</t>
        </is>
      </c>
      <c r="D216" s="31" t="inlineStr">
        <is>
          <t>miscellaneous</t>
        </is>
      </c>
      <c r="E216" s="31" t="inlineStr">
        <is>
          <t>midcap</t>
        </is>
      </c>
      <c r="F216" s="31" t="n">
        <v>16431.04</v>
      </c>
      <c r="G216" s="31" t="n">
        <v>1831.8</v>
      </c>
      <c r="H216" s="31" t="n">
        <v>0.41</v>
      </c>
      <c r="I216" s="31" t="n">
        <v>288202</v>
      </c>
      <c r="J216" s="31" t="inlineStr">
        <is>
          <t>533339</t>
        </is>
      </c>
    </row>
    <row r="217">
      <c r="A217" s="31" t="inlineStr">
        <is>
          <t>TIIL</t>
        </is>
      </c>
      <c r="B217" s="31" t="inlineStr">
        <is>
          <t>Technocraft Industries (india) Limited</t>
        </is>
      </c>
      <c r="C217" s="31" t="inlineStr">
        <is>
          <t>metals &amp; mining</t>
        </is>
      </c>
      <c r="D217" s="31" t="inlineStr">
        <is>
          <t>steel - medium / small</t>
        </is>
      </c>
      <c r="E217" s="31" t="inlineStr">
        <is>
          <t>midcap</t>
        </is>
      </c>
      <c r="F217" s="31" t="n">
        <v>5915.11</v>
      </c>
      <c r="G217" s="31" t="n">
        <v>2887.6</v>
      </c>
      <c r="H217" s="31" t="n">
        <v>0.32</v>
      </c>
      <c r="I217" s="31" t="n">
        <v>110365</v>
      </c>
      <c r="J217" s="31" t="inlineStr">
        <is>
          <t>532804</t>
        </is>
      </c>
    </row>
    <row r="218">
      <c r="A218" s="31" t="inlineStr">
        <is>
          <t>FOSECOIND</t>
        </is>
      </c>
      <c r="B218" s="31" t="inlineStr">
        <is>
          <t>Foseco India Limited</t>
        </is>
      </c>
      <c r="C218" s="31" t="inlineStr">
        <is>
          <t>chemicals</t>
        </is>
      </c>
      <c r="D218" s="31" t="inlineStr">
        <is>
          <t>chemicals</t>
        </is>
      </c>
      <c r="E218" s="31" t="inlineStr">
        <is>
          <t>smallcap</t>
        </is>
      </c>
      <c r="F218" s="31" t="n">
        <v>4145.87</v>
      </c>
      <c r="G218" s="31" t="n">
        <v>5547</v>
      </c>
      <c r="H218" s="31" t="n">
        <v>0.3</v>
      </c>
      <c r="I218" s="31" t="n">
        <v>6452</v>
      </c>
      <c r="J218" s="31" t="inlineStr">
        <is>
          <t>500150</t>
        </is>
      </c>
    </row>
    <row r="219">
      <c r="A219" s="31" t="inlineStr">
        <is>
          <t>DYCL</t>
        </is>
      </c>
      <c r="B219" s="31" t="inlineStr">
        <is>
          <t>Dynamic Cables Ltd</t>
        </is>
      </c>
      <c r="C219" s="31" t="inlineStr">
        <is>
          <t>industrials</t>
        </is>
      </c>
      <c r="D219" s="31" t="inlineStr">
        <is>
          <t>cables - power</t>
        </is>
      </c>
      <c r="E219" s="31" t="inlineStr">
        <is>
          <t>smallcap</t>
        </is>
      </c>
      <c r="F219" s="31" t="n">
        <v>2138</v>
      </c>
      <c r="G219" s="31" t="n">
        <v>455.35</v>
      </c>
      <c r="H219" s="31" t="n">
        <v>0.3</v>
      </c>
      <c r="I219" s="31" t="n">
        <v>676080</v>
      </c>
      <c r="J219" s="31" t="inlineStr">
        <is>
          <t>540795</t>
        </is>
      </c>
    </row>
    <row r="220">
      <c r="A220" s="31" t="inlineStr">
        <is>
          <t>TRAVELFOOD</t>
        </is>
      </c>
      <c r="B220" s="31" t="inlineStr">
        <is>
          <t>Travel Food Services Ltd</t>
        </is>
      </c>
      <c r="C220" s="31" t="inlineStr">
        <is>
          <t>consumer discretionary</t>
        </is>
      </c>
      <c r="D220" s="31" t="inlineStr">
        <is>
          <t>hotels</t>
        </is>
      </c>
      <c r="E220" s="31" t="inlineStr">
        <is>
          <t>midcap</t>
        </is>
      </c>
      <c r="F220" s="31" t="n">
        <v>18290.28</v>
      </c>
      <c r="G220" s="31" t="n">
        <v>1394.3</v>
      </c>
      <c r="H220" s="31" t="n">
        <v>0.3</v>
      </c>
      <c r="I220" s="31" t="n">
        <v>145722</v>
      </c>
      <c r="J220" s="31" t="inlineStr">
        <is>
          <t>544443</t>
        </is>
      </c>
    </row>
    <row r="221">
      <c r="A221" s="31" t="inlineStr">
        <is>
          <t>KAJARIACER</t>
        </is>
      </c>
      <c r="B221" s="31" t="inlineStr">
        <is>
          <t>Kajaria Ceramics Limited</t>
        </is>
      </c>
      <c r="C221" s="31" t="inlineStr">
        <is>
          <t>building materials</t>
        </is>
      </c>
      <c r="D221" s="31" t="inlineStr">
        <is>
          <t>ceramics - tiles / sanitaryware</t>
        </is>
      </c>
      <c r="E221" s="31" t="inlineStr">
        <is>
          <t>midcap</t>
        </is>
      </c>
      <c r="F221" s="31" t="n">
        <v>19520.41</v>
      </c>
      <c r="G221" s="31" t="n">
        <v>1256</v>
      </c>
      <c r="H221" s="31" t="n">
        <v>0.3</v>
      </c>
      <c r="I221" s="31" t="n">
        <v>268475</v>
      </c>
      <c r="J221" s="31" t="inlineStr">
        <is>
          <t>500233</t>
        </is>
      </c>
    </row>
    <row r="222">
      <c r="A222" s="31" t="inlineStr">
        <is>
          <t>SHANTIGOLD</t>
        </is>
      </c>
      <c r="B222" s="31" t="inlineStr">
        <is>
          <t>Shanti Gold International Ltd</t>
        </is>
      </c>
      <c r="C222" s="31" t="inlineStr">
        <is>
          <t>consumer discretionary</t>
        </is>
      </c>
      <c r="D222" s="31" t="inlineStr">
        <is>
          <t>diamond cutting / jewellery</t>
        </is>
      </c>
      <c r="E222" s="31" t="inlineStr">
        <is>
          <t>smallcap</t>
        </is>
      </c>
      <c r="F222" s="31" t="n">
        <v>1642.13</v>
      </c>
      <c r="G222" s="31" t="n">
        <v>230.9</v>
      </c>
      <c r="H222" s="31" t="n">
        <v>0.3</v>
      </c>
      <c r="I222" s="31" t="n">
        <v>2431205</v>
      </c>
      <c r="J222" s="31" t="inlineStr">
        <is>
          <t>544459</t>
        </is>
      </c>
    </row>
    <row r="223">
      <c r="A223" s="31" t="inlineStr">
        <is>
          <t>POLICYBZR</t>
        </is>
      </c>
      <c r="B223" s="31" t="inlineStr">
        <is>
          <t>PB Fintech Ltd</t>
        </is>
      </c>
      <c r="C223" s="31" t="inlineStr">
        <is>
          <t>i.t</t>
        </is>
      </c>
      <c r="D223" s="31" t="inlineStr">
        <is>
          <t>miscellaneous</t>
        </is>
      </c>
      <c r="E223" s="31" t="inlineStr">
        <is>
          <t>largecap</t>
        </is>
      </c>
      <c r="F223" s="31" t="n">
        <v>80185.02</v>
      </c>
      <c r="G223" s="31" t="n">
        <v>1744</v>
      </c>
      <c r="H223" s="31" t="n">
        <v>0.29</v>
      </c>
      <c r="I223" s="31" t="n">
        <v>2224000</v>
      </c>
      <c r="J223" s="31" t="inlineStr">
        <is>
          <t>543390</t>
        </is>
      </c>
    </row>
    <row r="224">
      <c r="A224" s="31" t="inlineStr">
        <is>
          <t>ARTEMISMED</t>
        </is>
      </c>
      <c r="B224" s="31" t="inlineStr">
        <is>
          <t>Artemis Medicare Services Ltd</t>
        </is>
      </c>
      <c r="C224" s="31" t="inlineStr">
        <is>
          <t>healthcare</t>
        </is>
      </c>
      <c r="D224" s="31" t="inlineStr">
        <is>
          <t>healthcare</t>
        </is>
      </c>
      <c r="E224" s="31" t="inlineStr">
        <is>
          <t>smallcap</t>
        </is>
      </c>
      <c r="F224" s="31" t="n">
        <v>4959.73</v>
      </c>
      <c r="G224" s="31" t="n">
        <v>317.2</v>
      </c>
      <c r="H224" s="31" t="n">
        <v>0.28</v>
      </c>
      <c r="I224" s="31" t="n">
        <v>860862</v>
      </c>
      <c r="J224" s="31" t="inlineStr">
        <is>
          <t>542919</t>
        </is>
      </c>
    </row>
    <row r="225">
      <c r="A225" s="31" t="inlineStr">
        <is>
          <t>VRLLOG</t>
        </is>
      </c>
      <c r="B225" s="31" t="inlineStr">
        <is>
          <t>Vrl Logistics Limited</t>
        </is>
      </c>
      <c r="C225" s="31" t="inlineStr">
        <is>
          <t>transportation</t>
        </is>
      </c>
      <c r="D225" s="31" t="inlineStr">
        <is>
          <t>miscellaneous</t>
        </is>
      </c>
      <c r="E225" s="31" t="inlineStr">
        <is>
          <t>midcap</t>
        </is>
      </c>
      <c r="F225" s="31" t="n">
        <v>5339.95</v>
      </c>
      <c r="G225" s="31" t="n">
        <v>301.75</v>
      </c>
      <c r="H225" s="31" t="n">
        <v>0.28</v>
      </c>
      <c r="I225" s="31" t="n">
        <v>177890</v>
      </c>
      <c r="J225" s="31" t="inlineStr">
        <is>
          <t>539118</t>
        </is>
      </c>
    </row>
    <row r="226">
      <c r="A226" s="31" t="inlineStr">
        <is>
          <t>ORIENTELEC</t>
        </is>
      </c>
      <c r="B226" s="31" t="inlineStr">
        <is>
          <t>Orient Electric Ltd</t>
        </is>
      </c>
      <c r="C226" s="31" t="inlineStr">
        <is>
          <t>consumer discretionary</t>
        </is>
      </c>
      <c r="D226" s="31" t="inlineStr">
        <is>
          <t>domestic appliances</t>
        </is>
      </c>
      <c r="E226" s="31" t="inlineStr">
        <is>
          <t>smallcap</t>
        </is>
      </c>
      <c r="F226" s="31" t="n">
        <v>4068.46</v>
      </c>
      <c r="G226" s="31" t="n">
        <v>190.27</v>
      </c>
      <c r="H226" s="31" t="n">
        <v>0.25</v>
      </c>
      <c r="I226" s="31" t="n">
        <v>225481</v>
      </c>
      <c r="J226" s="31" t="inlineStr">
        <is>
          <t>541301</t>
        </is>
      </c>
    </row>
    <row r="227">
      <c r="A227" s="31" t="inlineStr">
        <is>
          <t>AKUMS</t>
        </is>
      </c>
      <c r="B227" s="31" t="inlineStr">
        <is>
          <t>Akums Drugs &amp; Pharmaceuticals Ltd</t>
        </is>
      </c>
      <c r="C227" s="31" t="inlineStr">
        <is>
          <t>healthcare</t>
        </is>
      </c>
      <c r="D227" s="31" t="inlineStr">
        <is>
          <t>pharmaceuticals - indian - bulk drugs &amp; formln</t>
        </is>
      </c>
      <c r="E227" s="31" t="inlineStr">
        <is>
          <t>midcap</t>
        </is>
      </c>
      <c r="F227" s="31" t="n">
        <v>11976.9</v>
      </c>
      <c r="G227" s="31" t="n">
        <v>751.85</v>
      </c>
      <c r="H227" s="31" t="n">
        <v>0.25</v>
      </c>
      <c r="I227" s="31" t="n">
        <v>287659</v>
      </c>
      <c r="J227" s="31" t="inlineStr">
        <is>
          <t>544222</t>
        </is>
      </c>
    </row>
    <row r="228">
      <c r="A228" s="31" t="inlineStr">
        <is>
          <t>HNDFDS</t>
        </is>
      </c>
      <c r="B228" s="31" t="inlineStr">
        <is>
          <t>Hindustan Foods Ltd</t>
        </is>
      </c>
      <c r="C228" s="31" t="inlineStr">
        <is>
          <t>fmcg</t>
        </is>
      </c>
      <c r="D228" s="31" t="inlineStr">
        <is>
          <t>diversified - large</t>
        </is>
      </c>
      <c r="E228" s="31" t="inlineStr">
        <is>
          <t>midcap</t>
        </is>
      </c>
      <c r="F228" s="31" t="n">
        <v>7005.63</v>
      </c>
      <c r="G228" s="31" t="n">
        <v>596.75</v>
      </c>
      <c r="H228" s="31" t="n">
        <v>0.25</v>
      </c>
      <c r="I228" s="31" t="n">
        <v>91292</v>
      </c>
      <c r="J228" s="31" t="inlineStr">
        <is>
          <t>519126</t>
        </is>
      </c>
    </row>
    <row r="229">
      <c r="A229" s="31" t="inlineStr">
        <is>
          <t>SHILPAMED</t>
        </is>
      </c>
      <c r="B229" s="31" t="inlineStr">
        <is>
          <t>Shilpa Medicare Limited</t>
        </is>
      </c>
      <c r="C229" s="31" t="inlineStr">
        <is>
          <t>healthcare</t>
        </is>
      </c>
      <c r="D229" s="31" t="inlineStr">
        <is>
          <t>pharmaceuticals - indian - formulations</t>
        </is>
      </c>
      <c r="E229" s="31" t="inlineStr">
        <is>
          <t>midcap</t>
        </is>
      </c>
      <c r="F229" s="31" t="n">
        <v>16031.84</v>
      </c>
      <c r="G229" s="31" t="n">
        <v>807.05</v>
      </c>
      <c r="H229" s="31" t="n">
        <v>0.23</v>
      </c>
      <c r="I229" s="31" t="n">
        <v>1394332</v>
      </c>
      <c r="J229" s="31" t="inlineStr">
        <is>
          <t>530549</t>
        </is>
      </c>
    </row>
    <row r="230">
      <c r="A230" s="31" t="inlineStr">
        <is>
          <t>BAJAJFINSV</t>
        </is>
      </c>
      <c r="B230" s="31" t="inlineStr">
        <is>
          <t>Bajaj Finserv Limited</t>
        </is>
      </c>
      <c r="C230" s="31" t="inlineStr">
        <is>
          <t>financials</t>
        </is>
      </c>
      <c r="D230" s="31" t="inlineStr">
        <is>
          <t>finance &amp; investments</t>
        </is>
      </c>
      <c r="E230" s="31" t="inlineStr">
        <is>
          <t>largecap</t>
        </is>
      </c>
      <c r="F230" s="31" t="n">
        <v>325231.76</v>
      </c>
      <c r="G230" s="31" t="n">
        <v>2025</v>
      </c>
      <c r="H230" s="31" t="n">
        <v>0.22</v>
      </c>
      <c r="I230" s="31" t="n">
        <v>1739368</v>
      </c>
      <c r="J230" s="31" t="inlineStr">
        <is>
          <t>532978</t>
        </is>
      </c>
    </row>
    <row r="231">
      <c r="A231" s="31" t="inlineStr">
        <is>
          <t>PRIMESECU</t>
        </is>
      </c>
      <c r="B231" s="31" t="inlineStr">
        <is>
          <t>Prime Securities Limited</t>
        </is>
      </c>
      <c r="C231" s="31" t="inlineStr">
        <is>
          <t>financials</t>
        </is>
      </c>
      <c r="D231" s="31" t="inlineStr">
        <is>
          <t>finance &amp; investments</t>
        </is>
      </c>
      <c r="E231" s="31" t="inlineStr">
        <is>
          <t>smallcap</t>
        </is>
      </c>
      <c r="F231" s="31" t="n">
        <v>1002.77</v>
      </c>
      <c r="G231" s="31" t="n">
        <v>291.9</v>
      </c>
      <c r="H231" s="31" t="n">
        <v>0.22</v>
      </c>
      <c r="I231" s="31" t="n">
        <v>249579</v>
      </c>
      <c r="J231" s="31" t="inlineStr">
        <is>
          <t>500337</t>
        </is>
      </c>
    </row>
    <row r="232">
      <c r="A232" s="31" t="inlineStr">
        <is>
          <t>GRAVITA</t>
        </is>
      </c>
      <c r="B232" s="31" t="inlineStr">
        <is>
          <t>Gravita India Limited</t>
        </is>
      </c>
      <c r="C232" s="31" t="inlineStr">
        <is>
          <t>metals &amp; mining</t>
        </is>
      </c>
      <c r="D232" s="31" t="inlineStr">
        <is>
          <t>mining / minerals / metals</t>
        </is>
      </c>
      <c r="E232" s="31" t="inlineStr">
        <is>
          <t>midcap</t>
        </is>
      </c>
      <c r="F232" s="31" t="n">
        <v>13171.12</v>
      </c>
      <c r="G232" s="31" t="n">
        <v>1819</v>
      </c>
      <c r="H232" s="31" t="n">
        <v>0.21</v>
      </c>
      <c r="I232" s="31" t="n">
        <v>164786</v>
      </c>
      <c r="J232" s="31" t="inlineStr">
        <is>
          <t>533282</t>
        </is>
      </c>
    </row>
    <row r="233">
      <c r="A233" s="31" t="inlineStr">
        <is>
          <t>SILVERTUC</t>
        </is>
      </c>
      <c r="B233" s="31" t="inlineStr">
        <is>
          <t>Silver Touch Technologies Ltd</t>
        </is>
      </c>
      <c r="C233" s="31" t="inlineStr">
        <is>
          <t>i.t</t>
        </is>
      </c>
      <c r="D233" s="31" t="inlineStr">
        <is>
          <t>computers - software - medium / small</t>
        </is>
      </c>
      <c r="E233" s="31" t="inlineStr">
        <is>
          <t>smallcap</t>
        </is>
      </c>
      <c r="F233" s="31" t="n">
        <v>2618.88</v>
      </c>
      <c r="G233" s="31" t="n">
        <v>206.32</v>
      </c>
      <c r="H233" s="31" t="n">
        <v>0.21</v>
      </c>
      <c r="I233" s="31" t="n">
        <v>344944</v>
      </c>
      <c r="J233" s="31" t="inlineStr">
        <is>
          <t>535031</t>
        </is>
      </c>
    </row>
    <row r="234">
      <c r="A234" s="31" t="inlineStr">
        <is>
          <t>TFCILTD</t>
        </is>
      </c>
      <c r="B234" s="31" t="inlineStr">
        <is>
          <t>Tourism Finance Corporation Of India Limited</t>
        </is>
      </c>
      <c r="C234" s="31" t="inlineStr">
        <is>
          <t>financials</t>
        </is>
      </c>
      <c r="D234" s="31" t="inlineStr">
        <is>
          <t>finance - term-lending institutions</t>
        </is>
      </c>
      <c r="E234" s="31" t="inlineStr">
        <is>
          <t>midcap</t>
        </is>
      </c>
      <c r="F234" s="31" t="n">
        <v>5352.02</v>
      </c>
      <c r="G234" s="31" t="n">
        <v>115.31</v>
      </c>
      <c r="H234" s="31" t="n">
        <v>0.16</v>
      </c>
      <c r="I234" s="31" t="n">
        <v>12274010</v>
      </c>
      <c r="J234" s="31" t="inlineStr">
        <is>
          <t>526650</t>
        </is>
      </c>
    </row>
    <row r="235">
      <c r="A235" s="31" t="inlineStr">
        <is>
          <t>SUPRAJIT</t>
        </is>
      </c>
      <c r="B235" s="31" t="inlineStr">
        <is>
          <t>Suprajit Engineering Limited</t>
        </is>
      </c>
      <c r="C235" s="31" t="inlineStr">
        <is>
          <t>auto</t>
        </is>
      </c>
      <c r="D235" s="31" t="inlineStr">
        <is>
          <t>auto ancillaries</t>
        </is>
      </c>
      <c r="E235" s="31" t="inlineStr">
        <is>
          <t>midcap</t>
        </is>
      </c>
      <c r="F235" s="31" t="n">
        <v>7287.22</v>
      </c>
      <c r="G235" s="31" t="n">
        <v>524.15</v>
      </c>
      <c r="H235" s="31" t="n">
        <v>0.13</v>
      </c>
      <c r="I235" s="31" t="n">
        <v>76120</v>
      </c>
      <c r="J235" s="31" t="inlineStr">
        <is>
          <t>532509</t>
        </is>
      </c>
    </row>
    <row r="236">
      <c r="A236" s="31" t="inlineStr">
        <is>
          <t>MPHASIS</t>
        </is>
      </c>
      <c r="B236" s="31" t="inlineStr">
        <is>
          <t>Mphasis Limited</t>
        </is>
      </c>
      <c r="C236" s="31" t="inlineStr">
        <is>
          <t>i.t</t>
        </is>
      </c>
      <c r="D236" s="31" t="inlineStr">
        <is>
          <t>computers - software - large</t>
        </is>
      </c>
      <c r="E236" s="31" t="inlineStr">
        <is>
          <t>largecap</t>
        </is>
      </c>
      <c r="F236" s="31" t="n">
        <v>48290.9</v>
      </c>
      <c r="G236" s="31" t="n">
        <v>2541</v>
      </c>
      <c r="H236" s="31" t="n">
        <v>0.13</v>
      </c>
      <c r="I236" s="31" t="n">
        <v>602164</v>
      </c>
      <c r="J236" s="31" t="inlineStr">
        <is>
          <t>526299</t>
        </is>
      </c>
    </row>
    <row r="237">
      <c r="A237" s="31" t="inlineStr">
        <is>
          <t>ARMANFIN</t>
        </is>
      </c>
      <c r="B237" s="31" t="inlineStr">
        <is>
          <t>Arman Financial Services Limited</t>
        </is>
      </c>
      <c r="C237" s="31" t="inlineStr">
        <is>
          <t>financials</t>
        </is>
      </c>
      <c r="D237" s="31" t="inlineStr">
        <is>
          <t>finance &amp; investments</t>
        </is>
      </c>
      <c r="E237" s="31" t="inlineStr">
        <is>
          <t>smallcap</t>
        </is>
      </c>
      <c r="F237" s="31" t="n">
        <v>2105.9</v>
      </c>
      <c r="G237" s="31" t="n">
        <v>2013.4</v>
      </c>
      <c r="H237" s="31" t="n">
        <v>0.12</v>
      </c>
      <c r="I237" s="31" t="n">
        <v>307772</v>
      </c>
      <c r="J237" s="31" t="inlineStr">
        <is>
          <t>531179</t>
        </is>
      </c>
    </row>
    <row r="238">
      <c r="A238" s="31" t="inlineStr">
        <is>
          <t>HESTERBIO</t>
        </is>
      </c>
      <c r="B238" s="31" t="inlineStr">
        <is>
          <t>Hester Biosciences Limited</t>
        </is>
      </c>
      <c r="C238" s="31" t="inlineStr">
        <is>
          <t>healthcare</t>
        </is>
      </c>
      <c r="D238" s="31" t="inlineStr">
        <is>
          <t>pharmaceuticals - indian - formulations</t>
        </is>
      </c>
      <c r="E238" s="31" t="inlineStr">
        <is>
          <t>smallcap</t>
        </is>
      </c>
      <c r="F238" s="31" t="n">
        <v>2116.34</v>
      </c>
      <c r="G238" s="31" t="n">
        <v>2468</v>
      </c>
      <c r="H238" s="31" t="n">
        <v>0.11</v>
      </c>
      <c r="I238" s="31" t="n">
        <v>2818</v>
      </c>
      <c r="J238" s="31" t="inlineStr">
        <is>
          <t>524669</t>
        </is>
      </c>
    </row>
    <row r="239">
      <c r="A239" s="31" t="inlineStr">
        <is>
          <t>TDPOWERSYS</t>
        </is>
      </c>
      <c r="B239" s="31" t="inlineStr">
        <is>
          <t>Td Power Systems Limited</t>
        </is>
      </c>
      <c r="C239" s="31" t="inlineStr">
        <is>
          <t>industrials</t>
        </is>
      </c>
      <c r="D239" s="31" t="inlineStr">
        <is>
          <t>electric equipment</t>
        </is>
      </c>
      <c r="E239" s="31" t="inlineStr">
        <is>
          <t>midcap</t>
        </is>
      </c>
      <c r="F239" s="31" t="n">
        <v>19928.5</v>
      </c>
      <c r="G239" s="31" t="n">
        <v>1481.6</v>
      </c>
      <c r="H239" s="31" t="n">
        <v>0.1</v>
      </c>
      <c r="I239" s="31" t="n">
        <v>2220712</v>
      </c>
      <c r="J239" s="31" t="inlineStr">
        <is>
          <t>533553</t>
        </is>
      </c>
    </row>
    <row r="240">
      <c r="A240" s="31" t="inlineStr">
        <is>
          <t>LAURUSLABS</t>
        </is>
      </c>
      <c r="B240" s="31" t="inlineStr">
        <is>
          <t>Laurus Labs Limited</t>
        </is>
      </c>
      <c r="C240" s="31" t="inlineStr">
        <is>
          <t>healthcare</t>
        </is>
      </c>
      <c r="D240" s="31" t="inlineStr">
        <is>
          <t>pharmaceuticals - indian - bulk drugs &amp; formln</t>
        </is>
      </c>
      <c r="E240" s="31" t="inlineStr">
        <is>
          <t>largecap</t>
        </is>
      </c>
      <c r="F240" s="31" t="n">
        <v>100378.37</v>
      </c>
      <c r="G240" s="31" t="n">
        <v>1851.7</v>
      </c>
      <c r="H240" s="31" t="n">
        <v>0.09</v>
      </c>
      <c r="I240" s="31" t="n">
        <v>2663996</v>
      </c>
      <c r="J240" s="31" t="inlineStr">
        <is>
          <t>540222</t>
        </is>
      </c>
    </row>
    <row r="241">
      <c r="A241" s="31" t="inlineStr">
        <is>
          <t>ATUL</t>
        </is>
      </c>
      <c r="B241" s="31" t="inlineStr">
        <is>
          <t>Atul Limited</t>
        </is>
      </c>
      <c r="C241" s="31" t="inlineStr">
        <is>
          <t>chemicals</t>
        </is>
      </c>
      <c r="D241" s="31" t="inlineStr">
        <is>
          <t>chemicals</t>
        </is>
      </c>
      <c r="E241" s="31" t="inlineStr">
        <is>
          <t>largecap</t>
        </is>
      </c>
      <c r="F241" s="31" t="n">
        <v>20167.6</v>
      </c>
      <c r="G241" s="31" t="n">
        <v>6903</v>
      </c>
      <c r="H241" s="31" t="n">
        <v>0.09</v>
      </c>
      <c r="I241" s="31" t="n">
        <v>32716</v>
      </c>
      <c r="J241" s="31" t="inlineStr">
        <is>
          <t>500027</t>
        </is>
      </c>
    </row>
    <row r="242">
      <c r="A242" s="31" t="inlineStr">
        <is>
          <t>SBIN</t>
        </is>
      </c>
      <c r="B242" s="31" t="inlineStr">
        <is>
          <t>State Bank Of India Ltd</t>
        </is>
      </c>
      <c r="C242" s="31" t="inlineStr">
        <is>
          <t>bank</t>
        </is>
      </c>
      <c r="D242" s="31" t="inlineStr">
        <is>
          <t>banks - public sector</t>
        </is>
      </c>
      <c r="E242" s="31" t="inlineStr">
        <is>
          <t>largecap</t>
        </is>
      </c>
      <c r="F242" s="31" t="n">
        <v>983983.83</v>
      </c>
      <c r="G242" s="31" t="n">
        <v>1083</v>
      </c>
      <c r="H242" s="31" t="n">
        <v>0.09</v>
      </c>
      <c r="I242" s="31" t="n">
        <v>18318702</v>
      </c>
      <c r="J242" s="31" t="inlineStr">
        <is>
          <t>500112</t>
        </is>
      </c>
    </row>
    <row r="243">
      <c r="A243" s="31" t="inlineStr">
        <is>
          <t>M&amp;MFIN</t>
        </is>
      </c>
      <c r="B243" s="31" t="inlineStr">
        <is>
          <t>Mahindra &amp; Mahindra Financial Services Limited</t>
        </is>
      </c>
      <c r="C243" s="31" t="inlineStr">
        <is>
          <t>financials</t>
        </is>
      </c>
      <c r="D243" s="31" t="inlineStr">
        <is>
          <t>finance &amp; investments</t>
        </is>
      </c>
      <c r="E243" s="31" t="inlineStr">
        <is>
          <t>largecap</t>
        </is>
      </c>
      <c r="F243" s="31" t="n">
        <v>55432.05</v>
      </c>
      <c r="G243" s="31" t="n">
        <v>396.15</v>
      </c>
      <c r="H243" s="31" t="n">
        <v>0.08</v>
      </c>
      <c r="I243" s="31" t="n">
        <v>2668434</v>
      </c>
      <c r="J243" s="31" t="inlineStr">
        <is>
          <t>532720</t>
        </is>
      </c>
    </row>
    <row r="244">
      <c r="A244" s="31" t="inlineStr">
        <is>
          <t>CHEMBONDCH</t>
        </is>
      </c>
      <c r="B244" s="31" t="inlineStr">
        <is>
          <t>Chembond Chemicals Ltd</t>
        </is>
      </c>
      <c r="C244" s="31" t="inlineStr">
        <is>
          <t>chemicals</t>
        </is>
      </c>
      <c r="D244" s="31" t="inlineStr">
        <is>
          <t>chemicals</t>
        </is>
      </c>
      <c r="E244" s="31" t="inlineStr">
        <is>
          <t>smallcap</t>
        </is>
      </c>
      <c r="F244" s="31" t="n">
        <v>704.02</v>
      </c>
      <c r="G244" s="31" t="n">
        <v>275</v>
      </c>
      <c r="H244" s="31" t="n">
        <v>0.07000000000000001</v>
      </c>
      <c r="I244" s="31" t="n">
        <v>10853</v>
      </c>
      <c r="J244" s="31" t="inlineStr">
        <is>
          <t>544450</t>
        </is>
      </c>
    </row>
    <row r="245">
      <c r="A245" s="31" t="inlineStr">
        <is>
          <t>IDEA</t>
        </is>
      </c>
      <c r="B245" s="31" t="inlineStr">
        <is>
          <t>Vodafone Idea Ltd</t>
        </is>
      </c>
      <c r="C245" s="31" t="inlineStr">
        <is>
          <t>telecom-service</t>
        </is>
      </c>
      <c r="D245" s="31" t="inlineStr">
        <is>
          <t>telecommunications - service provider</t>
        </is>
      </c>
      <c r="E245" s="31" t="inlineStr">
        <is>
          <t>largecap</t>
        </is>
      </c>
      <c r="F245" s="31" t="n">
        <v>139654.17</v>
      </c>
      <c r="G245" s="31" t="n">
        <v>13.51</v>
      </c>
      <c r="H245" s="31" t="n">
        <v>0.07000000000000001</v>
      </c>
      <c r="I245" s="31" t="n">
        <v>1090694118</v>
      </c>
      <c r="J245" s="31" t="inlineStr">
        <is>
          <t>532822</t>
        </is>
      </c>
    </row>
    <row r="246">
      <c r="A246" s="31" t="inlineStr">
        <is>
          <t>KILITCH</t>
        </is>
      </c>
      <c r="B246" s="31" t="inlineStr">
        <is>
          <t>Kilitch Drugs (india) Limited</t>
        </is>
      </c>
      <c r="C246" s="31" t="inlineStr">
        <is>
          <t>healthcare</t>
        </is>
      </c>
      <c r="D246" s="31" t="inlineStr">
        <is>
          <t>pharmaceuticals - indian - formulations</t>
        </is>
      </c>
      <c r="E246" s="31" t="inlineStr">
        <is>
          <t>smallcap</t>
        </is>
      </c>
      <c r="F246" s="31" t="n">
        <v>669.37</v>
      </c>
      <c r="G246" s="31" t="n">
        <v>191.22</v>
      </c>
      <c r="H246" s="31" t="n">
        <v>0.01</v>
      </c>
      <c r="I246" s="31" t="n">
        <v>17758</v>
      </c>
      <c r="J246" s="31" t="inlineStr">
        <is>
          <t>524500</t>
        </is>
      </c>
    </row>
    <row r="247">
      <c r="A247" s="31" t="inlineStr">
        <is>
          <t>ABB</t>
        </is>
      </c>
      <c r="B247" s="31" t="inlineStr">
        <is>
          <t>Abb India Limited</t>
        </is>
      </c>
      <c r="C247" s="31" t="inlineStr">
        <is>
          <t>industrials</t>
        </is>
      </c>
      <c r="D247" s="31" t="inlineStr">
        <is>
          <t>electric equipment</t>
        </is>
      </c>
      <c r="E247" s="31" t="inlineStr">
        <is>
          <t>largecap</t>
        </is>
      </c>
      <c r="F247" s="31" t="n">
        <v>161294.06</v>
      </c>
      <c r="G247" s="31" t="n">
        <v>7710</v>
      </c>
      <c r="H247" s="31" t="n">
        <v>0</v>
      </c>
      <c r="I247" s="31" t="n">
        <v>258161</v>
      </c>
      <c r="J247" s="31" t="inlineStr">
        <is>
          <t>500002</t>
        </is>
      </c>
    </row>
    <row r="248">
      <c r="A248" s="31" t="inlineStr">
        <is>
          <t>EMCURE</t>
        </is>
      </c>
      <c r="B248" s="31" t="inlineStr">
        <is>
          <t>Emcure Pharmaceuticals Ltd</t>
        </is>
      </c>
      <c r="C248" s="31" t="inlineStr">
        <is>
          <t>healthcare</t>
        </is>
      </c>
      <c r="D248" s="31" t="inlineStr">
        <is>
          <t>pharmaceuticals - indian - bulk drugs &amp; formln</t>
        </is>
      </c>
      <c r="E248" s="31" t="inlineStr">
        <is>
          <t>largecap</t>
        </is>
      </c>
      <c r="F248" s="31" t="n">
        <v>37911.37</v>
      </c>
      <c r="G248" s="31" t="n">
        <v>2009.6</v>
      </c>
      <c r="H248" s="31" t="n">
        <v>0</v>
      </c>
      <c r="I248" s="31" t="n">
        <v>54666</v>
      </c>
      <c r="J248" s="31" t="inlineStr">
        <is>
          <t>544210</t>
        </is>
      </c>
    </row>
    <row r="249">
      <c r="A249" s="31" t="inlineStr">
        <is>
          <t>SMLMAH</t>
        </is>
      </c>
      <c r="B249" s="31" t="inlineStr">
        <is>
          <t>SML Mahindra Ltd</t>
        </is>
      </c>
      <c r="C249" s="31" t="inlineStr">
        <is>
          <t>auto</t>
        </is>
      </c>
      <c r="D249" s="31" t="inlineStr">
        <is>
          <t>automobiles - lcvs / hcvs</t>
        </is>
      </c>
      <c r="E249" s="31" t="inlineStr">
        <is>
          <t>midcap</t>
        </is>
      </c>
      <c r="F249" s="31" t="n">
        <v>7537.56</v>
      </c>
      <c r="G249" s="31" t="n">
        <v>5172</v>
      </c>
      <c r="H249" s="31" t="n">
        <v>0</v>
      </c>
      <c r="I249" s="31" t="n">
        <v>111181</v>
      </c>
      <c r="J249" s="31" t="inlineStr">
        <is>
          <t>505192</t>
        </is>
      </c>
    </row>
    <row r="250">
      <c r="A250" s="31" t="inlineStr">
        <is>
          <t>MCX</t>
        </is>
      </c>
      <c r="B250" s="31" t="inlineStr">
        <is>
          <t>Multi Commodity Exchange Of India Limited</t>
        </is>
      </c>
      <c r="C250" s="31" t="inlineStr">
        <is>
          <t>financials</t>
        </is>
      </c>
      <c r="D250" s="31" t="inlineStr">
        <is>
          <t>miscellaneous</t>
        </is>
      </c>
      <c r="E250" s="31" t="inlineStr">
        <is>
          <t>largecap</t>
        </is>
      </c>
      <c r="F250" s="31" t="n">
        <v>73820.14</v>
      </c>
      <c r="G250" s="31" t="n">
        <v>2970</v>
      </c>
      <c r="H250" s="31" t="n">
        <v>0</v>
      </c>
      <c r="I250" s="31" t="n">
        <v>5679221</v>
      </c>
      <c r="J250" s="31" t="inlineStr">
        <is>
          <t>534091</t>
        </is>
      </c>
    </row>
    <row r="251">
      <c r="A251" s="31" t="inlineStr">
        <is>
          <t>BHEL</t>
        </is>
      </c>
      <c r="B251" s="31" t="inlineStr">
        <is>
          <t>Bharat Heavy Electricals Limited</t>
        </is>
      </c>
      <c r="C251" s="31" t="inlineStr">
        <is>
          <t>industrials</t>
        </is>
      </c>
      <c r="D251" s="31" t="inlineStr">
        <is>
          <t>electric equipment</t>
        </is>
      </c>
      <c r="E251" s="31" t="inlineStr">
        <is>
          <t>largecap</t>
        </is>
      </c>
      <c r="F251" s="31" t="n">
        <v>140327.15</v>
      </c>
      <c r="G251" s="31" t="n">
        <v>420</v>
      </c>
      <c r="H251" s="31" t="n">
        <v>0</v>
      </c>
      <c r="I251" s="31" t="n">
        <v>29552558</v>
      </c>
      <c r="J251" s="31" t="inlineStr">
        <is>
          <t>500103</t>
        </is>
      </c>
    </row>
    <row r="252">
      <c r="A252" s="31" t="inlineStr">
        <is>
          <t>INDIANB</t>
        </is>
      </c>
      <c r="B252" s="31" t="inlineStr">
        <is>
          <t>Indian Bank Ltd</t>
        </is>
      </c>
      <c r="C252" s="31" t="inlineStr">
        <is>
          <t>bank</t>
        </is>
      </c>
      <c r="D252" s="31" t="inlineStr">
        <is>
          <t>banks - public sector</t>
        </is>
      </c>
      <c r="E252" s="31" t="inlineStr">
        <is>
          <t>largecap</t>
        </is>
      </c>
      <c r="F252" s="31" t="n">
        <v>117940.17</v>
      </c>
      <c r="G252" s="31" t="n">
        <v>897</v>
      </c>
      <c r="H252" s="31" t="n">
        <v>0</v>
      </c>
      <c r="I252" s="31" t="n">
        <v>1659108</v>
      </c>
      <c r="J252" s="31" t="inlineStr">
        <is>
          <t>532814</t>
        </is>
      </c>
    </row>
    <row r="253">
      <c r="A253" s="31" t="inlineStr">
        <is>
          <t>NESTLEIND</t>
        </is>
      </c>
      <c r="B253" s="31" t="inlineStr">
        <is>
          <t>Nestle India Limited</t>
        </is>
      </c>
      <c r="C253" s="31" t="inlineStr">
        <is>
          <t>fmcg</t>
        </is>
      </c>
      <c r="D253" s="31" t="inlineStr">
        <is>
          <t>food - processing - mnc</t>
        </is>
      </c>
      <c r="E253" s="31" t="inlineStr">
        <is>
          <t>largecap</t>
        </is>
      </c>
      <c r="F253" s="31" t="n">
        <v>287935.89</v>
      </c>
      <c r="G253" s="31" t="n">
        <v>1506.9</v>
      </c>
      <c r="H253" s="31" t="n">
        <v>-0.01</v>
      </c>
      <c r="I253" s="31" t="n">
        <v>3718852</v>
      </c>
      <c r="J253" s="31" t="inlineStr">
        <is>
          <t>500790</t>
        </is>
      </c>
    </row>
    <row r="254">
      <c r="A254" s="31" t="inlineStr">
        <is>
          <t>VGUARD</t>
        </is>
      </c>
      <c r="B254" s="31" t="inlineStr">
        <is>
          <t>V-guard Industries Limited</t>
        </is>
      </c>
      <c r="C254" s="31" t="inlineStr">
        <is>
          <t>industrials</t>
        </is>
      </c>
      <c r="D254" s="31" t="inlineStr">
        <is>
          <t>electric equipment</t>
        </is>
      </c>
      <c r="E254" s="31" t="inlineStr">
        <is>
          <t>midcap</t>
        </is>
      </c>
      <c r="F254" s="31" t="n">
        <v>14168.38</v>
      </c>
      <c r="G254" s="31" t="n">
        <v>331.7</v>
      </c>
      <c r="H254" s="31" t="n">
        <v>-0.02</v>
      </c>
      <c r="I254" s="31" t="n">
        <v>2765777</v>
      </c>
      <c r="J254" s="31" t="inlineStr">
        <is>
          <t>532953</t>
        </is>
      </c>
    </row>
    <row r="255">
      <c r="A255" s="31" t="inlineStr">
        <is>
          <t>ENRIN</t>
        </is>
      </c>
      <c r="B255" s="31" t="inlineStr">
        <is>
          <t>Siemens Energy India Ltd</t>
        </is>
      </c>
      <c r="C255" s="31" t="inlineStr">
        <is>
          <t>power &amp; utilities</t>
        </is>
      </c>
      <c r="D255" s="31" t="inlineStr">
        <is>
          <t>power generation and supply</t>
        </is>
      </c>
      <c r="E255" s="31" t="inlineStr">
        <is>
          <t>largecap</t>
        </is>
      </c>
      <c r="F255" s="31" t="n">
        <v>126914.23</v>
      </c>
      <c r="G255" s="31" t="n">
        <v>3561.2</v>
      </c>
      <c r="H255" s="31" t="n">
        <v>-0.03</v>
      </c>
      <c r="I255" s="31" t="n">
        <v>401584</v>
      </c>
      <c r="J255" s="31" t="n"/>
    </row>
    <row r="256">
      <c r="A256" s="31" t="inlineStr">
        <is>
          <t>SENORES</t>
        </is>
      </c>
      <c r="B256" s="31" t="inlineStr">
        <is>
          <t>Senores Pharmaceuticals Ltd</t>
        </is>
      </c>
      <c r="C256" s="31" t="inlineStr">
        <is>
          <t>healthcare</t>
        </is>
      </c>
      <c r="D256" s="31" t="inlineStr">
        <is>
          <t>pharmaceuticals - indian - formulations</t>
        </is>
      </c>
      <c r="E256" s="31" t="inlineStr">
        <is>
          <t>midcap</t>
        </is>
      </c>
      <c r="F256" s="31" t="n">
        <v>6796.13</v>
      </c>
      <c r="G256" s="31" t="n">
        <v>1491.4</v>
      </c>
      <c r="H256" s="31" t="n">
        <v>-0.07000000000000001</v>
      </c>
      <c r="I256" s="31" t="n">
        <v>122805</v>
      </c>
      <c r="J256" s="31" t="inlineStr">
        <is>
          <t>544319</t>
        </is>
      </c>
    </row>
    <row r="257">
      <c r="A257" s="31" t="inlineStr">
        <is>
          <t>KRYSTAL</t>
        </is>
      </c>
      <c r="B257" s="31" t="inlineStr">
        <is>
          <t>Krystal Integrated Services Ltd</t>
        </is>
      </c>
      <c r="C257" s="31" t="inlineStr">
        <is>
          <t>miscellaneous</t>
        </is>
      </c>
      <c r="D257" s="31" t="inlineStr">
        <is>
          <t>miscellaneous</t>
        </is>
      </c>
      <c r="E257" s="31" t="inlineStr">
        <is>
          <t>smallcap</t>
        </is>
      </c>
      <c r="F257" s="31" t="n">
        <v>874.5700000000001</v>
      </c>
      <c r="G257" s="31" t="n">
        <v>620</v>
      </c>
      <c r="H257" s="31" t="n">
        <v>-0.08</v>
      </c>
      <c r="I257" s="31" t="n">
        <v>8130</v>
      </c>
      <c r="J257" s="31" t="inlineStr">
        <is>
          <t>544149</t>
        </is>
      </c>
    </row>
    <row r="258">
      <c r="A258" s="31" t="inlineStr">
        <is>
          <t>INDIGOPNTS</t>
        </is>
      </c>
      <c r="B258" s="31" t="inlineStr">
        <is>
          <t>Indigo Paints Ltd</t>
        </is>
      </c>
      <c r="C258" s="31" t="inlineStr">
        <is>
          <t>building materials</t>
        </is>
      </c>
      <c r="D258" s="31" t="inlineStr">
        <is>
          <t>paints / varnishes</t>
        </is>
      </c>
      <c r="E258" s="31" t="inlineStr">
        <is>
          <t>midcap</t>
        </is>
      </c>
      <c r="F258" s="31" t="n">
        <v>5365.9</v>
      </c>
      <c r="G258" s="31" t="n">
        <v>1121</v>
      </c>
      <c r="H258" s="31" t="n">
        <v>-0.1</v>
      </c>
      <c r="I258" s="31" t="n">
        <v>42431</v>
      </c>
      <c r="J258" s="31" t="inlineStr">
        <is>
          <t>543258</t>
        </is>
      </c>
    </row>
    <row r="259">
      <c r="A259" s="31" t="inlineStr">
        <is>
          <t>GNFC</t>
        </is>
      </c>
      <c r="B259" s="31" t="inlineStr">
        <is>
          <t>Gujarat Narmada Valley Fertilizers And Chemicals Limited</t>
        </is>
      </c>
      <c r="C259" s="31" t="inlineStr">
        <is>
          <t>chemicals</t>
        </is>
      </c>
      <c r="D259" s="31" t="inlineStr">
        <is>
          <t>chemicals</t>
        </is>
      </c>
      <c r="E259" s="31" t="inlineStr">
        <is>
          <t>midcap</t>
        </is>
      </c>
      <c r="F259" s="31" t="n">
        <v>8058.23</v>
      </c>
      <c r="G259" s="31" t="n">
        <v>550.4</v>
      </c>
      <c r="H259" s="31" t="n">
        <v>-0.12</v>
      </c>
      <c r="I259" s="31" t="n">
        <v>336850</v>
      </c>
      <c r="J259" s="31" t="inlineStr">
        <is>
          <t>500670</t>
        </is>
      </c>
    </row>
    <row r="260">
      <c r="A260" s="31" t="inlineStr">
        <is>
          <t>DIACABS</t>
        </is>
      </c>
      <c r="B260" s="31" t="inlineStr">
        <is>
          <t>Diamond Power Infrastructure Ltd</t>
        </is>
      </c>
      <c r="C260" s="31" t="inlineStr">
        <is>
          <t>industrials</t>
        </is>
      </c>
      <c r="D260" s="31" t="inlineStr">
        <is>
          <t>cables - power</t>
        </is>
      </c>
      <c r="E260" s="31" t="inlineStr">
        <is>
          <t>midcap</t>
        </is>
      </c>
      <c r="F260" s="31" t="n">
        <v>19076.35</v>
      </c>
      <c r="G260" s="31" t="n">
        <v>367.5</v>
      </c>
      <c r="H260" s="31" t="n">
        <v>-0.12</v>
      </c>
      <c r="I260" s="31" t="n">
        <v>1136238</v>
      </c>
      <c r="J260" s="31" t="inlineStr">
        <is>
          <t>522163</t>
        </is>
      </c>
    </row>
    <row r="261">
      <c r="A261" s="31" t="inlineStr">
        <is>
          <t>CENTUM</t>
        </is>
      </c>
      <c r="B261" s="31" t="inlineStr">
        <is>
          <t>Centum Electronics Limited</t>
        </is>
      </c>
      <c r="C261" s="31" t="inlineStr">
        <is>
          <t>aerospace &amp; defence</t>
        </is>
      </c>
      <c r="D261" s="31" t="inlineStr">
        <is>
          <t>electronics - components</t>
        </is>
      </c>
      <c r="E261" s="31" t="inlineStr">
        <is>
          <t>midcap</t>
        </is>
      </c>
      <c r="F261" s="31" t="n">
        <v>5639.72</v>
      </c>
      <c r="G261" s="31" t="n">
        <v>3790.2</v>
      </c>
      <c r="H261" s="31" t="n">
        <v>-0.12</v>
      </c>
      <c r="I261" s="31" t="n">
        <v>27588</v>
      </c>
      <c r="J261" s="31" t="inlineStr">
        <is>
          <t>517544</t>
        </is>
      </c>
    </row>
    <row r="262">
      <c r="A262" s="31" t="inlineStr">
        <is>
          <t>GOCLCORP</t>
        </is>
      </c>
      <c r="B262" s="31" t="inlineStr">
        <is>
          <t>Gocl Corporation Limited</t>
        </is>
      </c>
      <c r="C262" s="31" t="inlineStr">
        <is>
          <t>miscellaneous</t>
        </is>
      </c>
      <c r="D262" s="31" t="inlineStr">
        <is>
          <t>diversified - medium / small</t>
        </is>
      </c>
      <c r="E262" s="31" t="inlineStr">
        <is>
          <t>smallcap</t>
        </is>
      </c>
      <c r="F262" s="31" t="n">
        <v>2129.39</v>
      </c>
      <c r="G262" s="31" t="n">
        <v>431.2</v>
      </c>
      <c r="H262" s="31" t="n">
        <v>-0.14</v>
      </c>
      <c r="I262" s="31" t="n">
        <v>42869</v>
      </c>
      <c r="J262" s="31" t="inlineStr">
        <is>
          <t>506480</t>
        </is>
      </c>
    </row>
    <row r="263">
      <c r="A263" s="31" t="inlineStr">
        <is>
          <t>RITCO</t>
        </is>
      </c>
      <c r="B263" s="31" t="inlineStr">
        <is>
          <t>Ritco Logistics Ltd</t>
        </is>
      </c>
      <c r="C263" s="31" t="inlineStr">
        <is>
          <t>transportation</t>
        </is>
      </c>
      <c r="D263" s="31" t="inlineStr">
        <is>
          <t>miscellaneous</t>
        </is>
      </c>
      <c r="E263" s="31" t="inlineStr">
        <is>
          <t>smallcap</t>
        </is>
      </c>
      <c r="F263" s="31" t="n">
        <v>865.27</v>
      </c>
      <c r="G263" s="31" t="n">
        <v>301.5</v>
      </c>
      <c r="H263" s="31" t="n">
        <v>-0.15</v>
      </c>
      <c r="I263" s="31" t="n">
        <v>130578</v>
      </c>
      <c r="J263" s="31" t="inlineStr">
        <is>
          <t>542383</t>
        </is>
      </c>
    </row>
    <row r="264">
      <c r="A264" s="31" t="inlineStr">
        <is>
          <t>CANBK</t>
        </is>
      </c>
      <c r="B264" s="31" t="inlineStr">
        <is>
          <t>Canara Bank Ltd</t>
        </is>
      </c>
      <c r="C264" s="31" t="inlineStr">
        <is>
          <t>bank</t>
        </is>
      </c>
      <c r="D264" s="31" t="inlineStr">
        <is>
          <t>banks - public sector</t>
        </is>
      </c>
      <c r="E264" s="31" t="inlineStr">
        <is>
          <t>largecap</t>
        </is>
      </c>
      <c r="F264" s="31" t="n">
        <v>118190.59</v>
      </c>
      <c r="G264" s="31" t="n">
        <v>131.8</v>
      </c>
      <c r="H264" s="31" t="n">
        <v>-0.15</v>
      </c>
      <c r="I264" s="31" t="n">
        <v>23069209</v>
      </c>
      <c r="J264" s="31" t="inlineStr">
        <is>
          <t>532483</t>
        </is>
      </c>
    </row>
    <row r="265">
      <c r="A265" s="31" t="inlineStr">
        <is>
          <t>HTMEDIA</t>
        </is>
      </c>
      <c r="B265" s="31" t="inlineStr">
        <is>
          <t>Ht Media Limited</t>
        </is>
      </c>
      <c r="C265" s="31" t="inlineStr">
        <is>
          <t>media</t>
        </is>
      </c>
      <c r="D265" s="31" t="inlineStr">
        <is>
          <t>entertainment / electronic media software</t>
        </is>
      </c>
      <c r="E265" s="31" t="inlineStr">
        <is>
          <t>smallcap</t>
        </is>
      </c>
      <c r="F265" s="31" t="n">
        <v>636.63</v>
      </c>
      <c r="G265" s="31" t="n">
        <v>26.7</v>
      </c>
      <c r="H265" s="31" t="n">
        <v>-0.15</v>
      </c>
      <c r="I265" s="31" t="n">
        <v>88951</v>
      </c>
      <c r="J265" s="31" t="inlineStr">
        <is>
          <t>532662</t>
        </is>
      </c>
    </row>
    <row r="266">
      <c r="A266" s="31" t="inlineStr">
        <is>
          <t>JSL</t>
        </is>
      </c>
      <c r="B266" s="31" t="inlineStr">
        <is>
          <t>Jindal Stainless Limited</t>
        </is>
      </c>
      <c r="C266" s="31" t="inlineStr">
        <is>
          <t>metals &amp; mining</t>
        </is>
      </c>
      <c r="D266" s="31" t="inlineStr">
        <is>
          <t>steel - large</t>
        </is>
      </c>
      <c r="E266" s="31" t="inlineStr">
        <is>
          <t>largecap</t>
        </is>
      </c>
      <c r="F266" s="31" t="n">
        <v>59778.66</v>
      </c>
      <c r="G266" s="31" t="n">
        <v>736.4</v>
      </c>
      <c r="H266" s="31" t="n">
        <v>-0.2</v>
      </c>
      <c r="I266" s="31" t="n">
        <v>179094</v>
      </c>
      <c r="J266" s="31" t="inlineStr">
        <is>
          <t>532508</t>
        </is>
      </c>
    </row>
    <row r="267">
      <c r="A267" s="31" t="inlineStr">
        <is>
          <t>AUROPHARMA</t>
        </is>
      </c>
      <c r="B267" s="31" t="inlineStr">
        <is>
          <t>Aurobindo Pharma Limited</t>
        </is>
      </c>
      <c r="C267" s="31" t="inlineStr">
        <is>
          <t>healthcare</t>
        </is>
      </c>
      <c r="D267" s="31" t="inlineStr">
        <is>
          <t>pharmaceuticals - indian - bulk drugs &amp; formln</t>
        </is>
      </c>
      <c r="E267" s="31" t="inlineStr">
        <is>
          <t>largecap</t>
        </is>
      </c>
      <c r="F267" s="31" t="n">
        <v>95397.66</v>
      </c>
      <c r="G267" s="31" t="n">
        <v>1663.4</v>
      </c>
      <c r="H267" s="31" t="n">
        <v>-0.22</v>
      </c>
      <c r="I267" s="31" t="n">
        <v>1904181</v>
      </c>
      <c r="J267" s="31" t="inlineStr">
        <is>
          <t>524804</t>
        </is>
      </c>
    </row>
    <row r="268">
      <c r="A268" s="31" t="inlineStr">
        <is>
          <t>NIACL</t>
        </is>
      </c>
      <c r="B268" s="31" t="inlineStr">
        <is>
          <t>New India Assurance Company Ltd</t>
        </is>
      </c>
      <c r="C268" s="31" t="inlineStr">
        <is>
          <t>financials</t>
        </is>
      </c>
      <c r="D268" s="31" t="inlineStr">
        <is>
          <t>finance &amp; investments</t>
        </is>
      </c>
      <c r="E268" s="31" t="inlineStr">
        <is>
          <t>largecap</t>
        </is>
      </c>
      <c r="F268" s="31" t="n">
        <v>29560.18</v>
      </c>
      <c r="G268" s="31" t="n">
        <v>180.65</v>
      </c>
      <c r="H268" s="31" t="n">
        <v>-0.24</v>
      </c>
      <c r="I268" s="31" t="n">
        <v>799952</v>
      </c>
      <c r="J268" s="31" t="inlineStr">
        <is>
          <t>540769</t>
        </is>
      </c>
    </row>
    <row r="269">
      <c r="A269" s="31" t="inlineStr">
        <is>
          <t>MAMATA</t>
        </is>
      </c>
      <c r="B269" s="31" t="inlineStr">
        <is>
          <t>Mamata Machinery Ltd</t>
        </is>
      </c>
      <c r="C269" s="31" t="inlineStr">
        <is>
          <t>industrials</t>
        </is>
      </c>
      <c r="D269" s="31" t="inlineStr">
        <is>
          <t>engineering</t>
        </is>
      </c>
      <c r="E269" s="31" t="inlineStr">
        <is>
          <t>smallcap</t>
        </is>
      </c>
      <c r="F269" s="31" t="n">
        <v>1046.32</v>
      </c>
      <c r="G269" s="31" t="n">
        <v>425</v>
      </c>
      <c r="H269" s="31" t="n">
        <v>-0.25</v>
      </c>
      <c r="I269" s="31" t="n">
        <v>39341</v>
      </c>
      <c r="J269" s="31" t="inlineStr">
        <is>
          <t>544318</t>
        </is>
      </c>
    </row>
    <row r="270">
      <c r="A270" s="31" t="inlineStr">
        <is>
          <t>UNIONBANK</t>
        </is>
      </c>
      <c r="B270" s="31" t="inlineStr">
        <is>
          <t>Union Bank Of India Ltd</t>
        </is>
      </c>
      <c r="C270" s="31" t="inlineStr">
        <is>
          <t>bank</t>
        </is>
      </c>
      <c r="D270" s="31" t="inlineStr">
        <is>
          <t>banks - public sector</t>
        </is>
      </c>
      <c r="E270" s="31" t="inlineStr">
        <is>
          <t>largecap</t>
        </is>
      </c>
      <c r="F270" s="31" t="n">
        <v>139313.3</v>
      </c>
      <c r="G270" s="31" t="n">
        <v>186.5</v>
      </c>
      <c r="H270" s="31" t="n">
        <v>-0.27</v>
      </c>
      <c r="I270" s="31" t="n">
        <v>14787638</v>
      </c>
      <c r="J270" s="31" t="inlineStr">
        <is>
          <t>532477</t>
        </is>
      </c>
    </row>
    <row r="271">
      <c r="A271" s="31" t="inlineStr">
        <is>
          <t>ASHOKLEY</t>
        </is>
      </c>
      <c r="B271" s="31" t="inlineStr">
        <is>
          <t>Ashok Leyland Limited</t>
        </is>
      </c>
      <c r="C271" s="31" t="inlineStr">
        <is>
          <t>auto</t>
        </is>
      </c>
      <c r="D271" s="31" t="inlineStr">
        <is>
          <t>automobiles - lcvs / hcvs</t>
        </is>
      </c>
      <c r="E271" s="31" t="inlineStr">
        <is>
          <t>largecap</t>
        </is>
      </c>
      <c r="F271" s="31" t="n">
        <v>102692.6</v>
      </c>
      <c r="G271" s="31" t="n">
        <v>176.23</v>
      </c>
      <c r="H271" s="31" t="n">
        <v>-0.27</v>
      </c>
      <c r="I271" s="31" t="n">
        <v>55961619</v>
      </c>
      <c r="J271" s="31" t="inlineStr">
        <is>
          <t>500477</t>
        </is>
      </c>
    </row>
    <row r="272">
      <c r="A272" s="31" t="inlineStr">
        <is>
          <t>ARROWGREEN</t>
        </is>
      </c>
      <c r="B272" s="31" t="inlineStr">
        <is>
          <t>Arrow Greentech Limited</t>
        </is>
      </c>
      <c r="C272" s="31" t="inlineStr">
        <is>
          <t>plastic products</t>
        </is>
      </c>
      <c r="D272" s="31" t="inlineStr">
        <is>
          <t>plastics products</t>
        </is>
      </c>
      <c r="E272" s="31" t="inlineStr">
        <is>
          <t>smallcap</t>
        </is>
      </c>
      <c r="F272" s="31" t="n">
        <v>1172.41</v>
      </c>
      <c r="G272" s="31" t="n">
        <v>782.5</v>
      </c>
      <c r="H272" s="31" t="n">
        <v>-0.27</v>
      </c>
      <c r="I272" s="31" t="n">
        <v>68583</v>
      </c>
      <c r="J272" s="31" t="inlineStr">
        <is>
          <t>516064</t>
        </is>
      </c>
    </row>
    <row r="273">
      <c r="A273" s="31" t="inlineStr">
        <is>
          <t>MATRIMONY</t>
        </is>
      </c>
      <c r="B273" s="31" t="inlineStr">
        <is>
          <t>Matrimony.com Ltd</t>
        </is>
      </c>
      <c r="C273" s="31" t="inlineStr">
        <is>
          <t>miscellaneous</t>
        </is>
      </c>
      <c r="D273" s="31" t="inlineStr">
        <is>
          <t>miscellaneous</t>
        </is>
      </c>
      <c r="E273" s="31" t="inlineStr">
        <is>
          <t>smallcap</t>
        </is>
      </c>
      <c r="F273" s="31" t="n">
        <v>1110.37</v>
      </c>
      <c r="G273" s="31" t="n">
        <v>539.95</v>
      </c>
      <c r="H273" s="31" t="n">
        <v>-0.29</v>
      </c>
      <c r="I273" s="31" t="n">
        <v>56812</v>
      </c>
      <c r="J273" s="31" t="inlineStr">
        <is>
          <t>540704</t>
        </is>
      </c>
    </row>
    <row r="274">
      <c r="A274" s="31" t="inlineStr">
        <is>
          <t>KTKBANK</t>
        </is>
      </c>
      <c r="B274" s="31" t="inlineStr">
        <is>
          <t>The Karnataka Bank Limited</t>
        </is>
      </c>
      <c r="C274" s="31" t="inlineStr">
        <is>
          <t>bank</t>
        </is>
      </c>
      <c r="D274" s="31" t="inlineStr">
        <is>
          <t>banks - private sector</t>
        </is>
      </c>
      <c r="E274" s="31" t="inlineStr">
        <is>
          <t>midcap</t>
        </is>
      </c>
      <c r="F274" s="31" t="n">
        <v>11453.89</v>
      </c>
      <c r="G274" s="31" t="n">
        <v>312.75</v>
      </c>
      <c r="H274" s="31" t="n">
        <v>-0.3</v>
      </c>
      <c r="I274" s="31" t="n">
        <v>1144961</v>
      </c>
      <c r="J274" s="31" t="inlineStr">
        <is>
          <t>532652</t>
        </is>
      </c>
    </row>
    <row r="275">
      <c r="A275" s="31" t="inlineStr">
        <is>
          <t>EBGNG</t>
        </is>
      </c>
      <c r="B275" s="31" t="inlineStr">
        <is>
          <t>GNG Electronics Ltd</t>
        </is>
      </c>
      <c r="C275" s="31" t="inlineStr">
        <is>
          <t>services</t>
        </is>
      </c>
      <c r="D275" s="31" t="inlineStr">
        <is>
          <t>trading</t>
        </is>
      </c>
      <c r="E275" s="31" t="inlineStr">
        <is>
          <t>midcap</t>
        </is>
      </c>
      <c r="F275" s="31" t="n">
        <v>6527.73</v>
      </c>
      <c r="G275" s="31" t="n">
        <v>572.55</v>
      </c>
      <c r="H275" s="31" t="n">
        <v>-0.31</v>
      </c>
      <c r="I275" s="31" t="n">
        <v>128158</v>
      </c>
      <c r="J275" s="31" t="inlineStr">
        <is>
          <t>544455</t>
        </is>
      </c>
    </row>
    <row r="276">
      <c r="A276" s="31" t="inlineStr">
        <is>
          <t>PIDILITIND</t>
        </is>
      </c>
      <c r="B276" s="31" t="inlineStr">
        <is>
          <t>Pidilite Industries Limited</t>
        </is>
      </c>
      <c r="C276" s="31" t="inlineStr">
        <is>
          <t>chemicals</t>
        </is>
      </c>
      <c r="D276" s="31" t="inlineStr">
        <is>
          <t>chemicals</t>
        </is>
      </c>
      <c r="E276" s="31" t="inlineStr">
        <is>
          <t>largecap</t>
        </is>
      </c>
      <c r="F276" s="31" t="n">
        <v>171576.57</v>
      </c>
      <c r="G276" s="31" t="n">
        <v>1696.1</v>
      </c>
      <c r="H276" s="31" t="n">
        <v>-0.32</v>
      </c>
      <c r="I276" s="31" t="n">
        <v>1122399</v>
      </c>
      <c r="J276" s="31" t="inlineStr">
        <is>
          <t>500331</t>
        </is>
      </c>
    </row>
    <row r="277">
      <c r="A277" s="31" t="inlineStr">
        <is>
          <t>BLSE</t>
        </is>
      </c>
      <c r="B277" s="31" t="inlineStr">
        <is>
          <t>BLS E-Services Ltd</t>
        </is>
      </c>
      <c r="C277" s="31" t="inlineStr">
        <is>
          <t>i.t</t>
        </is>
      </c>
      <c r="D277" s="31" t="inlineStr">
        <is>
          <t>computers - software - medium / small</t>
        </is>
      </c>
      <c r="E277" s="31" t="inlineStr">
        <is>
          <t>smallcap</t>
        </is>
      </c>
      <c r="F277" s="31" t="n">
        <v>2886.06</v>
      </c>
      <c r="G277" s="31" t="n">
        <v>315.65</v>
      </c>
      <c r="H277" s="31" t="n">
        <v>-0.32</v>
      </c>
      <c r="I277" s="31" t="n">
        <v>258732</v>
      </c>
      <c r="J277" s="31" t="inlineStr">
        <is>
          <t>544107</t>
        </is>
      </c>
    </row>
    <row r="278">
      <c r="A278" s="31" t="inlineStr">
        <is>
          <t>BAJAJ-AUTO</t>
        </is>
      </c>
      <c r="B278" s="31" t="inlineStr">
        <is>
          <t>Bajaj Auto Limited</t>
        </is>
      </c>
      <c r="C278" s="31" t="inlineStr">
        <is>
          <t>auto</t>
        </is>
      </c>
      <c r="D278" s="31" t="inlineStr">
        <is>
          <t>automobiles - scooters and 3 - wheelers</t>
        </is>
      </c>
      <c r="E278" s="31" t="inlineStr">
        <is>
          <t>largecap</t>
        </is>
      </c>
      <c r="F278" s="31" t="n">
        <v>327487.62</v>
      </c>
      <c r="G278" s="31" t="n">
        <v>11661</v>
      </c>
      <c r="H278" s="31" t="n">
        <v>-0.33</v>
      </c>
      <c r="I278" s="31" t="n">
        <v>270106</v>
      </c>
      <c r="J278" s="31" t="inlineStr">
        <is>
          <t>532977</t>
        </is>
      </c>
    </row>
    <row r="279">
      <c r="A279" s="31" t="inlineStr">
        <is>
          <t>ARVSMART</t>
        </is>
      </c>
      <c r="B279" s="31" t="inlineStr">
        <is>
          <t>Arvind Smartspaces Limited</t>
        </is>
      </c>
      <c r="C279" s="31" t="inlineStr">
        <is>
          <t>realty</t>
        </is>
      </c>
      <c r="D279" s="31" t="inlineStr">
        <is>
          <t>construction</t>
        </is>
      </c>
      <c r="E279" s="31" t="inlineStr">
        <is>
          <t>smallcap</t>
        </is>
      </c>
      <c r="F279" s="31" t="n">
        <v>2918.97</v>
      </c>
      <c r="G279" s="31" t="n">
        <v>663.15</v>
      </c>
      <c r="H279" s="31" t="n">
        <v>-0.36</v>
      </c>
      <c r="I279" s="31" t="n">
        <v>162289</v>
      </c>
      <c r="J279" s="31" t="inlineStr">
        <is>
          <t>539301</t>
        </is>
      </c>
    </row>
    <row r="280">
      <c r="A280" s="31" t="inlineStr">
        <is>
          <t>SYRMA</t>
        </is>
      </c>
      <c r="B280" s="31" t="inlineStr">
        <is>
          <t>Syrma SGS Technology Ltd</t>
        </is>
      </c>
      <c r="C280" s="31" t="inlineStr">
        <is>
          <t>consumer discretionary</t>
        </is>
      </c>
      <c r="D280" s="31" t="inlineStr">
        <is>
          <t>electronics - components</t>
        </is>
      </c>
      <c r="E280" s="31" t="inlineStr">
        <is>
          <t>largecap</t>
        </is>
      </c>
      <c r="F280" s="31" t="n">
        <v>28824.3</v>
      </c>
      <c r="G280" s="31" t="n">
        <v>1467.7</v>
      </c>
      <c r="H280" s="31" t="n">
        <v>-0.38</v>
      </c>
      <c r="I280" s="31" t="n">
        <v>742118</v>
      </c>
      <c r="J280" s="31" t="inlineStr">
        <is>
          <t>543573</t>
        </is>
      </c>
    </row>
    <row r="281">
      <c r="A281" s="31" t="inlineStr">
        <is>
          <t>GULFOILLUB</t>
        </is>
      </c>
      <c r="B281" s="31" t="inlineStr">
        <is>
          <t>Gulf Oil Lubricants India Limited</t>
        </is>
      </c>
      <c r="C281" s="31" t="inlineStr">
        <is>
          <t>chemicals</t>
        </is>
      </c>
      <c r="D281" s="31" t="inlineStr">
        <is>
          <t>chemicals</t>
        </is>
      </c>
      <c r="E281" s="31" t="inlineStr">
        <is>
          <t>midcap</t>
        </is>
      </c>
      <c r="F281" s="31" t="n">
        <v>5891.51</v>
      </c>
      <c r="G281" s="31" t="n">
        <v>1176.7</v>
      </c>
      <c r="H281" s="31" t="n">
        <v>-0.38</v>
      </c>
      <c r="I281" s="31" t="n">
        <v>41356</v>
      </c>
      <c r="J281" s="31" t="inlineStr">
        <is>
          <t>538567</t>
        </is>
      </c>
    </row>
    <row r="282">
      <c r="A282" s="31" t="inlineStr">
        <is>
          <t>KOTHARIPET</t>
        </is>
      </c>
      <c r="B282" s="31" t="inlineStr">
        <is>
          <t>Kothari Petrochemicals Limited</t>
        </is>
      </c>
      <c r="C282" s="31" t="inlineStr">
        <is>
          <t>energy</t>
        </is>
      </c>
      <c r="D282" s="31" t="inlineStr">
        <is>
          <t>petrochemicals</t>
        </is>
      </c>
      <c r="E282" s="31" t="inlineStr">
        <is>
          <t>smallcap</t>
        </is>
      </c>
      <c r="F282" s="31" t="n">
        <v>857.1</v>
      </c>
      <c r="G282" s="31" t="n">
        <v>150.05</v>
      </c>
      <c r="H282" s="31" t="n">
        <v>-0.39</v>
      </c>
      <c r="I282" s="31" t="n">
        <v>66457</v>
      </c>
      <c r="J282" s="31" t="inlineStr">
        <is>
          <t>532096</t>
        </is>
      </c>
    </row>
    <row r="283">
      <c r="A283" s="31" t="inlineStr">
        <is>
          <t>UNIVCABLES</t>
        </is>
      </c>
      <c r="B283" s="31" t="inlineStr">
        <is>
          <t>Universal Cables Limited</t>
        </is>
      </c>
      <c r="C283" s="31" t="inlineStr">
        <is>
          <t>industrials</t>
        </is>
      </c>
      <c r="D283" s="31" t="inlineStr">
        <is>
          <t>cables - power</t>
        </is>
      </c>
      <c r="E283" s="31" t="inlineStr">
        <is>
          <t>midcap</t>
        </is>
      </c>
      <c r="F283" s="31" t="n">
        <v>5792.05</v>
      </c>
      <c r="G283" s="31" t="n">
        <v>1702.2</v>
      </c>
      <c r="H283" s="31" t="n">
        <v>-0.39</v>
      </c>
      <c r="I283" s="31" t="n">
        <v>107087</v>
      </c>
      <c r="J283" s="31" t="inlineStr">
        <is>
          <t>504212</t>
        </is>
      </c>
    </row>
    <row r="284">
      <c r="A284" s="31" t="inlineStr">
        <is>
          <t>ANTHEM</t>
        </is>
      </c>
      <c r="B284" s="31" t="inlineStr">
        <is>
          <t>Anthem Biosciences Ltd</t>
        </is>
      </c>
      <c r="C284" s="31" t="inlineStr">
        <is>
          <t>healthcare</t>
        </is>
      </c>
      <c r="D284" s="31" t="inlineStr">
        <is>
          <t>pharmaceuticals - indian - bulk drugs &amp; formln</t>
        </is>
      </c>
      <c r="E284" s="31" t="inlineStr">
        <is>
          <t>largecap</t>
        </is>
      </c>
      <c r="F284" s="31" t="n">
        <v>50234.2</v>
      </c>
      <c r="G284" s="31" t="n">
        <v>874.9</v>
      </c>
      <c r="H284" s="31" t="n">
        <v>-0.4</v>
      </c>
      <c r="I284" s="31" t="n">
        <v>446775</v>
      </c>
      <c r="J284" s="31" t="inlineStr">
        <is>
          <t>544449</t>
        </is>
      </c>
    </row>
    <row r="285">
      <c r="A285" s="31" t="inlineStr">
        <is>
          <t>BANKINDIA</t>
        </is>
      </c>
      <c r="B285" s="31" t="inlineStr">
        <is>
          <t>Bank Of India Ltd</t>
        </is>
      </c>
      <c r="C285" s="31" t="inlineStr">
        <is>
          <t>bank</t>
        </is>
      </c>
      <c r="D285" s="31" t="inlineStr">
        <is>
          <t>banks - public sector</t>
        </is>
      </c>
      <c r="E285" s="31" t="inlineStr">
        <is>
          <t>largecap</t>
        </is>
      </c>
      <c r="F285" s="31" t="n">
        <v>65057.62</v>
      </c>
      <c r="G285" s="31" t="n">
        <v>144.87</v>
      </c>
      <c r="H285" s="31" t="n">
        <v>-0.43</v>
      </c>
      <c r="I285" s="31" t="n">
        <v>5170625</v>
      </c>
      <c r="J285" s="31" t="inlineStr">
        <is>
          <t>532149</t>
        </is>
      </c>
    </row>
    <row r="286">
      <c r="A286" s="31" t="inlineStr">
        <is>
          <t>AARTIDRUGS</t>
        </is>
      </c>
      <c r="B286" s="31" t="inlineStr">
        <is>
          <t>Aarti Drugs Limited</t>
        </is>
      </c>
      <c r="C286" s="31" t="inlineStr">
        <is>
          <t>healthcare</t>
        </is>
      </c>
      <c r="D286" s="31" t="inlineStr">
        <is>
          <t>pharmaceuticals - indian - bulk drugs</t>
        </is>
      </c>
      <c r="E286" s="31" t="inlineStr">
        <is>
          <t>smallcap</t>
        </is>
      </c>
      <c r="F286" s="31" t="n">
        <v>4009.95</v>
      </c>
      <c r="G286" s="31" t="n">
        <v>429.5</v>
      </c>
      <c r="H286" s="31" t="n">
        <v>-0.46</v>
      </c>
      <c r="I286" s="31" t="n">
        <v>137728</v>
      </c>
      <c r="J286" s="31" t="inlineStr">
        <is>
          <t>524348</t>
        </is>
      </c>
    </row>
    <row r="287">
      <c r="A287" s="31" t="inlineStr">
        <is>
          <t>RAMCOIND</t>
        </is>
      </c>
      <c r="B287" s="31" t="inlineStr">
        <is>
          <t>Ramco Industries Limited</t>
        </is>
      </c>
      <c r="C287" s="31" t="inlineStr">
        <is>
          <t>building materials</t>
        </is>
      </c>
      <c r="D287" s="31" t="inlineStr">
        <is>
          <t>cement products</t>
        </is>
      </c>
      <c r="E287" s="31" t="inlineStr">
        <is>
          <t>smallcap</t>
        </is>
      </c>
      <c r="F287" s="31" t="n">
        <v>3218.35</v>
      </c>
      <c r="G287" s="31" t="n">
        <v>357.4</v>
      </c>
      <c r="H287" s="31" t="n">
        <v>-0.47</v>
      </c>
      <c r="I287" s="31" t="n">
        <v>499903</v>
      </c>
      <c r="J287" s="31" t="inlineStr">
        <is>
          <t>532369</t>
        </is>
      </c>
    </row>
    <row r="288">
      <c r="A288" s="31" t="inlineStr">
        <is>
          <t>BRITANNIA</t>
        </is>
      </c>
      <c r="B288" s="31" t="inlineStr">
        <is>
          <t>Britannia Industries Limited</t>
        </is>
      </c>
      <c r="C288" s="31" t="inlineStr">
        <is>
          <t>fmcg</t>
        </is>
      </c>
      <c r="D288" s="31" t="inlineStr">
        <is>
          <t>food - processing - mnc</t>
        </is>
      </c>
      <c r="E288" s="31" t="inlineStr">
        <is>
          <t>largecap</t>
        </is>
      </c>
      <c r="F288" s="31" t="n">
        <v>134838.07</v>
      </c>
      <c r="G288" s="31" t="n">
        <v>5615</v>
      </c>
      <c r="H288" s="31" t="n">
        <v>-0.54</v>
      </c>
      <c r="I288" s="31" t="n">
        <v>422221</v>
      </c>
      <c r="J288" s="31" t="inlineStr">
        <is>
          <t>500825</t>
        </is>
      </c>
    </row>
    <row r="289">
      <c r="A289" s="31" t="inlineStr">
        <is>
          <t>PFIZER</t>
        </is>
      </c>
      <c r="B289" s="31" t="inlineStr">
        <is>
          <t>Pfizer Limited</t>
        </is>
      </c>
      <c r="C289" s="31" t="inlineStr">
        <is>
          <t>healthcare</t>
        </is>
      </c>
      <c r="D289" s="31" t="inlineStr">
        <is>
          <t>pharmaceuticals - multinational</t>
        </is>
      </c>
      <c r="E289" s="31" t="inlineStr">
        <is>
          <t>largecap</t>
        </is>
      </c>
      <c r="F289" s="31" t="n">
        <v>22409.53</v>
      </c>
      <c r="G289" s="31" t="n">
        <v>4990.4</v>
      </c>
      <c r="H289" s="31" t="n">
        <v>-0.54</v>
      </c>
      <c r="I289" s="31" t="n">
        <v>16223</v>
      </c>
      <c r="J289" s="31" t="inlineStr">
        <is>
          <t>500680</t>
        </is>
      </c>
    </row>
    <row r="290">
      <c r="A290" s="31" t="inlineStr">
        <is>
          <t>RAMRAT</t>
        </is>
      </c>
      <c r="B290" s="31" t="inlineStr">
        <is>
          <t>Ram Ratna Wires Ltd</t>
        </is>
      </c>
      <c r="C290" s="31" t="inlineStr">
        <is>
          <t>metals &amp; mining</t>
        </is>
      </c>
      <c r="D290" s="31" t="inlineStr">
        <is>
          <t>mining / minerals / metals</t>
        </is>
      </c>
      <c r="E290" s="31" t="inlineStr">
        <is>
          <t>smallcap</t>
        </is>
      </c>
      <c r="F290" s="31" t="n">
        <v>4196.04</v>
      </c>
      <c r="G290" s="31" t="n">
        <v>471.35</v>
      </c>
      <c r="H290" s="31" t="n">
        <v>-0.55</v>
      </c>
      <c r="I290" s="31" t="n">
        <v>373346</v>
      </c>
      <c r="J290" s="31" t="inlineStr">
        <is>
          <t>522281</t>
        </is>
      </c>
    </row>
    <row r="291">
      <c r="A291" s="31" t="inlineStr">
        <is>
          <t>SONACOMS</t>
        </is>
      </c>
      <c r="B291" s="31" t="inlineStr">
        <is>
          <t>Sona BLW Precision Forgings Ltd</t>
        </is>
      </c>
      <c r="C291" s="31" t="inlineStr">
        <is>
          <t>auto</t>
        </is>
      </c>
      <c r="D291" s="31" t="inlineStr">
        <is>
          <t>auto ancillaries</t>
        </is>
      </c>
      <c r="E291" s="31" t="inlineStr">
        <is>
          <t>largecap</t>
        </is>
      </c>
      <c r="F291" s="31" t="n">
        <v>49762.79</v>
      </c>
      <c r="G291" s="31" t="n">
        <v>799.9</v>
      </c>
      <c r="H291" s="31" t="n">
        <v>-0.57</v>
      </c>
      <c r="I291" s="31" t="n">
        <v>3457252</v>
      </c>
      <c r="J291" s="31" t="inlineStr">
        <is>
          <t>543300</t>
        </is>
      </c>
    </row>
    <row r="292">
      <c r="A292" s="31" t="inlineStr">
        <is>
          <t>MRPL</t>
        </is>
      </c>
      <c r="B292" s="31" t="inlineStr">
        <is>
          <t>Mangalore Refinery And Petrochemicals Limited</t>
        </is>
      </c>
      <c r="C292" s="31" t="inlineStr">
        <is>
          <t>energy</t>
        </is>
      </c>
      <c r="D292" s="31" t="inlineStr">
        <is>
          <t>refineries</t>
        </is>
      </c>
      <c r="E292" s="31" t="inlineStr">
        <is>
          <t>largecap</t>
        </is>
      </c>
      <c r="F292" s="31" t="n">
        <v>31746.57</v>
      </c>
      <c r="G292" s="31" t="n">
        <v>174.38</v>
      </c>
      <c r="H292" s="31" t="n">
        <v>-0.57</v>
      </c>
      <c r="I292" s="31" t="n">
        <v>4155716</v>
      </c>
      <c r="J292" s="31" t="inlineStr">
        <is>
          <t>500109</t>
        </is>
      </c>
    </row>
    <row r="293">
      <c r="A293" s="31" t="inlineStr">
        <is>
          <t>SIRCA</t>
        </is>
      </c>
      <c r="B293" s="31" t="inlineStr">
        <is>
          <t>Sirca Paints India Ltd</t>
        </is>
      </c>
      <c r="C293" s="31" t="inlineStr">
        <is>
          <t>building materials</t>
        </is>
      </c>
      <c r="D293" s="31" t="inlineStr">
        <is>
          <t>paints / varnishes</t>
        </is>
      </c>
      <c r="E293" s="31" t="inlineStr">
        <is>
          <t>smallcap</t>
        </is>
      </c>
      <c r="F293" s="31" t="n">
        <v>2512.23</v>
      </c>
      <c r="G293" s="31" t="n">
        <v>433.4</v>
      </c>
      <c r="H293" s="31" t="n">
        <v>-0.57</v>
      </c>
      <c r="I293" s="31" t="n">
        <v>280457</v>
      </c>
      <c r="J293" s="31" t="inlineStr">
        <is>
          <t>535083</t>
        </is>
      </c>
    </row>
    <row r="294">
      <c r="A294" s="31" t="inlineStr">
        <is>
          <t>SSWL</t>
        </is>
      </c>
      <c r="B294" s="31" t="inlineStr">
        <is>
          <t>Steel Strips Wheels Limited</t>
        </is>
      </c>
      <c r="C294" s="31" t="inlineStr">
        <is>
          <t>auto</t>
        </is>
      </c>
      <c r="D294" s="31" t="inlineStr">
        <is>
          <t>auto ancillaries</t>
        </is>
      </c>
      <c r="E294" s="31" t="inlineStr">
        <is>
          <t>smallcap</t>
        </is>
      </c>
      <c r="F294" s="31" t="n">
        <v>4988.91</v>
      </c>
      <c r="G294" s="31" t="n">
        <v>310.7</v>
      </c>
      <c r="H294" s="31" t="n">
        <v>-0.58</v>
      </c>
      <c r="I294" s="31" t="n">
        <v>354318</v>
      </c>
      <c r="J294" s="31" t="inlineStr">
        <is>
          <t>513262</t>
        </is>
      </c>
    </row>
    <row r="295">
      <c r="A295" s="31" t="inlineStr">
        <is>
          <t>PGIL</t>
        </is>
      </c>
      <c r="B295" s="31" t="inlineStr">
        <is>
          <t>Pearl Global Industries Limited</t>
        </is>
      </c>
      <c r="C295" s="31" t="inlineStr">
        <is>
          <t>consumer discretionary</t>
        </is>
      </c>
      <c r="D295" s="31" t="inlineStr">
        <is>
          <t>textiles - products</t>
        </is>
      </c>
      <c r="E295" s="31" t="inlineStr">
        <is>
          <t>midcap</t>
        </is>
      </c>
      <c r="F295" s="31" t="n">
        <v>11245.37</v>
      </c>
      <c r="G295" s="31" t="n">
        <v>2464.9</v>
      </c>
      <c r="H295" s="31" t="n">
        <v>-0.62</v>
      </c>
      <c r="I295" s="31" t="n">
        <v>52612</v>
      </c>
      <c r="J295" s="31" t="inlineStr">
        <is>
          <t>532808</t>
        </is>
      </c>
    </row>
    <row r="296">
      <c r="A296" s="31" t="inlineStr">
        <is>
          <t>SHRIPISTON</t>
        </is>
      </c>
      <c r="B296" s="31" t="inlineStr">
        <is>
          <t>Shriram Pistons &amp; Rings Limited</t>
        </is>
      </c>
      <c r="C296" s="31" t="inlineStr">
        <is>
          <t>auto</t>
        </is>
      </c>
      <c r="D296" s="31" t="inlineStr">
        <is>
          <t>auto ancillaries</t>
        </is>
      </c>
      <c r="E296" s="31" t="inlineStr">
        <is>
          <t>midcap</t>
        </is>
      </c>
      <c r="F296" s="31" t="n">
        <v>19466.06</v>
      </c>
      <c r="G296" s="31" t="n">
        <v>4450</v>
      </c>
      <c r="H296" s="31" t="n">
        <v>-0.64</v>
      </c>
      <c r="I296" s="31" t="n">
        <v>57244</v>
      </c>
      <c r="J296" s="31" t="n"/>
    </row>
    <row r="297">
      <c r="A297" s="31" t="inlineStr">
        <is>
          <t>RBLBANK</t>
        </is>
      </c>
      <c r="B297" s="31" t="inlineStr">
        <is>
          <t>Rbl Bank Limited</t>
        </is>
      </c>
      <c r="C297" s="31" t="inlineStr">
        <is>
          <t>bank</t>
        </is>
      </c>
      <c r="D297" s="31" t="inlineStr">
        <is>
          <t>banks - private sector</t>
        </is>
      </c>
      <c r="E297" s="31" t="inlineStr">
        <is>
          <t>largecap</t>
        </is>
      </c>
      <c r="F297" s="31" t="n">
        <v>60347.31</v>
      </c>
      <c r="G297" s="31" t="n">
        <v>387.25</v>
      </c>
      <c r="H297" s="31" t="n">
        <v>-0.65</v>
      </c>
      <c r="I297" s="31" t="n">
        <v>2232497</v>
      </c>
      <c r="J297" s="31" t="inlineStr">
        <is>
          <t>540065</t>
        </is>
      </c>
    </row>
    <row r="298">
      <c r="A298" s="31" t="inlineStr">
        <is>
          <t>GOKULAGRO</t>
        </is>
      </c>
      <c r="B298" s="31" t="inlineStr">
        <is>
          <t>Gokul Agro Resources Limited</t>
        </is>
      </c>
      <c r="C298" s="31" t="inlineStr">
        <is>
          <t>fmcg</t>
        </is>
      </c>
      <c r="D298" s="31" t="inlineStr">
        <is>
          <t>solvent extraction</t>
        </is>
      </c>
      <c r="E298" s="31" t="inlineStr">
        <is>
          <t>midcap</t>
        </is>
      </c>
      <c r="F298" s="31" t="n">
        <v>6669.85</v>
      </c>
      <c r="G298" s="31" t="n">
        <v>235.01</v>
      </c>
      <c r="H298" s="31" t="n">
        <v>-0.67</v>
      </c>
      <c r="I298" s="31" t="n">
        <v>378487</v>
      </c>
      <c r="J298" s="31" t="inlineStr">
        <is>
          <t>539725</t>
        </is>
      </c>
    </row>
    <row r="299">
      <c r="A299" s="31" t="inlineStr">
        <is>
          <t>ESAFSFB</t>
        </is>
      </c>
      <c r="B299" s="31" t="inlineStr">
        <is>
          <t>ESAF Small Finance Bank Ltd</t>
        </is>
      </c>
      <c r="C299" s="31" t="inlineStr">
        <is>
          <t>bank</t>
        </is>
      </c>
      <c r="D299" s="31" t="inlineStr">
        <is>
          <t>banks - private sector</t>
        </is>
      </c>
      <c r="E299" s="31" t="inlineStr">
        <is>
          <t>smallcap</t>
        </is>
      </c>
      <c r="F299" s="31" t="n">
        <v>1985.9</v>
      </c>
      <c r="G299" s="31" t="n">
        <v>39.56</v>
      </c>
      <c r="H299" s="31" t="n">
        <v>-0.68</v>
      </c>
      <c r="I299" s="31" t="n">
        <v>499095</v>
      </c>
      <c r="J299" s="31" t="inlineStr">
        <is>
          <t>544020</t>
        </is>
      </c>
    </row>
    <row r="300">
      <c r="A300" s="31" t="inlineStr">
        <is>
          <t>TITAN</t>
        </is>
      </c>
      <c r="B300" s="31" t="inlineStr">
        <is>
          <t>Titan Company Limited</t>
        </is>
      </c>
      <c r="C300" s="31" t="inlineStr">
        <is>
          <t>consumer discretionary</t>
        </is>
      </c>
      <c r="D300" s="31" t="inlineStr">
        <is>
          <t>diamond cutting / jewellery</t>
        </is>
      </c>
      <c r="E300" s="31" t="inlineStr">
        <is>
          <t>largecap</t>
        </is>
      </c>
      <c r="F300" s="31" t="n">
        <v>455256.74</v>
      </c>
      <c r="G300" s="31" t="n">
        <v>5063.7</v>
      </c>
      <c r="H300" s="31" t="n">
        <v>-0.6899999999999999</v>
      </c>
      <c r="I300" s="31" t="n">
        <v>1031213</v>
      </c>
      <c r="J300" s="31" t="inlineStr">
        <is>
          <t>500114</t>
        </is>
      </c>
    </row>
    <row r="301">
      <c r="A301" s="31" t="inlineStr">
        <is>
          <t>RANEHOLDIN</t>
        </is>
      </c>
      <c r="B301" s="31" t="inlineStr">
        <is>
          <t>Rane Holdings Limited</t>
        </is>
      </c>
      <c r="C301" s="31" t="inlineStr">
        <is>
          <t>financials</t>
        </is>
      </c>
      <c r="D301" s="31" t="inlineStr">
        <is>
          <t>finance &amp; investments</t>
        </is>
      </c>
      <c r="E301" s="31" t="inlineStr">
        <is>
          <t>smallcap</t>
        </is>
      </c>
      <c r="F301" s="31" t="n">
        <v>2536.02</v>
      </c>
      <c r="G301" s="31" t="n">
        <v>1789</v>
      </c>
      <c r="H301" s="31" t="n">
        <v>-0.7</v>
      </c>
      <c r="I301" s="31" t="n">
        <v>93353</v>
      </c>
      <c r="J301" s="31" t="inlineStr">
        <is>
          <t>505800</t>
        </is>
      </c>
    </row>
    <row r="302">
      <c r="A302" s="31" t="inlineStr">
        <is>
          <t>CEATLTD</t>
        </is>
      </c>
      <c r="B302" s="31" t="inlineStr">
        <is>
          <t>Ceat Limited</t>
        </is>
      </c>
      <c r="C302" s="31" t="inlineStr">
        <is>
          <t>auto</t>
        </is>
      </c>
      <c r="D302" s="31" t="inlineStr">
        <is>
          <t>tyres</t>
        </is>
      </c>
      <c r="E302" s="31" t="inlineStr">
        <is>
          <t>midcap</t>
        </is>
      </c>
      <c r="F302" s="31" t="n">
        <v>15169.59</v>
      </c>
      <c r="G302" s="31" t="n">
        <v>3696.5</v>
      </c>
      <c r="H302" s="31" t="n">
        <v>-0.71</v>
      </c>
      <c r="I302" s="31" t="n">
        <v>50791</v>
      </c>
      <c r="J302" s="31" t="inlineStr">
        <is>
          <t>500878</t>
        </is>
      </c>
    </row>
    <row r="303">
      <c r="A303" s="31" t="inlineStr">
        <is>
          <t>TVSMOTOR</t>
        </is>
      </c>
      <c r="B303" s="31" t="inlineStr">
        <is>
          <t>Tvs Motor Company Limited</t>
        </is>
      </c>
      <c r="C303" s="31" t="inlineStr">
        <is>
          <t>auto</t>
        </is>
      </c>
      <c r="D303" s="31" t="inlineStr">
        <is>
          <t>automobiles - motorcycles / mopeds</t>
        </is>
      </c>
      <c r="E303" s="31" t="inlineStr">
        <is>
          <t>largecap</t>
        </is>
      </c>
      <c r="F303" s="31" t="n">
        <v>209038.33</v>
      </c>
      <c r="G303" s="31" t="n">
        <v>4342.2</v>
      </c>
      <c r="H303" s="31" t="n">
        <v>-0.75</v>
      </c>
      <c r="I303" s="31" t="n">
        <v>1043651</v>
      </c>
      <c r="J303" s="31" t="inlineStr">
        <is>
          <t>532343</t>
        </is>
      </c>
    </row>
    <row r="304">
      <c r="A304" s="31" t="inlineStr">
        <is>
          <t>HAPPYFORGE</t>
        </is>
      </c>
      <c r="B304" s="31" t="inlineStr">
        <is>
          <t>Happy Forgings Ltd</t>
        </is>
      </c>
      <c r="C304" s="31" t="inlineStr">
        <is>
          <t>industrials</t>
        </is>
      </c>
      <c r="D304" s="31" t="inlineStr">
        <is>
          <t>castings &amp; forgings</t>
        </is>
      </c>
      <c r="E304" s="31" t="inlineStr">
        <is>
          <t>midcap</t>
        </is>
      </c>
      <c r="F304" s="31" t="n">
        <v>18005.57</v>
      </c>
      <c r="G304" s="31" t="n">
        <v>2007.6</v>
      </c>
      <c r="H304" s="31" t="n">
        <v>-0.75</v>
      </c>
      <c r="I304" s="31" t="n">
        <v>67946</v>
      </c>
      <c r="J304" s="31" t="inlineStr">
        <is>
          <t>544057</t>
        </is>
      </c>
    </row>
    <row r="305">
      <c r="A305" s="31" t="inlineStr">
        <is>
          <t>SANGHVIMOV</t>
        </is>
      </c>
      <c r="B305" s="31" t="inlineStr">
        <is>
          <t>Sanghvi Movers Limited</t>
        </is>
      </c>
      <c r="C305" s="31" t="inlineStr">
        <is>
          <t>miscellaneous</t>
        </is>
      </c>
      <c r="D305" s="31" t="inlineStr">
        <is>
          <t>miscellaneous</t>
        </is>
      </c>
      <c r="E305" s="31" t="inlineStr">
        <is>
          <t>smallcap</t>
        </is>
      </c>
      <c r="F305" s="31" t="n">
        <v>4475.55</v>
      </c>
      <c r="G305" s="31" t="n">
        <v>496.7</v>
      </c>
      <c r="H305" s="31" t="n">
        <v>-0.75</v>
      </c>
      <c r="I305" s="31" t="n">
        <v>189209</v>
      </c>
      <c r="J305" s="31" t="inlineStr">
        <is>
          <t>530073</t>
        </is>
      </c>
    </row>
    <row r="306">
      <c r="A306" s="31" t="inlineStr">
        <is>
          <t>NAVINFLUOR</t>
        </is>
      </c>
      <c r="B306" s="31" t="inlineStr">
        <is>
          <t>Navin Fluorine International Limited</t>
        </is>
      </c>
      <c r="C306" s="31" t="inlineStr">
        <is>
          <t>chemicals</t>
        </is>
      </c>
      <c r="D306" s="31" t="inlineStr">
        <is>
          <t>chemicals</t>
        </is>
      </c>
      <c r="E306" s="31" t="inlineStr">
        <is>
          <t>largecap</t>
        </is>
      </c>
      <c r="F306" s="31" t="n">
        <v>41833.07</v>
      </c>
      <c r="G306" s="31" t="n">
        <v>8294</v>
      </c>
      <c r="H306" s="31" t="n">
        <v>-0.75</v>
      </c>
      <c r="I306" s="31" t="n">
        <v>130718</v>
      </c>
      <c r="J306" s="31" t="inlineStr">
        <is>
          <t>532504</t>
        </is>
      </c>
    </row>
    <row r="307">
      <c r="A307" s="31" t="inlineStr">
        <is>
          <t>KOLTEPATIL</t>
        </is>
      </c>
      <c r="B307" s="31" t="inlineStr">
        <is>
          <t>Kolte - Patil Developers Limited</t>
        </is>
      </c>
      <c r="C307" s="31" t="inlineStr">
        <is>
          <t>realty</t>
        </is>
      </c>
      <c r="D307" s="31" t="inlineStr">
        <is>
          <t>construction</t>
        </is>
      </c>
      <c r="E307" s="31" t="inlineStr">
        <is>
          <t>smallcap</t>
        </is>
      </c>
      <c r="F307" s="31" t="n">
        <v>4581.21</v>
      </c>
      <c r="G307" s="31" t="n">
        <v>489</v>
      </c>
      <c r="H307" s="31" t="n">
        <v>-0.75</v>
      </c>
      <c r="I307" s="31" t="n">
        <v>215149</v>
      </c>
      <c r="J307" s="31" t="inlineStr">
        <is>
          <t>532924</t>
        </is>
      </c>
    </row>
    <row r="308">
      <c r="A308" s="31" t="inlineStr">
        <is>
          <t>HEROMOTOCO</t>
        </is>
      </c>
      <c r="B308" s="31" t="inlineStr">
        <is>
          <t>Hero Motocorp Limited</t>
        </is>
      </c>
      <c r="C308" s="31" t="inlineStr">
        <is>
          <t>auto</t>
        </is>
      </c>
      <c r="D308" s="31" t="inlineStr">
        <is>
          <t>automobiles - motorcycles / mopeds</t>
        </is>
      </c>
      <c r="E308" s="31" t="inlineStr">
        <is>
          <t>largecap</t>
        </is>
      </c>
      <c r="F308" s="31" t="n">
        <v>117364.51</v>
      </c>
      <c r="G308" s="31" t="n">
        <v>5850</v>
      </c>
      <c r="H308" s="31" t="n">
        <v>-0.76</v>
      </c>
      <c r="I308" s="31" t="n">
        <v>1025510</v>
      </c>
      <c r="J308" s="31" t="inlineStr">
        <is>
          <t>500182</t>
        </is>
      </c>
    </row>
    <row r="309">
      <c r="A309" s="31" t="inlineStr">
        <is>
          <t>UFLEX</t>
        </is>
      </c>
      <c r="B309" s="31" t="inlineStr">
        <is>
          <t>Uflex Limited</t>
        </is>
      </c>
      <c r="C309" s="31" t="inlineStr">
        <is>
          <t>industrials</t>
        </is>
      </c>
      <c r="D309" s="31" t="inlineStr">
        <is>
          <t>packaging</t>
        </is>
      </c>
      <c r="E309" s="31" t="inlineStr">
        <is>
          <t>smallcap</t>
        </is>
      </c>
      <c r="F309" s="31" t="n">
        <v>3589.27</v>
      </c>
      <c r="G309" s="31" t="n">
        <v>493.8</v>
      </c>
      <c r="H309" s="31" t="n">
        <v>-0.79</v>
      </c>
      <c r="I309" s="31" t="n">
        <v>54071</v>
      </c>
      <c r="J309" s="31" t="inlineStr">
        <is>
          <t>500148</t>
        </is>
      </c>
    </row>
    <row r="310">
      <c r="A310" s="31" t="inlineStr">
        <is>
          <t>SHAILY</t>
        </is>
      </c>
      <c r="B310" s="31" t="inlineStr">
        <is>
          <t>Shaily Engineering Plastics Ltd</t>
        </is>
      </c>
      <c r="C310" s="31" t="inlineStr">
        <is>
          <t>plastic products</t>
        </is>
      </c>
      <c r="D310" s="31" t="inlineStr">
        <is>
          <t>plastics products</t>
        </is>
      </c>
      <c r="E310" s="31" t="inlineStr">
        <is>
          <t>midcap</t>
        </is>
      </c>
      <c r="F310" s="31" t="n">
        <v>15904.7</v>
      </c>
      <c r="G310" s="31" t="n">
        <v>3406.9</v>
      </c>
      <c r="H310" s="31" t="n">
        <v>-0.79</v>
      </c>
      <c r="I310" s="31" t="n">
        <v>94358</v>
      </c>
      <c r="J310" s="31" t="inlineStr">
        <is>
          <t>501423</t>
        </is>
      </c>
    </row>
    <row r="311">
      <c r="A311" s="31" t="inlineStr">
        <is>
          <t>SAILIFE</t>
        </is>
      </c>
      <c r="B311" s="31" t="inlineStr">
        <is>
          <t>Sai Life Sciences Ltd</t>
        </is>
      </c>
      <c r="C311" s="31" t="inlineStr">
        <is>
          <t>healthcare</t>
        </is>
      </c>
      <c r="D311" s="31" t="inlineStr">
        <is>
          <t>pharmaceuticals - indian - bulk drugs &amp; formln</t>
        </is>
      </c>
      <c r="E311" s="31" t="inlineStr">
        <is>
          <t>largecap</t>
        </is>
      </c>
      <c r="F311" s="31" t="n">
        <v>30662.59</v>
      </c>
      <c r="G311" s="31" t="n">
        <v>1452</v>
      </c>
      <c r="H311" s="31" t="n">
        <v>-0.79</v>
      </c>
      <c r="I311" s="31" t="n">
        <v>477974</v>
      </c>
      <c r="J311" s="31" t="inlineStr">
        <is>
          <t>544306</t>
        </is>
      </c>
    </row>
    <row r="312">
      <c r="A312" s="31" t="inlineStr">
        <is>
          <t>AFSL</t>
        </is>
      </c>
      <c r="B312" s="31" t="inlineStr">
        <is>
          <t>Abans Financial Services Ltd</t>
        </is>
      </c>
      <c r="C312" s="31" t="inlineStr">
        <is>
          <t>financials</t>
        </is>
      </c>
      <c r="D312" s="31" t="inlineStr">
        <is>
          <t>finance &amp; investments</t>
        </is>
      </c>
      <c r="E312" s="31" t="inlineStr">
        <is>
          <t>smallcap</t>
        </is>
      </c>
      <c r="F312" s="31" t="n">
        <v>1071.4</v>
      </c>
      <c r="G312" s="31" t="n">
        <v>212.1</v>
      </c>
      <c r="H312" s="31" t="n">
        <v>-0.8</v>
      </c>
      <c r="I312" s="31" t="n">
        <v>13089</v>
      </c>
      <c r="J312" s="31" t="inlineStr">
        <is>
          <t>543712</t>
        </is>
      </c>
    </row>
    <row r="313">
      <c r="A313" s="31" t="inlineStr">
        <is>
          <t>SIEMENS</t>
        </is>
      </c>
      <c r="B313" s="31" t="inlineStr">
        <is>
          <t>Siemens Limited</t>
        </is>
      </c>
      <c r="C313" s="31" t="inlineStr">
        <is>
          <t>industrials</t>
        </is>
      </c>
      <c r="D313" s="31" t="inlineStr">
        <is>
          <t>electric equipment</t>
        </is>
      </c>
      <c r="E313" s="31" t="inlineStr">
        <is>
          <t>largecap</t>
        </is>
      </c>
      <c r="F313" s="31" t="n">
        <v>142839.93</v>
      </c>
      <c r="G313" s="31" t="n">
        <v>3987</v>
      </c>
      <c r="H313" s="31" t="n">
        <v>-0.8</v>
      </c>
      <c r="I313" s="31" t="n">
        <v>464870</v>
      </c>
      <c r="J313" s="31" t="inlineStr">
        <is>
          <t>500550</t>
        </is>
      </c>
    </row>
    <row r="314">
      <c r="A314" s="31" t="inlineStr">
        <is>
          <t>PVRINOX</t>
        </is>
      </c>
      <c r="B314" s="31" t="inlineStr">
        <is>
          <t>PVR Inox Ltd</t>
        </is>
      </c>
      <c r="C314" s="31" t="inlineStr">
        <is>
          <t>media</t>
        </is>
      </c>
      <c r="D314" s="31" t="inlineStr">
        <is>
          <t>entertainment / electronic media software</t>
        </is>
      </c>
      <c r="E314" s="31" t="inlineStr">
        <is>
          <t>midcap</t>
        </is>
      </c>
      <c r="F314" s="31" t="n">
        <v>11393.16</v>
      </c>
      <c r="G314" s="31" t="n">
        <v>1179.7</v>
      </c>
      <c r="H314" s="31" t="n">
        <v>-0.82</v>
      </c>
      <c r="I314" s="31" t="n">
        <v>275806</v>
      </c>
      <c r="J314" s="31" t="inlineStr">
        <is>
          <t>532689</t>
        </is>
      </c>
    </row>
    <row r="315">
      <c r="A315" s="31" t="inlineStr">
        <is>
          <t>KARURVYSYA</t>
        </is>
      </c>
      <c r="B315" s="31" t="inlineStr">
        <is>
          <t>Karur Vysya Bank Limited</t>
        </is>
      </c>
      <c r="C315" s="31" t="inlineStr">
        <is>
          <t>bank</t>
        </is>
      </c>
      <c r="D315" s="31" t="inlineStr">
        <is>
          <t>banks - private sector</t>
        </is>
      </c>
      <c r="E315" s="31" t="inlineStr">
        <is>
          <t>largecap</t>
        </is>
      </c>
      <c r="F315" s="31" t="n">
        <v>32306.07</v>
      </c>
      <c r="G315" s="31" t="n">
        <v>335.95</v>
      </c>
      <c r="H315" s="31" t="n">
        <v>-0.84</v>
      </c>
      <c r="I315" s="31" t="n">
        <v>1147979</v>
      </c>
      <c r="J315" s="31" t="inlineStr">
        <is>
          <t>590003</t>
        </is>
      </c>
    </row>
    <row r="316">
      <c r="A316" s="31" t="inlineStr">
        <is>
          <t>SETL</t>
        </is>
      </c>
      <c r="B316" s="31" t="inlineStr">
        <is>
          <t>Standard Enginnering Technology Ltd</t>
        </is>
      </c>
      <c r="C316" s="31" t="inlineStr">
        <is>
          <t>industrials</t>
        </is>
      </c>
      <c r="D316" s="31" t="inlineStr">
        <is>
          <t>engineering</t>
        </is>
      </c>
      <c r="E316" s="31" t="inlineStr">
        <is>
          <t>midcap</t>
        </is>
      </c>
      <c r="F316" s="31" t="n">
        <v>5930.89</v>
      </c>
      <c r="G316" s="31" t="n">
        <v>297.5</v>
      </c>
      <c r="H316" s="31" t="n">
        <v>-0.85</v>
      </c>
      <c r="I316" s="31" t="n">
        <v>451084</v>
      </c>
      <c r="J316" s="31" t="inlineStr">
        <is>
          <t>544333</t>
        </is>
      </c>
    </row>
    <row r="317">
      <c r="A317" s="31" t="inlineStr">
        <is>
          <t>QUESS</t>
        </is>
      </c>
      <c r="B317" s="31" t="inlineStr">
        <is>
          <t>Quess Corp Limited</t>
        </is>
      </c>
      <c r="C317" s="31" t="inlineStr">
        <is>
          <t>miscellaneous</t>
        </is>
      </c>
      <c r="D317" s="31" t="inlineStr">
        <is>
          <t>diversified - large</t>
        </is>
      </c>
      <c r="E317" s="31" t="inlineStr">
        <is>
          <t>smallcap</t>
        </is>
      </c>
      <c r="F317" s="31" t="n">
        <v>4842.25</v>
      </c>
      <c r="G317" s="31" t="n">
        <v>331.25</v>
      </c>
      <c r="H317" s="31" t="n">
        <v>-0.88</v>
      </c>
      <c r="I317" s="31" t="n">
        <v>163596</v>
      </c>
      <c r="J317" s="31" t="inlineStr">
        <is>
          <t>539978</t>
        </is>
      </c>
    </row>
    <row r="318">
      <c r="A318" s="31" t="inlineStr">
        <is>
          <t>EMAMIPAP</t>
        </is>
      </c>
      <c r="B318" s="31" t="inlineStr">
        <is>
          <t>Emami Paper Mills Ltd</t>
        </is>
      </c>
      <c r="C318" s="31" t="inlineStr">
        <is>
          <t>building materials</t>
        </is>
      </c>
      <c r="D318" s="31" t="inlineStr">
        <is>
          <t>paper</t>
        </is>
      </c>
      <c r="E318" s="31" t="inlineStr">
        <is>
          <t>smallcap</t>
        </is>
      </c>
      <c r="F318" s="31" t="n">
        <v>679.71</v>
      </c>
      <c r="G318" s="31" t="n">
        <v>111</v>
      </c>
      <c r="H318" s="31" t="n">
        <v>-0.89</v>
      </c>
      <c r="I318" s="31" t="n">
        <v>21175</v>
      </c>
      <c r="J318" s="31" t="inlineStr">
        <is>
          <t>533208</t>
        </is>
      </c>
    </row>
    <row r="319">
      <c r="A319" s="31" t="inlineStr">
        <is>
          <t>ONEPOINT</t>
        </is>
      </c>
      <c r="B319" s="31" t="inlineStr">
        <is>
          <t>One Point One Solutions Ltd</t>
        </is>
      </c>
      <c r="C319" s="31" t="inlineStr">
        <is>
          <t>i.t</t>
        </is>
      </c>
      <c r="D319" s="31" t="inlineStr">
        <is>
          <t>computers - software - medium / small</t>
        </is>
      </c>
      <c r="E319" s="31" t="inlineStr">
        <is>
          <t>smallcap</t>
        </is>
      </c>
      <c r="F319" s="31" t="n">
        <v>1547.91</v>
      </c>
      <c r="G319" s="31" t="n">
        <v>59.42</v>
      </c>
      <c r="H319" s="31" t="n">
        <v>-0.95</v>
      </c>
      <c r="I319" s="31" t="n">
        <v>2559416</v>
      </c>
      <c r="J319" s="31" t="inlineStr">
        <is>
          <t>535039</t>
        </is>
      </c>
    </row>
    <row r="320">
      <c r="A320" s="31" t="inlineStr">
        <is>
          <t>EMIL</t>
        </is>
      </c>
      <c r="B320" s="31" t="inlineStr">
        <is>
          <t>Electronics Mart India Ltd</t>
        </is>
      </c>
      <c r="C320" s="31" t="inlineStr">
        <is>
          <t>consumer discretionary</t>
        </is>
      </c>
      <c r="D320" s="31" t="inlineStr">
        <is>
          <t>trading</t>
        </is>
      </c>
      <c r="E320" s="31" t="inlineStr">
        <is>
          <t>midcap</t>
        </is>
      </c>
      <c r="F320" s="31" t="n">
        <v>7108.23</v>
      </c>
      <c r="G320" s="31" t="n">
        <v>191.78</v>
      </c>
      <c r="H320" s="31" t="n">
        <v>-0.95</v>
      </c>
      <c r="I320" s="31" t="n">
        <v>10553624</v>
      </c>
      <c r="J320" s="31" t="inlineStr">
        <is>
          <t>543626</t>
        </is>
      </c>
    </row>
    <row r="321">
      <c r="A321" s="31" t="inlineStr">
        <is>
          <t>STYLEBAAZA</t>
        </is>
      </c>
      <c r="B321" s="31" t="inlineStr">
        <is>
          <t>Baazar Style Retail Ltd</t>
        </is>
      </c>
      <c r="C321" s="31" t="inlineStr">
        <is>
          <t>consumer discretionary</t>
        </is>
      </c>
      <c r="D321" s="31" t="inlineStr">
        <is>
          <t>trading</t>
        </is>
      </c>
      <c r="E321" s="31" t="inlineStr">
        <is>
          <t>smallcap</t>
        </is>
      </c>
      <c r="F321" s="31" t="n">
        <v>2690.37</v>
      </c>
      <c r="G321" s="31" t="n">
        <v>347.9</v>
      </c>
      <c r="H321" s="31" t="n">
        <v>-0.97</v>
      </c>
      <c r="I321" s="31" t="n">
        <v>462390</v>
      </c>
      <c r="J321" s="31" t="inlineStr">
        <is>
          <t>544243</t>
        </is>
      </c>
    </row>
    <row r="322">
      <c r="A322" s="31" t="inlineStr">
        <is>
          <t>ASKAUTOLTD</t>
        </is>
      </c>
      <c r="B322" s="31" t="inlineStr">
        <is>
          <t>ASK Automotive Ltd</t>
        </is>
      </c>
      <c r="C322" s="31" t="inlineStr">
        <is>
          <t>auto</t>
        </is>
      </c>
      <c r="D322" s="31" t="inlineStr">
        <is>
          <t>auto ancillaries</t>
        </is>
      </c>
      <c r="E322" s="31" t="inlineStr">
        <is>
          <t>midcap</t>
        </is>
      </c>
      <c r="F322" s="31" t="n">
        <v>12898.05</v>
      </c>
      <c r="G322" s="31" t="n">
        <v>644.9</v>
      </c>
      <c r="H322" s="31" t="n">
        <v>-0.97</v>
      </c>
      <c r="I322" s="31" t="n">
        <v>844981</v>
      </c>
      <c r="J322" s="31" t="inlineStr">
        <is>
          <t>544022</t>
        </is>
      </c>
    </row>
    <row r="323">
      <c r="A323" s="31" t="inlineStr">
        <is>
          <t>DIVGIITTS</t>
        </is>
      </c>
      <c r="B323" s="31" t="inlineStr">
        <is>
          <t>Divgi Torqtransfer Systems Ltd</t>
        </is>
      </c>
      <c r="C323" s="31" t="inlineStr">
        <is>
          <t>auto</t>
        </is>
      </c>
      <c r="D323" s="31" t="inlineStr">
        <is>
          <t>auto ancillaries</t>
        </is>
      </c>
      <c r="E323" s="31" t="inlineStr">
        <is>
          <t>smallcap</t>
        </is>
      </c>
      <c r="F323" s="31" t="n">
        <v>3291.95</v>
      </c>
      <c r="G323" s="31" t="n">
        <v>1219.75</v>
      </c>
      <c r="H323" s="31" t="n">
        <v>-0.99</v>
      </c>
      <c r="I323" s="31" t="n">
        <v>403607</v>
      </c>
      <c r="J323" s="31" t="inlineStr">
        <is>
          <t>543812</t>
        </is>
      </c>
    </row>
    <row r="324">
      <c r="A324" s="31" t="inlineStr">
        <is>
          <t>HAL</t>
        </is>
      </c>
      <c r="B324" s="31" t="inlineStr">
        <is>
          <t>Hindustan Aeronautics Ltd</t>
        </is>
      </c>
      <c r="C324" s="31" t="inlineStr">
        <is>
          <t>aerospace &amp; defence</t>
        </is>
      </c>
      <c r="D324" s="31" t="inlineStr">
        <is>
          <t>engineering</t>
        </is>
      </c>
      <c r="E324" s="31" t="inlineStr">
        <is>
          <t>largecap</t>
        </is>
      </c>
      <c r="F324" s="31" t="n">
        <v>328301.65</v>
      </c>
      <c r="G324" s="31" t="n">
        <v>4945</v>
      </c>
      <c r="H324" s="31" t="n">
        <v>-1</v>
      </c>
      <c r="I324" s="31" t="n">
        <v>3176151</v>
      </c>
      <c r="J324" s="31" t="inlineStr">
        <is>
          <t>541154</t>
        </is>
      </c>
    </row>
    <row r="325">
      <c r="A325" s="31" t="inlineStr">
        <is>
          <t>SUMICHEM</t>
        </is>
      </c>
      <c r="B325" s="31" t="inlineStr">
        <is>
          <t>Sumitomo Chemical India Ltd</t>
        </is>
      </c>
      <c r="C325" s="31" t="inlineStr">
        <is>
          <t>chemicals</t>
        </is>
      </c>
      <c r="D325" s="31" t="inlineStr">
        <is>
          <t>pesticides / agrochemicals - indian</t>
        </is>
      </c>
      <c r="E325" s="31" t="inlineStr">
        <is>
          <t>largecap</t>
        </is>
      </c>
      <c r="F325" s="31" t="n">
        <v>27857.32</v>
      </c>
      <c r="G325" s="31" t="n">
        <v>541.9</v>
      </c>
      <c r="H325" s="31" t="n">
        <v>-1</v>
      </c>
      <c r="I325" s="31" t="n">
        <v>274916</v>
      </c>
      <c r="J325" s="31" t="inlineStr">
        <is>
          <t>542920</t>
        </is>
      </c>
    </row>
    <row r="326">
      <c r="A326" s="31" t="inlineStr">
        <is>
          <t>EXIDEIND</t>
        </is>
      </c>
      <c r="B326" s="31" t="inlineStr">
        <is>
          <t>Exide Industries Limited</t>
        </is>
      </c>
      <c r="C326" s="31" t="inlineStr">
        <is>
          <t>auto</t>
        </is>
      </c>
      <c r="D326" s="31" t="inlineStr">
        <is>
          <t>auto ancillaries</t>
        </is>
      </c>
      <c r="E326" s="31" t="inlineStr">
        <is>
          <t>largecap</t>
        </is>
      </c>
      <c r="F326" s="31" t="n">
        <v>41084.75</v>
      </c>
      <c r="G326" s="31" t="n">
        <v>485.5</v>
      </c>
      <c r="H326" s="31" t="n">
        <v>-1.05</v>
      </c>
      <c r="I326" s="31" t="n">
        <v>1807196</v>
      </c>
      <c r="J326" s="31" t="inlineStr">
        <is>
          <t>500086</t>
        </is>
      </c>
    </row>
    <row r="327">
      <c r="A327" s="31" t="inlineStr">
        <is>
          <t>PIXTRANS</t>
        </is>
      </c>
      <c r="B327" s="31" t="inlineStr">
        <is>
          <t>Pix Transmission Ltd</t>
        </is>
      </c>
      <c r="C327" s="31" t="inlineStr">
        <is>
          <t>fmcg</t>
        </is>
      </c>
      <c r="D327" s="31" t="inlineStr">
        <is>
          <t>miscellaneous</t>
        </is>
      </c>
      <c r="E327" s="31" t="inlineStr">
        <is>
          <t>smallcap</t>
        </is>
      </c>
      <c r="F327" s="31" t="n">
        <v>2701.88</v>
      </c>
      <c r="G327" s="31" t="n">
        <v>1925.6</v>
      </c>
      <c r="H327" s="31" t="n">
        <v>-1.1</v>
      </c>
      <c r="I327" s="31" t="n">
        <v>52662</v>
      </c>
      <c r="J327" s="31" t="inlineStr">
        <is>
          <t>500333</t>
        </is>
      </c>
    </row>
    <row r="328">
      <c r="A328" s="31" t="inlineStr">
        <is>
          <t>INDSWFTLAB</t>
        </is>
      </c>
      <c r="B328" s="31" t="inlineStr">
        <is>
          <t>Ind-swift Laboratories Limited</t>
        </is>
      </c>
      <c r="C328" s="31" t="inlineStr">
        <is>
          <t>healthcare</t>
        </is>
      </c>
      <c r="D328" s="31" t="inlineStr">
        <is>
          <t>pharmaceuticals - indian - bulk drugs &amp; formln</t>
        </is>
      </c>
      <c r="E328" s="31" t="inlineStr">
        <is>
          <t>smallcap</t>
        </is>
      </c>
      <c r="F328" s="31" t="n">
        <v>2475.62</v>
      </c>
      <c r="G328" s="31" t="n">
        <v>296.63</v>
      </c>
      <c r="H328" s="31" t="n">
        <v>-1.12</v>
      </c>
      <c r="I328" s="31" t="n">
        <v>1787633</v>
      </c>
      <c r="J328" s="31" t="inlineStr">
        <is>
          <t>532305</t>
        </is>
      </c>
    </row>
    <row r="329">
      <c r="A329" s="31" t="inlineStr">
        <is>
          <t>ENDURANCE</t>
        </is>
      </c>
      <c r="B329" s="31" t="inlineStr">
        <is>
          <t>Endurance Technologies Limited</t>
        </is>
      </c>
      <c r="C329" s="31" t="inlineStr">
        <is>
          <t>auto</t>
        </is>
      </c>
      <c r="D329" s="31" t="inlineStr">
        <is>
          <t>auto ancillaries</t>
        </is>
      </c>
      <c r="E329" s="31" t="inlineStr">
        <is>
          <t>largecap</t>
        </is>
      </c>
      <c r="F329" s="31" t="n">
        <v>42027.25</v>
      </c>
      <c r="G329" s="31" t="n">
        <v>2985</v>
      </c>
      <c r="H329" s="31" t="n">
        <v>-1.15</v>
      </c>
      <c r="I329" s="31" t="n">
        <v>143774</v>
      </c>
      <c r="J329" s="31" t="inlineStr">
        <is>
          <t>540153</t>
        </is>
      </c>
    </row>
    <row r="330">
      <c r="A330" s="31" t="inlineStr">
        <is>
          <t>RISHABH</t>
        </is>
      </c>
      <c r="B330" s="31" t="inlineStr">
        <is>
          <t>Rishabh Instruments Ltd</t>
        </is>
      </c>
      <c r="C330" s="31" t="inlineStr">
        <is>
          <t>industrials</t>
        </is>
      </c>
      <c r="D330" s="31" t="inlineStr">
        <is>
          <t>electric equipment</t>
        </is>
      </c>
      <c r="E330" s="31" t="inlineStr">
        <is>
          <t>smallcap</t>
        </is>
      </c>
      <c r="F330" s="31" t="n">
        <v>2616.7</v>
      </c>
      <c r="G330" s="31" t="n">
        <v>660.6</v>
      </c>
      <c r="H330" s="31" t="n">
        <v>-1.15</v>
      </c>
      <c r="I330" s="31" t="n">
        <v>121304</v>
      </c>
      <c r="J330" s="31" t="inlineStr">
        <is>
          <t>543977</t>
        </is>
      </c>
    </row>
    <row r="331">
      <c r="A331" s="31" t="inlineStr">
        <is>
          <t>DIVISLAB</t>
        </is>
      </c>
      <c r="B331" s="31" t="inlineStr">
        <is>
          <t>Divi's Laboratories Limited</t>
        </is>
      </c>
      <c r="C331" s="31" t="inlineStr">
        <is>
          <t>healthcare</t>
        </is>
      </c>
      <c r="D331" s="31" t="inlineStr">
        <is>
          <t>pharmaceuticals - indian - bulk drugs</t>
        </is>
      </c>
      <c r="E331" s="31" t="inlineStr">
        <is>
          <t>largecap</t>
        </is>
      </c>
      <c r="F331" s="31" t="n">
        <v>227732.22</v>
      </c>
      <c r="G331" s="31" t="n">
        <v>8500</v>
      </c>
      <c r="H331" s="31" t="n">
        <v>-1.16</v>
      </c>
      <c r="I331" s="31" t="n">
        <v>675017</v>
      </c>
      <c r="J331" s="31" t="inlineStr">
        <is>
          <t>532488</t>
        </is>
      </c>
    </row>
    <row r="332">
      <c r="A332" s="31" t="inlineStr">
        <is>
          <t>PRUDENT</t>
        </is>
      </c>
      <c r="B332" s="31" t="inlineStr">
        <is>
          <t>Prudent Corporate Advisory Services Ltd</t>
        </is>
      </c>
      <c r="C332" s="31" t="inlineStr">
        <is>
          <t>financials</t>
        </is>
      </c>
      <c r="D332" s="31" t="inlineStr">
        <is>
          <t>finance &amp; investments</t>
        </is>
      </c>
      <c r="E332" s="31" t="inlineStr">
        <is>
          <t>midcap</t>
        </is>
      </c>
      <c r="F332" s="31" t="n">
        <v>14084.07</v>
      </c>
      <c r="G332" s="31" t="n">
        <v>3325</v>
      </c>
      <c r="H332" s="31" t="n">
        <v>-1.17</v>
      </c>
      <c r="I332" s="31" t="n">
        <v>429351</v>
      </c>
      <c r="J332" s="31" t="inlineStr">
        <is>
          <t>543527</t>
        </is>
      </c>
    </row>
    <row r="333">
      <c r="A333" s="31" t="inlineStr">
        <is>
          <t>PNB</t>
        </is>
      </c>
      <c r="B333" s="31" t="inlineStr">
        <is>
          <t>Punjab National Bank Ltd</t>
        </is>
      </c>
      <c r="C333" s="31" t="inlineStr">
        <is>
          <t>bank</t>
        </is>
      </c>
      <c r="D333" s="31" t="inlineStr">
        <is>
          <t>banks - public sector</t>
        </is>
      </c>
      <c r="E333" s="31" t="inlineStr">
        <is>
          <t>largecap</t>
        </is>
      </c>
      <c r="F333" s="31" t="n">
        <v>131054.03</v>
      </c>
      <c r="G333" s="31" t="n">
        <v>117.59</v>
      </c>
      <c r="H333" s="31" t="n">
        <v>-1.17</v>
      </c>
      <c r="I333" s="31" t="n">
        <v>19597895</v>
      </c>
      <c r="J333" s="31" t="inlineStr">
        <is>
          <t>532461</t>
        </is>
      </c>
    </row>
    <row r="334">
      <c r="A334" s="31" t="inlineStr">
        <is>
          <t>GEECEE</t>
        </is>
      </c>
      <c r="B334" s="31" t="inlineStr">
        <is>
          <t>Geecee Ventures Limited</t>
        </is>
      </c>
      <c r="C334" s="31" t="inlineStr">
        <is>
          <t>financials</t>
        </is>
      </c>
      <c r="D334" s="31" t="inlineStr">
        <is>
          <t>finance &amp; investments</t>
        </is>
      </c>
      <c r="E334" s="31" t="inlineStr">
        <is>
          <t>smallcap</t>
        </is>
      </c>
      <c r="F334" s="31" t="n">
        <v>805.3099999999999</v>
      </c>
      <c r="G334" s="31" t="n">
        <v>373.5</v>
      </c>
      <c r="H334" s="31" t="n">
        <v>-1.19</v>
      </c>
      <c r="I334" s="31" t="n">
        <v>2454</v>
      </c>
      <c r="J334" s="31" t="inlineStr">
        <is>
          <t>532764</t>
        </is>
      </c>
    </row>
    <row r="335">
      <c r="A335" s="31" t="inlineStr">
        <is>
          <t>VSSL</t>
        </is>
      </c>
      <c r="B335" s="31" t="inlineStr">
        <is>
          <t>Vardhman Special Steels Limited</t>
        </is>
      </c>
      <c r="C335" s="31" t="inlineStr">
        <is>
          <t>metals &amp; mining</t>
        </is>
      </c>
      <c r="D335" s="31" t="inlineStr">
        <is>
          <t>steel - medium / small</t>
        </is>
      </c>
      <c r="E335" s="31" t="inlineStr">
        <is>
          <t>smallcap</t>
        </is>
      </c>
      <c r="F335" s="31" t="n">
        <v>3216.73</v>
      </c>
      <c r="G335" s="31" t="n">
        <v>327.15</v>
      </c>
      <c r="H335" s="31" t="n">
        <v>-1.19</v>
      </c>
      <c r="I335" s="31" t="n">
        <v>59080</v>
      </c>
      <c r="J335" s="31" t="inlineStr">
        <is>
          <t>534392</t>
        </is>
      </c>
    </row>
    <row r="336">
      <c r="A336" s="31" t="inlineStr">
        <is>
          <t>FILATEX</t>
        </is>
      </c>
      <c r="B336" s="31" t="inlineStr">
        <is>
          <t>Filatex India Limited</t>
        </is>
      </c>
      <c r="C336" s="31" t="inlineStr">
        <is>
          <t>textiles</t>
        </is>
      </c>
      <c r="D336" s="31" t="inlineStr">
        <is>
          <t>textiles - manmade</t>
        </is>
      </c>
      <c r="E336" s="31" t="inlineStr">
        <is>
          <t>smallcap</t>
        </is>
      </c>
      <c r="F336" s="31" t="n">
        <v>3691.01</v>
      </c>
      <c r="G336" s="31" t="n">
        <v>82.29000000000001</v>
      </c>
      <c r="H336" s="31" t="n">
        <v>-1.22</v>
      </c>
      <c r="I336" s="31" t="n">
        <v>2534131</v>
      </c>
      <c r="J336" s="31" t="inlineStr">
        <is>
          <t>526227</t>
        </is>
      </c>
    </row>
    <row r="337">
      <c r="A337" s="31" t="inlineStr">
        <is>
          <t>AVALON</t>
        </is>
      </c>
      <c r="B337" s="31" t="inlineStr">
        <is>
          <t>Avalon Technologies Ltd</t>
        </is>
      </c>
      <c r="C337" s="31" t="inlineStr">
        <is>
          <t>consumer discretionary</t>
        </is>
      </c>
      <c r="D337" s="31" t="inlineStr">
        <is>
          <t>electronics - components</t>
        </is>
      </c>
      <c r="E337" s="31" t="inlineStr">
        <is>
          <t>midcap</t>
        </is>
      </c>
      <c r="F337" s="31" t="n">
        <v>12950.12</v>
      </c>
      <c r="G337" s="31" t="n">
        <v>1940</v>
      </c>
      <c r="H337" s="31" t="n">
        <v>-1.22</v>
      </c>
      <c r="I337" s="31" t="n">
        <v>182316</v>
      </c>
      <c r="J337" s="31" t="inlineStr">
        <is>
          <t>543896</t>
        </is>
      </c>
    </row>
    <row r="338">
      <c r="A338" s="31" t="inlineStr">
        <is>
          <t>POWERINDIA</t>
        </is>
      </c>
      <c r="B338" s="31" t="inlineStr">
        <is>
          <t>Hitachi Energy India Ltd</t>
        </is>
      </c>
      <c r="C338" s="31" t="inlineStr">
        <is>
          <t>industrials</t>
        </is>
      </c>
      <c r="D338" s="31" t="inlineStr">
        <is>
          <t>electric equipment</t>
        </is>
      </c>
      <c r="E338" s="31" t="inlineStr">
        <is>
          <t>largecap</t>
        </is>
      </c>
      <c r="F338" s="31" t="n">
        <v>156003.27</v>
      </c>
      <c r="G338" s="31" t="n">
        <v>35360</v>
      </c>
      <c r="H338" s="31" t="n">
        <v>-1.23</v>
      </c>
      <c r="I338" s="31" t="n">
        <v>117291</v>
      </c>
      <c r="J338" s="31" t="inlineStr">
        <is>
          <t>543187</t>
        </is>
      </c>
    </row>
    <row r="339">
      <c r="A339" s="31" t="inlineStr">
        <is>
          <t>MOTHERSON</t>
        </is>
      </c>
      <c r="B339" s="31" t="inlineStr">
        <is>
          <t>Samvardhana Motherson International Ltd</t>
        </is>
      </c>
      <c r="C339" s="31" t="inlineStr">
        <is>
          <t>auto</t>
        </is>
      </c>
      <c r="D339" s="31" t="inlineStr">
        <is>
          <t>auto ancillaries</t>
        </is>
      </c>
      <c r="E339" s="31" t="inlineStr">
        <is>
          <t>largecap</t>
        </is>
      </c>
      <c r="F339" s="31" t="n">
        <v>178644.5</v>
      </c>
      <c r="G339" s="31" t="n">
        <v>167.4</v>
      </c>
      <c r="H339" s="31" t="n">
        <v>-1.24</v>
      </c>
      <c r="I339" s="31" t="n">
        <v>23657649</v>
      </c>
      <c r="J339" s="31" t="inlineStr">
        <is>
          <t>517334</t>
        </is>
      </c>
    </row>
    <row r="340">
      <c r="A340" s="31" t="inlineStr">
        <is>
          <t>APLLTD</t>
        </is>
      </c>
      <c r="B340" s="31" t="inlineStr">
        <is>
          <t>Alembic Pharmaceuticals Limited</t>
        </is>
      </c>
      <c r="C340" s="31" t="inlineStr">
        <is>
          <t>healthcare</t>
        </is>
      </c>
      <c r="D340" s="31" t="inlineStr">
        <is>
          <t>pharmaceuticals - indian - bulk drugs &amp; formln</t>
        </is>
      </c>
      <c r="E340" s="31" t="inlineStr">
        <is>
          <t>midcap</t>
        </is>
      </c>
      <c r="F340" s="31" t="n">
        <v>16488.7</v>
      </c>
      <c r="G340" s="31" t="n">
        <v>831.2</v>
      </c>
      <c r="H340" s="31" t="n">
        <v>-1.24</v>
      </c>
      <c r="I340" s="31" t="n">
        <v>44236</v>
      </c>
      <c r="J340" s="31" t="inlineStr">
        <is>
          <t>533573</t>
        </is>
      </c>
    </row>
    <row r="341">
      <c r="A341" s="31" t="inlineStr">
        <is>
          <t>QPOWER</t>
        </is>
      </c>
      <c r="B341" s="31" t="inlineStr">
        <is>
          <t>Quality Power Electrical Equipments Ltd</t>
        </is>
      </c>
      <c r="C341" s="31" t="inlineStr">
        <is>
          <t>industrials</t>
        </is>
      </c>
      <c r="D341" s="31" t="inlineStr">
        <is>
          <t>electric equipment</t>
        </is>
      </c>
      <c r="E341" s="31" t="inlineStr">
        <is>
          <t>midcap</t>
        </is>
      </c>
      <c r="F341" s="31" t="n">
        <v>9597.65</v>
      </c>
      <c r="G341" s="31" t="n">
        <v>1278.1</v>
      </c>
      <c r="H341" s="31" t="n">
        <v>-1.27</v>
      </c>
      <c r="I341" s="31" t="n">
        <v>318795</v>
      </c>
      <c r="J341" s="31" t="inlineStr">
        <is>
          <t>544367</t>
        </is>
      </c>
    </row>
    <row r="342">
      <c r="A342" s="31" t="inlineStr">
        <is>
          <t>ORIENTBELL</t>
        </is>
      </c>
      <c r="B342" s="31" t="inlineStr">
        <is>
          <t>Orient Bell Limited</t>
        </is>
      </c>
      <c r="C342" s="31" t="inlineStr">
        <is>
          <t>building materials</t>
        </is>
      </c>
      <c r="D342" s="31" t="inlineStr">
        <is>
          <t>ceramics - tiles / sanitaryware</t>
        </is>
      </c>
      <c r="E342" s="31" t="inlineStr">
        <is>
          <t>smallcap</t>
        </is>
      </c>
      <c r="F342" s="31" t="n">
        <v>518.54</v>
      </c>
      <c r="G342" s="31" t="n">
        <v>357.3</v>
      </c>
      <c r="H342" s="31" t="n">
        <v>-1.28</v>
      </c>
      <c r="I342" s="31" t="n">
        <v>19100</v>
      </c>
      <c r="J342" s="31" t="inlineStr">
        <is>
          <t>530365</t>
        </is>
      </c>
    </row>
    <row r="343">
      <c r="A343" s="31" t="inlineStr">
        <is>
          <t>TATVA</t>
        </is>
      </c>
      <c r="B343" s="31" t="inlineStr">
        <is>
          <t>Tatva Chintan Pharma Chem Ltd</t>
        </is>
      </c>
      <c r="C343" s="31" t="inlineStr">
        <is>
          <t>chemicals</t>
        </is>
      </c>
      <c r="D343" s="31" t="inlineStr">
        <is>
          <t>chemicals</t>
        </is>
      </c>
      <c r="E343" s="31" t="inlineStr">
        <is>
          <t>smallcap</t>
        </is>
      </c>
      <c r="F343" s="31" t="n">
        <v>4176.65</v>
      </c>
      <c r="G343" s="31" t="n">
        <v>1709.6</v>
      </c>
      <c r="H343" s="31" t="n">
        <v>-1.29</v>
      </c>
      <c r="I343" s="31" t="n">
        <v>36658</v>
      </c>
      <c r="J343" s="31" t="inlineStr">
        <is>
          <t>543321</t>
        </is>
      </c>
    </row>
    <row r="344">
      <c r="A344" s="31" t="inlineStr">
        <is>
          <t>NAHARSPING</t>
        </is>
      </c>
      <c r="B344" s="31" t="inlineStr">
        <is>
          <t>Nahar Spinning Mills Limited</t>
        </is>
      </c>
      <c r="C344" s="31" t="inlineStr">
        <is>
          <t>textiles</t>
        </is>
      </c>
      <c r="D344" s="31" t="inlineStr">
        <is>
          <t>textiles - cotton/blended</t>
        </is>
      </c>
      <c r="E344" s="31" t="inlineStr">
        <is>
          <t>smallcap</t>
        </is>
      </c>
      <c r="F344" s="31" t="n">
        <v>1111.35</v>
      </c>
      <c r="G344" s="31" t="n">
        <v>301.6</v>
      </c>
      <c r="H344" s="31" t="n">
        <v>-1.29</v>
      </c>
      <c r="I344" s="31" t="n">
        <v>18822</v>
      </c>
      <c r="J344" s="31" t="inlineStr">
        <is>
          <t>500296</t>
        </is>
      </c>
    </row>
    <row r="345">
      <c r="A345" s="31" t="inlineStr">
        <is>
          <t>UNITDSPR</t>
        </is>
      </c>
      <c r="B345" s="31" t="inlineStr">
        <is>
          <t>United Spirits Ltd</t>
        </is>
      </c>
      <c r="C345" s="31" t="inlineStr">
        <is>
          <t>fmcg</t>
        </is>
      </c>
      <c r="D345" s="31" t="inlineStr">
        <is>
          <t>breweries &amp; distilleries</t>
        </is>
      </c>
      <c r="E345" s="31" t="inlineStr">
        <is>
          <t>largecap</t>
        </is>
      </c>
      <c r="F345" s="31" t="n">
        <v>112644.83</v>
      </c>
      <c r="G345" s="31" t="n">
        <v>1515</v>
      </c>
      <c r="H345" s="31" t="n">
        <v>-1.3</v>
      </c>
      <c r="I345" s="31" t="n">
        <v>582381</v>
      </c>
      <c r="J345" s="31" t="inlineStr">
        <is>
          <t>532432</t>
        </is>
      </c>
    </row>
    <row r="346">
      <c r="A346" s="31" t="inlineStr">
        <is>
          <t>SJS</t>
        </is>
      </c>
      <c r="B346" s="31" t="inlineStr">
        <is>
          <t>S J S Enterprises Ltd</t>
        </is>
      </c>
      <c r="C346" s="31" t="inlineStr">
        <is>
          <t>auto</t>
        </is>
      </c>
      <c r="D346" s="31" t="inlineStr">
        <is>
          <t>plastics products</t>
        </is>
      </c>
      <c r="E346" s="31" t="inlineStr">
        <is>
          <t>midcap</t>
        </is>
      </c>
      <c r="F346" s="31" t="n">
        <v>7690.2</v>
      </c>
      <c r="G346" s="31" t="n">
        <v>2405</v>
      </c>
      <c r="H346" s="31" t="n">
        <v>-1.31</v>
      </c>
      <c r="I346" s="31" t="n">
        <v>106355</v>
      </c>
      <c r="J346" s="31" t="inlineStr">
        <is>
          <t>543387</t>
        </is>
      </c>
    </row>
    <row r="347">
      <c r="A347" s="31" t="inlineStr">
        <is>
          <t>CRAFTSMAN</t>
        </is>
      </c>
      <c r="B347" s="31" t="inlineStr">
        <is>
          <t>Craftsman Automation Ltd</t>
        </is>
      </c>
      <c r="C347" s="31" t="inlineStr">
        <is>
          <t>auto</t>
        </is>
      </c>
      <c r="D347" s="31" t="inlineStr">
        <is>
          <t>auto ancillaries</t>
        </is>
      </c>
      <c r="E347" s="31" t="inlineStr">
        <is>
          <t>largecap</t>
        </is>
      </c>
      <c r="F347" s="31" t="n">
        <v>26923.37</v>
      </c>
      <c r="G347" s="31" t="n">
        <v>10373.5</v>
      </c>
      <c r="H347" s="31" t="n">
        <v>-1.31</v>
      </c>
      <c r="I347" s="31" t="n">
        <v>27725</v>
      </c>
      <c r="J347" s="31" t="inlineStr">
        <is>
          <t>543276</t>
        </is>
      </c>
    </row>
    <row r="348">
      <c r="A348" s="31" t="inlineStr">
        <is>
          <t>RKFORGE</t>
        </is>
      </c>
      <c r="B348" s="31" t="inlineStr">
        <is>
          <t>Ramkrishna Forgings Limited</t>
        </is>
      </c>
      <c r="C348" s="31" t="inlineStr">
        <is>
          <t>industrials</t>
        </is>
      </c>
      <c r="D348" s="31" t="inlineStr">
        <is>
          <t>castings &amp; forgings</t>
        </is>
      </c>
      <c r="E348" s="31" t="inlineStr">
        <is>
          <t>midcap</t>
        </is>
      </c>
      <c r="F348" s="31" t="n">
        <v>13687.34</v>
      </c>
      <c r="G348" s="31" t="n">
        <v>733.3</v>
      </c>
      <c r="H348" s="31" t="n">
        <v>-1.35</v>
      </c>
      <c r="I348" s="31" t="n">
        <v>555589</v>
      </c>
      <c r="J348" s="31" t="inlineStr">
        <is>
          <t>532527</t>
        </is>
      </c>
    </row>
    <row r="349">
      <c r="A349" s="31" t="inlineStr">
        <is>
          <t>KABRAEXTRU</t>
        </is>
      </c>
      <c r="B349" s="31" t="inlineStr">
        <is>
          <t>Kabra Extrusion Technik Limited</t>
        </is>
      </c>
      <c r="C349" s="31" t="inlineStr">
        <is>
          <t>industrials</t>
        </is>
      </c>
      <c r="D349" s="31" t="inlineStr">
        <is>
          <t>engineering</t>
        </is>
      </c>
      <c r="E349" s="31" t="inlineStr">
        <is>
          <t>smallcap</t>
        </is>
      </c>
      <c r="F349" s="31" t="n">
        <v>1779.07</v>
      </c>
      <c r="G349" s="31" t="n">
        <v>487.5</v>
      </c>
      <c r="H349" s="31" t="n">
        <v>-1.5</v>
      </c>
      <c r="I349" s="31" t="n">
        <v>140641</v>
      </c>
      <c r="J349" s="31" t="inlineStr">
        <is>
          <t>524109</t>
        </is>
      </c>
    </row>
    <row r="350">
      <c r="A350" s="31" t="inlineStr">
        <is>
          <t>JSWINFRA</t>
        </is>
      </c>
      <c r="B350" s="31" t="inlineStr">
        <is>
          <t>JSW Infrastructure Ltd</t>
        </is>
      </c>
      <c r="C350" s="31" t="inlineStr">
        <is>
          <t>transportation</t>
        </is>
      </c>
      <c r="D350" s="31" t="inlineStr">
        <is>
          <t>miscellaneous</t>
        </is>
      </c>
      <c r="E350" s="31" t="inlineStr">
        <is>
          <t>largecap</t>
        </is>
      </c>
      <c r="F350" s="31" t="n">
        <v>79651.10000000001</v>
      </c>
      <c r="G350" s="31" t="n">
        <v>341.35</v>
      </c>
      <c r="H350" s="31" t="n">
        <v>-1.51</v>
      </c>
      <c r="I350" s="31" t="n">
        <v>2429621</v>
      </c>
      <c r="J350" s="31" t="inlineStr">
        <is>
          <t>543994</t>
        </is>
      </c>
    </row>
    <row r="351">
      <c r="A351" s="31" t="inlineStr">
        <is>
          <t>GRASIM</t>
        </is>
      </c>
      <c r="B351" s="31" t="inlineStr">
        <is>
          <t>Grasim Industries Limited</t>
        </is>
      </c>
      <c r="C351" s="31" t="inlineStr">
        <is>
          <t>textiles</t>
        </is>
      </c>
      <c r="D351" s="31" t="inlineStr">
        <is>
          <t>textiles - manmade</t>
        </is>
      </c>
      <c r="E351" s="31" t="inlineStr">
        <is>
          <t>largecap</t>
        </is>
      </c>
      <c r="F351" s="31" t="n">
        <v>226102.48</v>
      </c>
      <c r="G351" s="31" t="n">
        <v>3257</v>
      </c>
      <c r="H351" s="31" t="n">
        <v>-1.54</v>
      </c>
      <c r="I351" s="31" t="n">
        <v>2060889</v>
      </c>
      <c r="J351" s="31" t="inlineStr">
        <is>
          <t>500300</t>
        </is>
      </c>
    </row>
    <row r="352">
      <c r="A352" s="31" t="inlineStr">
        <is>
          <t>POLYPLEX</t>
        </is>
      </c>
      <c r="B352" s="31" t="inlineStr">
        <is>
          <t>Polyplex Corporation Limited</t>
        </is>
      </c>
      <c r="C352" s="31" t="inlineStr">
        <is>
          <t>industrials</t>
        </is>
      </c>
      <c r="D352" s="31" t="inlineStr">
        <is>
          <t>packaging</t>
        </is>
      </c>
      <c r="E352" s="31" t="inlineStr">
        <is>
          <t>smallcap</t>
        </is>
      </c>
      <c r="F352" s="31" t="n">
        <v>3860.02</v>
      </c>
      <c r="G352" s="31" t="n">
        <v>1167.2</v>
      </c>
      <c r="H352" s="31" t="n">
        <v>-1.54</v>
      </c>
      <c r="I352" s="31" t="n">
        <v>85502</v>
      </c>
      <c r="J352" s="31" t="inlineStr">
        <is>
          <t>524051</t>
        </is>
      </c>
    </row>
    <row r="353">
      <c r="A353" s="31" t="inlineStr">
        <is>
          <t>LOKESHMACH</t>
        </is>
      </c>
      <c r="B353" s="31" t="inlineStr">
        <is>
          <t>Lokesh Machines Limited</t>
        </is>
      </c>
      <c r="C353" s="31" t="inlineStr">
        <is>
          <t>industrials</t>
        </is>
      </c>
      <c r="D353" s="31" t="inlineStr">
        <is>
          <t>engineering</t>
        </is>
      </c>
      <c r="E353" s="31" t="inlineStr">
        <is>
          <t>smallcap</t>
        </is>
      </c>
      <c r="F353" s="31" t="n">
        <v>771.61</v>
      </c>
      <c r="G353" s="31" t="n">
        <v>348.5</v>
      </c>
      <c r="H353" s="31" t="n">
        <v>-1.55</v>
      </c>
      <c r="I353" s="31" t="n">
        <v>13629</v>
      </c>
      <c r="J353" s="31" t="inlineStr">
        <is>
          <t>532740</t>
        </is>
      </c>
    </row>
    <row r="354">
      <c r="A354" s="31" t="inlineStr">
        <is>
          <t>ARIHANT</t>
        </is>
      </c>
      <c r="B354" s="31" t="inlineStr">
        <is>
          <t>Arihant Foundations &amp; Housing Limited</t>
        </is>
      </c>
      <c r="C354" s="31" t="inlineStr">
        <is>
          <t>realty</t>
        </is>
      </c>
      <c r="D354" s="31" t="inlineStr">
        <is>
          <t>construction</t>
        </is>
      </c>
      <c r="E354" s="31" t="inlineStr">
        <is>
          <t>smallcap</t>
        </is>
      </c>
      <c r="F354" s="31" t="n">
        <v>1115.35</v>
      </c>
      <c r="G354" s="31" t="n">
        <v>1079.5</v>
      </c>
      <c r="H354" s="31" t="n">
        <v>-1.58</v>
      </c>
      <c r="I354" s="31" t="n">
        <v>6176</v>
      </c>
      <c r="J354" s="31" t="inlineStr">
        <is>
          <t>531381</t>
        </is>
      </c>
    </row>
    <row r="355">
      <c r="A355" s="31" t="inlineStr">
        <is>
          <t>VIJAYA</t>
        </is>
      </c>
      <c r="B355" s="31" t="inlineStr">
        <is>
          <t>Vijaya Diagnostic Centre Ltd</t>
        </is>
      </c>
      <c r="C355" s="31" t="inlineStr">
        <is>
          <t>healthcare</t>
        </is>
      </c>
      <c r="D355" s="31" t="inlineStr">
        <is>
          <t>healthcare</t>
        </is>
      </c>
      <c r="E355" s="31" t="inlineStr">
        <is>
          <t>midcap</t>
        </is>
      </c>
      <c r="F355" s="31" t="n">
        <v>14695.71</v>
      </c>
      <c r="G355" s="31" t="n">
        <v>1486.5</v>
      </c>
      <c r="H355" s="31" t="n">
        <v>-1.6</v>
      </c>
      <c r="I355" s="31" t="n">
        <v>274726</v>
      </c>
      <c r="J355" s="31" t="inlineStr">
        <is>
          <t>543350</t>
        </is>
      </c>
    </row>
    <row r="356">
      <c r="A356" s="31" t="inlineStr">
        <is>
          <t>UJJIVANSFB</t>
        </is>
      </c>
      <c r="B356" s="31" t="inlineStr">
        <is>
          <t>Ujjivan Small Finance Bank Ltd</t>
        </is>
      </c>
      <c r="C356" s="31" t="inlineStr">
        <is>
          <t>bank</t>
        </is>
      </c>
      <c r="D356" s="31" t="inlineStr">
        <is>
          <t>banks - private sector</t>
        </is>
      </c>
      <c r="E356" s="31" t="inlineStr">
        <is>
          <t>midcap</t>
        </is>
      </c>
      <c r="F356" s="31" t="n">
        <v>13644.02</v>
      </c>
      <c r="G356" s="31" t="n">
        <v>71.19</v>
      </c>
      <c r="H356" s="31" t="n">
        <v>-1.64</v>
      </c>
      <c r="I356" s="31" t="n">
        <v>7792350</v>
      </c>
      <c r="J356" s="31" t="inlineStr">
        <is>
          <t>542904</t>
        </is>
      </c>
    </row>
    <row r="357">
      <c r="A357" s="31" t="inlineStr">
        <is>
          <t>PDSL</t>
        </is>
      </c>
      <c r="B357" s="31" t="inlineStr">
        <is>
          <t>PDS Ltd</t>
        </is>
      </c>
      <c r="C357" s="31" t="inlineStr">
        <is>
          <t>textiles</t>
        </is>
      </c>
      <c r="D357" s="31" t="inlineStr">
        <is>
          <t>trading</t>
        </is>
      </c>
      <c r="E357" s="31" t="inlineStr">
        <is>
          <t>midcap</t>
        </is>
      </c>
      <c r="F357" s="31" t="n">
        <v>5325.3</v>
      </c>
      <c r="G357" s="31" t="n">
        <v>373</v>
      </c>
      <c r="H357" s="31" t="n">
        <v>-1.69</v>
      </c>
      <c r="I357" s="31" t="n">
        <v>61695</v>
      </c>
      <c r="J357" s="31" t="inlineStr">
        <is>
          <t>538730</t>
        </is>
      </c>
    </row>
    <row r="358">
      <c r="A358" s="31" t="inlineStr">
        <is>
          <t>AARTIPHARM</t>
        </is>
      </c>
      <c r="B358" s="31" t="inlineStr">
        <is>
          <t>Aarti Pharmalabs Ltd</t>
        </is>
      </c>
      <c r="C358" s="31" t="inlineStr">
        <is>
          <t>healthcare</t>
        </is>
      </c>
      <c r="D358" s="31" t="inlineStr">
        <is>
          <t>pharmaceuticals - indian - bulk drugs &amp; formln</t>
        </is>
      </c>
      <c r="E358" s="31" t="inlineStr">
        <is>
          <t>midcap</t>
        </is>
      </c>
      <c r="F358" s="31" t="n">
        <v>8013.38</v>
      </c>
      <c r="G358" s="31" t="n">
        <v>873.65</v>
      </c>
      <c r="H358" s="31" t="n">
        <v>-1.69</v>
      </c>
      <c r="I358" s="31" t="n">
        <v>605030</v>
      </c>
      <c r="J358" s="31" t="inlineStr">
        <is>
          <t>543748</t>
        </is>
      </c>
    </row>
    <row r="359">
      <c r="A359" s="31" t="inlineStr">
        <is>
          <t>KANORICHEM</t>
        </is>
      </c>
      <c r="B359" s="31" t="inlineStr">
        <is>
          <t>Kanoria Chemicals &amp; Industries Limited</t>
        </is>
      </c>
      <c r="C359" s="31" t="inlineStr">
        <is>
          <t>chemicals</t>
        </is>
      </c>
      <c r="D359" s="31" t="inlineStr">
        <is>
          <t>chemicals</t>
        </is>
      </c>
      <c r="E359" s="31" t="inlineStr">
        <is>
          <t>smallcap</t>
        </is>
      </c>
      <c r="F359" s="31" t="n">
        <v>701.8</v>
      </c>
      <c r="G359" s="31" t="n">
        <v>154.55</v>
      </c>
      <c r="H359" s="31" t="n">
        <v>-1.74</v>
      </c>
      <c r="I359" s="31" t="n">
        <v>34801</v>
      </c>
      <c r="J359" s="31" t="inlineStr">
        <is>
          <t>506525</t>
        </is>
      </c>
    </row>
    <row r="360">
      <c r="A360" s="31" t="inlineStr">
        <is>
          <t>SBCL</t>
        </is>
      </c>
      <c r="B360" s="31" t="inlineStr">
        <is>
          <t>Shivalik Bimetal Controls Ltd</t>
        </is>
      </c>
      <c r="C360" s="31" t="inlineStr">
        <is>
          <t>metals &amp; mining</t>
        </is>
      </c>
      <c r="D360" s="31" t="inlineStr">
        <is>
          <t>mining / minerals / metals</t>
        </is>
      </c>
      <c r="E360" s="31" t="inlineStr">
        <is>
          <t>midcap</t>
        </is>
      </c>
      <c r="F360" s="31" t="n">
        <v>5986.23</v>
      </c>
      <c r="G360" s="31" t="n">
        <v>1008.65</v>
      </c>
      <c r="H360" s="31" t="n">
        <v>-1.75</v>
      </c>
      <c r="I360" s="31" t="n">
        <v>282487</v>
      </c>
      <c r="J360" s="31" t="inlineStr">
        <is>
          <t>513097</t>
        </is>
      </c>
    </row>
    <row r="361">
      <c r="A361" s="31" t="inlineStr">
        <is>
          <t>NRL</t>
        </is>
      </c>
      <c r="B361" s="31" t="inlineStr">
        <is>
          <t>Nupur Recyclers Ltd</t>
        </is>
      </c>
      <c r="C361" s="31" t="inlineStr">
        <is>
          <t>services</t>
        </is>
      </c>
      <c r="D361" s="31" t="inlineStr">
        <is>
          <t>trading</t>
        </is>
      </c>
      <c r="E361" s="31" t="inlineStr">
        <is>
          <t>smallcap</t>
        </is>
      </c>
      <c r="F361" s="31" t="n">
        <v>810.3200000000001</v>
      </c>
      <c r="G361" s="31" t="n">
        <v>115.25</v>
      </c>
      <c r="H361" s="31" t="n">
        <v>-1.76</v>
      </c>
      <c r="I361" s="31" t="n">
        <v>23933</v>
      </c>
      <c r="J361" s="31" t="inlineStr">
        <is>
          <t>535413</t>
        </is>
      </c>
    </row>
    <row r="362">
      <c r="A362" s="31" t="inlineStr">
        <is>
          <t>UFBL</t>
        </is>
      </c>
      <c r="B362" s="31" t="inlineStr">
        <is>
          <t>United Foodbrands Ltd</t>
        </is>
      </c>
      <c r="C362" s="31" t="inlineStr">
        <is>
          <t>consumer discretionary</t>
        </is>
      </c>
      <c r="D362" s="31" t="inlineStr">
        <is>
          <t>hotels</t>
        </is>
      </c>
      <c r="E362" s="31" t="inlineStr">
        <is>
          <t>smallcap</t>
        </is>
      </c>
      <c r="F362" s="31" t="n">
        <v>3170.1</v>
      </c>
      <c r="G362" s="31" t="n">
        <v>766</v>
      </c>
      <c r="H362" s="31" t="n">
        <v>-1.77</v>
      </c>
      <c r="I362" s="31" t="n">
        <v>53378</v>
      </c>
      <c r="J362" s="31" t="inlineStr">
        <is>
          <t>543283</t>
        </is>
      </c>
    </row>
    <row r="363">
      <c r="A363" s="31" t="inlineStr">
        <is>
          <t>MMP</t>
        </is>
      </c>
      <c r="B363" s="31" t="inlineStr">
        <is>
          <t>MMP Industries Ltd</t>
        </is>
      </c>
      <c r="C363" s="31" t="inlineStr">
        <is>
          <t>metals &amp; mining</t>
        </is>
      </c>
      <c r="D363" s="31" t="inlineStr">
        <is>
          <t>aluminium and aluminium products</t>
        </is>
      </c>
      <c r="E363" s="31" t="inlineStr">
        <is>
          <t>smallcap</t>
        </is>
      </c>
      <c r="F363" s="31" t="n">
        <v>639.8099999999999</v>
      </c>
      <c r="G363" s="31" t="n">
        <v>339</v>
      </c>
      <c r="H363" s="31" t="n">
        <v>-1.8</v>
      </c>
      <c r="I363" s="31" t="n">
        <v>26434</v>
      </c>
      <c r="J363" s="31" t="inlineStr">
        <is>
          <t>535071</t>
        </is>
      </c>
    </row>
    <row r="364">
      <c r="A364" s="31" t="inlineStr">
        <is>
          <t>SADHNANIQ</t>
        </is>
      </c>
      <c r="B364" s="31" t="inlineStr">
        <is>
          <t>Sadhana Nitro Chem Ltd</t>
        </is>
      </c>
      <c r="C364" s="31" t="inlineStr">
        <is>
          <t>chemicals</t>
        </is>
      </c>
      <c r="D364" s="31" t="inlineStr">
        <is>
          <t>chemicals</t>
        </is>
      </c>
      <c r="E364" s="31" t="inlineStr">
        <is>
          <t>smallcap</t>
        </is>
      </c>
      <c r="F364" s="31" t="n">
        <v>984.28</v>
      </c>
      <c r="G364" s="31" t="n">
        <v>3.26</v>
      </c>
      <c r="H364" s="31" t="n">
        <v>-1.81</v>
      </c>
      <c r="I364" s="31" t="n">
        <v>2917949</v>
      </c>
      <c r="J364" s="31" t="inlineStr">
        <is>
          <t>506642</t>
        </is>
      </c>
    </row>
    <row r="365">
      <c r="A365" s="31" t="inlineStr">
        <is>
          <t>LTFOODS</t>
        </is>
      </c>
      <c r="B365" s="31" t="inlineStr">
        <is>
          <t>L T Foods Ltd</t>
        </is>
      </c>
      <c r="C365" s="31" t="inlineStr">
        <is>
          <t>fmcg</t>
        </is>
      </c>
      <c r="D365" s="31" t="inlineStr">
        <is>
          <t>food - processing - indian</t>
        </is>
      </c>
      <c r="E365" s="31" t="inlineStr">
        <is>
          <t>midcap</t>
        </is>
      </c>
      <c r="F365" s="31" t="n">
        <v>14560.32</v>
      </c>
      <c r="G365" s="31" t="n">
        <v>418.95</v>
      </c>
      <c r="H365" s="31" t="n">
        <v>-1.82</v>
      </c>
      <c r="I365" s="31" t="n">
        <v>246558</v>
      </c>
      <c r="J365" s="31" t="inlineStr">
        <is>
          <t>532783</t>
        </is>
      </c>
    </row>
    <row r="366">
      <c r="A366" s="31" t="inlineStr">
        <is>
          <t>KECL</t>
        </is>
      </c>
      <c r="B366" s="31" t="inlineStr">
        <is>
          <t>Kirloskar Electric Company Limited</t>
        </is>
      </c>
      <c r="C366" s="31" t="inlineStr">
        <is>
          <t>industrials</t>
        </is>
      </c>
      <c r="D366" s="31" t="inlineStr">
        <is>
          <t>electric equipment</t>
        </is>
      </c>
      <c r="E366" s="31" t="inlineStr">
        <is>
          <t>smallcap</t>
        </is>
      </c>
      <c r="F366" s="31" t="n">
        <v>986.38</v>
      </c>
      <c r="G366" s="31" t="n">
        <v>142.8</v>
      </c>
      <c r="H366" s="31" t="n">
        <v>-1.86</v>
      </c>
      <c r="I366" s="31" t="n">
        <v>1390713</v>
      </c>
      <c r="J366" s="31" t="inlineStr">
        <is>
          <t>533193</t>
        </is>
      </c>
    </row>
    <row r="367">
      <c r="A367" s="31" t="inlineStr">
        <is>
          <t>HCG</t>
        </is>
      </c>
      <c r="B367" s="31" t="inlineStr">
        <is>
          <t>Healthcare Global Enterprises Limited</t>
        </is>
      </c>
      <c r="C367" s="31" t="inlineStr">
        <is>
          <t>healthcare</t>
        </is>
      </c>
      <c r="D367" s="31" t="inlineStr">
        <is>
          <t>healthcare</t>
        </is>
      </c>
      <c r="E367" s="31" t="inlineStr">
        <is>
          <t>midcap</t>
        </is>
      </c>
      <c r="F367" s="31" t="n">
        <v>11032.69</v>
      </c>
      <c r="G367" s="31" t="n">
        <v>722.7</v>
      </c>
      <c r="H367" s="31" t="n">
        <v>-1.87</v>
      </c>
      <c r="I367" s="31" t="n">
        <v>161808</v>
      </c>
      <c r="J367" s="31" t="inlineStr">
        <is>
          <t>539787</t>
        </is>
      </c>
    </row>
    <row r="368">
      <c r="A368" s="31" t="inlineStr">
        <is>
          <t>SAKAR</t>
        </is>
      </c>
      <c r="B368" s="31" t="inlineStr">
        <is>
          <t>Sakar Healthcare Ltd</t>
        </is>
      </c>
      <c r="C368" s="31" t="inlineStr">
        <is>
          <t>healthcare</t>
        </is>
      </c>
      <c r="D368" s="31" t="inlineStr">
        <is>
          <t>pharmaceuticals - indian - bulk drugs &amp; formln</t>
        </is>
      </c>
      <c r="E368" s="31" t="inlineStr">
        <is>
          <t>smallcap</t>
        </is>
      </c>
      <c r="F368" s="31" t="n">
        <v>2122.09</v>
      </c>
      <c r="G368" s="31" t="n">
        <v>918.3</v>
      </c>
      <c r="H368" s="31" t="n">
        <v>-1.87</v>
      </c>
      <c r="I368" s="31" t="n">
        <v>99965</v>
      </c>
      <c r="J368" s="31" t="inlineStr">
        <is>
          <t>538377</t>
        </is>
      </c>
    </row>
    <row r="369">
      <c r="A369" s="31" t="inlineStr">
        <is>
          <t>LUMAXIND</t>
        </is>
      </c>
      <c r="B369" s="31" t="inlineStr">
        <is>
          <t>Lumax Industries Limited</t>
        </is>
      </c>
      <c r="C369" s="31" t="inlineStr">
        <is>
          <t>auto</t>
        </is>
      </c>
      <c r="D369" s="31" t="inlineStr">
        <is>
          <t>auto ancillaries</t>
        </is>
      </c>
      <c r="E369" s="31" t="inlineStr">
        <is>
          <t>midcap</t>
        </is>
      </c>
      <c r="F369" s="31" t="n">
        <v>5605.37</v>
      </c>
      <c r="G369" s="31" t="n">
        <v>5852</v>
      </c>
      <c r="H369" s="31" t="n">
        <v>-1.91</v>
      </c>
      <c r="I369" s="31" t="n">
        <v>18074</v>
      </c>
      <c r="J369" s="31" t="inlineStr">
        <is>
          <t>517206</t>
        </is>
      </c>
    </row>
    <row r="370">
      <c r="A370" s="31" t="inlineStr">
        <is>
          <t>DOLPHIN</t>
        </is>
      </c>
      <c r="B370" s="31" t="inlineStr">
        <is>
          <t>Dolphin Offshore Enterprises (India) Ltd</t>
        </is>
      </c>
      <c r="C370" s="31" t="inlineStr">
        <is>
          <t>energy</t>
        </is>
      </c>
      <c r="D370" s="31" t="inlineStr">
        <is>
          <t>oil drilling / allied services</t>
        </is>
      </c>
      <c r="E370" s="31" t="inlineStr">
        <is>
          <t>smallcap</t>
        </is>
      </c>
      <c r="F370" s="31" t="n">
        <v>1762.4</v>
      </c>
      <c r="G370" s="31" t="n">
        <v>484.9</v>
      </c>
      <c r="H370" s="31" t="n">
        <v>-1.91</v>
      </c>
      <c r="I370" s="31" t="n">
        <v>498545</v>
      </c>
      <c r="J370" s="31" t="inlineStr">
        <is>
          <t>522261</t>
        </is>
      </c>
    </row>
    <row r="371">
      <c r="A371" s="31" t="inlineStr">
        <is>
          <t>AETHER</t>
        </is>
      </c>
      <c r="B371" s="31" t="inlineStr">
        <is>
          <t>Aether Industries Ltd</t>
        </is>
      </c>
      <c r="C371" s="31" t="inlineStr">
        <is>
          <t>chemicals</t>
        </is>
      </c>
      <c r="D371" s="31" t="inlineStr">
        <is>
          <t>chemicals</t>
        </is>
      </c>
      <c r="E371" s="31" t="inlineStr">
        <is>
          <t>largecap</t>
        </is>
      </c>
      <c r="F371" s="31" t="n">
        <v>21687.89</v>
      </c>
      <c r="G371" s="31" t="n">
        <v>1581</v>
      </c>
      <c r="H371" s="31" t="n">
        <v>-1.97</v>
      </c>
      <c r="I371" s="31" t="n">
        <v>218165</v>
      </c>
      <c r="J371" s="31" t="inlineStr">
        <is>
          <t>543534</t>
        </is>
      </c>
    </row>
    <row r="372">
      <c r="A372" s="31" t="inlineStr">
        <is>
          <t>3IINFOLTD</t>
        </is>
      </c>
      <c r="B372" s="31" t="inlineStr">
        <is>
          <t>3i Infotech Ltd</t>
        </is>
      </c>
      <c r="C372" s="31" t="inlineStr">
        <is>
          <t>i.t</t>
        </is>
      </c>
      <c r="D372" s="31" t="inlineStr">
        <is>
          <t>computers - software - medium / small</t>
        </is>
      </c>
      <c r="E372" s="31" t="inlineStr">
        <is>
          <t>smallcap</t>
        </is>
      </c>
      <c r="F372" s="31" t="n">
        <v>572.4299999999999</v>
      </c>
      <c r="G372" s="31" t="n">
        <v>26.93</v>
      </c>
      <c r="H372" s="31" t="n">
        <v>-1.97</v>
      </c>
      <c r="I372" s="31" t="n">
        <v>1391031</v>
      </c>
      <c r="J372" s="31" t="inlineStr">
        <is>
          <t>532628</t>
        </is>
      </c>
    </row>
    <row r="373">
      <c r="A373" s="31" t="inlineStr">
        <is>
          <t>ARVIND</t>
        </is>
      </c>
      <c r="B373" s="31" t="inlineStr">
        <is>
          <t>Arvind Limited</t>
        </is>
      </c>
      <c r="C373" s="31" t="inlineStr">
        <is>
          <t>textiles</t>
        </is>
      </c>
      <c r="D373" s="31" t="inlineStr">
        <is>
          <t>textiles - cotton/blended</t>
        </is>
      </c>
      <c r="E373" s="31" t="inlineStr">
        <is>
          <t>midcap</t>
        </is>
      </c>
      <c r="F373" s="31" t="n">
        <v>14880.36</v>
      </c>
      <c r="G373" s="31" t="n">
        <v>555.65</v>
      </c>
      <c r="H373" s="31" t="n">
        <v>-1.98</v>
      </c>
      <c r="I373" s="31" t="n">
        <v>1106663</v>
      </c>
      <c r="J373" s="31" t="inlineStr">
        <is>
          <t>500101</t>
        </is>
      </c>
    </row>
    <row r="374">
      <c r="A374" s="31" t="inlineStr">
        <is>
          <t>BAFNAPH</t>
        </is>
      </c>
      <c r="B374" s="31" t="inlineStr">
        <is>
          <t>Bafna Pharmaceuticals Ltd</t>
        </is>
      </c>
      <c r="C374" s="31" t="inlineStr">
        <is>
          <t>healthcare</t>
        </is>
      </c>
      <c r="D374" s="31" t="inlineStr">
        <is>
          <t>pharmaceuticals - indian - formulations</t>
        </is>
      </c>
      <c r="E374" s="31" t="inlineStr">
        <is>
          <t>smallcap</t>
        </is>
      </c>
      <c r="F374" s="31" t="n">
        <v>647.59</v>
      </c>
      <c r="G374" s="31" t="n">
        <v>268.3</v>
      </c>
      <c r="H374" s="31" t="n">
        <v>-1.99</v>
      </c>
      <c r="I374" s="31" t="n">
        <v>3321</v>
      </c>
      <c r="J374" s="31" t="inlineStr">
        <is>
          <t>532989</t>
        </is>
      </c>
    </row>
    <row r="375">
      <c r="A375" s="31" t="inlineStr">
        <is>
          <t>SOTL</t>
        </is>
      </c>
      <c r="B375" s="31" t="inlineStr">
        <is>
          <t>Savita Oil Technologies Limited</t>
        </is>
      </c>
      <c r="C375" s="31" t="inlineStr">
        <is>
          <t>energy</t>
        </is>
      </c>
      <c r="D375" s="31" t="inlineStr">
        <is>
          <t>petrochemicals</t>
        </is>
      </c>
      <c r="E375" s="31" t="inlineStr">
        <is>
          <t>smallcap</t>
        </is>
      </c>
      <c r="F375" s="31" t="n">
        <v>4799.57</v>
      </c>
      <c r="G375" s="31" t="n">
        <v>681.9</v>
      </c>
      <c r="H375" s="31" t="n">
        <v>-2.01</v>
      </c>
      <c r="I375" s="31" t="n">
        <v>164295</v>
      </c>
      <c r="J375" s="31" t="inlineStr">
        <is>
          <t>524667</t>
        </is>
      </c>
    </row>
    <row r="376">
      <c r="A376" s="31" t="inlineStr">
        <is>
          <t>ARE&amp;M</t>
        </is>
      </c>
      <c r="B376" s="31" t="inlineStr">
        <is>
          <t>Amara Raja Energy &amp; Mobility Ltd</t>
        </is>
      </c>
      <c r="C376" s="31" t="inlineStr">
        <is>
          <t>auto</t>
        </is>
      </c>
      <c r="D376" s="31" t="inlineStr">
        <is>
          <t>auto ancillaries</t>
        </is>
      </c>
      <c r="E376" s="31" t="inlineStr">
        <is>
          <t>midcap</t>
        </is>
      </c>
      <c r="F376" s="31" t="n">
        <v>17758.04</v>
      </c>
      <c r="G376" s="31" t="n">
        <v>948.8</v>
      </c>
      <c r="H376" s="31" t="n">
        <v>-2.13</v>
      </c>
      <c r="I376" s="31" t="n">
        <v>868801</v>
      </c>
      <c r="J376" s="31" t="inlineStr">
        <is>
          <t>500008</t>
        </is>
      </c>
    </row>
    <row r="377">
      <c r="A377" s="31" t="inlineStr">
        <is>
          <t>BOSCH-HCIL</t>
        </is>
      </c>
      <c r="B377" s="31" t="inlineStr">
        <is>
          <t>Bosch Home Comfort India Ltd</t>
        </is>
      </c>
      <c r="C377" s="31" t="inlineStr">
        <is>
          <t>consumer discretionary</t>
        </is>
      </c>
      <c r="D377" s="31" t="inlineStr">
        <is>
          <t>air-conditioners</t>
        </is>
      </c>
      <c r="E377" s="31" t="inlineStr">
        <is>
          <t>smallcap</t>
        </is>
      </c>
      <c r="F377" s="31" t="n">
        <v>4613.75</v>
      </c>
      <c r="G377" s="31" t="n">
        <v>1677</v>
      </c>
      <c r="H377" s="31" t="n">
        <v>-2.15</v>
      </c>
      <c r="I377" s="31" t="n">
        <v>28822</v>
      </c>
      <c r="J377" s="31" t="inlineStr">
        <is>
          <t>523398</t>
        </is>
      </c>
    </row>
    <row r="378">
      <c r="A378" s="31" t="inlineStr">
        <is>
          <t>FCL</t>
        </is>
      </c>
      <c r="B378" s="31" t="inlineStr">
        <is>
          <t>Fineotex Chemical Limited</t>
        </is>
      </c>
      <c r="C378" s="31" t="inlineStr">
        <is>
          <t>chemicals</t>
        </is>
      </c>
      <c r="D378" s="31" t="inlineStr">
        <is>
          <t>chemicals</t>
        </is>
      </c>
      <c r="E378" s="31" t="inlineStr">
        <is>
          <t>midcap</t>
        </is>
      </c>
      <c r="F378" s="31" t="n">
        <v>5006.19</v>
      </c>
      <c r="G378" s="31" t="n">
        <v>41.66</v>
      </c>
      <c r="H378" s="31" t="n">
        <v>-2.32</v>
      </c>
      <c r="I378" s="31" t="n">
        <v>6691632</v>
      </c>
      <c r="J378" s="31" t="inlineStr">
        <is>
          <t>533333</t>
        </is>
      </c>
    </row>
    <row r="379">
      <c r="A379" s="31" t="inlineStr">
        <is>
          <t>PRICOLLTD</t>
        </is>
      </c>
      <c r="B379" s="31" t="inlineStr">
        <is>
          <t>Pricol Ltd.</t>
        </is>
      </c>
      <c r="C379" s="31" t="inlineStr">
        <is>
          <t>auto</t>
        </is>
      </c>
      <c r="D379" s="31" t="inlineStr">
        <is>
          <t>auto ancillaries</t>
        </is>
      </c>
      <c r="E379" s="31" t="inlineStr">
        <is>
          <t>midcap</t>
        </is>
      </c>
      <c r="F379" s="31" t="n">
        <v>8984.49</v>
      </c>
      <c r="G379" s="31" t="n">
        <v>765</v>
      </c>
      <c r="H379" s="31" t="n">
        <v>-2.33</v>
      </c>
      <c r="I379" s="31" t="n">
        <v>473599</v>
      </c>
      <c r="J379" s="31" t="inlineStr">
        <is>
          <t>540293</t>
        </is>
      </c>
    </row>
    <row r="380">
      <c r="A380" s="31" t="inlineStr">
        <is>
          <t>THEJO</t>
        </is>
      </c>
      <c r="B380" s="31" t="inlineStr">
        <is>
          <t>Thejo Engineering Ltd</t>
        </is>
      </c>
      <c r="C380" s="31" t="inlineStr">
        <is>
          <t>industrials</t>
        </is>
      </c>
      <c r="D380" s="31" t="inlineStr">
        <is>
          <t>engineering</t>
        </is>
      </c>
      <c r="E380" s="31" t="inlineStr">
        <is>
          <t>smallcap</t>
        </is>
      </c>
      <c r="F380" s="31" t="n">
        <v>2337.09</v>
      </c>
      <c r="G380" s="31" t="n">
        <v>2072.6</v>
      </c>
      <c r="H380" s="31" t="n">
        <v>-2.36</v>
      </c>
      <c r="I380" s="31" t="n">
        <v>12985</v>
      </c>
      <c r="J380" s="31" t="inlineStr">
        <is>
          <t>500492</t>
        </is>
      </c>
    </row>
    <row r="381">
      <c r="A381" s="31" t="inlineStr">
        <is>
          <t>SANSERA</t>
        </is>
      </c>
      <c r="B381" s="31" t="inlineStr">
        <is>
          <t>Sansera Engineering Ltd</t>
        </is>
      </c>
      <c r="C381" s="31" t="inlineStr">
        <is>
          <t>auto</t>
        </is>
      </c>
      <c r="D381" s="31" t="inlineStr">
        <is>
          <t>auto ancillaries</t>
        </is>
      </c>
      <c r="E381" s="31" t="inlineStr">
        <is>
          <t>largecap</t>
        </is>
      </c>
      <c r="F381" s="31" t="n">
        <v>22996.34</v>
      </c>
      <c r="G381" s="31" t="n">
        <v>3786</v>
      </c>
      <c r="H381" s="31" t="n">
        <v>-2.38</v>
      </c>
      <c r="I381" s="31" t="n">
        <v>971796</v>
      </c>
      <c r="J381" s="31" t="inlineStr">
        <is>
          <t>543358</t>
        </is>
      </c>
    </row>
    <row r="382">
      <c r="A382" s="31" t="inlineStr">
        <is>
          <t>INDOBORAX</t>
        </is>
      </c>
      <c r="B382" s="31" t="inlineStr">
        <is>
          <t>Indo Borax &amp; Chemicals Ltd</t>
        </is>
      </c>
      <c r="C382" s="31" t="inlineStr">
        <is>
          <t>chemicals</t>
        </is>
      </c>
      <c r="D382" s="31" t="inlineStr">
        <is>
          <t>chemicals</t>
        </is>
      </c>
      <c r="E382" s="31" t="inlineStr">
        <is>
          <t>smallcap</t>
        </is>
      </c>
      <c r="F382" s="31" t="n">
        <v>1390.78</v>
      </c>
      <c r="G382" s="31" t="n">
        <v>438.3</v>
      </c>
      <c r="H382" s="31" t="n">
        <v>-2.39</v>
      </c>
      <c r="I382" s="31" t="n">
        <v>130420</v>
      </c>
      <c r="J382" s="31" t="inlineStr">
        <is>
          <t>524342</t>
        </is>
      </c>
    </row>
    <row r="383">
      <c r="A383" s="31" t="inlineStr">
        <is>
          <t>FINCABLES</t>
        </is>
      </c>
      <c r="B383" s="31" t="inlineStr">
        <is>
          <t>Finolex Cables Limited</t>
        </is>
      </c>
      <c r="C383" s="31" t="inlineStr">
        <is>
          <t>industrials</t>
        </is>
      </c>
      <c r="D383" s="31" t="inlineStr">
        <is>
          <t>cables - power</t>
        </is>
      </c>
      <c r="E383" s="31" t="inlineStr">
        <is>
          <t>midcap</t>
        </is>
      </c>
      <c r="F383" s="31" t="n">
        <v>18472.78</v>
      </c>
      <c r="G383" s="31" t="n">
        <v>1249.3</v>
      </c>
      <c r="H383" s="31" t="n">
        <v>-2.4</v>
      </c>
      <c r="I383" s="31" t="n">
        <v>1641912</v>
      </c>
      <c r="J383" s="31" t="inlineStr">
        <is>
          <t>500144</t>
        </is>
      </c>
    </row>
    <row r="384">
      <c r="A384" s="31" t="inlineStr">
        <is>
          <t>BERGEPAINT</t>
        </is>
      </c>
      <c r="B384" s="31" t="inlineStr">
        <is>
          <t>Berger Paints (i) Limited</t>
        </is>
      </c>
      <c r="C384" s="31" t="inlineStr">
        <is>
          <t>building materials</t>
        </is>
      </c>
      <c r="D384" s="31" t="inlineStr">
        <is>
          <t>paints / varnishes</t>
        </is>
      </c>
      <c r="E384" s="31" t="inlineStr">
        <is>
          <t>largecap</t>
        </is>
      </c>
      <c r="F384" s="31" t="n">
        <v>62375.32</v>
      </c>
      <c r="G384" s="31" t="n">
        <v>546.35</v>
      </c>
      <c r="H384" s="31" t="n">
        <v>-2.4</v>
      </c>
      <c r="I384" s="31" t="n">
        <v>513801</v>
      </c>
      <c r="J384" s="31" t="inlineStr">
        <is>
          <t>509480</t>
        </is>
      </c>
    </row>
    <row r="385">
      <c r="A385" s="31" t="inlineStr">
        <is>
          <t>GNA</t>
        </is>
      </c>
      <c r="B385" s="31" t="inlineStr">
        <is>
          <t>Gna Axles Limited</t>
        </is>
      </c>
      <c r="C385" s="31" t="inlineStr">
        <is>
          <t>auto</t>
        </is>
      </c>
      <c r="D385" s="31" t="inlineStr">
        <is>
          <t>auto ancillaries</t>
        </is>
      </c>
      <c r="E385" s="31" t="inlineStr">
        <is>
          <t>smallcap</t>
        </is>
      </c>
      <c r="F385" s="31" t="n">
        <v>2306.89</v>
      </c>
      <c r="G385" s="31" t="n">
        <v>538.65</v>
      </c>
      <c r="H385" s="31" t="n">
        <v>-2.52</v>
      </c>
      <c r="I385" s="31" t="n">
        <v>311904</v>
      </c>
      <c r="J385" s="31" t="inlineStr">
        <is>
          <t>540124</t>
        </is>
      </c>
    </row>
    <row r="386">
      <c r="A386" s="31" t="inlineStr">
        <is>
          <t>LUMAXTECH</t>
        </is>
      </c>
      <c r="B386" s="31" t="inlineStr">
        <is>
          <t>Lumax Auto Technologies Limited</t>
        </is>
      </c>
      <c r="C386" s="31" t="inlineStr">
        <is>
          <t>auto</t>
        </is>
      </c>
      <c r="D386" s="31" t="inlineStr">
        <is>
          <t>auto ancillaries</t>
        </is>
      </c>
      <c r="E386" s="31" t="inlineStr">
        <is>
          <t>midcap</t>
        </is>
      </c>
      <c r="F386" s="31" t="n">
        <v>14151.58</v>
      </c>
      <c r="G386" s="31" t="n">
        <v>1987.5</v>
      </c>
      <c r="H386" s="31" t="n">
        <v>-2.54</v>
      </c>
      <c r="I386" s="31" t="n">
        <v>274708</v>
      </c>
      <c r="J386" s="31" t="inlineStr">
        <is>
          <t>532796</t>
        </is>
      </c>
    </row>
    <row r="387">
      <c r="A387" s="31" t="inlineStr">
        <is>
          <t>FINEORG</t>
        </is>
      </c>
      <c r="B387" s="31" t="inlineStr">
        <is>
          <t>Fine Organic Industries Ltd</t>
        </is>
      </c>
      <c r="C387" s="31" t="inlineStr">
        <is>
          <t>chemicals</t>
        </is>
      </c>
      <c r="D387" s="31" t="inlineStr">
        <is>
          <t>chemicals</t>
        </is>
      </c>
      <c r="E387" s="31" t="inlineStr">
        <is>
          <t>midcap</t>
        </is>
      </c>
      <c r="F387" s="31" t="n">
        <v>15700.05</v>
      </c>
      <c r="G387" s="31" t="n">
        <v>5130</v>
      </c>
      <c r="H387" s="31" t="n">
        <v>-2.57</v>
      </c>
      <c r="I387" s="31" t="n">
        <v>28990</v>
      </c>
      <c r="J387" s="31" t="inlineStr">
        <is>
          <t>541557</t>
        </is>
      </c>
    </row>
    <row r="388">
      <c r="A388" s="31" t="inlineStr">
        <is>
          <t>IKIO</t>
        </is>
      </c>
      <c r="B388" s="31" t="inlineStr">
        <is>
          <t>IKIO Lighting Ltd</t>
        </is>
      </c>
      <c r="C388" s="31" t="inlineStr">
        <is>
          <t>consumer discretionary</t>
        </is>
      </c>
      <c r="D388" s="31" t="inlineStr">
        <is>
          <t>electric equipment</t>
        </is>
      </c>
      <c r="E388" s="31" t="inlineStr">
        <is>
          <t>smallcap</t>
        </is>
      </c>
      <c r="F388" s="31" t="n">
        <v>1573.74</v>
      </c>
      <c r="G388" s="31" t="n">
        <v>209.25</v>
      </c>
      <c r="H388" s="31" t="n">
        <v>-2.63</v>
      </c>
      <c r="I388" s="31" t="n">
        <v>158992</v>
      </c>
      <c r="J388" s="31" t="inlineStr">
        <is>
          <t>543923</t>
        </is>
      </c>
    </row>
    <row r="389">
      <c r="A389" s="31" t="inlineStr">
        <is>
          <t>BELRISE</t>
        </is>
      </c>
      <c r="B389" s="31" t="inlineStr">
        <is>
          <t>Belrise Industries Ltd</t>
        </is>
      </c>
      <c r="C389" s="31" t="inlineStr">
        <is>
          <t>auto</t>
        </is>
      </c>
      <c r="D389" s="31" t="inlineStr">
        <is>
          <t>auto ancillaries</t>
        </is>
      </c>
      <c r="E389" s="31" t="inlineStr">
        <is>
          <t>largecap</t>
        </is>
      </c>
      <c r="F389" s="31" t="n">
        <v>24562.76</v>
      </c>
      <c r="G389" s="31" t="n">
        <v>254.42</v>
      </c>
      <c r="H389" s="31" t="n">
        <v>-2.65</v>
      </c>
      <c r="I389" s="31" t="n">
        <v>4352373</v>
      </c>
      <c r="J389" s="31" t="n"/>
    </row>
    <row r="390">
      <c r="A390" s="31" t="inlineStr">
        <is>
          <t>ROSSTECH</t>
        </is>
      </c>
      <c r="B390" s="31" t="inlineStr">
        <is>
          <t>Rossell Techsys Ltd</t>
        </is>
      </c>
      <c r="C390" s="31" t="inlineStr">
        <is>
          <t>aerospace &amp; defence</t>
        </is>
      </c>
      <c r="D390" s="31" t="inlineStr">
        <is>
          <t>engineering</t>
        </is>
      </c>
      <c r="E390" s="31" t="inlineStr">
        <is>
          <t>smallcap</t>
        </is>
      </c>
      <c r="F390" s="31" t="n">
        <v>4020.89</v>
      </c>
      <c r="G390" s="31" t="n">
        <v>1060.2</v>
      </c>
      <c r="H390" s="31" t="n">
        <v>-2.69</v>
      </c>
      <c r="I390" s="31" t="n">
        <v>226864</v>
      </c>
      <c r="J390" s="31" t="inlineStr">
        <is>
          <t>544294</t>
        </is>
      </c>
    </row>
    <row r="391">
      <c r="A391" s="31" t="inlineStr">
        <is>
          <t>PLASTIBLEN</t>
        </is>
      </c>
      <c r="B391" s="31" t="inlineStr">
        <is>
          <t>Plastiblends India Limited</t>
        </is>
      </c>
      <c r="C391" s="31" t="inlineStr">
        <is>
          <t>chemicals</t>
        </is>
      </c>
      <c r="D391" s="31" t="inlineStr">
        <is>
          <t>chemicals</t>
        </is>
      </c>
      <c r="E391" s="31" t="inlineStr">
        <is>
          <t>smallcap</t>
        </is>
      </c>
      <c r="F391" s="31" t="n">
        <v>531.51</v>
      </c>
      <c r="G391" s="31" t="n">
        <v>196.03</v>
      </c>
      <c r="H391" s="31" t="n">
        <v>-2.71</v>
      </c>
      <c r="I391" s="31" t="n">
        <v>58604</v>
      </c>
      <c r="J391" s="31" t="inlineStr">
        <is>
          <t>523648</t>
        </is>
      </c>
    </row>
    <row r="392">
      <c r="A392" s="31" t="inlineStr">
        <is>
          <t>CHENNPETRO</t>
        </is>
      </c>
      <c r="B392" s="31" t="inlineStr">
        <is>
          <t>Chennai Petroleum Corporation Limited</t>
        </is>
      </c>
      <c r="C392" s="31" t="inlineStr">
        <is>
          <t>energy</t>
        </is>
      </c>
      <c r="D392" s="31" t="inlineStr">
        <is>
          <t>refineries</t>
        </is>
      </c>
      <c r="E392" s="31" t="inlineStr">
        <is>
          <t>largecap</t>
        </is>
      </c>
      <c r="F392" s="31" t="n">
        <v>21236.25</v>
      </c>
      <c r="G392" s="31" t="n">
        <v>1341.8</v>
      </c>
      <c r="H392" s="31" t="n">
        <v>-2.73</v>
      </c>
      <c r="I392" s="31" t="n">
        <v>1846316</v>
      </c>
      <c r="J392" s="31" t="inlineStr">
        <is>
          <t>500110</t>
        </is>
      </c>
    </row>
    <row r="393">
      <c r="A393" s="31" t="inlineStr">
        <is>
          <t>ATHERENERG</t>
        </is>
      </c>
      <c r="B393" s="31" t="inlineStr">
        <is>
          <t>Ather Energy Ltd</t>
        </is>
      </c>
      <c r="C393" s="31" t="inlineStr">
        <is>
          <t>auto</t>
        </is>
      </c>
      <c r="D393" s="31" t="inlineStr">
        <is>
          <t>automobiles - scooters and 3 - wheelers</t>
        </is>
      </c>
      <c r="E393" s="31" t="inlineStr">
        <is>
          <t>largecap</t>
        </is>
      </c>
      <c r="F393" s="31" t="n">
        <v>60119.87</v>
      </c>
      <c r="G393" s="31" t="n">
        <v>1526.5</v>
      </c>
      <c r="H393" s="31" t="n">
        <v>-2.73</v>
      </c>
      <c r="I393" s="31" t="n">
        <v>4013367</v>
      </c>
      <c r="J393" s="31" t="inlineStr">
        <is>
          <t>544397</t>
        </is>
      </c>
    </row>
    <row r="394">
      <c r="A394" s="31" t="inlineStr">
        <is>
          <t>ORCHPHARMA</t>
        </is>
      </c>
      <c r="B394" s="31" t="inlineStr">
        <is>
          <t>Orchid Pharma Ltd</t>
        </is>
      </c>
      <c r="C394" s="31" t="inlineStr">
        <is>
          <t>healthcare</t>
        </is>
      </c>
      <c r="D394" s="31" t="inlineStr">
        <is>
          <t>pharmaceuticals - indian - bulk drugs &amp; formln</t>
        </is>
      </c>
      <c r="E394" s="31" t="inlineStr">
        <is>
          <t>midcap</t>
        </is>
      </c>
      <c r="F394" s="31" t="n">
        <v>5470.31</v>
      </c>
      <c r="G394" s="31" t="n">
        <v>1033.9</v>
      </c>
      <c r="H394" s="31" t="n">
        <v>-2.77</v>
      </c>
      <c r="I394" s="31" t="n">
        <v>55900</v>
      </c>
      <c r="J394" s="31" t="inlineStr">
        <is>
          <t>524372</t>
        </is>
      </c>
    </row>
    <row r="395">
      <c r="A395" s="31" t="inlineStr">
        <is>
          <t>MARKSANS</t>
        </is>
      </c>
      <c r="B395" s="31" t="inlineStr">
        <is>
          <t>Marksans Pharma Limited</t>
        </is>
      </c>
      <c r="C395" s="31" t="inlineStr">
        <is>
          <t>healthcare</t>
        </is>
      </c>
      <c r="D395" s="31" t="inlineStr">
        <is>
          <t>pharmaceuticals - indian - formulations</t>
        </is>
      </c>
      <c r="E395" s="31" t="inlineStr">
        <is>
          <t>midcap</t>
        </is>
      </c>
      <c r="F395" s="31" t="n">
        <v>12641</v>
      </c>
      <c r="G395" s="31" t="n">
        <v>303.4</v>
      </c>
      <c r="H395" s="31" t="n">
        <v>-2.94</v>
      </c>
      <c r="I395" s="31" t="n">
        <v>10713379</v>
      </c>
      <c r="J395" s="31" t="inlineStr">
        <is>
          <t>524404</t>
        </is>
      </c>
    </row>
    <row r="396">
      <c r="A396" s="31" t="inlineStr">
        <is>
          <t>WSTCSTPAPR</t>
        </is>
      </c>
      <c r="B396" s="31" t="inlineStr">
        <is>
          <t>West Coast Paper Mills Limited</t>
        </is>
      </c>
      <c r="C396" s="31" t="inlineStr">
        <is>
          <t>building materials</t>
        </is>
      </c>
      <c r="D396" s="31" t="inlineStr">
        <is>
          <t>paper</t>
        </is>
      </c>
      <c r="E396" s="31" t="inlineStr">
        <is>
          <t>smallcap</t>
        </is>
      </c>
      <c r="F396" s="31" t="n">
        <v>3943.78</v>
      </c>
      <c r="G396" s="31" t="n">
        <v>606.1</v>
      </c>
      <c r="H396" s="31" t="n">
        <v>-2.95</v>
      </c>
      <c r="I396" s="31" t="n">
        <v>492943</v>
      </c>
      <c r="J396" s="31" t="inlineStr">
        <is>
          <t>500444</t>
        </is>
      </c>
    </row>
    <row r="397">
      <c r="A397" s="31" t="inlineStr">
        <is>
          <t>HINDALCO</t>
        </is>
      </c>
      <c r="B397" s="31" t="inlineStr">
        <is>
          <t>Hindalco Industries Limited</t>
        </is>
      </c>
      <c r="C397" s="31" t="inlineStr">
        <is>
          <t>metals &amp; mining</t>
        </is>
      </c>
      <c r="D397" s="31" t="inlineStr">
        <is>
          <t>aluminium and aluminium products</t>
        </is>
      </c>
      <c r="E397" s="31" t="inlineStr">
        <is>
          <t>largecap</t>
        </is>
      </c>
      <c r="F397" s="31" t="n">
        <v>235756.53</v>
      </c>
      <c r="G397" s="31" t="n">
        <v>1046.25</v>
      </c>
      <c r="H397" s="31" t="n">
        <v>-2.99</v>
      </c>
      <c r="I397" s="31" t="n">
        <v>9808044</v>
      </c>
      <c r="J397" s="31" t="inlineStr">
        <is>
          <t>500440</t>
        </is>
      </c>
    </row>
    <row r="398">
      <c r="A398" s="31" t="inlineStr">
        <is>
          <t>KPIL</t>
        </is>
      </c>
      <c r="B398" s="31" t="inlineStr">
        <is>
          <t>Kalpataru Projects International Ltd</t>
        </is>
      </c>
      <c r="C398" s="31" t="inlineStr">
        <is>
          <t>realty</t>
        </is>
      </c>
      <c r="D398" s="31" t="inlineStr">
        <is>
          <t>transmisson line towers / equipment</t>
        </is>
      </c>
      <c r="E398" s="31" t="inlineStr">
        <is>
          <t>largecap</t>
        </is>
      </c>
      <c r="F398" s="31" t="n">
        <v>23015.02</v>
      </c>
      <c r="G398" s="31" t="n">
        <v>1354.7</v>
      </c>
      <c r="H398" s="31" t="n">
        <v>-3.01</v>
      </c>
      <c r="I398" s="31" t="n">
        <v>167171</v>
      </c>
      <c r="J398" s="31" t="inlineStr">
        <is>
          <t>522287</t>
        </is>
      </c>
    </row>
    <row r="399">
      <c r="A399" s="31" t="inlineStr">
        <is>
          <t>POLYMED</t>
        </is>
      </c>
      <c r="B399" s="31" t="inlineStr">
        <is>
          <t>Poly Medicure Limited</t>
        </is>
      </c>
      <c r="C399" s="31" t="inlineStr">
        <is>
          <t>healthcare</t>
        </is>
      </c>
      <c r="D399" s="31" t="inlineStr">
        <is>
          <t>healthcare</t>
        </is>
      </c>
      <c r="E399" s="31" t="inlineStr">
        <is>
          <t>midcap</t>
        </is>
      </c>
      <c r="F399" s="31" t="n">
        <v>18892.4</v>
      </c>
      <c r="G399" s="31" t="n">
        <v>1812.8</v>
      </c>
      <c r="H399" s="31" t="n">
        <v>-3.03</v>
      </c>
      <c r="I399" s="31" t="n">
        <v>122907</v>
      </c>
      <c r="J399" s="31" t="inlineStr">
        <is>
          <t>531768</t>
        </is>
      </c>
    </row>
    <row r="400">
      <c r="A400" s="31" t="inlineStr">
        <is>
          <t>ZYDUSLIFE</t>
        </is>
      </c>
      <c r="B400" s="31" t="inlineStr">
        <is>
          <t>Zydus Lifesciences Ltd</t>
        </is>
      </c>
      <c r="C400" s="31" t="inlineStr">
        <is>
          <t>healthcare</t>
        </is>
      </c>
      <c r="D400" s="31" t="inlineStr">
        <is>
          <t>pharmaceuticals - indian - bulk drugs &amp; formln</t>
        </is>
      </c>
      <c r="E400" s="31" t="inlineStr">
        <is>
          <t>largecap</t>
        </is>
      </c>
      <c r="F400" s="31" t="n">
        <v>118802.71</v>
      </c>
      <c r="G400" s="31" t="n">
        <v>1167.3</v>
      </c>
      <c r="H400" s="31" t="n">
        <v>-3.13</v>
      </c>
      <c r="I400" s="31" t="n">
        <v>3177531</v>
      </c>
      <c r="J400" s="31" t="inlineStr">
        <is>
          <t>532321</t>
        </is>
      </c>
    </row>
    <row r="401">
      <c r="A401" s="31" t="inlineStr">
        <is>
          <t>TCPLPACK</t>
        </is>
      </c>
      <c r="B401" s="31" t="inlineStr">
        <is>
          <t>TCPL Packaging Ltd</t>
        </is>
      </c>
      <c r="C401" s="31" t="inlineStr">
        <is>
          <t>industrials</t>
        </is>
      </c>
      <c r="D401" s="31" t="inlineStr">
        <is>
          <t>packaging</t>
        </is>
      </c>
      <c r="E401" s="31" t="inlineStr">
        <is>
          <t>smallcap</t>
        </is>
      </c>
      <c r="F401" s="31" t="n">
        <v>3344.98</v>
      </c>
      <c r="G401" s="31" t="n">
        <v>4255.2</v>
      </c>
      <c r="H401" s="31" t="n">
        <v>-3.18</v>
      </c>
      <c r="I401" s="31" t="n">
        <v>132654</v>
      </c>
      <c r="J401" s="31" t="inlineStr">
        <is>
          <t>523301</t>
        </is>
      </c>
    </row>
    <row r="402">
      <c r="A402" s="31" t="inlineStr">
        <is>
          <t>VISAKAIND</t>
        </is>
      </c>
      <c r="B402" s="31" t="inlineStr">
        <is>
          <t>Visaka Industries Limited</t>
        </is>
      </c>
      <c r="C402" s="31" t="inlineStr">
        <is>
          <t>building materials</t>
        </is>
      </c>
      <c r="D402" s="31" t="inlineStr">
        <is>
          <t>cement products</t>
        </is>
      </c>
      <c r="E402" s="31" t="inlineStr">
        <is>
          <t>smallcap</t>
        </is>
      </c>
      <c r="F402" s="31" t="n">
        <v>865.86</v>
      </c>
      <c r="G402" s="31" t="n">
        <v>95.51000000000001</v>
      </c>
      <c r="H402" s="31" t="n">
        <v>-3.29</v>
      </c>
      <c r="I402" s="31" t="n">
        <v>293415</v>
      </c>
      <c r="J402" s="31" t="inlineStr">
        <is>
          <t>509055</t>
        </is>
      </c>
    </row>
    <row r="403">
      <c r="A403" s="31" t="inlineStr">
        <is>
          <t>BALKRISIND</t>
        </is>
      </c>
      <c r="B403" s="31" t="inlineStr">
        <is>
          <t>Balkrishna Industries Limited</t>
        </is>
      </c>
      <c r="C403" s="31" t="inlineStr">
        <is>
          <t>auto</t>
        </is>
      </c>
      <c r="D403" s="31" t="inlineStr">
        <is>
          <t>tyres</t>
        </is>
      </c>
      <c r="E403" s="31" t="inlineStr">
        <is>
          <t>largecap</t>
        </is>
      </c>
      <c r="F403" s="31" t="n">
        <v>48308.03</v>
      </c>
      <c r="G403" s="31" t="n">
        <v>2410</v>
      </c>
      <c r="H403" s="31" t="n">
        <v>-3.48</v>
      </c>
      <c r="I403" s="31" t="n">
        <v>285780</v>
      </c>
      <c r="J403" s="31" t="inlineStr">
        <is>
          <t>502355</t>
        </is>
      </c>
    </row>
    <row r="404">
      <c r="A404" s="31" t="inlineStr">
        <is>
          <t>SCPL</t>
        </is>
      </c>
      <c r="B404" s="31" t="inlineStr">
        <is>
          <t>Sheetal Cool Products Ltd</t>
        </is>
      </c>
      <c r="C404" s="31" t="inlineStr">
        <is>
          <t>fmcg</t>
        </is>
      </c>
      <c r="D404" s="31" t="inlineStr">
        <is>
          <t>food - processing - indian</t>
        </is>
      </c>
      <c r="E404" s="31" t="inlineStr">
        <is>
          <t>smallcap</t>
        </is>
      </c>
      <c r="F404" s="31" t="n">
        <v>646.49</v>
      </c>
      <c r="G404" s="31" t="n">
        <v>628.2</v>
      </c>
      <c r="H404" s="31" t="n">
        <v>-3.67</v>
      </c>
      <c r="I404" s="31" t="n">
        <v>431263</v>
      </c>
      <c r="J404" s="31" t="inlineStr">
        <is>
          <t>540757</t>
        </is>
      </c>
    </row>
    <row r="405">
      <c r="A405" s="31" t="inlineStr">
        <is>
          <t>MMFL</t>
        </is>
      </c>
      <c r="B405" s="31" t="inlineStr">
        <is>
          <t>Mm Forgings Limited</t>
        </is>
      </c>
      <c r="C405" s="31" t="inlineStr">
        <is>
          <t>industrials</t>
        </is>
      </c>
      <c r="D405" s="31" t="inlineStr">
        <is>
          <t>castings &amp; forgings</t>
        </is>
      </c>
      <c r="E405" s="31" t="inlineStr">
        <is>
          <t>smallcap</t>
        </is>
      </c>
      <c r="F405" s="31" t="n">
        <v>3105.23</v>
      </c>
      <c r="G405" s="31" t="n">
        <v>613</v>
      </c>
      <c r="H405" s="31" t="n">
        <v>-3.75</v>
      </c>
      <c r="I405" s="31" t="n">
        <v>228142</v>
      </c>
      <c r="J405" s="31" t="inlineStr">
        <is>
          <t>522241</t>
        </is>
      </c>
    </row>
    <row r="406">
      <c r="A406" s="31" t="inlineStr">
        <is>
          <t>MANINDS</t>
        </is>
      </c>
      <c r="B406" s="31" t="inlineStr">
        <is>
          <t>Man Industries (india) Limited</t>
        </is>
      </c>
      <c r="C406" s="31" t="inlineStr">
        <is>
          <t>metals &amp; mining</t>
        </is>
      </c>
      <c r="D406" s="31" t="inlineStr">
        <is>
          <t>steel - medium / small</t>
        </is>
      </c>
      <c r="E406" s="31" t="inlineStr">
        <is>
          <t>smallcap</t>
        </is>
      </c>
      <c r="F406" s="31" t="n">
        <v>4193.79</v>
      </c>
      <c r="G406" s="31" t="n">
        <v>576.15</v>
      </c>
      <c r="H406" s="31" t="n">
        <v>-3.76</v>
      </c>
      <c r="I406" s="31" t="n">
        <v>767815</v>
      </c>
      <c r="J406" s="31" t="inlineStr">
        <is>
          <t>513269</t>
        </is>
      </c>
    </row>
    <row r="407">
      <c r="A407" s="31" t="inlineStr">
        <is>
          <t>NRAIL</t>
        </is>
      </c>
      <c r="B407" s="31" t="inlineStr">
        <is>
          <t>N R Agarwal Industries Ltd</t>
        </is>
      </c>
      <c r="C407" s="31" t="inlineStr">
        <is>
          <t>building materials</t>
        </is>
      </c>
      <c r="D407" s="31" t="inlineStr">
        <is>
          <t>paper</t>
        </is>
      </c>
      <c r="E407" s="31" t="inlineStr">
        <is>
          <t>smallcap</t>
        </is>
      </c>
      <c r="F407" s="31" t="n">
        <v>884.8200000000001</v>
      </c>
      <c r="G407" s="31" t="n">
        <v>502.8</v>
      </c>
      <c r="H407" s="31" t="n">
        <v>-3.79</v>
      </c>
      <c r="I407" s="31" t="n">
        <v>16004</v>
      </c>
      <c r="J407" s="31" t="inlineStr">
        <is>
          <t>516082</t>
        </is>
      </c>
    </row>
    <row r="408">
      <c r="A408" s="31" t="inlineStr">
        <is>
          <t>JBCHEPHARM</t>
        </is>
      </c>
      <c r="B408" s="31" t="inlineStr">
        <is>
          <t>Jb Chemicals &amp; Pharmaceuticals Limited</t>
        </is>
      </c>
      <c r="C408" s="31" t="inlineStr">
        <is>
          <t>healthcare</t>
        </is>
      </c>
      <c r="D408" s="31" t="inlineStr">
        <is>
          <t>pharmaceuticals - indian - bulk drugs &amp; formln</t>
        </is>
      </c>
      <c r="E408" s="31" t="inlineStr">
        <is>
          <t>largecap</t>
        </is>
      </c>
      <c r="F408" s="31" t="n">
        <v>38676.99</v>
      </c>
      <c r="G408" s="31" t="n">
        <v>2408.9</v>
      </c>
      <c r="H408" s="31" t="n">
        <v>-3.87</v>
      </c>
      <c r="I408" s="31" t="n">
        <v>9558448</v>
      </c>
      <c r="J408" s="31" t="inlineStr">
        <is>
          <t>506943</t>
        </is>
      </c>
    </row>
    <row r="409">
      <c r="A409" s="31" t="inlineStr">
        <is>
          <t>MPSLTD</t>
        </is>
      </c>
      <c r="B409" s="31" t="inlineStr">
        <is>
          <t>Mps Limited</t>
        </is>
      </c>
      <c r="C409" s="31" t="inlineStr">
        <is>
          <t>i.t</t>
        </is>
      </c>
      <c r="D409" s="31" t="inlineStr">
        <is>
          <t>computers - software - medium / small</t>
        </is>
      </c>
      <c r="E409" s="31" t="inlineStr">
        <is>
          <t>smallcap</t>
        </is>
      </c>
      <c r="F409" s="31" t="n">
        <v>4873.79</v>
      </c>
      <c r="G409" s="31" t="n">
        <v>2756.5</v>
      </c>
      <c r="H409" s="31" t="n">
        <v>-4.02</v>
      </c>
      <c r="I409" s="31" t="n">
        <v>30209</v>
      </c>
      <c r="J409" s="31" t="inlineStr">
        <is>
          <t>532440</t>
        </is>
      </c>
    </row>
    <row r="410">
      <c r="A410" s="31" t="inlineStr">
        <is>
          <t>SYNCOMF</t>
        </is>
      </c>
      <c r="B410" s="31" t="inlineStr">
        <is>
          <t>Syncom Formulations (India) Ltd</t>
        </is>
      </c>
      <c r="C410" s="31" t="inlineStr">
        <is>
          <t>healthcare</t>
        </is>
      </c>
      <c r="D410" s="31" t="inlineStr">
        <is>
          <t>pharmaceuticals - indian - bulk drugs &amp; formln</t>
        </is>
      </c>
      <c r="E410" s="31" t="inlineStr">
        <is>
          <t>smallcap</t>
        </is>
      </c>
      <c r="F410" s="31" t="n">
        <v>1365.82</v>
      </c>
      <c r="G410" s="31" t="n">
        <v>15.2</v>
      </c>
      <c r="H410" s="31" t="n">
        <v>-4.28</v>
      </c>
      <c r="I410" s="31" t="n">
        <v>6177208</v>
      </c>
      <c r="J410" s="31" t="inlineStr">
        <is>
          <t>524470</t>
        </is>
      </c>
    </row>
    <row r="411">
      <c r="A411" s="31" t="inlineStr">
        <is>
          <t>APARINDS</t>
        </is>
      </c>
      <c r="B411" s="31" t="inlineStr">
        <is>
          <t>Apar Industries Limited</t>
        </is>
      </c>
      <c r="C411" s="31" t="inlineStr">
        <is>
          <t>industrials</t>
        </is>
      </c>
      <c r="D411" s="31" t="inlineStr">
        <is>
          <t>electric equipment</t>
        </is>
      </c>
      <c r="E411" s="31" t="inlineStr">
        <is>
          <t>largecap</t>
        </is>
      </c>
      <c r="F411" s="31" t="n">
        <v>67283.81</v>
      </c>
      <c r="G411" s="31" t="n">
        <v>17225</v>
      </c>
      <c r="H411" s="31" t="n">
        <v>-4.31</v>
      </c>
      <c r="I411" s="31" t="n">
        <v>177882</v>
      </c>
      <c r="J411" s="31" t="inlineStr">
        <is>
          <t>532259</t>
        </is>
      </c>
    </row>
    <row r="412">
      <c r="A412" s="31" t="inlineStr">
        <is>
          <t>DEEPINDS</t>
        </is>
      </c>
      <c r="B412" s="31" t="inlineStr">
        <is>
          <t>Deep Industries Ltd</t>
        </is>
      </c>
      <c r="C412" s="31" t="inlineStr">
        <is>
          <t>energy</t>
        </is>
      </c>
      <c r="D412" s="31" t="inlineStr">
        <is>
          <t>oil drilling / allied services</t>
        </is>
      </c>
      <c r="E412" s="31" t="inlineStr">
        <is>
          <t>smallcap</t>
        </is>
      </c>
      <c r="F412" s="31" t="n">
        <v>4288.32</v>
      </c>
      <c r="G412" s="31" t="n">
        <v>665.9</v>
      </c>
      <c r="H412" s="31" t="n">
        <v>-4.34</v>
      </c>
      <c r="I412" s="31" t="n">
        <v>426391</v>
      </c>
      <c r="J412" s="31" t="inlineStr">
        <is>
          <t>543288</t>
        </is>
      </c>
    </row>
    <row r="413">
      <c r="A413" s="31" t="inlineStr">
        <is>
          <t>NATIONALUM</t>
        </is>
      </c>
      <c r="B413" s="31" t="inlineStr">
        <is>
          <t>National Aluminium Company Limited</t>
        </is>
      </c>
      <c r="C413" s="31" t="inlineStr">
        <is>
          <t>metals &amp; mining</t>
        </is>
      </c>
      <c r="D413" s="31" t="inlineStr">
        <is>
          <t>aluminium and aluminium products</t>
        </is>
      </c>
      <c r="E413" s="31" t="inlineStr">
        <is>
          <t>largecap</t>
        </is>
      </c>
      <c r="F413" s="31" t="n">
        <v>71261.31</v>
      </c>
      <c r="G413" s="31" t="n">
        <v>400.5</v>
      </c>
      <c r="H413" s="31" t="n">
        <v>-4.64</v>
      </c>
      <c r="I413" s="31" t="n">
        <v>19275740</v>
      </c>
      <c r="J413" s="31" t="inlineStr">
        <is>
          <t>532234</t>
        </is>
      </c>
    </row>
    <row r="414">
      <c r="A414" s="31" t="inlineStr">
        <is>
          <t>VINDHYATEL</t>
        </is>
      </c>
      <c r="B414" s="31" t="inlineStr">
        <is>
          <t>Vindhya Telelinks Limited</t>
        </is>
      </c>
      <c r="C414" s="31" t="inlineStr">
        <is>
          <t>realty</t>
        </is>
      </c>
      <c r="D414" s="31" t="inlineStr">
        <is>
          <t>construction</t>
        </is>
      </c>
      <c r="E414" s="31" t="inlineStr">
        <is>
          <t>smallcap</t>
        </is>
      </c>
      <c r="F414" s="31" t="n">
        <v>2878.57</v>
      </c>
      <c r="G414" s="31" t="n">
        <v>2460.4</v>
      </c>
      <c r="H414" s="31" t="n">
        <v>-4.74</v>
      </c>
      <c r="I414" s="31" t="n">
        <v>68562</v>
      </c>
      <c r="J414" s="31" t="inlineStr">
        <is>
          <t>517015</t>
        </is>
      </c>
    </row>
    <row r="415">
      <c r="A415" s="31" t="inlineStr">
        <is>
          <t>UEL</t>
        </is>
      </c>
      <c r="B415" s="31" t="inlineStr">
        <is>
          <t>Ujaas Energy Ltd</t>
        </is>
      </c>
      <c r="C415" s="31" t="inlineStr">
        <is>
          <t>power &amp; utilities</t>
        </is>
      </c>
      <c r="D415" s="31" t="inlineStr">
        <is>
          <t>power generation and supply</t>
        </is>
      </c>
      <c r="E415" s="31" t="inlineStr">
        <is>
          <t>smallcap</t>
        </is>
      </c>
      <c r="F415" s="31" t="n">
        <v>3643.36</v>
      </c>
      <c r="G415" s="31" t="n">
        <v>246.5</v>
      </c>
      <c r="H415" s="31" t="n">
        <v>-5</v>
      </c>
      <c r="I415" s="31" t="n">
        <v>5917</v>
      </c>
      <c r="J415" s="31" t="inlineStr">
        <is>
          <t>533644</t>
        </is>
      </c>
    </row>
    <row r="416">
      <c r="A416" s="31" t="inlineStr">
        <is>
          <t>CPPLUS</t>
        </is>
      </c>
      <c r="B416" s="31" t="inlineStr">
        <is>
          <t>Aditya Infotech Ltd</t>
        </is>
      </c>
      <c r="C416" s="31" t="inlineStr">
        <is>
          <t>consumer discretionary</t>
        </is>
      </c>
      <c r="D416" s="31" t="inlineStr">
        <is>
          <t>trading</t>
        </is>
      </c>
      <c r="E416" s="31" t="inlineStr">
        <is>
          <t>largecap</t>
        </is>
      </c>
      <c r="F416" s="31" t="n">
        <v>44848</v>
      </c>
      <c r="G416" s="31" t="n">
        <v>3704.2</v>
      </c>
      <c r="H416" s="31" t="n">
        <v>-5</v>
      </c>
      <c r="I416" s="31" t="n">
        <v>635695</v>
      </c>
      <c r="J416" s="31" t="inlineStr">
        <is>
          <t>544466</t>
        </is>
      </c>
    </row>
    <row r="417">
      <c r="A417" s="31" t="inlineStr">
        <is>
          <t>THYROCARE</t>
        </is>
      </c>
      <c r="B417" s="31" t="inlineStr">
        <is>
          <t>Thyrocare Technologies Limited</t>
        </is>
      </c>
      <c r="C417" s="31" t="inlineStr">
        <is>
          <t>healthcare</t>
        </is>
      </c>
      <c r="D417" s="31" t="inlineStr">
        <is>
          <t>healthcare</t>
        </is>
      </c>
      <c r="E417" s="31" t="inlineStr">
        <is>
          <t>midcap</t>
        </is>
      </c>
      <c r="F417" s="31" t="n">
        <v>10335.4</v>
      </c>
      <c r="G417" s="31" t="n">
        <v>606</v>
      </c>
      <c r="H417" s="31" t="n">
        <v>-5.75</v>
      </c>
      <c r="I417" s="31" t="n">
        <v>6612635</v>
      </c>
      <c r="J417" s="31" t="inlineStr">
        <is>
          <t>539871</t>
        </is>
      </c>
    </row>
    <row r="418">
      <c r="A418" s="31" t="inlineStr">
        <is>
          <t>SKYGOLD</t>
        </is>
      </c>
      <c r="B418" s="31" t="inlineStr">
        <is>
          <t>Sky Gold Ltd</t>
        </is>
      </c>
      <c r="C418" s="31" t="inlineStr">
        <is>
          <t>consumer discretionary</t>
        </is>
      </c>
      <c r="D418" s="31" t="inlineStr">
        <is>
          <t>diamond cutting / jewellery</t>
        </is>
      </c>
      <c r="E418" s="31" t="inlineStr">
        <is>
          <t>midcap</t>
        </is>
      </c>
      <c r="F418" s="31" t="n">
        <v>12235.81</v>
      </c>
      <c r="G418" s="31" t="n">
        <v>773.95</v>
      </c>
      <c r="H418" s="31" t="n">
        <v>-7.1</v>
      </c>
      <c r="I418" s="31" t="n">
        <v>2043318</v>
      </c>
      <c r="J418" s="31" t="inlineStr">
        <is>
          <t>541967</t>
        </is>
      </c>
    </row>
    <row r="419">
      <c r="A419" s="31" t="inlineStr">
        <is>
          <t>SPECIALITY</t>
        </is>
      </c>
      <c r="B419" s="31" t="inlineStr">
        <is>
          <t>Speciality Restaurants Limited</t>
        </is>
      </c>
      <c r="C419" s="31" t="inlineStr">
        <is>
          <t>services</t>
        </is>
      </c>
      <c r="D419" s="31" t="inlineStr">
        <is>
          <t>hotels</t>
        </is>
      </c>
      <c r="E419" s="31" t="inlineStr">
        <is>
          <t>smallcap</t>
        </is>
      </c>
      <c r="F419" s="31" t="n">
        <v>765.02</v>
      </c>
      <c r="G419" s="31" t="n">
        <v>146.38</v>
      </c>
      <c r="H419" s="31" t="n">
        <v>-7.58</v>
      </c>
      <c r="I419" s="31" t="n">
        <v>485386</v>
      </c>
      <c r="J419" s="31" t="inlineStr">
        <is>
          <t>534425</t>
        </is>
      </c>
    </row>
  </sheetData>
  <autoFilter ref="A1:J4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CUPID</t>
        </is>
      </c>
      <c r="E2" s="31" t="inlineStr">
        <is>
          <t>Cupid Limited</t>
        </is>
      </c>
      <c r="F2" s="31" t="inlineStr">
        <is>
          <t>Contraceptives/Protectives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24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UNIPARTS</t>
        </is>
      </c>
      <c r="E3" s="31" t="inlineStr">
        <is>
          <t>Uniparts India Ltd</t>
        </is>
      </c>
      <c r="F3" s="31" t="inlineStr">
        <is>
          <t>Castings, Forgings &amp; Fastners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26</v>
      </c>
      <c r="K3" s="31" t="n">
        <v>29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HFCL</t>
        </is>
      </c>
      <c r="E4" s="31" t="inlineStr">
        <is>
          <t>HFCL Ltd</t>
        </is>
      </c>
      <c r="F4" s="31" t="inlineStr">
        <is>
          <t>Telecom Services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25</v>
      </c>
      <c r="K4" s="31" t="n">
        <v>19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NETWEB</t>
        </is>
      </c>
      <c r="E5" s="31" t="inlineStr">
        <is>
          <t>Netweb Technologies India Ltd</t>
        </is>
      </c>
      <c r="F5" s="31" t="inlineStr">
        <is>
          <t>Data Centre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23</v>
      </c>
      <c r="K5" s="31" t="n">
        <v>19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GLAND</t>
        </is>
      </c>
      <c r="E6" s="31" t="inlineStr">
        <is>
          <t>Gland Pharma Ltd</t>
        </is>
      </c>
      <c r="F6" s="31" t="inlineStr">
        <is>
          <t>Pharma - API &amp; CRAMS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21</v>
      </c>
      <c r="K6" s="31" t="n">
        <v>20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NEULANDLAB</t>
        </is>
      </c>
      <c r="E7" s="31" t="inlineStr">
        <is>
          <t>Neuland Laboratories Limited</t>
        </is>
      </c>
      <c r="F7" s="31" t="inlineStr">
        <is>
          <t>Pharma - API &amp; CRAMS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26</v>
      </c>
      <c r="K7" s="31" t="n">
        <v>26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PRECWIRE</t>
        </is>
      </c>
      <c r="E8" s="31" t="inlineStr">
        <is>
          <t>Precision Wires India Limited</t>
        </is>
      </c>
      <c r="F8" s="31" t="inlineStr">
        <is>
          <t>Copper Wires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26</v>
      </c>
      <c r="K8" s="31" t="n">
        <v>11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PAYTM</t>
        </is>
      </c>
      <c r="E9" s="31" t="inlineStr">
        <is>
          <t>One 97 Communications Ltd</t>
        </is>
      </c>
      <c r="F9" s="31" t="inlineStr">
        <is>
          <t>E-Commerce - Platform - Utility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22</v>
      </c>
      <c r="K9" s="31" t="n">
        <v>21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PIXTRANS</t>
        </is>
      </c>
      <c r="E10" s="31" t="inlineStr">
        <is>
          <t>Pix Transmission Ltd</t>
        </is>
      </c>
      <c r="F10" s="31" t="inlineStr">
        <is>
          <t>Rubber Processing/Rubber Products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21</v>
      </c>
      <c r="K10" s="31" t="n">
        <v>18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RPTECH</t>
        </is>
      </c>
      <c r="E11" s="31" t="inlineStr">
        <is>
          <t>Rashi Peripherals Ltd</t>
        </is>
      </c>
      <c r="F11" s="31" t="inlineStr">
        <is>
          <t>Trading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24</v>
      </c>
      <c r="K11" s="31" t="n">
        <v>30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SYRMA</t>
        </is>
      </c>
      <c r="E12" s="31" t="inlineStr">
        <is>
          <t>Syrma SGS Technology Ltd</t>
        </is>
      </c>
      <c r="F12" s="31" t="inlineStr">
        <is>
          <t>Consumer Electronics - EMS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21</v>
      </c>
      <c r="K12" s="31" t="n">
        <v>20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UJJIVANSFB</t>
        </is>
      </c>
      <c r="E13" s="31" t="inlineStr">
        <is>
          <t>Ujjivan Small Finance Bank Ltd</t>
        </is>
      </c>
      <c r="F13" s="31" t="inlineStr">
        <is>
          <t>Banks - Small Finance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20</v>
      </c>
      <c r="K13" s="31" t="n">
        <v>25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SENORES</t>
        </is>
      </c>
      <c r="E14" s="31" t="inlineStr">
        <is>
          <t>Senores Pharmaceuticals Ltd</t>
        </is>
      </c>
      <c r="F14" s="31" t="inlineStr">
        <is>
          <t>Pharma - API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20</v>
      </c>
      <c r="K14" s="31" t="n">
        <v>22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SANGHVIMOV</t>
        </is>
      </c>
      <c r="E15" s="31" t="inlineStr">
        <is>
          <t>Sanghvi Movers Limited</t>
        </is>
      </c>
      <c r="F15" s="31" t="inlineStr">
        <is>
          <t>Capital Goods - EPC/Cranes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19</v>
      </c>
      <c r="K15" s="31" t="n">
        <v>22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PGIL</t>
        </is>
      </c>
      <c r="E16" s="31" t="inlineStr">
        <is>
          <t>Pearl Global Industries Limited</t>
        </is>
      </c>
      <c r="F16" s="31" t="inlineStr">
        <is>
          <t>Textiles - Readymade Apparel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28</v>
      </c>
      <c r="K16" s="31" t="n">
        <v>26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REDINGTON</t>
        </is>
      </c>
      <c r="E17" s="31" t="inlineStr">
        <is>
          <t>Redington (india) Limited</t>
        </is>
      </c>
      <c r="F17" s="31" t="inlineStr">
        <is>
          <t>Computer - Hardware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20</v>
      </c>
      <c r="K17" s="31" t="n">
        <v>23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RPEL</t>
        </is>
      </c>
      <c r="E18" s="31" t="inlineStr">
        <is>
          <t>Raghav Productivity Enhancers Ltd</t>
        </is>
      </c>
      <c r="F18" s="31" t="inlineStr">
        <is>
          <t>Steel Products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20</v>
      </c>
      <c r="K18" s="31" t="n">
        <v>21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AJANTPHARM</t>
        </is>
      </c>
      <c r="E19" s="31" t="inlineStr">
        <is>
          <t>Ajanta Pharma Limited</t>
        </is>
      </c>
      <c r="F19" s="31" t="inlineStr">
        <is>
          <t>Pharma - Formulators</t>
        </is>
      </c>
      <c r="G19" s="31" t="n">
        <v>2</v>
      </c>
      <c r="H19" s="31" t="inlineStr">
        <is>
          <t>52W Breakout</t>
        </is>
      </c>
      <c r="I19" s="31" t="inlineStr">
        <is>
          <t>Yes</t>
        </is>
      </c>
      <c r="J19" s="31" t="n">
        <v>14</v>
      </c>
      <c r="K19" s="31" t="n">
        <v>22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TFCILTD</t>
        </is>
      </c>
      <c r="E20" s="31" t="inlineStr">
        <is>
          <t>Tourism Finance Corporation Of India Limited</t>
        </is>
      </c>
      <c r="F20" s="31" t="inlineStr">
        <is>
          <t>Finance - PSU Lending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24</v>
      </c>
      <c r="K20" s="31" t="n">
        <v>24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E2E</t>
        </is>
      </c>
      <c r="E21" s="31" t="inlineStr">
        <is>
          <t>E2E Networks Ltd</t>
        </is>
      </c>
      <c r="F21" s="31" t="inlineStr">
        <is>
          <t>Data Centre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20</v>
      </c>
      <c r="K21" s="31" t="n">
        <v>18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KDDL</t>
        </is>
      </c>
      <c r="E22" s="31" t="inlineStr">
        <is>
          <t>Kddl Limited</t>
        </is>
      </c>
      <c r="F22" s="31" t="inlineStr">
        <is>
          <t>Watches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20</v>
      </c>
      <c r="K22" s="31" t="n">
        <v>24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RADICO</t>
        </is>
      </c>
      <c r="E23" s="31" t="inlineStr">
        <is>
          <t>Radico Khaitan Limited</t>
        </is>
      </c>
      <c r="F23" s="31" t="inlineStr">
        <is>
          <t>Alcoholic Beverages</t>
        </is>
      </c>
      <c r="G23" s="31" t="n">
        <v>2</v>
      </c>
      <c r="H23" s="31" t="inlineStr">
        <is>
          <t>52W Breakout</t>
        </is>
      </c>
      <c r="I23" s="31" t="inlineStr">
        <is>
          <t>Yes</t>
        </is>
      </c>
      <c r="J23" s="31" t="n">
        <v>17</v>
      </c>
      <c r="K23" s="31" t="n">
        <v>30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AETHER</t>
        </is>
      </c>
      <c r="E24" s="31" t="inlineStr">
        <is>
          <t>Aether Industries Ltd</t>
        </is>
      </c>
      <c r="F24" s="31" t="inlineStr">
        <is>
          <t>Speciality Chemicals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29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SJS</t>
        </is>
      </c>
      <c r="E25" s="31" t="inlineStr">
        <is>
          <t>S J S Enterprises Ltd</t>
        </is>
      </c>
      <c r="F25" s="31" t="inlineStr">
        <is>
          <t>Auto Ancillaries - Diversified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23</v>
      </c>
      <c r="K25" s="31" t="n">
        <v>29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UNIVASTU</t>
        </is>
      </c>
      <c r="E26" s="31" t="inlineStr">
        <is>
          <t>Univastu India Ltd</t>
        </is>
      </c>
      <c r="F26" s="31" t="inlineStr">
        <is>
          <t>Construction - Civil/Turnkey</t>
        </is>
      </c>
      <c r="G26" s="31" t="n">
        <v>2</v>
      </c>
      <c r="H26" s="31" t="inlineStr">
        <is>
          <t>52W Breakout</t>
        </is>
      </c>
      <c r="I26" s="31" t="inlineStr">
        <is>
          <t>Yes</t>
        </is>
      </c>
      <c r="J26" s="31" t="n">
        <v>5</v>
      </c>
      <c r="K26" s="31" t="n">
        <v>6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VADILALIND</t>
        </is>
      </c>
      <c r="E27" s="31" t="inlineStr">
        <is>
          <t>Vadilal Industries Limited</t>
        </is>
      </c>
      <c r="F27" s="31" t="inlineStr">
        <is>
          <t>FMCG - Dairy Products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29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INDSWFTLAB</t>
        </is>
      </c>
      <c r="E28" s="31" t="inlineStr">
        <is>
          <t>Ind-swift Laboratories Limited</t>
        </is>
      </c>
      <c r="F28" s="31" t="inlineStr">
        <is>
          <t>Pharma - API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27</v>
      </c>
      <c r="K28" s="31" t="n">
        <v>27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SAKAR</t>
        </is>
      </c>
      <c r="E29" s="31" t="inlineStr">
        <is>
          <t>Sakar Healthcare Ltd</t>
        </is>
      </c>
      <c r="F29" s="31" t="inlineStr">
        <is>
          <t>Hospitals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21</v>
      </c>
      <c r="K29" s="31" t="n">
        <v>22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TDPOWERSYS</t>
        </is>
      </c>
      <c r="E30" s="31" t="inlineStr">
        <is>
          <t>Td Power Systems Limited</t>
        </is>
      </c>
      <c r="F30" s="31" t="inlineStr">
        <is>
          <t>Capital Goods - Gensets/Turbines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23</v>
      </c>
      <c r="K30" s="31" t="n">
        <v>11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HAPPYFORGE</t>
        </is>
      </c>
      <c r="E31" s="31" t="inlineStr">
        <is>
          <t>Happy Forgings Ltd</t>
        </is>
      </c>
      <c r="F31" s="31" t="inlineStr">
        <is>
          <t>Castings, Forgings &amp; Fastners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20</v>
      </c>
      <c r="K31" s="31" t="n">
        <v>29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AUBANK</t>
        </is>
      </c>
      <c r="E32" s="31" t="inlineStr">
        <is>
          <t>AU Small Finance Bank Ltd</t>
        </is>
      </c>
      <c r="F32" s="31" t="inlineStr">
        <is>
          <t>Banks - Small Finance</t>
        </is>
      </c>
      <c r="G32" s="31" t="n">
        <v>2</v>
      </c>
      <c r="H32" s="31" t="inlineStr">
        <is>
          <t>52W Breakout</t>
        </is>
      </c>
      <c r="I32" s="31" t="inlineStr">
        <is>
          <t>Yes</t>
        </is>
      </c>
      <c r="J32" s="31" t="n">
        <v>14</v>
      </c>
      <c r="K32" s="31" t="n">
        <v>21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MARKSANS</t>
        </is>
      </c>
      <c r="E33" s="31" t="inlineStr">
        <is>
          <t>Marksans Pharma Limited</t>
        </is>
      </c>
      <c r="F33" s="31" t="inlineStr">
        <is>
          <t>Pharma - Formulators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27</v>
      </c>
      <c r="K33" s="31" t="n">
        <v>21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CYIENTDLM</t>
        </is>
      </c>
      <c r="E34" s="31" t="inlineStr">
        <is>
          <t>Cyient DLM Ltd</t>
        </is>
      </c>
      <c r="F34" s="31" t="inlineStr">
        <is>
          <t>Consumer Electronics - EMS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19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SOLARINDS</t>
        </is>
      </c>
      <c r="E35" s="31" t="inlineStr">
        <is>
          <t>Solar Industries India Limited</t>
        </is>
      </c>
      <c r="F35" s="31" t="inlineStr">
        <is>
          <t>Industrial Explosives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20</v>
      </c>
      <c r="K35" s="31" t="n">
        <v>17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AVALON</t>
        </is>
      </c>
      <c r="E36" s="31" t="inlineStr">
        <is>
          <t>Avalon Technologies Ltd</t>
        </is>
      </c>
      <c r="F36" s="31" t="inlineStr">
        <is>
          <t>Consumer Electronics - EMS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24</v>
      </c>
      <c r="K36" s="31" t="n">
        <v>21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STLTECH</t>
        </is>
      </c>
      <c r="E37" s="31" t="inlineStr">
        <is>
          <t>Sterlite Technologies Limited</t>
        </is>
      </c>
      <c r="F37" s="31" t="inlineStr">
        <is>
          <t>Cables - Telecom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24</v>
      </c>
      <c r="K37" s="31" t="n">
        <v>20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THELEELA</t>
        </is>
      </c>
      <c r="E38" s="31" t="inlineStr">
        <is>
          <t>Leela Palaces Hotels &amp; Resorts Ltd</t>
        </is>
      </c>
      <c r="F38" s="31" t="inlineStr">
        <is>
          <t>Hotels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20</v>
      </c>
      <c r="K38" s="31" t="n">
        <v>24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JGCHEM</t>
        </is>
      </c>
      <c r="E39" s="31" t="inlineStr">
        <is>
          <t>J.G.Chemicals Ltd</t>
        </is>
      </c>
      <c r="F39" s="31" t="inlineStr">
        <is>
          <t>Chemicals - Inorganic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25</v>
      </c>
      <c r="K39" s="31" t="n">
        <v>18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GHCLTEXTIL</t>
        </is>
      </c>
      <c r="E40" s="31" t="inlineStr">
        <is>
          <t>GHCL Textiles Ltd</t>
        </is>
      </c>
      <c r="F40" s="31" t="inlineStr">
        <is>
          <t>Textiles - General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21</v>
      </c>
      <c r="K40" s="31" t="n">
        <v>20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SHILPAMED</t>
        </is>
      </c>
      <c r="E41" s="31" t="inlineStr">
        <is>
          <t>Shilpa Medicare Limited</t>
        </is>
      </c>
      <c r="F41" s="31" t="inlineStr">
        <is>
          <t>Pharma - API &amp; CRAMS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26</v>
      </c>
      <c r="K41" s="31" t="n">
        <v>25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INNOVACAP</t>
        </is>
      </c>
      <c r="E42" s="31" t="inlineStr">
        <is>
          <t>Innova Captab Ltd</t>
        </is>
      </c>
      <c r="F42" s="31" t="inlineStr">
        <is>
          <t>Pharma - API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20</v>
      </c>
      <c r="K42" s="31" t="n">
        <v>16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LAURUSLABS</t>
        </is>
      </c>
      <c r="E43" s="31" t="inlineStr">
        <is>
          <t>Laurus Labs Limited</t>
        </is>
      </c>
      <c r="F43" s="31" t="inlineStr">
        <is>
          <t>Pharma - API &amp; CRAMS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ENTERO</t>
        </is>
      </c>
      <c r="E44" s="31" t="inlineStr">
        <is>
          <t>Entero Healthcare Solutions Ltd</t>
        </is>
      </c>
      <c r="F44" s="31" t="inlineStr">
        <is>
          <t>Pharmacy Distribution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27</v>
      </c>
      <c r="K44" s="31" t="n">
        <v>15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ARVSMART</t>
        </is>
      </c>
      <c r="E45" s="31" t="inlineStr">
        <is>
          <t>Arvind Smartspaces Limited</t>
        </is>
      </c>
      <c r="F45" s="31" t="inlineStr">
        <is>
          <t>Realty - Construction &amp; Contracting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25</v>
      </c>
      <c r="K45" s="31" t="n">
        <v>9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UNIVCABLES</t>
        </is>
      </c>
      <c r="E46" s="31" t="inlineStr">
        <is>
          <t>Universal Cables Limited</t>
        </is>
      </c>
      <c r="F46" s="31" t="inlineStr">
        <is>
          <t>Cables - Power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27</v>
      </c>
      <c r="K46" s="31" t="n">
        <v>22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IRISDOREME</t>
        </is>
      </c>
      <c r="E47" s="31" t="inlineStr">
        <is>
          <t>Iris Clothings Ltd</t>
        </is>
      </c>
      <c r="F47" s="31" t="inlineStr">
        <is>
          <t>Textiles - Readymade Apparel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22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FINCABLES</t>
        </is>
      </c>
      <c r="E48" s="31" t="inlineStr">
        <is>
          <t>Finolex Cables Limited</t>
        </is>
      </c>
      <c r="F48" s="31" t="inlineStr">
        <is>
          <t>Cables - Telecom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22</v>
      </c>
      <c r="K48" s="31" t="n">
        <v>15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DIVGIITTS</t>
        </is>
      </c>
      <c r="E49" s="31" t="inlineStr">
        <is>
          <t>Divgi Torqtransfer Systems Ltd</t>
        </is>
      </c>
      <c r="F49" s="31" t="inlineStr">
        <is>
          <t>Auto Ancillaries - Transmission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25</v>
      </c>
      <c r="K49" s="31" t="n">
        <v>27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WELCORP</t>
        </is>
      </c>
      <c r="E50" s="31" t="inlineStr">
        <is>
          <t>Welspun Corp Limited</t>
        </is>
      </c>
      <c r="F50" s="31" t="inlineStr">
        <is>
          <t>DI Pipes/Saw Pipes</t>
        </is>
      </c>
      <c r="G50" s="31" t="n">
        <v>2</v>
      </c>
      <c r="H50" s="31" t="inlineStr">
        <is>
          <t>52W Breakout</t>
        </is>
      </c>
      <c r="I50" s="31" t="inlineStr">
        <is>
          <t>Yes</t>
        </is>
      </c>
      <c r="J50" s="31" t="n">
        <v>16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AZAD</t>
        </is>
      </c>
      <c r="E51" s="31" t="inlineStr">
        <is>
          <t>Azad Engineering Ltd</t>
        </is>
      </c>
      <c r="F51" s="31" t="inlineStr">
        <is>
          <t>Aerospace &amp; Defence - Equipments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13</v>
      </c>
      <c r="K51" s="31" t="n">
        <v>16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NGLFINE</t>
        </is>
      </c>
      <c r="E52" s="31" t="inlineStr">
        <is>
          <t>NGL Fine Chem Ltd</t>
        </is>
      </c>
      <c r="F52" s="31" t="inlineStr">
        <is>
          <t>Pharma - Animal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20</v>
      </c>
      <c r="K52" s="31" t="n">
        <v>28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TCPLPACK</t>
        </is>
      </c>
      <c r="E53" s="31" t="inlineStr">
        <is>
          <t>TCPL Packaging Ltd</t>
        </is>
      </c>
      <c r="F53" s="31" t="inlineStr">
        <is>
          <t>Packaging - FMCG/Consumers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22</v>
      </c>
      <c r="K53" s="31" t="n">
        <v>13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MOREPENLAB</t>
        </is>
      </c>
      <c r="E54" s="31" t="inlineStr">
        <is>
          <t>Morepen Laboratories Limited</t>
        </is>
      </c>
      <c r="F54" s="31" t="inlineStr">
        <is>
          <t>Pharma - API &amp; CRAMS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26</v>
      </c>
      <c r="K54" s="31" t="n">
        <v>13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AKUMS</t>
        </is>
      </c>
      <c r="E55" s="31" t="inlineStr">
        <is>
          <t>Akums Drugs &amp; Pharmaceuticals Ltd</t>
        </is>
      </c>
      <c r="F55" s="31" t="inlineStr">
        <is>
          <t>Pharma - Formulators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20</v>
      </c>
      <c r="K55" s="31" t="n">
        <v>24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YASHO</t>
        </is>
      </c>
      <c r="E56" s="31" t="inlineStr">
        <is>
          <t>Yasho Industries Ltd</t>
        </is>
      </c>
      <c r="F56" s="31" t="inlineStr">
        <is>
          <t>Speciality Chemicals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25</v>
      </c>
      <c r="K56" s="31" t="n">
        <v>30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KRISHANA</t>
        </is>
      </c>
      <c r="E57" s="31" t="inlineStr">
        <is>
          <t>Krishana Phoschem Ltd</t>
        </is>
      </c>
      <c r="F57" s="31" t="inlineStr">
        <is>
          <t>Fertilisers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22</v>
      </c>
      <c r="K57" s="31" t="n">
        <v>23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MMFL</t>
        </is>
      </c>
      <c r="E58" s="31" t="inlineStr">
        <is>
          <t>Mm Forgings Limited</t>
        </is>
      </c>
      <c r="F58" s="31" t="inlineStr">
        <is>
          <t>Castings, Forgings &amp; Fastners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20</v>
      </c>
      <c r="K58" s="31" t="n">
        <v>22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KALYANKJIL</t>
        </is>
      </c>
      <c r="E59" s="31" t="inlineStr">
        <is>
          <t>Kalyan Jewellers India Ltd</t>
        </is>
      </c>
      <c r="F59" s="31" t="inlineStr">
        <is>
          <t>Diamond, Gems &amp; Jewellery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21</v>
      </c>
      <c r="K59" s="31" t="n">
        <v>18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ANANDRATHI</t>
        </is>
      </c>
      <c r="E60" s="31" t="inlineStr">
        <is>
          <t>Anand Rathi Wealth Ltd</t>
        </is>
      </c>
      <c r="F60" s="31" t="inlineStr">
        <is>
          <t>Finance - Capital Markets - Wealth Management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11</v>
      </c>
      <c r="K60" s="31" t="n">
        <v>17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CHENNPETRO</t>
        </is>
      </c>
      <c r="E61" s="31" t="inlineStr">
        <is>
          <t>Chennai Petroleum Corporation Limited</t>
        </is>
      </c>
      <c r="F61" s="31" t="inlineStr">
        <is>
          <t>Refineries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26</v>
      </c>
      <c r="K61" s="31" t="n">
        <v>18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KEI</t>
        </is>
      </c>
      <c r="E62" s="31" t="inlineStr">
        <is>
          <t>Kei Industries Limited</t>
        </is>
      </c>
      <c r="F62" s="31" t="inlineStr">
        <is>
          <t>Cables - Power</t>
        </is>
      </c>
      <c r="G62" s="31" t="n">
        <v>2</v>
      </c>
      <c r="H62" s="31" t="inlineStr">
        <is>
          <t>52W Breakout</t>
        </is>
      </c>
      <c r="I62" s="31" t="inlineStr">
        <is>
          <t>Yes</t>
        </is>
      </c>
      <c r="J62" s="31" t="n">
        <v>17</v>
      </c>
      <c r="K62" s="31" t="n">
        <v>14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LMW</t>
        </is>
      </c>
      <c r="E63" s="31" t="inlineStr">
        <is>
          <t>LMW Ltd</t>
        </is>
      </c>
      <c r="F63" s="31" t="inlineStr">
        <is>
          <t>Textile machinery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20</v>
      </c>
      <c r="K63" s="31" t="n">
        <v>16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ATUL</t>
        </is>
      </c>
      <c r="E64" s="31" t="inlineStr">
        <is>
          <t>Atul Limited</t>
        </is>
      </c>
      <c r="F64" s="31" t="inlineStr">
        <is>
          <t>Dyes &amp; Pigments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19</v>
      </c>
      <c r="K64" s="31" t="n">
        <v>13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SIGMAADV</t>
        </is>
      </c>
      <c r="E65" s="31" t="inlineStr">
        <is>
          <t>Sigma Advanced System Ltd</t>
        </is>
      </c>
      <c r="F65" s="31" t="inlineStr">
        <is>
          <t>Aerospace &amp; Defence - Equipments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21</v>
      </c>
      <c r="K65" s="31" t="n">
        <v>24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KINGFA</t>
        </is>
      </c>
      <c r="E66" s="31" t="inlineStr">
        <is>
          <t>Kingfa Science &amp; Technology (india) Limited</t>
        </is>
      </c>
      <c r="F66" s="31" t="inlineStr">
        <is>
          <t>Plastics - Plastic &amp; Plastic Products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19</v>
      </c>
      <c r="K66" s="31" t="n">
        <v>9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KRN</t>
        </is>
      </c>
      <c r="E67" s="31" t="inlineStr">
        <is>
          <t>KRN Heat Exchanger and Refrigeration Ltd</t>
        </is>
      </c>
      <c r="F67" s="31" t="inlineStr">
        <is>
          <t>Engineering - General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18</v>
      </c>
      <c r="K67" s="31" t="n">
        <v>7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RRKABEL</t>
        </is>
      </c>
      <c r="E68" s="31" t="inlineStr">
        <is>
          <t>R R Kabel Ltd</t>
        </is>
      </c>
      <c r="F68" s="31" t="inlineStr">
        <is>
          <t>Cables - Power</t>
        </is>
      </c>
      <c r="G68" s="31" t="n">
        <v>2</v>
      </c>
      <c r="H68" s="31" t="inlineStr">
        <is>
          <t>52W Breakout</t>
        </is>
      </c>
      <c r="I68" s="31" t="inlineStr">
        <is>
          <t>Yes</t>
        </is>
      </c>
      <c r="J68" s="31" t="n">
        <v>19</v>
      </c>
      <c r="K68" s="31" t="n">
        <v>29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KABRAEXTRU</t>
        </is>
      </c>
      <c r="E69" s="31" t="inlineStr">
        <is>
          <t>Kabra Extrusion Technik Limited</t>
        </is>
      </c>
      <c r="F69" s="31" t="inlineStr">
        <is>
          <t>Capital Goods - Engineering Heavy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20</v>
      </c>
      <c r="K69" s="31" t="n">
        <v>20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MUNJALAU</t>
        </is>
      </c>
      <c r="E70" s="31" t="inlineStr">
        <is>
          <t>Munjal Auto Industries Limited</t>
        </is>
      </c>
      <c r="F70" s="31" t="inlineStr">
        <is>
          <t>Auto Ancillaries - Diversified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21</v>
      </c>
      <c r="K70" s="31" t="n">
        <v>11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AARTIIND</t>
        </is>
      </c>
      <c r="E71" s="31" t="inlineStr">
        <is>
          <t>Aarti Industries Limited</t>
        </is>
      </c>
      <c r="F71" s="31" t="inlineStr">
        <is>
          <t>Speciality Chemicals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21</v>
      </c>
      <c r="K71" s="31" t="n">
        <v>13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LALPATHLAB</t>
        </is>
      </c>
      <c r="E72" s="31" t="inlineStr">
        <is>
          <t>Dr. Lal Path Labs Ltd.</t>
        </is>
      </c>
      <c r="F72" s="31" t="inlineStr">
        <is>
          <t>Diagnostics</t>
        </is>
      </c>
      <c r="G72" s="31" t="n">
        <v>2</v>
      </c>
      <c r="H72" s="31" t="inlineStr">
        <is>
          <t>52W Breakout</t>
        </is>
      </c>
      <c r="I72" s="31" t="inlineStr">
        <is>
          <t>Yes</t>
        </is>
      </c>
      <c r="J72" s="31" t="n">
        <v>13</v>
      </c>
      <c r="K72" s="31" t="n">
        <v>28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MACPOWER</t>
        </is>
      </c>
      <c r="E73" s="31" t="inlineStr">
        <is>
          <t>Macpower CNC Machines Ltd</t>
        </is>
      </c>
      <c r="F73" s="31" t="inlineStr">
        <is>
          <t>CNC - Machines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25</v>
      </c>
      <c r="K73" s="31" t="n">
        <v>25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VRLLOG</t>
        </is>
      </c>
      <c r="E74" s="31" t="inlineStr">
        <is>
          <t>Vrl Logistics Limited</t>
        </is>
      </c>
      <c r="F74" s="31" t="inlineStr">
        <is>
          <t>Logistics - Warehousing/Supply Chain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20</v>
      </c>
      <c r="K74" s="31" t="n">
        <v>13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KMEW</t>
        </is>
      </c>
      <c r="E75" s="31" t="inlineStr">
        <is>
          <t>Knowledge Marine &amp; Engineering Works Ltd</t>
        </is>
      </c>
      <c r="F75" s="31" t="inlineStr">
        <is>
          <t>Shipping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18</v>
      </c>
      <c r="K75" s="31" t="n">
        <v>28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BOSCHLTD</t>
        </is>
      </c>
      <c r="E76" s="31" t="inlineStr">
        <is>
          <t>Bosch Limited</t>
        </is>
      </c>
      <c r="F76" s="31" t="inlineStr">
        <is>
          <t>Auto Ancillaries - Diversified</t>
        </is>
      </c>
      <c r="G76" s="31" t="n">
        <v>2</v>
      </c>
      <c r="H76" s="31" t="inlineStr">
        <is>
          <t>52W Breakout</t>
        </is>
      </c>
      <c r="I76" s="31" t="inlineStr">
        <is>
          <t>Yes</t>
        </is>
      </c>
      <c r="J76" s="31" t="n">
        <v>9</v>
      </c>
      <c r="K76" s="31" t="n">
        <v>25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COFORGE</t>
        </is>
      </c>
      <c r="E77" s="31" t="inlineStr">
        <is>
          <t>Coforge (Niit Tech) Ltd</t>
        </is>
      </c>
      <c r="F77" s="31" t="inlineStr">
        <is>
          <t>IT - Software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20</v>
      </c>
      <c r="K77" s="31" t="n">
        <v>12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SBCL</t>
        </is>
      </c>
      <c r="E78" s="31" t="inlineStr">
        <is>
          <t>Shivalik Bimetal Controls Ltd</t>
        </is>
      </c>
      <c r="F78" s="31" t="inlineStr">
        <is>
          <t>Shunt Resistors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20</v>
      </c>
      <c r="K78" s="31" t="n">
        <v>23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AARTIPHARM</t>
        </is>
      </c>
      <c r="E79" s="31" t="inlineStr">
        <is>
          <t>Aarti Pharmalabs Ltd</t>
        </is>
      </c>
      <c r="F79" s="31" t="inlineStr">
        <is>
          <t>Pharma - API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23</v>
      </c>
      <c r="K79" s="31" t="n">
        <v>4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KAPSTON</t>
        </is>
      </c>
      <c r="E80" s="31" t="inlineStr">
        <is>
          <t>Kapston Services Ltd</t>
        </is>
      </c>
      <c r="F80" s="31" t="inlineStr">
        <is>
          <t>Services - Others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19</v>
      </c>
      <c r="K80" s="31" t="n">
        <v>30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ASKAUTOLTD</t>
        </is>
      </c>
      <c r="E81" s="31" t="inlineStr">
        <is>
          <t>ASK Automotive Ltd</t>
        </is>
      </c>
      <c r="F81" s="31" t="inlineStr">
        <is>
          <t>Auto Ancillaries - 2 Wheelers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21</v>
      </c>
      <c r="K81" s="31" t="n">
        <v>23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SKYGOLD</t>
        </is>
      </c>
      <c r="E82" s="31" t="inlineStr">
        <is>
          <t>Sky Gold Ltd</t>
        </is>
      </c>
      <c r="F82" s="31" t="inlineStr">
        <is>
          <t>Diamond, Gems &amp; Jewellery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31</v>
      </c>
      <c r="K82" s="31" t="n">
        <v>23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COMSYN</t>
        </is>
      </c>
      <c r="E83" s="31" t="inlineStr">
        <is>
          <t>Commercial Syn Bags Ltd</t>
        </is>
      </c>
      <c r="F83" s="31" t="inlineStr">
        <is>
          <t>Packaging - Polysacks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22</v>
      </c>
      <c r="K83" s="31" t="n">
        <v>16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LUMAXTECH</t>
        </is>
      </c>
      <c r="E84" s="31" t="inlineStr">
        <is>
          <t>Lumax Auto Technologies Limited</t>
        </is>
      </c>
      <c r="F84" s="31" t="inlineStr">
        <is>
          <t>Auto Ancillaries - Diversified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25</v>
      </c>
      <c r="K84" s="31" t="n">
        <v>10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BHEL</t>
        </is>
      </c>
      <c r="E85" s="31" t="inlineStr">
        <is>
          <t>Bharat Heavy Electricals Limited</t>
        </is>
      </c>
      <c r="F85" s="31" t="inlineStr">
        <is>
          <t>Capital Goods - Engineering Heavy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19</v>
      </c>
      <c r="K85" s="31" t="n">
        <v>15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KANPRPLA</t>
        </is>
      </c>
      <c r="E86" s="31" t="inlineStr">
        <is>
          <t>Kanpur Plastipack Ltd</t>
        </is>
      </c>
      <c r="F86" s="31" t="inlineStr">
        <is>
          <t>Packaging - Polysacks</t>
        </is>
      </c>
      <c r="G86" s="31" t="n">
        <v>2</v>
      </c>
      <c r="H86" s="31" t="inlineStr">
        <is>
          <t>52W Breakout</t>
        </is>
      </c>
      <c r="I86" s="31" t="inlineStr">
        <is>
          <t>Yes</t>
        </is>
      </c>
      <c r="J86" s="31" t="n">
        <v>4</v>
      </c>
      <c r="K86" s="31" t="n">
        <v>8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EMIL</t>
        </is>
      </c>
      <c r="E87" s="31" t="inlineStr">
        <is>
          <t>Electronics Mart India Ltd</t>
        </is>
      </c>
      <c r="F87" s="31" t="inlineStr">
        <is>
          <t>Retail - Electronics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31</v>
      </c>
      <c r="K87" s="31" t="n">
        <v>7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KOLTEPATIL</t>
        </is>
      </c>
      <c r="E88" s="31" t="inlineStr">
        <is>
          <t>Kolte - Patil Developers Limited</t>
        </is>
      </c>
      <c r="F88" s="31" t="inlineStr">
        <is>
          <t>Realty - Construction &amp; Contracting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26</v>
      </c>
      <c r="K88" s="31" t="n">
        <v>12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NAVINFLUOR</t>
        </is>
      </c>
      <c r="E89" s="31" t="inlineStr">
        <is>
          <t>Navin Fluorine International Limited</t>
        </is>
      </c>
      <c r="F89" s="31" t="inlineStr">
        <is>
          <t>Chemicals - Flourine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20</v>
      </c>
      <c r="K89" s="31" t="n">
        <v>21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SOTL</t>
        </is>
      </c>
      <c r="E90" s="31" t="inlineStr">
        <is>
          <t>Savita Oil Technologies Limited</t>
        </is>
      </c>
      <c r="F90" s="31" t="inlineStr">
        <is>
          <t>Petrochem - Others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19</v>
      </c>
      <c r="K90" s="31" t="n">
        <v>23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RBA</t>
        </is>
      </c>
      <c r="E91" s="31" t="inlineStr">
        <is>
          <t>Restaurant Brands Asia Ltd</t>
        </is>
      </c>
      <c r="F91" s="31" t="inlineStr">
        <is>
          <t>Quick Service Restaurant - QSR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19</v>
      </c>
      <c r="K91" s="31" t="n">
        <v>18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PRICOLLTD</t>
        </is>
      </c>
      <c r="E92" s="31" t="inlineStr">
        <is>
          <t>Pricol Ltd.</t>
        </is>
      </c>
      <c r="F92" s="31" t="inlineStr">
        <is>
          <t>Auto Ancillaries - 2 Wheelers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22</v>
      </c>
      <c r="K92" s="31" t="n">
        <v>22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DEEPINDS</t>
        </is>
      </c>
      <c r="E93" s="31" t="inlineStr">
        <is>
          <t>Deep Industries Ltd</t>
        </is>
      </c>
      <c r="F93" s="31" t="inlineStr">
        <is>
          <t>Oil Drilling &amp; Exploration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20</v>
      </c>
      <c r="K93" s="31" t="n">
        <v>13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SILVERTUC</t>
        </is>
      </c>
      <c r="E94" s="31" t="inlineStr">
        <is>
          <t>Silver Touch Technologies Ltd</t>
        </is>
      </c>
      <c r="F94" s="31" t="inlineStr">
        <is>
          <t>IT - Software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24</v>
      </c>
      <c r="K94" s="31" t="n">
        <v>19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GIPCL</t>
        </is>
      </c>
      <c r="E95" s="31" t="inlineStr">
        <is>
          <t>Gujarat Industries Power Company Limited</t>
        </is>
      </c>
      <c r="F95" s="31" t="inlineStr">
        <is>
          <t>Power - Generation/Distribution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19</v>
      </c>
      <c r="K95" s="31" t="n">
        <v>4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GAEL</t>
        </is>
      </c>
      <c r="E96" s="31" t="inlineStr">
        <is>
          <t>Gujarat Ambuja Exports Limited</t>
        </is>
      </c>
      <c r="F96" s="31" t="inlineStr">
        <is>
          <t>Agricultural Processing - Maize</t>
        </is>
      </c>
      <c r="G96" s="31" t="n">
        <v>2</v>
      </c>
      <c r="H96" s="31" t="inlineStr">
        <is>
          <t>No</t>
        </is>
      </c>
      <c r="I96" s="31" t="inlineStr">
        <is>
          <t>Yes</t>
        </is>
      </c>
      <c r="J96" s="31" t="n">
        <v>22</v>
      </c>
      <c r="K96" s="31" t="n">
        <v>17</v>
      </c>
    </row>
  </sheetData>
  <autoFilter ref="A1:K96"/>
  <conditionalFormatting sqref="G2:G9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6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IF(B2=0,"",RANK(B2,$B$2:$B$378,0))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646.49</v>
      </c>
      <c r="I2" s="32" t="n">
        <v>628.2</v>
      </c>
      <c r="J2" s="32" t="n">
        <v>-3.67</v>
      </c>
      <c r="K2" s="32" t="n">
        <v>431263</v>
      </c>
      <c r="L2" s="31" t="n">
        <v>93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71.56</v>
      </c>
      <c r="P2" s="32" t="n">
        <v>59.07</v>
      </c>
      <c r="Q2" s="32" t="n">
        <v>441.14</v>
      </c>
      <c r="R2" s="31" t="inlineStr">
        <is>
          <t>Volume Spike &amp; Near 52W High Breakout</t>
        </is>
      </c>
      <c r="S2" s="31" t="inlineStr">
        <is>
          <t>Nifty FMCG</t>
        </is>
      </c>
      <c r="T2" s="32" t="n">
        <v>-10.52</v>
      </c>
      <c r="U2" s="32" t="n">
        <v>112.7</v>
      </c>
      <c r="V2" s="32" t="n">
        <v>137.71</v>
      </c>
      <c r="W2" s="32" t="n">
        <v>40.62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IF(B3=0,"",RANK(B3,$B$2:$B$378,0))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VINDHYATEL</t>
        </is>
      </c>
      <c r="D3" s="31" t="inlineStr">
        <is>
          <t>Vindhya Telelinks Limited</t>
        </is>
      </c>
      <c r="E3" s="31" t="inlineStr">
        <is>
          <t>realty</t>
        </is>
      </c>
      <c r="F3" s="31" t="inlineStr">
        <is>
          <t>construction</t>
        </is>
      </c>
      <c r="G3" s="31" t="inlineStr">
        <is>
          <t>smallcap</t>
        </is>
      </c>
      <c r="H3" s="32" t="n">
        <v>2878.57</v>
      </c>
      <c r="I3" s="32" t="n">
        <v>2460.4</v>
      </c>
      <c r="J3" s="32" t="n">
        <v>-4.74</v>
      </c>
      <c r="K3" s="32" t="n">
        <v>68562</v>
      </c>
      <c r="L3" s="31" t="n">
        <v>90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66.91</v>
      </c>
      <c r="P3" s="32" t="n">
        <v>52.12</v>
      </c>
      <c r="Q3" s="32" t="n">
        <v>1696.33</v>
      </c>
      <c r="R3" s="31" t="inlineStr">
        <is>
          <t>Volume Spike &amp; Near 52W High Breakout</t>
        </is>
      </c>
      <c r="S3" s="31" t="inlineStr">
        <is>
          <t>Nifty Realty</t>
        </is>
      </c>
      <c r="T3" s="32" t="n">
        <v>-5.49</v>
      </c>
      <c r="U3" s="32" t="n">
        <v>56.64</v>
      </c>
      <c r="V3" s="32" t="n">
        <v>65.73999999999999</v>
      </c>
      <c r="W3" s="32" t="n">
        <v>34.37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IF(B4=0,"",RANK(B4,$B$2:$B$378,0))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TINNARUBR</t>
        </is>
      </c>
      <c r="D4" s="31" t="inlineStr">
        <is>
          <t>Tinna Rubber &amp; Infrastructure Ltd</t>
        </is>
      </c>
      <c r="E4" s="31" t="inlineStr">
        <is>
          <t>fmcg</t>
        </is>
      </c>
      <c r="F4" s="31" t="inlineStr">
        <is>
          <t>miscellaneous</t>
        </is>
      </c>
      <c r="G4" s="31" t="inlineStr">
        <is>
          <t>smallcap</t>
        </is>
      </c>
      <c r="H4" s="32" t="n">
        <v>2048.93</v>
      </c>
      <c r="I4" s="32" t="n">
        <v>1102.8</v>
      </c>
      <c r="J4" s="32" t="n">
        <v>1.72</v>
      </c>
      <c r="K4" s="32" t="n">
        <v>66796</v>
      </c>
      <c r="L4" s="31" t="n">
        <v>74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68.92</v>
      </c>
      <c r="P4" s="32" t="n">
        <v>42.45</v>
      </c>
      <c r="Q4" s="32" t="n">
        <v>792.58</v>
      </c>
      <c r="R4" s="31" t="inlineStr">
        <is>
          <t>Near 52W High Breakout</t>
        </is>
      </c>
      <c r="S4" s="31" t="inlineStr">
        <is>
          <t>Nifty FMCG</t>
        </is>
      </c>
      <c r="T4" s="32" t="n">
        <v>-10.52</v>
      </c>
      <c r="U4" s="32" t="n">
        <v>20.37</v>
      </c>
      <c r="V4" s="32" t="n">
        <v>34.52</v>
      </c>
      <c r="W4" s="32" t="n">
        <v>19.26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IF(B5=0,"",RANK(B5,$B$2:$B$378,0))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BIRLACABLE</t>
        </is>
      </c>
      <c r="D5" s="31" t="inlineStr">
        <is>
          <t>Birla Cable Limited</t>
        </is>
      </c>
      <c r="E5" s="31" t="inlineStr">
        <is>
          <t>industrials</t>
        </is>
      </c>
      <c r="F5" s="31" t="inlineStr">
        <is>
          <t>cables - telephone</t>
        </is>
      </c>
      <c r="G5" s="31" t="inlineStr">
        <is>
          <t>smallcap</t>
        </is>
      </c>
      <c r="H5" s="32" t="n">
        <v>840.78</v>
      </c>
      <c r="I5" s="32" t="n">
        <v>305</v>
      </c>
      <c r="J5" s="32" t="n">
        <v>3.68</v>
      </c>
      <c r="K5" s="32" t="n">
        <v>478343</v>
      </c>
      <c r="L5" s="31" t="n">
        <v>92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74.73999999999999</v>
      </c>
      <c r="P5" s="32" t="n">
        <v>45.49</v>
      </c>
      <c r="Q5" s="32" t="n">
        <v>222.7</v>
      </c>
      <c r="R5" s="31" t="inlineStr">
        <is>
          <t>Volume Spike &amp; Near 52W High Breakout</t>
        </is>
      </c>
      <c r="S5" s="31" t="inlineStr">
        <is>
          <t>Nifty Infra</t>
        </is>
      </c>
      <c r="T5" s="32" t="n">
        <v>3.6</v>
      </c>
      <c r="U5" s="32" t="n">
        <v>78.09</v>
      </c>
      <c r="V5" s="32" t="n">
        <v>71.89</v>
      </c>
      <c r="W5" s="32" t="n">
        <v>37.19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IF(B6=0,"",RANK(B6,$B$2:$B$378,0))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INDOBORAX</t>
        </is>
      </c>
      <c r="D6" s="31" t="inlineStr">
        <is>
          <t>Indo Borax &amp; Chemicals Ltd</t>
        </is>
      </c>
      <c r="E6" s="31" t="inlineStr">
        <is>
          <t>chemicals</t>
        </is>
      </c>
      <c r="F6" s="31" t="inlineStr">
        <is>
          <t>chemicals</t>
        </is>
      </c>
      <c r="G6" s="31" t="inlineStr">
        <is>
          <t>smallcap</t>
        </is>
      </c>
      <c r="H6" s="32" t="n">
        <v>1390.78</v>
      </c>
      <c r="I6" s="32" t="n">
        <v>438.3</v>
      </c>
      <c r="J6" s="32" t="n">
        <v>-2.39</v>
      </c>
      <c r="K6" s="32" t="n">
        <v>130420</v>
      </c>
      <c r="L6" s="31" t="n">
        <v>88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74.97</v>
      </c>
      <c r="P6" s="32" t="n">
        <v>73.18000000000001</v>
      </c>
      <c r="Q6" s="32" t="n">
        <v>311.62</v>
      </c>
      <c r="R6" s="31" t="inlineStr">
        <is>
          <t>Near 52W High Breakout</t>
        </is>
      </c>
      <c r="S6" s="31" t="inlineStr">
        <is>
          <t>Nifty 50</t>
        </is>
      </c>
      <c r="T6" s="32" t="n">
        <v>-0.96</v>
      </c>
      <c r="U6" s="32" t="n">
        <v>86.61</v>
      </c>
      <c r="V6" s="32" t="n">
        <v>88.41</v>
      </c>
      <c r="W6" s="32" t="n">
        <v>31.26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IF(B7=0,"",RANK(B7,$B$2:$B$378,0))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IOLCP</t>
        </is>
      </c>
      <c r="D7" s="31" t="inlineStr">
        <is>
          <t>Iol Chemicals And Pharmaceuticals Limited</t>
        </is>
      </c>
      <c r="E7" s="31" t="inlineStr">
        <is>
          <t>healthcare</t>
        </is>
      </c>
      <c r="F7" s="31" t="inlineStr">
        <is>
          <t>pharmaceuticals - indian - bulk drugs &amp; formln</t>
        </is>
      </c>
      <c r="G7" s="31" t="inlineStr">
        <is>
          <t>smallcap</t>
        </is>
      </c>
      <c r="H7" s="32" t="n">
        <v>4817.96</v>
      </c>
      <c r="I7" s="32" t="n">
        <v>166.02</v>
      </c>
      <c r="J7" s="32" t="n">
        <v>4.8</v>
      </c>
      <c r="K7" s="32" t="n">
        <v>3198375</v>
      </c>
      <c r="L7" s="31" t="n">
        <v>84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71.73</v>
      </c>
      <c r="P7" s="32" t="n">
        <v>76.08</v>
      </c>
      <c r="Q7" s="32" t="n">
        <v>123.2</v>
      </c>
      <c r="R7" s="31" t="inlineStr">
        <is>
          <t>Near 52W High Breakout</t>
        </is>
      </c>
      <c r="S7" s="31" t="inlineStr">
        <is>
          <t>Nifty Pharma</t>
        </is>
      </c>
      <c r="T7" s="32" t="n">
        <v>20.47</v>
      </c>
      <c r="U7" s="32" t="n">
        <v>82.20999999999999</v>
      </c>
      <c r="V7" s="32" t="n">
        <v>51.25</v>
      </c>
      <c r="W7" s="32" t="n">
        <v>27.76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IF(B8=0,"",RANK(B8,$B$2:$B$378,0))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PIXTRANS</t>
        </is>
      </c>
      <c r="D8" s="31" t="inlineStr">
        <is>
          <t>Pix Transmission Ltd</t>
        </is>
      </c>
      <c r="E8" s="31" t="inlineStr">
        <is>
          <t>fmcg</t>
        </is>
      </c>
      <c r="F8" s="31" t="inlineStr">
        <is>
          <t>miscellaneous</t>
        </is>
      </c>
      <c r="G8" s="31" t="inlineStr">
        <is>
          <t>smallcap</t>
        </is>
      </c>
      <c r="H8" s="32" t="n">
        <v>2701.88</v>
      </c>
      <c r="I8" s="32" t="n">
        <v>1925.6</v>
      </c>
      <c r="J8" s="32" t="n">
        <v>-1.1</v>
      </c>
      <c r="K8" s="32" t="n">
        <v>52662</v>
      </c>
      <c r="L8" s="31" t="n">
        <v>56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71.04000000000001</v>
      </c>
      <c r="P8" s="32" t="n">
        <v>45.06</v>
      </c>
      <c r="Q8" s="32" t="n">
        <v>1517.35</v>
      </c>
      <c r="R8" s="31" t="inlineStr">
        <is>
          <t>Volume Spike &amp; Near 52W High Breakout</t>
        </is>
      </c>
      <c r="S8" s="31" t="inlineStr">
        <is>
          <t>Nifty FMCG</t>
        </is>
      </c>
      <c r="T8" s="32" t="n">
        <v>-10.52</v>
      </c>
      <c r="U8" s="32" t="n">
        <v>28.34</v>
      </c>
      <c r="V8" s="32" t="n">
        <v>43.43</v>
      </c>
      <c r="W8" s="32" t="n">
        <v>12.18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IF(B9=0,"",RANK(B9,$B$2:$B$378,0))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RPTECH</t>
        </is>
      </c>
      <c r="D9" s="31" t="inlineStr">
        <is>
          <t>Rashi Peripherals Ltd</t>
        </is>
      </c>
      <c r="E9" s="31" t="inlineStr">
        <is>
          <t>services</t>
        </is>
      </c>
      <c r="F9" s="31" t="inlineStr">
        <is>
          <t>trading</t>
        </is>
      </c>
      <c r="G9" s="31" t="inlineStr">
        <is>
          <t>midcap</t>
        </is>
      </c>
      <c r="H9" s="32" t="n">
        <v>5850.57</v>
      </c>
      <c r="I9" s="32" t="n">
        <v>871.75</v>
      </c>
      <c r="J9" s="32" t="n">
        <v>1.97</v>
      </c>
      <c r="K9" s="32" t="n">
        <v>237152</v>
      </c>
      <c r="L9" s="31" t="n">
        <v>94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79.02</v>
      </c>
      <c r="P9" s="32" t="n">
        <v>79.11</v>
      </c>
      <c r="Q9" s="32" t="n">
        <v>690.61</v>
      </c>
      <c r="R9" s="31" t="inlineStr">
        <is>
          <t>Near 52W High Breakout</t>
        </is>
      </c>
      <c r="S9" s="31" t="inlineStr">
        <is>
          <t>Nifty 50</t>
        </is>
      </c>
      <c r="T9" s="32" t="n">
        <v>-0.96</v>
      </c>
      <c r="U9" s="32" t="n">
        <v>207.66</v>
      </c>
      <c r="V9" s="32" t="n">
        <v>210.63</v>
      </c>
      <c r="W9" s="32" t="n">
        <v>41.96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IF(B10=0,"",RANK(B10,$B$2:$B$378,0))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CHEMBONDCH</t>
        </is>
      </c>
      <c r="D10" s="31" t="inlineStr">
        <is>
          <t>Chembond Chemicals Ltd</t>
        </is>
      </c>
      <c r="E10" s="31" t="inlineStr">
        <is>
          <t>chemicals</t>
        </is>
      </c>
      <c r="F10" s="31" t="inlineStr">
        <is>
          <t>chemicals</t>
        </is>
      </c>
      <c r="G10" s="31" t="inlineStr">
        <is>
          <t>smallcap</t>
        </is>
      </c>
      <c r="H10" s="32" t="n">
        <v>704.02</v>
      </c>
      <c r="I10" s="32" t="n">
        <v>275</v>
      </c>
      <c r="J10" s="32" t="n">
        <v>0.07000000000000001</v>
      </c>
      <c r="K10" s="32" t="n">
        <v>10853</v>
      </c>
      <c r="L10" s="31" t="n">
        <v>76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71.67</v>
      </c>
      <c r="P10" s="32" t="n">
        <v>44.37</v>
      </c>
      <c r="Q10" s="32" t="n">
        <v>189.44</v>
      </c>
      <c r="R10" s="31" t="inlineStr">
        <is>
          <t>Volume Spike &amp; Near 52W High Breakout</t>
        </is>
      </c>
      <c r="S10" s="31" t="inlineStr">
        <is>
          <t>Nifty 50</t>
        </is>
      </c>
      <c r="T10" s="32" t="n">
        <v>-0.96</v>
      </c>
      <c r="U10" s="32" t="n">
        <v>51.12</v>
      </c>
      <c r="V10" s="32" t="n">
        <v>52.57</v>
      </c>
      <c r="W10" s="32" t="n">
        <v>21.16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IF(B11=0,"",RANK(B11,$B$2:$B$378,0))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SYRMA</t>
        </is>
      </c>
      <c r="D11" s="31" t="inlineStr">
        <is>
          <t>Syrma SGS Technology Ltd</t>
        </is>
      </c>
      <c r="E11" s="31" t="inlineStr">
        <is>
          <t>consumer discretionary</t>
        </is>
      </c>
      <c r="F11" s="31" t="inlineStr">
        <is>
          <t>electronics - components</t>
        </is>
      </c>
      <c r="G11" s="31" t="inlineStr">
        <is>
          <t>largecap</t>
        </is>
      </c>
      <c r="H11" s="32" t="n">
        <v>28824.3</v>
      </c>
      <c r="I11" s="32" t="n">
        <v>1467.7</v>
      </c>
      <c r="J11" s="32" t="n">
        <v>-0.38</v>
      </c>
      <c r="K11" s="32" t="n">
        <v>742118</v>
      </c>
      <c r="L11" s="31" t="n">
        <v>83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69.48</v>
      </c>
      <c r="P11" s="32" t="n">
        <v>60.06</v>
      </c>
      <c r="Q11" s="32" t="n">
        <v>1130.39</v>
      </c>
      <c r="R11" s="31" t="inlineStr">
        <is>
          <t>Near 52W High Breakout</t>
        </is>
      </c>
      <c r="S11" s="31" t="inlineStr">
        <is>
          <t>Nifty 50</t>
        </is>
      </c>
      <c r="T11" s="32" t="n">
        <v>-0.96</v>
      </c>
      <c r="U11" s="32" t="n">
        <v>112.29</v>
      </c>
      <c r="V11" s="32" t="n">
        <v>114.34</v>
      </c>
      <c r="W11" s="32" t="n">
        <v>26.55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IF(B12=0,"",RANK(B12,$B$2:$B$378,0))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FCL</t>
        </is>
      </c>
      <c r="D12" s="31" t="inlineStr">
        <is>
          <t>Fineotex Chemical Limited</t>
        </is>
      </c>
      <c r="E12" s="31" t="inlineStr">
        <is>
          <t>chemicals</t>
        </is>
      </c>
      <c r="F12" s="31" t="inlineStr">
        <is>
          <t>chemicals</t>
        </is>
      </c>
      <c r="G12" s="31" t="inlineStr">
        <is>
          <t>midcap</t>
        </is>
      </c>
      <c r="H12" s="32" t="n">
        <v>5006.19</v>
      </c>
      <c r="I12" s="32" t="n">
        <v>41.66</v>
      </c>
      <c r="J12" s="32" t="n">
        <v>-2.32</v>
      </c>
      <c r="K12" s="32" t="n">
        <v>6691632</v>
      </c>
      <c r="L12" s="31" t="n">
        <v>84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66.95</v>
      </c>
      <c r="P12" s="32" t="n">
        <v>50.1</v>
      </c>
      <c r="Q12" s="32" t="n">
        <v>30.81</v>
      </c>
      <c r="R12" s="31" t="inlineStr">
        <is>
          <t>Near 52W High Breakout</t>
        </is>
      </c>
      <c r="S12" s="31" t="inlineStr">
        <is>
          <t>Nifty 50</t>
        </is>
      </c>
      <c r="T12" s="32" t="n">
        <v>-0.96</v>
      </c>
      <c r="U12" s="32" t="n">
        <v>79.06</v>
      </c>
      <c r="V12" s="32" t="n">
        <v>80.78</v>
      </c>
      <c r="W12" s="32" t="n">
        <v>27.48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IF(B13=0,"",RANK(B13,$B$2:$B$378,0))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AJANTPHARM</t>
        </is>
      </c>
      <c r="D13" s="31" t="inlineStr">
        <is>
          <t>Ajanta Pharma Limited</t>
        </is>
      </c>
      <c r="E13" s="31" t="inlineStr">
        <is>
          <t>healthcare</t>
        </is>
      </c>
      <c r="F13" s="31" t="inlineStr">
        <is>
          <t>pharmaceuticals - indian - formulations</t>
        </is>
      </c>
      <c r="G13" s="31" t="inlineStr">
        <is>
          <t>largecap</t>
        </is>
      </c>
      <c r="H13" s="32" t="n">
        <v>43814.92</v>
      </c>
      <c r="I13" s="32" t="n">
        <v>3616</v>
      </c>
      <c r="J13" s="32" t="n">
        <v>2.12</v>
      </c>
      <c r="K13" s="32" t="n">
        <v>136792</v>
      </c>
      <c r="L13" s="31" t="n">
        <v>47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73.83</v>
      </c>
      <c r="P13" s="32" t="n">
        <v>45.72</v>
      </c>
      <c r="Q13" s="32" t="n">
        <v>3031.34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20.47</v>
      </c>
      <c r="U13" s="32" t="n">
        <v>37.33</v>
      </c>
      <c r="V13" s="32" t="n">
        <v>14</v>
      </c>
      <c r="W13" s="32" t="n">
        <v>9.83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IF(B14=0,"",RANK(B14,$B$2:$B$378,0))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CUPID</t>
        </is>
      </c>
      <c r="D14" s="31" t="inlineStr">
        <is>
          <t>Cupid Limited</t>
        </is>
      </c>
      <c r="E14" s="31" t="inlineStr">
        <is>
          <t>fmcg</t>
        </is>
      </c>
      <c r="F14" s="31" t="inlineStr">
        <is>
          <t>personal care - indian</t>
        </is>
      </c>
      <c r="G14" s="31" t="inlineStr">
        <is>
          <t>largecap</t>
        </is>
      </c>
      <c r="H14" s="32" t="n">
        <v>37200.04</v>
      </c>
      <c r="I14" s="32" t="n">
        <v>294.86</v>
      </c>
      <c r="J14" s="32" t="n">
        <v>1.72</v>
      </c>
      <c r="K14" s="32" t="n">
        <v>46358975</v>
      </c>
      <c r="L14" s="31" t="n">
        <v>99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93.48999999999999</v>
      </c>
      <c r="P14" s="32" t="n">
        <v>71.06</v>
      </c>
      <c r="Q14" s="32" t="n">
        <v>237.38</v>
      </c>
      <c r="R14" s="31" t="inlineStr">
        <is>
          <t>Near 52W High Breakout</t>
        </is>
      </c>
      <c r="S14" s="31" t="inlineStr">
        <is>
          <t>Nifty FMCG</t>
        </is>
      </c>
      <c r="T14" s="32" t="n">
        <v>-10.52</v>
      </c>
      <c r="U14" s="32" t="n">
        <v>896.75</v>
      </c>
      <c r="V14" s="32" t="n">
        <v>1013.96</v>
      </c>
      <c r="W14" s="32" t="n">
        <v>98.34999999999999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IF(B15=0,"",RANK(B15,$B$2:$B$378,0))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EMCURE</t>
        </is>
      </c>
      <c r="D15" s="31" t="inlineStr">
        <is>
          <t>Emcure Pharmaceuticals Ltd</t>
        </is>
      </c>
      <c r="E15" s="31" t="inlineStr">
        <is>
          <t>healthcare</t>
        </is>
      </c>
      <c r="F15" s="31" t="inlineStr">
        <is>
          <t>pharmaceuticals - indian - bulk drugs &amp; formln</t>
        </is>
      </c>
      <c r="G15" s="31" t="inlineStr">
        <is>
          <t>largecap</t>
        </is>
      </c>
      <c r="H15" s="32" t="n">
        <v>37911.37</v>
      </c>
      <c r="I15" s="32" t="n">
        <v>2009.6</v>
      </c>
      <c r="J15" s="32" t="n">
        <v>0</v>
      </c>
      <c r="K15" s="32" t="n">
        <v>54666</v>
      </c>
      <c r="L15" s="31" t="n">
        <v>50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72.41</v>
      </c>
      <c r="P15" s="32" t="n">
        <v>62.23</v>
      </c>
      <c r="Q15" s="32" t="n">
        <v>1645.32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20.47</v>
      </c>
      <c r="U15" s="32" t="n">
        <v>38.14</v>
      </c>
      <c r="V15" s="32" t="n">
        <v>14.66</v>
      </c>
      <c r="W15" s="32" t="n">
        <v>10.62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IF(B16=0,"",RANK(B16,$B$2:$B$378,0))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SENORES</t>
        </is>
      </c>
      <c r="D16" s="31" t="inlineStr">
        <is>
          <t>Senores Pharmaceuticals Ltd</t>
        </is>
      </c>
      <c r="E16" s="31" t="inlineStr">
        <is>
          <t>healthcare</t>
        </is>
      </c>
      <c r="F16" s="31" t="inlineStr">
        <is>
          <t>pharmaceuticals - indian - formulations</t>
        </is>
      </c>
      <c r="G16" s="31" t="inlineStr">
        <is>
          <t>midcap</t>
        </is>
      </c>
      <c r="H16" s="32" t="n">
        <v>6796.13</v>
      </c>
      <c r="I16" s="32" t="n">
        <v>1491.4</v>
      </c>
      <c r="J16" s="32" t="n">
        <v>-0.07000000000000001</v>
      </c>
      <c r="K16" s="32" t="n">
        <v>122805</v>
      </c>
      <c r="L16" s="31" t="n">
        <v>83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74</v>
      </c>
      <c r="P16" s="32" t="n">
        <v>62.04</v>
      </c>
      <c r="Q16" s="32" t="n">
        <v>1145.16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20.47</v>
      </c>
      <c r="U16" s="32" t="n">
        <v>120.87</v>
      </c>
      <c r="V16" s="32" t="n">
        <v>83.33</v>
      </c>
      <c r="W16" s="32" t="n">
        <v>26.8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IF(B17=0,"",RANK(B17,$B$2:$B$378,0))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AUROPHARMA</t>
        </is>
      </c>
      <c r="D17" s="31" t="inlineStr">
        <is>
          <t>Aurobindo Pharma Limited</t>
        </is>
      </c>
      <c r="E17" s="31" t="inlineStr">
        <is>
          <t>healthcare</t>
        </is>
      </c>
      <c r="F17" s="31" t="inlineStr">
        <is>
          <t>pharmaceuticals - indian - bulk drugs &amp; formln</t>
        </is>
      </c>
      <c r="G17" s="31" t="inlineStr">
        <is>
          <t>largecap</t>
        </is>
      </c>
      <c r="H17" s="32" t="n">
        <v>95397.66</v>
      </c>
      <c r="I17" s="32" t="n">
        <v>1663.4</v>
      </c>
      <c r="J17" s="32" t="n">
        <v>-0.22</v>
      </c>
      <c r="K17" s="32" t="n">
        <v>1904181</v>
      </c>
      <c r="L17" s="31" t="n">
        <v>55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72.25</v>
      </c>
      <c r="P17" s="32" t="n">
        <v>42.72</v>
      </c>
      <c r="Q17" s="32" t="n">
        <v>1423.53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20.47</v>
      </c>
      <c r="U17" s="32" t="n">
        <v>53.51</v>
      </c>
      <c r="V17" s="32" t="n">
        <v>27.42</v>
      </c>
      <c r="W17" s="32" t="n">
        <v>11.71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IF(B18=0,"",RANK(B18,$B$2:$B$378,0))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GOKULAGRO</t>
        </is>
      </c>
      <c r="D18" s="31" t="inlineStr">
        <is>
          <t>Gokul Agro Resources Limited</t>
        </is>
      </c>
      <c r="E18" s="31" t="inlineStr">
        <is>
          <t>fmcg</t>
        </is>
      </c>
      <c r="F18" s="31" t="inlineStr">
        <is>
          <t>solvent extraction</t>
        </is>
      </c>
      <c r="G18" s="31" t="inlineStr">
        <is>
          <t>midcap</t>
        </is>
      </c>
      <c r="H18" s="32" t="n">
        <v>6669.85</v>
      </c>
      <c r="I18" s="32" t="n">
        <v>235.01</v>
      </c>
      <c r="J18" s="32" t="n">
        <v>-0.67</v>
      </c>
      <c r="K18" s="32" t="n">
        <v>378487</v>
      </c>
      <c r="L18" s="31" t="n">
        <v>52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62.86</v>
      </c>
      <c r="P18" s="32" t="n">
        <v>26.94</v>
      </c>
      <c r="Q18" s="32" t="n">
        <v>184.53</v>
      </c>
      <c r="R18" s="31" t="inlineStr">
        <is>
          <t>Near 52W High Breakout</t>
        </is>
      </c>
      <c r="S18" s="31" t="inlineStr">
        <is>
          <t>Nifty FMCG</t>
        </is>
      </c>
      <c r="T18" s="32" t="n">
        <v>-10.52</v>
      </c>
      <c r="U18" s="32" t="n">
        <v>52.47</v>
      </c>
      <c r="V18" s="32" t="n">
        <v>70.40000000000001</v>
      </c>
      <c r="W18" s="32" t="n">
        <v>11.06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IF(B19=0,"",RANK(B19,$B$2:$B$378,0))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RPEL</t>
        </is>
      </c>
      <c r="D19" s="31" t="inlineStr">
        <is>
          <t>Raghav Productivity Enhancers Ltd</t>
        </is>
      </c>
      <c r="E19" s="31" t="inlineStr">
        <is>
          <t>building materials</t>
        </is>
      </c>
      <c r="F19" s="31" t="inlineStr">
        <is>
          <t>refractories / intermediates</t>
        </is>
      </c>
      <c r="G19" s="31" t="inlineStr">
        <is>
          <t>midcap</t>
        </is>
      </c>
      <c r="H19" s="32" t="n">
        <v>5978.58</v>
      </c>
      <c r="I19" s="32" t="n">
        <v>1396</v>
      </c>
      <c r="J19" s="32" t="n">
        <v>8.279999999999999</v>
      </c>
      <c r="K19" s="32" t="n">
        <v>262554</v>
      </c>
      <c r="L19" s="31" t="n">
        <v>95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75.11</v>
      </c>
      <c r="P19" s="32" t="n">
        <v>52.38</v>
      </c>
      <c r="Q19" s="32" t="n">
        <v>1089.47</v>
      </c>
      <c r="R19" s="31" t="inlineStr">
        <is>
          <t>Near 52W High Breakout</t>
        </is>
      </c>
      <c r="S19" s="31" t="inlineStr">
        <is>
          <t>Nifty Infra</t>
        </is>
      </c>
      <c r="T19" s="32" t="n">
        <v>3.6</v>
      </c>
      <c r="U19" s="32" t="n">
        <v>110.33</v>
      </c>
      <c r="V19" s="32" t="n">
        <v>103.02</v>
      </c>
      <c r="W19" s="32" t="n">
        <v>42.43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IF(B20=0,"",RANK(B20,$B$2:$B$378,0))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PARAS</t>
        </is>
      </c>
      <c r="D20" s="31" t="inlineStr">
        <is>
          <t>Paras Defence and Space Technologies Ltd</t>
        </is>
      </c>
      <c r="E20" s="31" t="inlineStr">
        <is>
          <t>aerospace &amp; defence</t>
        </is>
      </c>
      <c r="F20" s="31" t="inlineStr">
        <is>
          <t>engineering</t>
        </is>
      </c>
      <c r="G20" s="31" t="inlineStr">
        <is>
          <t>midcap</t>
        </is>
      </c>
      <c r="H20" s="32" t="n">
        <v>10347.41</v>
      </c>
      <c r="I20" s="32" t="n">
        <v>1342.2</v>
      </c>
      <c r="J20" s="32" t="n">
        <v>4.8</v>
      </c>
      <c r="K20" s="32" t="n">
        <v>1643001</v>
      </c>
      <c r="L20" s="31" t="n">
        <v>90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68.76000000000001</v>
      </c>
      <c r="P20" s="32" t="n">
        <v>59.98</v>
      </c>
      <c r="Q20" s="32" t="n">
        <v>1041.4</v>
      </c>
      <c r="R20" s="31" t="inlineStr">
        <is>
          <t>Near 52W High Breakout</t>
        </is>
      </c>
      <c r="S20" s="31" t="inlineStr">
        <is>
          <t>Nifty 50</t>
        </is>
      </c>
      <c r="T20" s="32" t="n">
        <v>-0.96</v>
      </c>
      <c r="U20" s="32" t="n">
        <v>101.15</v>
      </c>
      <c r="V20" s="32" t="n">
        <v>103.1</v>
      </c>
      <c r="W20" s="32" t="n">
        <v>34.48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IF(B21=0,"",RANK(B21,$B$2:$B$378,0))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REDINGTON</t>
        </is>
      </c>
      <c r="D21" s="31" t="inlineStr">
        <is>
          <t>Redington (india) Limited</t>
        </is>
      </c>
      <c r="E21" s="31" t="inlineStr">
        <is>
          <t>services</t>
        </is>
      </c>
      <c r="F21" s="31" t="inlineStr">
        <is>
          <t>trading</t>
        </is>
      </c>
      <c r="G21" s="31" t="inlineStr">
        <is>
          <t>largecap</t>
        </is>
      </c>
      <c r="H21" s="32" t="n">
        <v>27717.81</v>
      </c>
      <c r="I21" s="32" t="n">
        <v>346</v>
      </c>
      <c r="J21" s="32" t="n">
        <v>1.94</v>
      </c>
      <c r="K21" s="32" t="n">
        <v>2357801</v>
      </c>
      <c r="L21" s="31" t="n">
        <v>80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69.81</v>
      </c>
      <c r="P21" s="32" t="n">
        <v>31.67</v>
      </c>
      <c r="Q21" s="32" t="n">
        <v>274.15</v>
      </c>
      <c r="R21" s="31" t="inlineStr">
        <is>
          <t>Near 52W High Breakout</t>
        </is>
      </c>
      <c r="S21" s="31" t="inlineStr">
        <is>
          <t>Nifty 50</t>
        </is>
      </c>
      <c r="T21" s="32" t="n">
        <v>-0.96</v>
      </c>
      <c r="U21" s="32" t="n">
        <v>49.13</v>
      </c>
      <c r="V21" s="32" t="n">
        <v>50.57</v>
      </c>
      <c r="W21" s="32" t="n">
        <v>23.45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IF(B22=0,"",RANK(B22,$B$2:$B$378,0))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STYLAMIND</t>
        </is>
      </c>
      <c r="D22" s="31" t="inlineStr">
        <is>
          <t>Stylam Industries Ltd</t>
        </is>
      </c>
      <c r="E22" s="31" t="inlineStr">
        <is>
          <t>building materials</t>
        </is>
      </c>
      <c r="F22" s="31" t="inlineStr">
        <is>
          <t>miscellaneous</t>
        </is>
      </c>
      <c r="G22" s="31" t="inlineStr">
        <is>
          <t>midcap</t>
        </is>
      </c>
      <c r="H22" s="32" t="n">
        <v>6048.25</v>
      </c>
      <c r="I22" s="32" t="n">
        <v>3600</v>
      </c>
      <c r="J22" s="32" t="n">
        <v>1.56</v>
      </c>
      <c r="K22" s="32" t="n">
        <v>24498</v>
      </c>
      <c r="L22" s="31" t="n">
        <v>85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83.48999999999999</v>
      </c>
      <c r="P22" s="32" t="n">
        <v>73.95</v>
      </c>
      <c r="Q22" s="32" t="n">
        <v>2872.82</v>
      </c>
      <c r="R22" s="31" t="inlineStr">
        <is>
          <t>Near 52W High Breakout</t>
        </is>
      </c>
      <c r="S22" s="31" t="inlineStr">
        <is>
          <t>Nifty Infra</t>
        </is>
      </c>
      <c r="T22" s="32" t="n">
        <v>3.6</v>
      </c>
      <c r="U22" s="32" t="n">
        <v>91.16</v>
      </c>
      <c r="V22" s="32" t="n">
        <v>84.51000000000001</v>
      </c>
      <c r="W22" s="32" t="n">
        <v>28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IF(B23=0,"",RANK(B23,$B$2:$B$378,0))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PGIL</t>
        </is>
      </c>
      <c r="D23" s="31" t="inlineStr">
        <is>
          <t>Pearl Global Industries Limited</t>
        </is>
      </c>
      <c r="E23" s="31" t="inlineStr">
        <is>
          <t>consumer discretionary</t>
        </is>
      </c>
      <c r="F23" s="31" t="inlineStr">
        <is>
          <t>textiles - products</t>
        </is>
      </c>
      <c r="G23" s="31" t="inlineStr">
        <is>
          <t>midcap</t>
        </is>
      </c>
      <c r="H23" s="32" t="n">
        <v>11245.37</v>
      </c>
      <c r="I23" s="32" t="n">
        <v>2464.9</v>
      </c>
      <c r="J23" s="32" t="n">
        <v>-0.62</v>
      </c>
      <c r="K23" s="32" t="n">
        <v>52612</v>
      </c>
      <c r="L23" s="31" t="n">
        <v>82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75.77</v>
      </c>
      <c r="P23" s="32" t="n">
        <v>53.75</v>
      </c>
      <c r="Q23" s="32" t="n">
        <v>1919.32</v>
      </c>
      <c r="R23" s="31" t="inlineStr">
        <is>
          <t>Near 52W High Breakout</t>
        </is>
      </c>
      <c r="S23" s="31" t="inlineStr">
        <is>
          <t>Nifty 50</t>
        </is>
      </c>
      <c r="T23" s="32" t="n">
        <v>-0.96</v>
      </c>
      <c r="U23" s="32" t="n">
        <v>97.88</v>
      </c>
      <c r="V23" s="32" t="n">
        <v>99.79000000000001</v>
      </c>
      <c r="W23" s="32" t="n">
        <v>26.1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IF(B24=0,"",RANK(B24,$B$2:$B$378,0))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SANGHVIMOV</t>
        </is>
      </c>
      <c r="D24" s="31" t="inlineStr">
        <is>
          <t>Sanghvi Movers Limited</t>
        </is>
      </c>
      <c r="E24" s="31" t="inlineStr">
        <is>
          <t>miscellaneous</t>
        </is>
      </c>
      <c r="F24" s="31" t="inlineStr">
        <is>
          <t>miscellaneous</t>
        </is>
      </c>
      <c r="G24" s="31" t="inlineStr">
        <is>
          <t>smallcap</t>
        </is>
      </c>
      <c r="H24" s="32" t="n">
        <v>4475.55</v>
      </c>
      <c r="I24" s="32" t="n">
        <v>496.7</v>
      </c>
      <c r="J24" s="32" t="n">
        <v>-0.75</v>
      </c>
      <c r="K24" s="32" t="n">
        <v>189209</v>
      </c>
      <c r="L24" s="31" t="n">
        <v>80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66.91</v>
      </c>
      <c r="P24" s="32" t="n">
        <v>37.5</v>
      </c>
      <c r="Q24" s="32" t="n">
        <v>361.84</v>
      </c>
      <c r="R24" s="31" t="inlineStr">
        <is>
          <t>Near 52W High Breakout</t>
        </is>
      </c>
      <c r="S24" s="31" t="inlineStr">
        <is>
          <t>Nifty 50</t>
        </is>
      </c>
      <c r="T24" s="32" t="n">
        <v>-0.96</v>
      </c>
      <c r="U24" s="32" t="n">
        <v>52.35</v>
      </c>
      <c r="V24" s="32" t="n">
        <v>53.82</v>
      </c>
      <c r="W24" s="32" t="n">
        <v>24.87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IF(B25=0,"",RANK(B25,$B$2:$B$378,0))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QUESS</t>
        </is>
      </c>
      <c r="D25" s="31" t="inlineStr">
        <is>
          <t>Quess Corp Limited</t>
        </is>
      </c>
      <c r="E25" s="31" t="inlineStr">
        <is>
          <t>miscellaneous</t>
        </is>
      </c>
      <c r="F25" s="31" t="inlineStr">
        <is>
          <t>diversified - large</t>
        </is>
      </c>
      <c r="G25" s="31" t="inlineStr">
        <is>
          <t>smallcap</t>
        </is>
      </c>
      <c r="H25" s="32" t="n">
        <v>4842.25</v>
      </c>
      <c r="I25" s="32" t="n">
        <v>331.25</v>
      </c>
      <c r="J25" s="32" t="n">
        <v>-0.88</v>
      </c>
      <c r="K25" s="32" t="n">
        <v>163596</v>
      </c>
      <c r="L25" s="31" t="n">
        <v>78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74.39</v>
      </c>
      <c r="P25" s="32" t="n">
        <v>50.04</v>
      </c>
      <c r="Q25" s="32" t="n">
        <v>259.5</v>
      </c>
      <c r="R25" s="31" t="inlineStr">
        <is>
          <t>Near 52W High Breakout</t>
        </is>
      </c>
      <c r="S25" s="31" t="inlineStr">
        <is>
          <t>Nifty 50</t>
        </is>
      </c>
      <c r="T25" s="32" t="n">
        <v>-0.96</v>
      </c>
      <c r="U25" s="32" t="n">
        <v>31.18</v>
      </c>
      <c r="V25" s="32" t="n">
        <v>32.45</v>
      </c>
      <c r="W25" s="32" t="n">
        <v>22.1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IF(B26=0,"",RANK(B26,$B$2:$B$378,0))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KANORICHEM</t>
        </is>
      </c>
      <c r="D26" s="31" t="inlineStr">
        <is>
          <t>Kanoria Chemicals &amp; Industries Limited</t>
        </is>
      </c>
      <c r="E26" s="31" t="inlineStr">
        <is>
          <t>chemicals</t>
        </is>
      </c>
      <c r="F26" s="31" t="inlineStr">
        <is>
          <t>chemicals</t>
        </is>
      </c>
      <c r="G26" s="31" t="inlineStr">
        <is>
          <t>smallcap</t>
        </is>
      </c>
      <c r="H26" s="32" t="n">
        <v>701.8</v>
      </c>
      <c r="I26" s="32" t="n">
        <v>154.55</v>
      </c>
      <c r="J26" s="32" t="n">
        <v>-1.74</v>
      </c>
      <c r="K26" s="32" t="n">
        <v>34801</v>
      </c>
      <c r="L26" s="31" t="n">
        <v>84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72.14</v>
      </c>
      <c r="P26" s="32" t="n">
        <v>54.36</v>
      </c>
      <c r="Q26" s="32" t="n">
        <v>120.27</v>
      </c>
      <c r="R26" s="31" t="inlineStr">
        <is>
          <t>Near 52W High Breakout</t>
        </is>
      </c>
      <c r="S26" s="31" t="inlineStr">
        <is>
          <t>Nifty 50</t>
        </is>
      </c>
      <c r="T26" s="32" t="n">
        <v>-0.96</v>
      </c>
      <c r="U26" s="32" t="n">
        <v>84.88</v>
      </c>
      <c r="V26" s="32" t="n">
        <v>86.66</v>
      </c>
      <c r="W26" s="32" t="n">
        <v>27.06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IF(B27=0,"",RANK(B27,$B$2:$B$378,0))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WSTCSTPAPR</t>
        </is>
      </c>
      <c r="D27" s="31" t="inlineStr">
        <is>
          <t>West Coast Paper Mills Limited</t>
        </is>
      </c>
      <c r="E27" s="31" t="inlineStr">
        <is>
          <t>building materials</t>
        </is>
      </c>
      <c r="F27" s="31" t="inlineStr">
        <is>
          <t>paper</t>
        </is>
      </c>
      <c r="G27" s="31" t="inlineStr">
        <is>
          <t>smallcap</t>
        </is>
      </c>
      <c r="H27" s="32" t="n">
        <v>3943.78</v>
      </c>
      <c r="I27" s="32" t="n">
        <v>606.1</v>
      </c>
      <c r="J27" s="32" t="n">
        <v>-2.95</v>
      </c>
      <c r="K27" s="32" t="n">
        <v>492943</v>
      </c>
      <c r="L27" s="31" t="n">
        <v>45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69.77</v>
      </c>
      <c r="P27" s="32" t="n">
        <v>41.55</v>
      </c>
      <c r="Q27" s="32" t="n">
        <v>474.75</v>
      </c>
      <c r="R27" s="31" t="inlineStr">
        <is>
          <t>Volume Spike &amp; Near 52W High Breakout</t>
        </is>
      </c>
      <c r="S27" s="31" t="inlineStr">
        <is>
          <t>Nifty Infra</t>
        </is>
      </c>
      <c r="T27" s="32" t="n">
        <v>3.6</v>
      </c>
      <c r="U27" s="32" t="n">
        <v>13.43</v>
      </c>
      <c r="V27" s="32" t="n">
        <v>9.48</v>
      </c>
      <c r="W27" s="32" t="n">
        <v>9.289999999999999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Between 12 to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IF(B28=0,"",RANK(B28,$B$2:$B$378,0))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CPPLUS</t>
        </is>
      </c>
      <c r="D28" s="31" t="inlineStr">
        <is>
          <t>Aditya Infotech Ltd</t>
        </is>
      </c>
      <c r="E28" s="31" t="inlineStr">
        <is>
          <t>consumer discretionary</t>
        </is>
      </c>
      <c r="F28" s="31" t="inlineStr">
        <is>
          <t>trading</t>
        </is>
      </c>
      <c r="G28" s="31" t="inlineStr">
        <is>
          <t>largecap</t>
        </is>
      </c>
      <c r="H28" s="32" t="n">
        <v>44848</v>
      </c>
      <c r="I28" s="32" t="n">
        <v>3704.2</v>
      </c>
      <c r="J28" s="32" t="n">
        <v>-5</v>
      </c>
      <c r="K28" s="32" t="n">
        <v>635695</v>
      </c>
      <c r="L28" s="31" t="n">
        <v>93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74.98</v>
      </c>
      <c r="P28" s="32" t="n">
        <v>69.98</v>
      </c>
      <c r="Q28" s="32" t="n">
        <v>2817.61</v>
      </c>
      <c r="R28" s="31" t="inlineStr">
        <is>
          <t>Near 52W High Breakout</t>
        </is>
      </c>
      <c r="S28" s="31" t="inlineStr">
        <is>
          <t>Nifty 50</t>
        </is>
      </c>
      <c r="T28" s="32" t="n">
        <v>-0.96</v>
      </c>
      <c r="U28" s="32" t="n">
        <v>250.59</v>
      </c>
      <c r="V28" s="32" t="n">
        <v>253.97</v>
      </c>
      <c r="W28" s="32" t="n">
        <v>41.56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IF(B29=0,"",RANK(B29,$B$2:$B$378,0))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RADICO</t>
        </is>
      </c>
      <c r="D29" s="31" t="inlineStr">
        <is>
          <t>Radico Khaitan Limited</t>
        </is>
      </c>
      <c r="E29" s="31" t="inlineStr">
        <is>
          <t>fmcg</t>
        </is>
      </c>
      <c r="F29" s="31" t="inlineStr">
        <is>
          <t>breweries &amp; distilleries</t>
        </is>
      </c>
      <c r="G29" s="31" t="inlineStr">
        <is>
          <t>largecap</t>
        </is>
      </c>
      <c r="H29" s="32" t="n">
        <v>60871.8</v>
      </c>
      <c r="I29" s="32" t="n">
        <v>4675.2</v>
      </c>
      <c r="J29" s="32" t="n">
        <v>3.14</v>
      </c>
      <c r="K29" s="32" t="n">
        <v>787239</v>
      </c>
      <c r="L29" s="31" t="n">
        <v>79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87.20999999999999</v>
      </c>
      <c r="P29" s="32" t="n">
        <v>62.97</v>
      </c>
      <c r="Q29" s="32" t="n">
        <v>4011.47</v>
      </c>
      <c r="R29" s="31" t="inlineStr">
        <is>
          <t>Near 52W High Breakout</t>
        </is>
      </c>
      <c r="S29" s="31" t="inlineStr">
        <is>
          <t>Nifty FMCG</t>
        </is>
      </c>
      <c r="T29" s="32" t="n">
        <v>-10.52</v>
      </c>
      <c r="U29" s="32" t="n">
        <v>73.40000000000001</v>
      </c>
      <c r="V29" s="32" t="n">
        <v>93.8</v>
      </c>
      <c r="W29" s="32" t="n">
        <v>22.56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IF(B30=0,"",RANK(B30,$B$2:$B$378,0))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SAREGAMA</t>
        </is>
      </c>
      <c r="D30" s="31" t="inlineStr">
        <is>
          <t>Saregama India Limited</t>
        </is>
      </c>
      <c r="E30" s="31" t="inlineStr">
        <is>
          <t>media</t>
        </is>
      </c>
      <c r="F30" s="31" t="inlineStr">
        <is>
          <t>entertainment / electronic media software</t>
        </is>
      </c>
      <c r="G30" s="31" t="inlineStr">
        <is>
          <t>midcap</t>
        </is>
      </c>
      <c r="H30" s="32" t="n">
        <v>10201.55</v>
      </c>
      <c r="I30" s="32" t="n">
        <v>531.65</v>
      </c>
      <c r="J30" s="32" t="n">
        <v>3.02</v>
      </c>
      <c r="K30" s="32" t="n">
        <v>646371</v>
      </c>
      <c r="L30" s="31" t="n">
        <v>46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74.56</v>
      </c>
      <c r="P30" s="32" t="n">
        <v>51.48</v>
      </c>
      <c r="Q30" s="32" t="n">
        <v>411.62</v>
      </c>
      <c r="R30" s="31" t="inlineStr">
        <is>
          <t>Near 52W High Breakout</t>
        </is>
      </c>
      <c r="S30" s="31" t="inlineStr">
        <is>
          <t>Nifty IT</t>
        </is>
      </c>
      <c r="T30" s="32" t="n">
        <v>-9.699999999999999</v>
      </c>
      <c r="U30" s="32" t="n">
        <v>12.02</v>
      </c>
      <c r="V30" s="32" t="n">
        <v>24.06</v>
      </c>
      <c r="W30" s="32" t="n">
        <v>9.4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IF(B31=0,"",RANK(B31,$B$2:$B$378,0))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E2E</t>
        </is>
      </c>
      <c r="D31" s="31" t="inlineStr">
        <is>
          <t>E2E Networks Ltd</t>
        </is>
      </c>
      <c r="E31" s="31" t="inlineStr">
        <is>
          <t>i.t</t>
        </is>
      </c>
      <c r="F31" s="31" t="inlineStr">
        <is>
          <t>computers - software - medium / small</t>
        </is>
      </c>
      <c r="G31" s="31" t="inlineStr">
        <is>
          <t>midcap</t>
        </is>
      </c>
      <c r="H31" s="32" t="n">
        <v>12897.14</v>
      </c>
      <c r="I31" s="32" t="n">
        <v>635</v>
      </c>
      <c r="J31" s="32" t="n">
        <v>0.57</v>
      </c>
      <c r="K31" s="32" t="n">
        <v>629942</v>
      </c>
      <c r="L31" s="31" t="n">
        <v>97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75.97</v>
      </c>
      <c r="P31" s="32" t="n">
        <v>48.27</v>
      </c>
      <c r="Q31" s="32" t="n">
        <v>445.83</v>
      </c>
      <c r="R31" s="31" t="inlineStr">
        <is>
          <t>Near 52W High Breakout</t>
        </is>
      </c>
      <c r="S31" s="31" t="inlineStr">
        <is>
          <t>Nifty IT</t>
        </is>
      </c>
      <c r="T31" s="32" t="n">
        <v>-9.699999999999999</v>
      </c>
      <c r="U31" s="32" t="n">
        <v>207.71</v>
      </c>
      <c r="V31" s="32" t="n">
        <v>240.77</v>
      </c>
      <c r="W31" s="32" t="n">
        <v>51.01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IF(B32=0,"",RANK(B32,$B$2:$B$378,0))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UNIVASTU</t>
        </is>
      </c>
      <c r="D32" s="31" t="inlineStr">
        <is>
          <t>Univastu India Ltd</t>
        </is>
      </c>
      <c r="E32" s="31" t="inlineStr">
        <is>
          <t>realty</t>
        </is>
      </c>
      <c r="F32" s="31" t="inlineStr">
        <is>
          <t>construction</t>
        </is>
      </c>
      <c r="G32" s="31" t="inlineStr">
        <is>
          <t>smallcap</t>
        </is>
      </c>
      <c r="H32" s="32" t="n">
        <v>524.6</v>
      </c>
      <c r="I32" s="32" t="n">
        <v>153.04</v>
      </c>
      <c r="J32" s="32" t="n">
        <v>4.99</v>
      </c>
      <c r="K32" s="32" t="n">
        <v>167225</v>
      </c>
      <c r="L32" s="31" t="n">
        <v>95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86.41</v>
      </c>
      <c r="P32" s="32" t="n">
        <v>67.67</v>
      </c>
      <c r="Q32" s="32" t="n">
        <v>117.2</v>
      </c>
      <c r="R32" s="31" t="inlineStr">
        <is>
          <t>Near 52W High Breakout</t>
        </is>
      </c>
      <c r="S32" s="31" t="inlineStr">
        <is>
          <t>Nifty Realty</t>
        </is>
      </c>
      <c r="T32" s="32" t="n">
        <v>-5.49</v>
      </c>
      <c r="U32" s="32" t="n">
        <v>70.29000000000001</v>
      </c>
      <c r="V32" s="32" t="n">
        <v>80.18000000000001</v>
      </c>
      <c r="W32" s="32" t="n">
        <v>44.43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IF(B33=0,"",RANK(B33,$B$2:$B$378,0))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MODISONLTD</t>
        </is>
      </c>
      <c r="D33" s="31" t="inlineStr">
        <is>
          <t>Modison Ltd</t>
        </is>
      </c>
      <c r="E33" s="31" t="inlineStr">
        <is>
          <t>industrials</t>
        </is>
      </c>
      <c r="F33" s="31" t="inlineStr">
        <is>
          <t>electric equipment</t>
        </is>
      </c>
      <c r="G33" s="31" t="inlineStr">
        <is>
          <t>smallcap</t>
        </is>
      </c>
      <c r="H33" s="32" t="n">
        <v>997.6799999999999</v>
      </c>
      <c r="I33" s="32" t="n">
        <v>323</v>
      </c>
      <c r="J33" s="32" t="n">
        <v>4.6</v>
      </c>
      <c r="K33" s="32" t="n">
        <v>311233</v>
      </c>
      <c r="L33" s="31" t="n">
        <v>94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67.45</v>
      </c>
      <c r="P33" s="32" t="n">
        <v>55.87</v>
      </c>
      <c r="Q33" s="32" t="n">
        <v>264.35</v>
      </c>
      <c r="R33" s="31" t="inlineStr">
        <is>
          <t>Volume Spike / Accumulation</t>
        </is>
      </c>
      <c r="S33" s="31" t="inlineStr">
        <is>
          <t>Nifty 50</t>
        </is>
      </c>
      <c r="T33" s="32" t="n">
        <v>-0.96</v>
      </c>
      <c r="U33" s="32" t="n">
        <v>110</v>
      </c>
      <c r="V33" s="32" t="n">
        <v>112.03</v>
      </c>
      <c r="W33" s="32" t="n">
        <v>41.61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IF(B34=0,"",RANK(B34,$B$2:$B$378,0))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SPECTRUM</t>
        </is>
      </c>
      <c r="D34" s="31" t="inlineStr">
        <is>
          <t>Spectrum Electrical Industries Ltd</t>
        </is>
      </c>
      <c r="E34" s="31" t="inlineStr">
        <is>
          <t>industrials</t>
        </is>
      </c>
      <c r="F34" s="31" t="inlineStr">
        <is>
          <t>electric equipment</t>
        </is>
      </c>
      <c r="G34" s="31" t="inlineStr">
        <is>
          <t>smallcap</t>
        </is>
      </c>
      <c r="H34" s="32" t="n">
        <v>3777.14</v>
      </c>
      <c r="I34" s="32" t="n">
        <v>2375</v>
      </c>
      <c r="J34" s="32" t="n">
        <v>4</v>
      </c>
      <c r="K34" s="32" t="n">
        <v>13322</v>
      </c>
      <c r="L34" s="31" t="n">
        <v>92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72.72</v>
      </c>
      <c r="P34" s="32" t="n">
        <v>56.5</v>
      </c>
      <c r="Q34" s="32" t="n">
        <v>1709.81</v>
      </c>
      <c r="R34" s="31" t="inlineStr">
        <is>
          <t>Near 52W High Breakout</t>
        </is>
      </c>
      <c r="S34" s="31" t="inlineStr">
        <is>
          <t>Nifty Infra</t>
        </is>
      </c>
      <c r="T34" s="32" t="n">
        <v>3.6</v>
      </c>
      <c r="U34" s="32" t="n">
        <v>50.43</v>
      </c>
      <c r="V34" s="32" t="n">
        <v>45.2</v>
      </c>
      <c r="W34" s="32" t="n">
        <v>37.02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Between 0.7 to 1.2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IF(B35=0,"",RANK(B35,$B$2:$B$378,0))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KDDL</t>
        </is>
      </c>
      <c r="D35" s="31" t="inlineStr">
        <is>
          <t>Kddl Limited</t>
        </is>
      </c>
      <c r="E35" s="31" t="inlineStr">
        <is>
          <t>consumer discretionary</t>
        </is>
      </c>
      <c r="F35" s="31" t="inlineStr">
        <is>
          <t>miscellaneous</t>
        </is>
      </c>
      <c r="G35" s="31" t="inlineStr">
        <is>
          <t>smallcap</t>
        </is>
      </c>
      <c r="H35" s="32" t="n">
        <v>4725.63</v>
      </c>
      <c r="I35" s="32" t="n">
        <v>3950.1</v>
      </c>
      <c r="J35" s="32" t="n">
        <v>2.58</v>
      </c>
      <c r="K35" s="32" t="n">
        <v>22301</v>
      </c>
      <c r="L35" s="31" t="n">
        <v>84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77.76000000000001</v>
      </c>
      <c r="P35" s="32" t="n">
        <v>40.73</v>
      </c>
      <c r="Q35" s="32" t="n">
        <v>3046.52</v>
      </c>
      <c r="R35" s="31" t="inlineStr">
        <is>
          <t>Near 52W High Breakout</t>
        </is>
      </c>
      <c r="S35" s="31" t="inlineStr">
        <is>
          <t>Nifty 50</t>
        </is>
      </c>
      <c r="T35" s="32" t="n">
        <v>-0.96</v>
      </c>
      <c r="U35" s="32" t="n">
        <v>53.52</v>
      </c>
      <c r="V35" s="32" t="n">
        <v>55</v>
      </c>
      <c r="W35" s="32" t="n">
        <v>27.62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IF(B36=0,"",RANK(B36,$B$2:$B$378,0))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HSCL</t>
        </is>
      </c>
      <c r="D36" s="31" t="inlineStr">
        <is>
          <t>Himadri Speciality Chemical Limited</t>
        </is>
      </c>
      <c r="E36" s="31" t="inlineStr">
        <is>
          <t>chemicals</t>
        </is>
      </c>
      <c r="F36" s="31" t="inlineStr">
        <is>
          <t>chemicals</t>
        </is>
      </c>
      <c r="G36" s="31" t="inlineStr">
        <is>
          <t>largecap</t>
        </is>
      </c>
      <c r="H36" s="32" t="n">
        <v>38118.12</v>
      </c>
      <c r="I36" s="32" t="n">
        <v>778.15</v>
      </c>
      <c r="J36" s="32" t="n">
        <v>2.07</v>
      </c>
      <c r="K36" s="32" t="n">
        <v>3575841</v>
      </c>
      <c r="L36" s="31" t="n">
        <v>71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72.26000000000001</v>
      </c>
      <c r="P36" s="32" t="n">
        <v>44.37</v>
      </c>
      <c r="Q36" s="32" t="n">
        <v>622.9400000000001</v>
      </c>
      <c r="R36" s="31" t="inlineStr">
        <is>
          <t>Near 52W High Breakout</t>
        </is>
      </c>
      <c r="S36" s="31" t="inlineStr">
        <is>
          <t>Nifty 50</t>
        </is>
      </c>
      <c r="T36" s="32" t="n">
        <v>-0.96</v>
      </c>
      <c r="U36" s="32" t="n">
        <v>66.98</v>
      </c>
      <c r="V36" s="32" t="n">
        <v>68.59</v>
      </c>
      <c r="W36" s="32" t="n">
        <v>18.06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Between 1.5 to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IF(B37=0,"",RANK(B37,$B$2:$B$378,0))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UNIPARTS</t>
        </is>
      </c>
      <c r="D37" s="31" t="inlineStr">
        <is>
          <t>Uniparts India Ltd</t>
        </is>
      </c>
      <c r="E37" s="31" t="inlineStr">
        <is>
          <t>industrials</t>
        </is>
      </c>
      <c r="F37" s="31" t="inlineStr">
        <is>
          <t>engineering</t>
        </is>
      </c>
      <c r="G37" s="31" t="inlineStr">
        <is>
          <t>smallcap</t>
        </is>
      </c>
      <c r="H37" s="32" t="n">
        <v>3639.44</v>
      </c>
      <c r="I37" s="32" t="n">
        <v>824.3</v>
      </c>
      <c r="J37" s="32" t="n">
        <v>1.32</v>
      </c>
      <c r="K37" s="32" t="n">
        <v>91263</v>
      </c>
      <c r="L37" s="31" t="n">
        <v>87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79.92</v>
      </c>
      <c r="P37" s="32" t="n">
        <v>61.7</v>
      </c>
      <c r="Q37" s="32" t="n">
        <v>662.13</v>
      </c>
      <c r="R37" s="31" t="inlineStr">
        <is>
          <t>Near 52W High Breakout</t>
        </is>
      </c>
      <c r="S37" s="31" t="inlineStr">
        <is>
          <t>Nifty 50</t>
        </is>
      </c>
      <c r="T37" s="32" t="n">
        <v>-0.96</v>
      </c>
      <c r="U37" s="32" t="n">
        <v>120.99</v>
      </c>
      <c r="V37" s="32" t="n">
        <v>123.12</v>
      </c>
      <c r="W37" s="32" t="n">
        <v>29.85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IF(B38=0,"",RANK(B38,$B$2:$B$378,0))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TALBROAUTO</t>
        </is>
      </c>
      <c r="D38" s="31" t="inlineStr">
        <is>
          <t>Talbros Automotive Components Limited</t>
        </is>
      </c>
      <c r="E38" s="31" t="inlineStr">
        <is>
          <t>auto</t>
        </is>
      </c>
      <c r="F38" s="31" t="inlineStr">
        <is>
          <t>auto ancillaries</t>
        </is>
      </c>
      <c r="G38" s="31" t="inlineStr">
        <is>
          <t>smallcap</t>
        </is>
      </c>
      <c r="H38" s="32" t="n">
        <v>2530.55</v>
      </c>
      <c r="I38" s="32" t="n">
        <v>422.25</v>
      </c>
      <c r="J38" s="32" t="n">
        <v>1.17</v>
      </c>
      <c r="K38" s="32" t="n">
        <v>130287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68.93000000000001</v>
      </c>
      <c r="P38" s="32" t="n">
        <v>42.91</v>
      </c>
      <c r="Q38" s="32" t="n">
        <v>335.15</v>
      </c>
      <c r="R38" s="31" t="inlineStr">
        <is>
          <t>Near 52W High Breakout</t>
        </is>
      </c>
      <c r="S38" s="31" t="inlineStr">
        <is>
          <t>Nifty Auto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Between 12 to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IF(B39=0,"",RANK(B39,$B$2:$B$378,0))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MENONBE</t>
        </is>
      </c>
      <c r="D39" s="31" t="inlineStr">
        <is>
          <t>Menon Bearings Limited</t>
        </is>
      </c>
      <c r="E39" s="31" t="inlineStr">
        <is>
          <t>auto</t>
        </is>
      </c>
      <c r="F39" s="31" t="inlineStr">
        <is>
          <t>auto ancillaries</t>
        </is>
      </c>
      <c r="G39" s="31" t="inlineStr">
        <is>
          <t>smallcap</t>
        </is>
      </c>
      <c r="H39" s="32" t="n">
        <v>1329.38</v>
      </c>
      <c r="I39" s="32" t="n">
        <v>238</v>
      </c>
      <c r="J39" s="32" t="n">
        <v>1.01</v>
      </c>
      <c r="K39" s="32" t="n">
        <v>30050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79.23999999999999</v>
      </c>
      <c r="P39" s="32" t="n">
        <v>54.26</v>
      </c>
      <c r="Q39" s="32" t="n">
        <v>179.33</v>
      </c>
      <c r="R39" s="31" t="inlineStr">
        <is>
          <t>Near 52W High Breakout</t>
        </is>
      </c>
      <c r="S39" s="31" t="inlineStr">
        <is>
          <t>Nifty Auto</t>
        </is>
      </c>
      <c r="T39" s="32" t="inlineStr"/>
      <c r="U39" s="32" t="inlineStr"/>
      <c r="V39" s="32" t="inlineStr"/>
      <c r="W39" s="32" t="inlineStr"/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IF(B40=0,"",RANK(B40,$B$2:$B$378,0))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BAJAJ-AUTO</t>
        </is>
      </c>
      <c r="D40" s="31" t="inlineStr">
        <is>
          <t>Bajaj Auto Limited</t>
        </is>
      </c>
      <c r="E40" s="31" t="inlineStr">
        <is>
          <t>auto</t>
        </is>
      </c>
      <c r="F40" s="31" t="inlineStr">
        <is>
          <t>automobiles - scooters and 3 - wheelers</t>
        </is>
      </c>
      <c r="G40" s="31" t="inlineStr">
        <is>
          <t>largecap</t>
        </is>
      </c>
      <c r="H40" s="32" t="n">
        <v>327487.62</v>
      </c>
      <c r="I40" s="32" t="n">
        <v>11661</v>
      </c>
      <c r="J40" s="32" t="n">
        <v>-0.33</v>
      </c>
      <c r="K40" s="32" t="n">
        <v>270106</v>
      </c>
      <c r="L40" s="31" t="inlineStr"/>
      <c r="M40" s="31" t="inlineStr"/>
      <c r="N40" s="32">
        <f>IF(M40="Underperforming",-5,IF(L40&gt;=95,15,IF(L40&gt;=90,10,IF(L40&gt;=80,5,0))))</f>
        <v/>
      </c>
      <c r="O40" s="32" t="n">
        <v>72.92</v>
      </c>
      <c r="P40" s="32" t="n">
        <v>23.5</v>
      </c>
      <c r="Q40" s="32" t="n">
        <v>10167.38</v>
      </c>
      <c r="R40" s="31" t="inlineStr">
        <is>
          <t>Near 52W High Breakout</t>
        </is>
      </c>
      <c r="S40" s="31" t="inlineStr">
        <is>
          <t>Nifty Auto</t>
        </is>
      </c>
      <c r="T40" s="32" t="inlineStr"/>
      <c r="U40" s="32" t="inlineStr"/>
      <c r="V40" s="32" t="inlineStr"/>
      <c r="W40" s="32" t="inlineStr"/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IF(B41=0,"",RANK(B41,$B$2:$B$378,0))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SJS</t>
        </is>
      </c>
      <c r="D41" s="31" t="inlineStr">
        <is>
          <t>S J S Enterprises Ltd</t>
        </is>
      </c>
      <c r="E41" s="31" t="inlineStr">
        <is>
          <t>auto</t>
        </is>
      </c>
      <c r="F41" s="31" t="inlineStr">
        <is>
          <t>plastics products</t>
        </is>
      </c>
      <c r="G41" s="31" t="inlineStr">
        <is>
          <t>midcap</t>
        </is>
      </c>
      <c r="H41" s="32" t="n">
        <v>7690.2</v>
      </c>
      <c r="I41" s="32" t="n">
        <v>2405</v>
      </c>
      <c r="J41" s="32" t="n">
        <v>-1.31</v>
      </c>
      <c r="K41" s="32" t="n">
        <v>106355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68.95</v>
      </c>
      <c r="P41" s="32" t="n">
        <v>43.58</v>
      </c>
      <c r="Q41" s="32" t="n">
        <v>1963.75</v>
      </c>
      <c r="R41" s="31" t="inlineStr">
        <is>
          <t>Near 52W High Breakout</t>
        </is>
      </c>
      <c r="S41" s="31" t="inlineStr">
        <is>
          <t>Nifty Auto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IF(B42=0,"",RANK(B42,$B$2:$B$378,0))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AETHER</t>
        </is>
      </c>
      <c r="D42" s="31" t="inlineStr">
        <is>
          <t>Aether Industries Ltd</t>
        </is>
      </c>
      <c r="E42" s="31" t="inlineStr">
        <is>
          <t>chemicals</t>
        </is>
      </c>
      <c r="F42" s="31" t="inlineStr">
        <is>
          <t>chemicals</t>
        </is>
      </c>
      <c r="G42" s="31" t="inlineStr">
        <is>
          <t>largecap</t>
        </is>
      </c>
      <c r="H42" s="32" t="n">
        <v>21687.89</v>
      </c>
      <c r="I42" s="32" t="n">
        <v>1581</v>
      </c>
      <c r="J42" s="32" t="n">
        <v>-1.97</v>
      </c>
      <c r="K42" s="32" t="n">
        <v>218165</v>
      </c>
      <c r="L42" s="31" t="n">
        <v>81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73.68000000000001</v>
      </c>
      <c r="P42" s="32" t="n">
        <v>46.24</v>
      </c>
      <c r="Q42" s="32" t="n">
        <v>1261.55</v>
      </c>
      <c r="R42" s="31" t="inlineStr">
        <is>
          <t>Near 52W High Breakout</t>
        </is>
      </c>
      <c r="S42" s="31" t="inlineStr">
        <is>
          <t>Nifty 50</t>
        </is>
      </c>
      <c r="T42" s="32" t="n">
        <v>-0.96</v>
      </c>
      <c r="U42" s="32" t="n">
        <v>113.08</v>
      </c>
      <c r="V42" s="32" t="n">
        <v>115.14</v>
      </c>
      <c r="W42" s="32" t="n">
        <v>25.53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IF(B43=0,"",RANK(B43,$B$2:$B$378,0))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KPIL</t>
        </is>
      </c>
      <c r="D43" s="31" t="inlineStr">
        <is>
          <t>Kalpataru Projects International Ltd</t>
        </is>
      </c>
      <c r="E43" s="31" t="inlineStr">
        <is>
          <t>realty</t>
        </is>
      </c>
      <c r="F43" s="31" t="inlineStr">
        <is>
          <t>transmisson line towers / equipment</t>
        </is>
      </c>
      <c r="G43" s="31" t="inlineStr">
        <is>
          <t>largecap</t>
        </is>
      </c>
      <c r="H43" s="32" t="n">
        <v>23015.02</v>
      </c>
      <c r="I43" s="32" t="n">
        <v>1354.7</v>
      </c>
      <c r="J43" s="32" t="n">
        <v>-3.01</v>
      </c>
      <c r="K43" s="32" t="n">
        <v>167171</v>
      </c>
      <c r="L43" s="31" t="n">
        <v>31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62.05</v>
      </c>
      <c r="P43" s="32" t="n">
        <v>30.05</v>
      </c>
      <c r="Q43" s="32" t="n">
        <v>1132.87</v>
      </c>
      <c r="R43" s="31" t="inlineStr">
        <is>
          <t>Volume Spike &amp; Near 52W High Breakout</t>
        </is>
      </c>
      <c r="S43" s="31" t="inlineStr">
        <is>
          <t>Nifty Realty</t>
        </is>
      </c>
      <c r="T43" s="32" t="n">
        <v>-5.49</v>
      </c>
      <c r="U43" s="32" t="n">
        <v>19.45</v>
      </c>
      <c r="V43" s="32" t="n">
        <v>26.39</v>
      </c>
      <c r="W43" s="32" t="n">
        <v>6.19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IF(B44=0,"",RANK(B44,$B$2:$B$378,0))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APARINDS</t>
        </is>
      </c>
      <c r="D44" s="31" t="inlineStr">
        <is>
          <t>Apar Industries Limited</t>
        </is>
      </c>
      <c r="E44" s="31" t="inlineStr">
        <is>
          <t>industrials</t>
        </is>
      </c>
      <c r="F44" s="31" t="inlineStr">
        <is>
          <t>electric equipment</t>
        </is>
      </c>
      <c r="G44" s="31" t="inlineStr">
        <is>
          <t>largecap</t>
        </is>
      </c>
      <c r="H44" s="32" t="n">
        <v>67283.81</v>
      </c>
      <c r="I44" s="32" t="n">
        <v>17225</v>
      </c>
      <c r="J44" s="32" t="n">
        <v>-4.31</v>
      </c>
      <c r="K44" s="32" t="n">
        <v>177882</v>
      </c>
      <c r="L44" s="31" t="n">
        <v>79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73.11</v>
      </c>
      <c r="P44" s="32" t="n">
        <v>42.38</v>
      </c>
      <c r="Q44" s="32" t="n">
        <v>13083.21</v>
      </c>
      <c r="R44" s="31" t="inlineStr">
        <is>
          <t>Near 52W High Breakout</t>
        </is>
      </c>
      <c r="S44" s="31" t="inlineStr">
        <is>
          <t>Nifty 50</t>
        </is>
      </c>
      <c r="T44" s="32" t="n">
        <v>-0.96</v>
      </c>
      <c r="U44" s="32" t="n">
        <v>101.1</v>
      </c>
      <c r="V44" s="32" t="n">
        <v>103.04</v>
      </c>
      <c r="W44" s="32" t="n">
        <v>23.22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IF(B45=0,"",RANK(B45,$B$2:$B$378,0))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VADILALIND</t>
        </is>
      </c>
      <c r="D45" s="31" t="inlineStr">
        <is>
          <t>Vadilal Industries Limited</t>
        </is>
      </c>
      <c r="E45" s="31" t="inlineStr">
        <is>
          <t>fmcg</t>
        </is>
      </c>
      <c r="F45" s="31" t="inlineStr">
        <is>
          <t>food - processing - indian</t>
        </is>
      </c>
      <c r="G45" s="31" t="inlineStr">
        <is>
          <t>midcap</t>
        </is>
      </c>
      <c r="H45" s="32" t="n">
        <v>5290.96</v>
      </c>
      <c r="I45" s="32" t="n">
        <v>7781</v>
      </c>
      <c r="J45" s="32" t="n">
        <v>7.38</v>
      </c>
      <c r="K45" s="32" t="n">
        <v>356736</v>
      </c>
      <c r="L45" s="31" t="n">
        <v>83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79.59999999999999</v>
      </c>
      <c r="P45" s="32" t="n">
        <v>41.4</v>
      </c>
      <c r="Q45" s="32" t="n">
        <v>6210.24</v>
      </c>
      <c r="R45" s="31" t="inlineStr">
        <is>
          <t>Volume Spike &amp; Near 52W High Breakout</t>
        </is>
      </c>
      <c r="S45" s="31" t="inlineStr">
        <is>
          <t>Nifty FMCG</t>
        </is>
      </c>
      <c r="T45" s="32" t="n">
        <v>-10.52</v>
      </c>
      <c r="U45" s="32" t="n">
        <v>42.24</v>
      </c>
      <c r="V45" s="32" t="n">
        <v>58.96</v>
      </c>
      <c r="W45" s="32" t="n">
        <v>26.87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IF(B46=0,"",RANK(B46,$B$2:$B$378,0))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BLISSGVS</t>
        </is>
      </c>
      <c r="D46" s="31" t="inlineStr">
        <is>
          <t>Bliss Gvs Pharma Limited</t>
        </is>
      </c>
      <c r="E46" s="31" t="inlineStr">
        <is>
          <t>healthcare</t>
        </is>
      </c>
      <c r="F46" s="31" t="inlineStr">
        <is>
          <t>pharmaceuticals - indian - formulations</t>
        </is>
      </c>
      <c r="G46" s="31" t="inlineStr">
        <is>
          <t>midcap</t>
        </is>
      </c>
      <c r="H46" s="32" t="n">
        <v>5239.71</v>
      </c>
      <c r="I46" s="32" t="n">
        <v>514</v>
      </c>
      <c r="J46" s="32" t="n">
        <v>4.99</v>
      </c>
      <c r="K46" s="32" t="n">
        <v>832827</v>
      </c>
      <c r="L46" s="31" t="n">
        <v>96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77.84999999999999</v>
      </c>
      <c r="P46" s="32" t="n">
        <v>74.55</v>
      </c>
      <c r="Q46" s="32" t="n">
        <v>395.29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20.47</v>
      </c>
      <c r="U46" s="32" t="n">
        <v>204.78</v>
      </c>
      <c r="V46" s="32" t="n">
        <v>152.99</v>
      </c>
      <c r="W46" s="32" t="n">
        <v>45.78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IF(B47=0,"",RANK(B47,$B$2:$B$378,0))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NESTLEIND</t>
        </is>
      </c>
      <c r="D47" s="31" t="inlineStr">
        <is>
          <t>Nestle India Limited</t>
        </is>
      </c>
      <c r="E47" s="31" t="inlineStr">
        <is>
          <t>fmcg</t>
        </is>
      </c>
      <c r="F47" s="31" t="inlineStr">
        <is>
          <t>food - processing - mnc</t>
        </is>
      </c>
      <c r="G47" s="31" t="inlineStr">
        <is>
          <t>largecap</t>
        </is>
      </c>
      <c r="H47" s="32" t="n">
        <v>287935.89</v>
      </c>
      <c r="I47" s="32" t="n">
        <v>1506.9</v>
      </c>
      <c r="J47" s="32" t="n">
        <v>-0.01</v>
      </c>
      <c r="K47" s="32" t="n">
        <v>3718852</v>
      </c>
      <c r="L47" s="31" t="n">
        <v>37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65.27</v>
      </c>
      <c r="P47" s="32" t="n">
        <v>34.39</v>
      </c>
      <c r="Q47" s="32" t="n">
        <v>1343.75</v>
      </c>
      <c r="R47" s="31" t="inlineStr">
        <is>
          <t>Near 52W High Breakout</t>
        </is>
      </c>
      <c r="S47" s="31" t="inlineStr">
        <is>
          <t>Nifty FMCG</t>
        </is>
      </c>
      <c r="T47" s="32" t="n">
        <v>-10.52</v>
      </c>
      <c r="U47" s="32" t="n">
        <v>33.85</v>
      </c>
      <c r="V47" s="32" t="n">
        <v>49.59</v>
      </c>
      <c r="W47" s="32" t="n">
        <v>7.43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Between 1.5 to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IF(B48=0,"",RANK(B48,$B$2:$B$378,0))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INDSWFTLAB</t>
        </is>
      </c>
      <c r="D48" s="31" t="inlineStr">
        <is>
          <t>Ind-swift Laboratories Limited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smallcap</t>
        </is>
      </c>
      <c r="H48" s="32" t="n">
        <v>2475.62</v>
      </c>
      <c r="I48" s="32" t="n">
        <v>296.63</v>
      </c>
      <c r="J48" s="32" t="n">
        <v>-1.12</v>
      </c>
      <c r="K48" s="32" t="n">
        <v>1787633</v>
      </c>
      <c r="L48" s="31" t="n">
        <v>97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83.41</v>
      </c>
      <c r="P48" s="32" t="n">
        <v>60.53</v>
      </c>
      <c r="Q48" s="32" t="n">
        <v>222.64</v>
      </c>
      <c r="R48" s="31" t="inlineStr">
        <is>
          <t>Volume Spike &amp; Near 52W High Breakout</t>
        </is>
      </c>
      <c r="S48" s="31" t="inlineStr">
        <is>
          <t>Nifty Pharma</t>
        </is>
      </c>
      <c r="T48" s="32" t="n">
        <v>20.47</v>
      </c>
      <c r="U48" s="32" t="n">
        <v>192.42</v>
      </c>
      <c r="V48" s="32" t="n">
        <v>142.73</v>
      </c>
      <c r="W48" s="32" t="n">
        <v>54.98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IF(B49=0,"",RANK(B49,$B$2:$B$378,0))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SAKAR</t>
        </is>
      </c>
      <c r="D49" s="31" t="inlineStr">
        <is>
          <t>Sakar Healthcare Ltd</t>
        </is>
      </c>
      <c r="E49" s="31" t="inlineStr">
        <is>
          <t>healthcare</t>
        </is>
      </c>
      <c r="F49" s="31" t="inlineStr">
        <is>
          <t>pharmaceuticals - indian - bulk drugs &amp; formln</t>
        </is>
      </c>
      <c r="G49" s="31" t="inlineStr">
        <is>
          <t>smallcap</t>
        </is>
      </c>
      <c r="H49" s="32" t="n">
        <v>2122.09</v>
      </c>
      <c r="I49" s="32" t="n">
        <v>918.3</v>
      </c>
      <c r="J49" s="32" t="n">
        <v>-1.87</v>
      </c>
      <c r="K49" s="32" t="n">
        <v>99965</v>
      </c>
      <c r="L49" s="31" t="n">
        <v>88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70.65000000000001</v>
      </c>
      <c r="P49" s="32" t="n">
        <v>55.96</v>
      </c>
      <c r="Q49" s="32" t="n">
        <v>659.05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20.47</v>
      </c>
      <c r="U49" s="32" t="n">
        <v>181.99</v>
      </c>
      <c r="V49" s="32" t="n">
        <v>134.07</v>
      </c>
      <c r="W49" s="32" t="n">
        <v>30.79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IF(B50=0,"",RANK(B50,$B$2:$B$378,0))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THYROCARE</t>
        </is>
      </c>
      <c r="D50" s="31" t="inlineStr">
        <is>
          <t>Thyrocare Technologies Limited</t>
        </is>
      </c>
      <c r="E50" s="31" t="inlineStr">
        <is>
          <t>healthcare</t>
        </is>
      </c>
      <c r="F50" s="31" t="inlineStr">
        <is>
          <t>healthcare</t>
        </is>
      </c>
      <c r="G50" s="31" t="inlineStr">
        <is>
          <t>midcap</t>
        </is>
      </c>
      <c r="H50" s="32" t="n">
        <v>10335.4</v>
      </c>
      <c r="I50" s="32" t="n">
        <v>606</v>
      </c>
      <c r="J50" s="32" t="n">
        <v>-5.75</v>
      </c>
      <c r="K50" s="32" t="n">
        <v>6612635</v>
      </c>
      <c r="L50" s="31" t="n">
        <v>61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71.70999999999999</v>
      </c>
      <c r="P50" s="32" t="n">
        <v>57.48</v>
      </c>
      <c r="Q50" s="32" t="n">
        <v>461.93</v>
      </c>
      <c r="R50" s="31" t="inlineStr">
        <is>
          <t>Volume Spike &amp; Near 52W High Breakout</t>
        </is>
      </c>
      <c r="S50" s="31" t="inlineStr">
        <is>
          <t>Nifty Pharma</t>
        </is>
      </c>
      <c r="T50" s="32" t="n">
        <v>20.47</v>
      </c>
      <c r="U50" s="32" t="n">
        <v>33.85</v>
      </c>
      <c r="V50" s="32" t="n">
        <v>11.1</v>
      </c>
      <c r="W50" s="32" t="n">
        <v>14.26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Between 1.5 to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IF(B51=0,"",RANK(B51,$B$2:$B$378,0))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MUNJALSHOW</t>
        </is>
      </c>
      <c r="D51" s="31" t="inlineStr">
        <is>
          <t>Munjal Showa Limited</t>
        </is>
      </c>
      <c r="E51" s="31" t="inlineStr">
        <is>
          <t>auto</t>
        </is>
      </c>
      <c r="F51" s="31" t="inlineStr">
        <is>
          <t>auto ancillaries</t>
        </is>
      </c>
      <c r="G51" s="31" t="inlineStr">
        <is>
          <t>smallcap</t>
        </is>
      </c>
      <c r="H51" s="32" t="n">
        <v>539.53</v>
      </c>
      <c r="I51" s="32" t="n">
        <v>140.08</v>
      </c>
      <c r="J51" s="32" t="n">
        <v>5.81</v>
      </c>
      <c r="K51" s="32" t="n">
        <v>465863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65.15000000000001</v>
      </c>
      <c r="P51" s="32" t="n">
        <v>30.6</v>
      </c>
      <c r="Q51" s="32" t="n">
        <v>115.77</v>
      </c>
      <c r="R51" s="31" t="inlineStr">
        <is>
          <t>Volume Spike &amp; Near 52W High Breakout</t>
        </is>
      </c>
      <c r="S51" s="31" t="inlineStr">
        <is>
          <t>Nifty Auto</t>
        </is>
      </c>
      <c r="T51" s="32" t="inlineStr"/>
      <c r="U51" s="32" t="inlineStr"/>
      <c r="V51" s="32" t="inlineStr"/>
      <c r="W51" s="32" t="inlineStr"/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IF(B52=0,"",RANK(B52,$B$2:$B$378,0))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ROLEXRINGS</t>
        </is>
      </c>
      <c r="D52" s="31" t="inlineStr">
        <is>
          <t>Rolex Rings Ltd</t>
        </is>
      </c>
      <c r="E52" s="31" t="inlineStr">
        <is>
          <t>auto</t>
        </is>
      </c>
      <c r="F52" s="31" t="inlineStr">
        <is>
          <t>auto ancillaries</t>
        </is>
      </c>
      <c r="G52" s="31" t="inlineStr">
        <is>
          <t>smallcap</t>
        </is>
      </c>
      <c r="H52" s="32" t="n">
        <v>4828.19</v>
      </c>
      <c r="I52" s="32" t="n">
        <v>178.26</v>
      </c>
      <c r="J52" s="32" t="n">
        <v>3.03</v>
      </c>
      <c r="K52" s="32" t="n">
        <v>8062504</v>
      </c>
      <c r="L52" s="31" t="inlineStr"/>
      <c r="M52" s="31" t="inlineStr"/>
      <c r="N52" s="32">
        <f>IF(M52="Underperforming",-5,IF(L52&gt;=95,15,IF(L52&gt;=90,10,IF(L52&gt;=80,5,0))))</f>
        <v/>
      </c>
      <c r="O52" s="32" t="n">
        <v>66.06999999999999</v>
      </c>
      <c r="P52" s="32" t="n">
        <v>35.53</v>
      </c>
      <c r="Q52" s="32" t="n">
        <v>136.68</v>
      </c>
      <c r="R52" s="31" t="inlineStr">
        <is>
          <t>Volume Spike &amp; Near 52W High Breakout</t>
        </is>
      </c>
      <c r="S52" s="31" t="inlineStr">
        <is>
          <t>Nifty Auto</t>
        </is>
      </c>
      <c r="T52" s="32" t="inlineStr"/>
      <c r="U52" s="32" t="inlineStr"/>
      <c r="V52" s="32" t="inlineStr"/>
      <c r="W52" s="32" t="inlineStr"/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IF(B53=0,"",RANK(B53,$B$2:$B$378,0))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HFCL</t>
        </is>
      </c>
      <c r="D53" s="31" t="inlineStr">
        <is>
          <t>HFCL Ltd</t>
        </is>
      </c>
      <c r="E53" s="31" t="inlineStr">
        <is>
          <t>telecom</t>
        </is>
      </c>
      <c r="F53" s="31" t="inlineStr">
        <is>
          <t>cables - telephone</t>
        </is>
      </c>
      <c r="G53" s="31" t="inlineStr">
        <is>
          <t>largecap</t>
        </is>
      </c>
      <c r="H53" s="32" t="n">
        <v>32791.63</v>
      </c>
      <c r="I53" s="32" t="n">
        <v>227.36</v>
      </c>
      <c r="J53" s="32" t="n">
        <v>2.64</v>
      </c>
      <c r="K53" s="32" t="n">
        <v>23585794</v>
      </c>
      <c r="L53" s="31" t="n">
        <v>98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77.19</v>
      </c>
      <c r="P53" s="32" t="n">
        <v>66.39</v>
      </c>
      <c r="Q53" s="32" t="n">
        <v>168.7</v>
      </c>
      <c r="R53" s="31" t="inlineStr">
        <is>
          <t>Near 52W High Breakout</t>
        </is>
      </c>
      <c r="S53" s="31" t="inlineStr">
        <is>
          <t>Nifty Infra</t>
        </is>
      </c>
      <c r="T53" s="32" t="n">
        <v>3.6</v>
      </c>
      <c r="U53" s="32" t="n">
        <v>199.82</v>
      </c>
      <c r="V53" s="32" t="n">
        <v>189.4</v>
      </c>
      <c r="W53" s="32" t="n">
        <v>59.77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IF(B54=0,"",RANK(B54,$B$2:$B$378,0))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ADOR</t>
        </is>
      </c>
      <c r="D54" s="31" t="inlineStr">
        <is>
          <t>Ador Welding Ltd</t>
        </is>
      </c>
      <c r="E54" s="31" t="inlineStr">
        <is>
          <t>industrials</t>
        </is>
      </c>
      <c r="F54" s="31" t="inlineStr">
        <is>
          <t>electrodes - welding equipment</t>
        </is>
      </c>
      <c r="G54" s="31" t="inlineStr">
        <is>
          <t>smallcap</t>
        </is>
      </c>
      <c r="H54" s="32" t="n">
        <v>2620.17</v>
      </c>
      <c r="I54" s="32" t="n">
        <v>1509</v>
      </c>
      <c r="J54" s="32" t="n">
        <v>2.05</v>
      </c>
      <c r="K54" s="32" t="n">
        <v>23945</v>
      </c>
      <c r="L54" s="31" t="n">
        <v>77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80.67</v>
      </c>
      <c r="P54" s="32" t="n">
        <v>50.64</v>
      </c>
      <c r="Q54" s="32" t="n">
        <v>1213.33</v>
      </c>
      <c r="R54" s="31" t="inlineStr">
        <is>
          <t>Near 52W High Breakout</t>
        </is>
      </c>
      <c r="S54" s="31" t="inlineStr">
        <is>
          <t>Nifty 50</t>
        </is>
      </c>
      <c r="T54" s="32" t="n">
        <v>-0.96</v>
      </c>
      <c r="U54" s="32" t="n">
        <v>68.3</v>
      </c>
      <c r="V54" s="32" t="n">
        <v>69.92</v>
      </c>
      <c r="W54" s="32" t="n">
        <v>21.24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IF(B55=0,"",RANK(B55,$B$2:$B$378,0))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STLTECH</t>
        </is>
      </c>
      <c r="D55" s="31" t="inlineStr">
        <is>
          <t>Sterlite Technologies Limited</t>
        </is>
      </c>
      <c r="E55" s="31" t="inlineStr">
        <is>
          <t>industrials</t>
        </is>
      </c>
      <c r="F55" s="31" t="inlineStr">
        <is>
          <t>cables - telephone</t>
        </is>
      </c>
      <c r="G55" s="31" t="inlineStr">
        <is>
          <t>largecap</t>
        </is>
      </c>
      <c r="H55" s="32" t="n">
        <v>31861.56</v>
      </c>
      <c r="I55" s="32" t="n">
        <v>660.8</v>
      </c>
      <c r="J55" s="32" t="n">
        <v>1.51</v>
      </c>
      <c r="K55" s="32" t="n">
        <v>2986860</v>
      </c>
      <c r="L55" s="31" t="n">
        <v>98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74.97</v>
      </c>
      <c r="P55" s="32" t="n">
        <v>80.28</v>
      </c>
      <c r="Q55" s="32" t="n">
        <v>459.37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3.6</v>
      </c>
      <c r="U55" s="32" t="n">
        <v>463.39</v>
      </c>
      <c r="V55" s="32" t="n">
        <v>443.8</v>
      </c>
      <c r="W55" s="32" t="n">
        <v>94.69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IF(B56=0,"",RANK(B56,$B$2:$B$378,0))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HITECHCORP</t>
        </is>
      </c>
      <c r="D56" s="31" t="inlineStr">
        <is>
          <t>Hitech Corporation</t>
        </is>
      </c>
      <c r="E56" s="31" t="inlineStr">
        <is>
          <t>industrials</t>
        </is>
      </c>
      <c r="F56" s="31" t="inlineStr">
        <is>
          <t>packaging</t>
        </is>
      </c>
      <c r="G56" s="31" t="inlineStr">
        <is>
          <t>smallcap</t>
        </is>
      </c>
      <c r="H56" s="32" t="n">
        <v>555.03</v>
      </c>
      <c r="I56" s="32" t="n">
        <v>331</v>
      </c>
      <c r="J56" s="32" t="n">
        <v>1.46</v>
      </c>
      <c r="K56" s="32" t="n">
        <v>19491</v>
      </c>
      <c r="L56" s="31" t="n">
        <v>96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81.58</v>
      </c>
      <c r="P56" s="32" t="n">
        <v>58.97</v>
      </c>
      <c r="Q56" s="32" t="n">
        <v>268.37</v>
      </c>
      <c r="R56" s="31" t="inlineStr">
        <is>
          <t>Near 52W High Breakout</t>
        </is>
      </c>
      <c r="S56" s="31" t="inlineStr">
        <is>
          <t>Nifty 50</t>
        </is>
      </c>
      <c r="T56" s="32" t="n">
        <v>-0.96</v>
      </c>
      <c r="U56" s="32" t="n">
        <v>63.05</v>
      </c>
      <c r="V56" s="32" t="n">
        <v>64.62</v>
      </c>
      <c r="W56" s="32" t="n">
        <v>50.67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Between 50% to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IF(B57=0,"",RANK(B57,$B$2:$B$378,0))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GRWRHITECH</t>
        </is>
      </c>
      <c r="D57" s="31" t="inlineStr">
        <is>
          <t>Garware Hi Tech Films Ltd</t>
        </is>
      </c>
      <c r="E57" s="31" t="inlineStr">
        <is>
          <t>industrials</t>
        </is>
      </c>
      <c r="F57" s="31" t="inlineStr">
        <is>
          <t>packaging</t>
        </is>
      </c>
      <c r="G57" s="31" t="inlineStr">
        <is>
          <t>midcap</t>
        </is>
      </c>
      <c r="H57" s="32" t="n">
        <v>16310.3</v>
      </c>
      <c r="I57" s="32" t="n">
        <v>7230</v>
      </c>
      <c r="J57" s="32" t="n">
        <v>1.37</v>
      </c>
      <c r="K57" s="32" t="n">
        <v>78803</v>
      </c>
      <c r="L57" s="31" t="n">
        <v>86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75.77</v>
      </c>
      <c r="P57" s="32" t="n">
        <v>60.72</v>
      </c>
      <c r="Q57" s="32" t="n">
        <v>5520.59</v>
      </c>
      <c r="R57" s="31" t="inlineStr">
        <is>
          <t>Near 52W High Breakout</t>
        </is>
      </c>
      <c r="S57" s="31" t="inlineStr">
        <is>
          <t>Nifty 50</t>
        </is>
      </c>
      <c r="T57" s="32" t="n">
        <v>-0.96</v>
      </c>
      <c r="U57" s="32" t="n">
        <v>161.62</v>
      </c>
      <c r="V57" s="32" t="n">
        <v>164.14</v>
      </c>
      <c r="W57" s="32" t="n">
        <v>28.79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IF(B58=0,"",RANK(B58,$B$2:$B$378,0))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SREEL</t>
        </is>
      </c>
      <c r="D58" s="31" t="inlineStr">
        <is>
          <t>Sreeleathers Limited</t>
        </is>
      </c>
      <c r="E58" s="31" t="inlineStr">
        <is>
          <t>consumer discretionary</t>
        </is>
      </c>
      <c r="F58" s="31" t="inlineStr">
        <is>
          <t>trading</t>
        </is>
      </c>
      <c r="G58" s="31" t="inlineStr">
        <is>
          <t>smallcap</t>
        </is>
      </c>
      <c r="H58" s="32" t="n">
        <v>534.1900000000001</v>
      </c>
      <c r="I58" s="32" t="n">
        <v>240.48</v>
      </c>
      <c r="J58" s="32" t="n">
        <v>0.57</v>
      </c>
      <c r="K58" s="32" t="n">
        <v>19543</v>
      </c>
      <c r="L58" s="31" t="n">
        <v>31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66.7</v>
      </c>
      <c r="P58" s="32" t="n">
        <v>39.43</v>
      </c>
      <c r="Q58" s="32" t="n">
        <v>187.01</v>
      </c>
      <c r="R58" s="31" t="inlineStr">
        <is>
          <t>Volume Spike &amp; Near 52W High Breakout</t>
        </is>
      </c>
      <c r="S58" s="31" t="inlineStr">
        <is>
          <t>Nifty 50</t>
        </is>
      </c>
      <c r="T58" s="32" t="n">
        <v>-0.96</v>
      </c>
      <c r="U58" s="32" t="n">
        <v>0.96</v>
      </c>
      <c r="V58" s="32" t="n">
        <v>1.94</v>
      </c>
      <c r="W58" s="32" t="n">
        <v>6.18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IF(B59=0,"",RANK(B59,$B$2:$B$378,0))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KAJARIACER</t>
        </is>
      </c>
      <c r="D59" s="31" t="inlineStr">
        <is>
          <t>Kajaria Ceramics Limited</t>
        </is>
      </c>
      <c r="E59" s="31" t="inlineStr">
        <is>
          <t>building materials</t>
        </is>
      </c>
      <c r="F59" s="31" t="inlineStr">
        <is>
          <t>ceramics - tiles / sanitaryware</t>
        </is>
      </c>
      <c r="G59" s="31" t="inlineStr">
        <is>
          <t>midcap</t>
        </is>
      </c>
      <c r="H59" s="32" t="n">
        <v>19520.41</v>
      </c>
      <c r="I59" s="32" t="n">
        <v>1256</v>
      </c>
      <c r="J59" s="32" t="n">
        <v>0.3</v>
      </c>
      <c r="K59" s="32" t="n">
        <v>268475</v>
      </c>
      <c r="L59" s="31" t="n">
        <v>19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64.36</v>
      </c>
      <c r="P59" s="32" t="n">
        <v>25.42</v>
      </c>
      <c r="Q59" s="32" t="n">
        <v>1041.29</v>
      </c>
      <c r="R59" s="31" t="inlineStr">
        <is>
          <t>Near 52W High Breakout</t>
        </is>
      </c>
      <c r="S59" s="31" t="inlineStr">
        <is>
          <t>Nifty Infra</t>
        </is>
      </c>
      <c r="T59" s="32" t="n">
        <v>3.6</v>
      </c>
      <c r="U59" s="32" t="n">
        <v>8.779999999999999</v>
      </c>
      <c r="V59" s="32" t="n">
        <v>5</v>
      </c>
      <c r="W59" s="32" t="n">
        <v>3.89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IF(B60=0,"",RANK(B60,$B$2:$B$378,0))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TDPOWERSYS</t>
        </is>
      </c>
      <c r="D60" s="31" t="inlineStr">
        <is>
          <t>Td Power Systems Limited</t>
        </is>
      </c>
      <c r="E60" s="31" t="inlineStr">
        <is>
          <t>industrials</t>
        </is>
      </c>
      <c r="F60" s="31" t="inlineStr">
        <is>
          <t>electric equipment</t>
        </is>
      </c>
      <c r="G60" s="31" t="inlineStr">
        <is>
          <t>midcap</t>
        </is>
      </c>
      <c r="H60" s="32" t="n">
        <v>19928.5</v>
      </c>
      <c r="I60" s="32" t="n">
        <v>1481.6</v>
      </c>
      <c r="J60" s="32" t="n">
        <v>0.1</v>
      </c>
      <c r="K60" s="32" t="n">
        <v>2220712</v>
      </c>
      <c r="L60" s="31" t="n">
        <v>86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71.84999999999999</v>
      </c>
      <c r="P60" s="32" t="n">
        <v>32.5</v>
      </c>
      <c r="Q60" s="32" t="n">
        <v>1065.65</v>
      </c>
      <c r="R60" s="31" t="inlineStr">
        <is>
          <t>Volume Spike &amp; Near 52W High Breakout</t>
        </is>
      </c>
      <c r="S60" s="31" t="inlineStr">
        <is>
          <t>Nifty 50</t>
        </is>
      </c>
      <c r="T60" s="32" t="n">
        <v>-0.96</v>
      </c>
      <c r="U60" s="32" t="n">
        <v>191.98</v>
      </c>
      <c r="V60" s="32" t="n">
        <v>194.8</v>
      </c>
      <c r="W60" s="32" t="n">
        <v>28.85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IF(B61=0,"",RANK(B61,$B$2:$B$378,0))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KRYSTAL</t>
        </is>
      </c>
      <c r="D61" s="31" t="inlineStr">
        <is>
          <t>Krystal Integrated Services Ltd</t>
        </is>
      </c>
      <c r="E61" s="31" t="inlineStr">
        <is>
          <t>miscellaneous</t>
        </is>
      </c>
      <c r="F61" s="31" t="inlineStr">
        <is>
          <t>miscellaneous</t>
        </is>
      </c>
      <c r="G61" s="31" t="inlineStr">
        <is>
          <t>smallcap</t>
        </is>
      </c>
      <c r="H61" s="32" t="n">
        <v>874.5700000000001</v>
      </c>
      <c r="I61" s="32" t="n">
        <v>620</v>
      </c>
      <c r="J61" s="32" t="n">
        <v>-0.08</v>
      </c>
      <c r="K61" s="32" t="n">
        <v>8130</v>
      </c>
      <c r="L61" s="31" t="n">
        <v>11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59.33</v>
      </c>
      <c r="P61" s="32" t="n">
        <v>24.77</v>
      </c>
      <c r="Q61" s="32" t="n">
        <v>526.62</v>
      </c>
      <c r="R61" s="31" t="inlineStr">
        <is>
          <t>Volume Spike / Accumulation</t>
        </is>
      </c>
      <c r="S61" s="31" t="inlineStr">
        <is>
          <t>Nifty 50</t>
        </is>
      </c>
      <c r="T61" s="32" t="n">
        <v>-0.96</v>
      </c>
      <c r="U61" s="32" t="n">
        <v>0.88</v>
      </c>
      <c r="V61" s="32" t="n">
        <v>1.86</v>
      </c>
      <c r="W61" s="32" t="n">
        <v>1.51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IF(B62=0,"",RANK(B62,$B$2:$B$378,0))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GOCLCORP</t>
        </is>
      </c>
      <c r="D62" s="31" t="inlineStr">
        <is>
          <t>Gocl Corporation Limited</t>
        </is>
      </c>
      <c r="E62" s="31" t="inlineStr">
        <is>
          <t>miscellaneous</t>
        </is>
      </c>
      <c r="F62" s="31" t="inlineStr">
        <is>
          <t>diversified - medium / small</t>
        </is>
      </c>
      <c r="G62" s="31" t="inlineStr">
        <is>
          <t>smallcap</t>
        </is>
      </c>
      <c r="H62" s="32" t="n">
        <v>2129.39</v>
      </c>
      <c r="I62" s="32" t="n">
        <v>431.2</v>
      </c>
      <c r="J62" s="32" t="n">
        <v>-0.14</v>
      </c>
      <c r="K62" s="32" t="n">
        <v>42869</v>
      </c>
      <c r="L62" s="31" t="n">
        <v>62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66.33</v>
      </c>
      <c r="P62" s="32" t="n">
        <v>42.81</v>
      </c>
      <c r="Q62" s="32" t="n">
        <v>336.48</v>
      </c>
      <c r="R62" s="31" t="inlineStr">
        <is>
          <t>Near 52W High Breakout</t>
        </is>
      </c>
      <c r="S62" s="31" t="inlineStr">
        <is>
          <t>Nifty IT</t>
        </is>
      </c>
      <c r="T62" s="32" t="n">
        <v>-9.699999999999999</v>
      </c>
      <c r="U62" s="32" t="n">
        <v>20.67</v>
      </c>
      <c r="V62" s="32" t="n">
        <v>33.63</v>
      </c>
      <c r="W62" s="32" t="n">
        <v>14.49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IF(B63=0,"",RANK(B63,$B$2:$B$378,0))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RAMCOIND</t>
        </is>
      </c>
      <c r="D63" s="31" t="inlineStr">
        <is>
          <t>Ramco Industries Limited</t>
        </is>
      </c>
      <c r="E63" s="31" t="inlineStr">
        <is>
          <t>building materials</t>
        </is>
      </c>
      <c r="F63" s="31" t="inlineStr">
        <is>
          <t>cement products</t>
        </is>
      </c>
      <c r="G63" s="31" t="inlineStr">
        <is>
          <t>smallcap</t>
        </is>
      </c>
      <c r="H63" s="32" t="n">
        <v>3218.35</v>
      </c>
      <c r="I63" s="32" t="n">
        <v>357.4</v>
      </c>
      <c r="J63" s="32" t="n">
        <v>-0.47</v>
      </c>
      <c r="K63" s="32" t="n">
        <v>499903</v>
      </c>
      <c r="L63" s="31" t="n">
        <v>59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62.17</v>
      </c>
      <c r="P63" s="32" t="n">
        <v>32.63</v>
      </c>
      <c r="Q63" s="32" t="n">
        <v>276.39</v>
      </c>
      <c r="R63" s="31" t="inlineStr">
        <is>
          <t>Volume Spike / Accumulation</t>
        </is>
      </c>
      <c r="S63" s="31" t="inlineStr">
        <is>
          <t>Nifty Infra</t>
        </is>
      </c>
      <c r="T63" s="32" t="n">
        <v>3.6</v>
      </c>
      <c r="U63" s="32" t="n">
        <v>25.81</v>
      </c>
      <c r="V63" s="32" t="n">
        <v>21.43</v>
      </c>
      <c r="W63" s="32" t="n">
        <v>12.94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IF(B64=0,"",RANK(B64,$B$2:$B$378,0))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HAPPYFORGE</t>
        </is>
      </c>
      <c r="D64" s="31" t="inlineStr">
        <is>
          <t>Happy Forgings Ltd</t>
        </is>
      </c>
      <c r="E64" s="31" t="inlineStr">
        <is>
          <t>industrials</t>
        </is>
      </c>
      <c r="F64" s="31" t="inlineStr">
        <is>
          <t>castings &amp; forgings</t>
        </is>
      </c>
      <c r="G64" s="31" t="inlineStr">
        <is>
          <t>midcap</t>
        </is>
      </c>
      <c r="H64" s="32" t="n">
        <v>18005.57</v>
      </c>
      <c r="I64" s="32" t="n">
        <v>2007.6</v>
      </c>
      <c r="J64" s="32" t="n">
        <v>-0.75</v>
      </c>
      <c r="K64" s="32" t="n">
        <v>67946</v>
      </c>
      <c r="L64" s="31" t="n">
        <v>82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84.45</v>
      </c>
      <c r="P64" s="32" t="n">
        <v>53</v>
      </c>
      <c r="Q64" s="32" t="n">
        <v>1638.44</v>
      </c>
      <c r="R64" s="31" t="inlineStr">
        <is>
          <t>Near 52W High Breakout</t>
        </is>
      </c>
      <c r="S64" s="31" t="inlineStr">
        <is>
          <t>Nifty 50</t>
        </is>
      </c>
      <c r="T64" s="32" t="n">
        <v>-0.96</v>
      </c>
      <c r="U64" s="32" t="n">
        <v>112.76</v>
      </c>
      <c r="V64" s="32" t="n">
        <v>114.82</v>
      </c>
      <c r="W64" s="32" t="n">
        <v>26.39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IF(B65=0,"",RANK(B65,$B$2:$B$378,0))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SETL</t>
        </is>
      </c>
      <c r="D65" s="31" t="inlineStr">
        <is>
          <t>Standard Enginnering Technology Ltd</t>
        </is>
      </c>
      <c r="E65" s="31" t="inlineStr">
        <is>
          <t>industrials</t>
        </is>
      </c>
      <c r="F65" s="31" t="inlineStr">
        <is>
          <t>engineering</t>
        </is>
      </c>
      <c r="G65" s="31" t="inlineStr">
        <is>
          <t>midcap</t>
        </is>
      </c>
      <c r="H65" s="32" t="n">
        <v>5930.89</v>
      </c>
      <c r="I65" s="32" t="n">
        <v>297.5</v>
      </c>
      <c r="J65" s="32" t="n">
        <v>-0.85</v>
      </c>
      <c r="K65" s="32" t="n">
        <v>451084</v>
      </c>
      <c r="L65" s="31" t="n">
        <v>95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80.48999999999999</v>
      </c>
      <c r="P65" s="32" t="n">
        <v>47.51</v>
      </c>
      <c r="Q65" s="32" t="n">
        <v>222.93</v>
      </c>
      <c r="R65" s="31" t="inlineStr">
        <is>
          <t>Near 52W High Breakout</t>
        </is>
      </c>
      <c r="S65" s="31" t="inlineStr">
        <is>
          <t>Nifty 50</t>
        </is>
      </c>
      <c r="T65" s="32" t="n">
        <v>-0.96</v>
      </c>
      <c r="U65" s="32" t="n">
        <v>83.70999999999999</v>
      </c>
      <c r="V65" s="32" t="n">
        <v>85.48</v>
      </c>
      <c r="W65" s="32" t="n">
        <v>44.49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IF(B66=0,"",RANK(B66,$B$2:$B$378,0))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RISHABH</t>
        </is>
      </c>
      <c r="D66" s="31" t="inlineStr">
        <is>
          <t>Rishabh Instruments Ltd</t>
        </is>
      </c>
      <c r="E66" s="31" t="inlineStr">
        <is>
          <t>industrials</t>
        </is>
      </c>
      <c r="F66" s="31" t="inlineStr">
        <is>
          <t>electric equipment</t>
        </is>
      </c>
      <c r="G66" s="31" t="inlineStr">
        <is>
          <t>smallcap</t>
        </is>
      </c>
      <c r="H66" s="32" t="n">
        <v>2616.7</v>
      </c>
      <c r="I66" s="32" t="n">
        <v>660.6</v>
      </c>
      <c r="J66" s="32" t="n">
        <v>-1.15</v>
      </c>
      <c r="K66" s="32" t="n">
        <v>121304</v>
      </c>
      <c r="L66" s="31" t="n">
        <v>78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68.54000000000001</v>
      </c>
      <c r="P66" s="32" t="n">
        <v>42.63</v>
      </c>
      <c r="Q66" s="32" t="n">
        <v>487.17</v>
      </c>
      <c r="R66" s="31" t="inlineStr">
        <is>
          <t>Near 52W High Breakout</t>
        </is>
      </c>
      <c r="S66" s="31" t="inlineStr">
        <is>
          <t>Nifty 50</t>
        </is>
      </c>
      <c r="T66" s="32" t="n">
        <v>-0.96</v>
      </c>
      <c r="U66" s="32" t="n">
        <v>85.20999999999999</v>
      </c>
      <c r="V66" s="32" t="n">
        <v>87</v>
      </c>
      <c r="W66" s="32" t="n">
        <v>21.48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IF(B67=0,"",RANK(B67,$B$2:$B$378,0))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NRL</t>
        </is>
      </c>
      <c r="D67" s="31" t="inlineStr">
        <is>
          <t>Nupur Recyclers Ltd</t>
        </is>
      </c>
      <c r="E67" s="31" t="inlineStr">
        <is>
          <t>services</t>
        </is>
      </c>
      <c r="F67" s="31" t="inlineStr">
        <is>
          <t>trading</t>
        </is>
      </c>
      <c r="G67" s="31" t="inlineStr">
        <is>
          <t>smallcap</t>
        </is>
      </c>
      <c r="H67" s="32" t="n">
        <v>810.3200000000001</v>
      </c>
      <c r="I67" s="32" t="n">
        <v>115.25</v>
      </c>
      <c r="J67" s="32" t="n">
        <v>-1.76</v>
      </c>
      <c r="K67" s="32" t="n">
        <v>23933</v>
      </c>
      <c r="L67" s="31" t="n">
        <v>94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84.88</v>
      </c>
      <c r="P67" s="32" t="n">
        <v>54.26</v>
      </c>
      <c r="Q67" s="32" t="n">
        <v>95.04000000000001</v>
      </c>
      <c r="R67" s="31" t="inlineStr">
        <is>
          <t>Near 52W High Breakout</t>
        </is>
      </c>
      <c r="S67" s="31" t="inlineStr">
        <is>
          <t>Nifty 50</t>
        </is>
      </c>
      <c r="T67" s="32" t="n">
        <v>-0.96</v>
      </c>
      <c r="U67" s="32" t="n">
        <v>67.06999999999999</v>
      </c>
      <c r="V67" s="32" t="n">
        <v>68.68000000000001</v>
      </c>
      <c r="W67" s="32" t="n">
        <v>42.38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Between 1.5 to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IF(B68=0,"",RANK(B68,$B$2:$B$378,0))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HESTERBIO</t>
        </is>
      </c>
      <c r="D68" s="31" t="inlineStr">
        <is>
          <t>Hester Biosciences Limited</t>
        </is>
      </c>
      <c r="E68" s="31" t="inlineStr">
        <is>
          <t>healthcare</t>
        </is>
      </c>
      <c r="F68" s="31" t="inlineStr">
        <is>
          <t>pharmaceuticals - indian - formulations</t>
        </is>
      </c>
      <c r="G68" s="31" t="inlineStr">
        <is>
          <t>smallcap</t>
        </is>
      </c>
      <c r="H68" s="32" t="n">
        <v>2116.34</v>
      </c>
      <c r="I68" s="32" t="n">
        <v>2468</v>
      </c>
      <c r="J68" s="32" t="n">
        <v>0.11</v>
      </c>
      <c r="K68" s="32" t="n">
        <v>2818</v>
      </c>
      <c r="L68" s="31" t="n">
        <v>60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71.23</v>
      </c>
      <c r="P68" s="32" t="n">
        <v>60.76</v>
      </c>
      <c r="Q68" s="32" t="n">
        <v>1887.99</v>
      </c>
      <c r="R68" s="31" t="inlineStr">
        <is>
          <t>Near 52W High Breakout</t>
        </is>
      </c>
      <c r="S68" s="31" t="inlineStr">
        <is>
          <t>Nifty Pharma</t>
        </is>
      </c>
      <c r="T68" s="32" t="n">
        <v>20.47</v>
      </c>
      <c r="U68" s="32" t="n">
        <v>30.51</v>
      </c>
      <c r="V68" s="32" t="n">
        <v>8.33</v>
      </c>
      <c r="W68" s="32" t="n">
        <v>13.76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IF(B69=0,"",RANK(B69,$B$2:$B$378,0))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VIJAYA</t>
        </is>
      </c>
      <c r="D69" s="31" t="inlineStr">
        <is>
          <t>Vijaya Diagnostic Centre Ltd</t>
        </is>
      </c>
      <c r="E69" s="31" t="inlineStr">
        <is>
          <t>healthcare</t>
        </is>
      </c>
      <c r="F69" s="31" t="inlineStr">
        <is>
          <t>healthcare</t>
        </is>
      </c>
      <c r="G69" s="31" t="inlineStr">
        <is>
          <t>midcap</t>
        </is>
      </c>
      <c r="H69" s="32" t="n">
        <v>14695.71</v>
      </c>
      <c r="I69" s="32" t="n">
        <v>1486.5</v>
      </c>
      <c r="J69" s="32" t="n">
        <v>-1.6</v>
      </c>
      <c r="K69" s="32" t="n">
        <v>274726</v>
      </c>
      <c r="L69" s="31" t="n">
        <v>49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69.64</v>
      </c>
      <c r="P69" s="32" t="n">
        <v>56.64</v>
      </c>
      <c r="Q69" s="32" t="n">
        <v>1168.38</v>
      </c>
      <c r="R69" s="31" t="inlineStr">
        <is>
          <t>Volume Spike &amp; Near 52W High Breakout</t>
        </is>
      </c>
      <c r="S69" s="31" t="inlineStr">
        <is>
          <t>Nifty Pharma</t>
        </is>
      </c>
      <c r="T69" s="32" t="n">
        <v>20.47</v>
      </c>
      <c r="U69" s="32" t="n">
        <v>41.43</v>
      </c>
      <c r="V69" s="32" t="n">
        <v>17.39</v>
      </c>
      <c r="W69" s="32" t="n">
        <v>10.45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IF(B70=0,"",RANK(B70,$B$2:$B$378,0))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MARKSANS</t>
        </is>
      </c>
      <c r="D70" s="31" t="inlineStr">
        <is>
          <t>Marksans Pharma Limited</t>
        </is>
      </c>
      <c r="E70" s="31" t="inlineStr">
        <is>
          <t>healthcare</t>
        </is>
      </c>
      <c r="F70" s="31" t="inlineStr">
        <is>
          <t>pharmaceuticals - indian - formulations</t>
        </is>
      </c>
      <c r="G70" s="31" t="inlineStr">
        <is>
          <t>midcap</t>
        </is>
      </c>
      <c r="H70" s="32" t="n">
        <v>12641</v>
      </c>
      <c r="I70" s="32" t="n">
        <v>303.4</v>
      </c>
      <c r="J70" s="32" t="n">
        <v>-2.94</v>
      </c>
      <c r="K70" s="32" t="n">
        <v>10713379</v>
      </c>
      <c r="L70" s="31" t="n">
        <v>78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73.83</v>
      </c>
      <c r="P70" s="32" t="n">
        <v>54.52</v>
      </c>
      <c r="Q70" s="32" t="n">
        <v>234.7</v>
      </c>
      <c r="R70" s="31" t="inlineStr">
        <is>
          <t>Volume Spike &amp; Near 52W High Breakout</t>
        </is>
      </c>
      <c r="S70" s="31" t="inlineStr">
        <is>
          <t>Nifty Pharma</t>
        </is>
      </c>
      <c r="T70" s="32" t="n">
        <v>20.47</v>
      </c>
      <c r="U70" s="32" t="n">
        <v>69.90000000000001</v>
      </c>
      <c r="V70" s="32" t="n">
        <v>41.03</v>
      </c>
      <c r="W70" s="32" t="n">
        <v>21.77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IF(B71=0,"",RANK(B71,$B$2:$B$378,0))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SOLARINDS</t>
        </is>
      </c>
      <c r="D71" s="31" t="inlineStr">
        <is>
          <t>Solar Industries India Limited</t>
        </is>
      </c>
      <c r="E71" s="31" t="inlineStr">
        <is>
          <t>aerospace &amp; defence</t>
        </is>
      </c>
      <c r="F71" s="31" t="inlineStr">
        <is>
          <t>chemicals</t>
        </is>
      </c>
      <c r="G71" s="31" t="inlineStr">
        <is>
          <t>largecap</t>
        </is>
      </c>
      <c r="H71" s="32" t="n">
        <v>169849.83</v>
      </c>
      <c r="I71" s="32" t="n">
        <v>20324</v>
      </c>
      <c r="J71" s="32" t="n">
        <v>8.51</v>
      </c>
      <c r="K71" s="32" t="n">
        <v>1403916</v>
      </c>
      <c r="L71" s="31" t="n">
        <v>50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72.63</v>
      </c>
      <c r="P71" s="32" t="n">
        <v>40.16</v>
      </c>
      <c r="Q71" s="32" t="n">
        <v>16683.06</v>
      </c>
      <c r="R71" s="31" t="inlineStr">
        <is>
          <t>Near 52W High Breakout</t>
        </is>
      </c>
      <c r="S71" s="31" t="inlineStr">
        <is>
          <t>Nifty 500</t>
        </is>
      </c>
      <c r="T71" s="32" t="n">
        <v>4.31</v>
      </c>
      <c r="U71" s="32" t="n">
        <v>34.68</v>
      </c>
      <c r="V71" s="32" t="n">
        <v>29.11</v>
      </c>
      <c r="W71" s="32" t="n">
        <v>10.71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Between 1.5 to 2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IF(B72=0,"",RANK(B72,$B$2:$B$378,0))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NETWEB</t>
        </is>
      </c>
      <c r="D72" s="31" t="inlineStr">
        <is>
          <t>Netweb Technologies India Ltd</t>
        </is>
      </c>
      <c r="E72" s="31" t="inlineStr">
        <is>
          <t>i.t</t>
        </is>
      </c>
      <c r="F72" s="31" t="inlineStr">
        <is>
          <t>computers - hardware</t>
        </is>
      </c>
      <c r="G72" s="31" t="inlineStr">
        <is>
          <t>largecap</t>
        </is>
      </c>
      <c r="H72" s="32" t="n">
        <v>27672.04</v>
      </c>
      <c r="I72" s="32" t="n">
        <v>5181</v>
      </c>
      <c r="J72" s="32" t="n">
        <v>7.1</v>
      </c>
      <c r="K72" s="32" t="n">
        <v>3457670</v>
      </c>
      <c r="L72" s="31" t="n">
        <v>87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65.72</v>
      </c>
      <c r="P72" s="32" t="n">
        <v>39.48</v>
      </c>
      <c r="Q72" s="32" t="n">
        <v>3838.56</v>
      </c>
      <c r="R72" s="31" t="inlineStr">
        <is>
          <t>Near 52W High Breakout</t>
        </is>
      </c>
      <c r="S72" s="31" t="inlineStr">
        <is>
          <t>Nifty IT</t>
        </is>
      </c>
      <c r="T72" s="32" t="n">
        <v>-9.699999999999999</v>
      </c>
      <c r="U72" s="32" t="n">
        <v>144.26</v>
      </c>
      <c r="V72" s="32" t="n">
        <v>170.5</v>
      </c>
      <c r="W72" s="32" t="n">
        <v>29.21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IF(B73=0,"",RANK(B73,$B$2:$B$378,0))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CYIENTDLM</t>
        </is>
      </c>
      <c r="D73" s="31" t="inlineStr">
        <is>
          <t>Cyient DLM Ltd</t>
        </is>
      </c>
      <c r="E73" s="31" t="inlineStr">
        <is>
          <t>consumer discretionary</t>
        </is>
      </c>
      <c r="F73" s="31" t="inlineStr">
        <is>
          <t>electronics - components</t>
        </is>
      </c>
      <c r="G73" s="31" t="inlineStr">
        <is>
          <t>midcap</t>
        </is>
      </c>
      <c r="H73" s="32" t="n">
        <v>5628.28</v>
      </c>
      <c r="I73" s="32" t="n">
        <v>725</v>
      </c>
      <c r="J73" s="32" t="n">
        <v>5.23</v>
      </c>
      <c r="K73" s="32" t="n">
        <v>1350071</v>
      </c>
      <c r="L73" s="31" t="n">
        <v>90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85.69</v>
      </c>
      <c r="P73" s="32" t="n">
        <v>59.68</v>
      </c>
      <c r="Q73" s="32" t="n">
        <v>574.9</v>
      </c>
      <c r="R73" s="31" t="inlineStr">
        <is>
          <t>Near 52W High Breakout</t>
        </is>
      </c>
      <c r="S73" s="31" t="inlineStr">
        <is>
          <t>Nifty Infra</t>
        </is>
      </c>
      <c r="T73" s="32" t="n">
        <v>3.6</v>
      </c>
      <c r="U73" s="32" t="n">
        <v>58.5</v>
      </c>
      <c r="V73" s="32" t="n">
        <v>52.99</v>
      </c>
      <c r="W73" s="32" t="n">
        <v>34.41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IF(B74=0,"",RANK(B74,$B$2:$B$378,0))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GHCLTEXTIL</t>
        </is>
      </c>
      <c r="D74" s="31" t="inlineStr">
        <is>
          <t>GHCL Textiles Ltd</t>
        </is>
      </c>
      <c r="E74" s="31" t="inlineStr">
        <is>
          <t>textiles</t>
        </is>
      </c>
      <c r="F74" s="31" t="inlineStr">
        <is>
          <t>textiles - spinning - synthetic / blended</t>
        </is>
      </c>
      <c r="G74" s="31" t="inlineStr">
        <is>
          <t>smallcap</t>
        </is>
      </c>
      <c r="H74" s="32" t="n">
        <v>1140.05</v>
      </c>
      <c r="I74" s="32" t="n">
        <v>121.26</v>
      </c>
      <c r="J74" s="32" t="n">
        <v>4.6</v>
      </c>
      <c r="K74" s="32" t="n">
        <v>744997</v>
      </c>
      <c r="L74" s="31" t="n">
        <v>72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72.77</v>
      </c>
      <c r="P74" s="32" t="n">
        <v>32.93</v>
      </c>
      <c r="Q74" s="32" t="n">
        <v>93.84999999999999</v>
      </c>
      <c r="R74" s="31" t="inlineStr">
        <is>
          <t>Near 52W High Breakout</t>
        </is>
      </c>
      <c r="S74" s="31" t="inlineStr">
        <is>
          <t>Nifty 50</t>
        </is>
      </c>
      <c r="T74" s="32" t="n">
        <v>-0.96</v>
      </c>
      <c r="U74" s="32" t="n">
        <v>57.95</v>
      </c>
      <c r="V74" s="32" t="n">
        <v>59.47</v>
      </c>
      <c r="W74" s="32" t="n">
        <v>18.36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IF(B75=0,"",RANK(B75,$B$2:$B$378,0))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NILKAMAL</t>
        </is>
      </c>
      <c r="D75" s="31" t="inlineStr">
        <is>
          <t>Nilkamal Limited</t>
        </is>
      </c>
      <c r="E75" s="31" t="inlineStr">
        <is>
          <t>plastic products</t>
        </is>
      </c>
      <c r="F75" s="31" t="inlineStr">
        <is>
          <t>plastics products</t>
        </is>
      </c>
      <c r="G75" s="31" t="inlineStr">
        <is>
          <t>smallcap</t>
        </is>
      </c>
      <c r="H75" s="32" t="n">
        <v>2788.42</v>
      </c>
      <c r="I75" s="32" t="n">
        <v>1932.7</v>
      </c>
      <c r="J75" s="32" t="n">
        <v>3.95</v>
      </c>
      <c r="K75" s="32" t="n">
        <v>89591</v>
      </c>
      <c r="L75" s="31" t="n">
        <v>68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81.91</v>
      </c>
      <c r="P75" s="32" t="n">
        <v>29.4</v>
      </c>
      <c r="Q75" s="32" t="n">
        <v>1547.37</v>
      </c>
      <c r="R75" s="31" t="inlineStr">
        <is>
          <t>Near 52W High Breakout</t>
        </is>
      </c>
      <c r="S75" s="31" t="inlineStr">
        <is>
          <t>Nifty 50</t>
        </is>
      </c>
      <c r="T75" s="32" t="n">
        <v>-0.96</v>
      </c>
      <c r="U75" s="32" t="n">
        <v>25.09</v>
      </c>
      <c r="V75" s="32" t="n">
        <v>26.3</v>
      </c>
      <c r="W75" s="32" t="n">
        <v>17.14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IF(B76=0,"",RANK(B76,$B$2:$B$378,0))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PANACHE</t>
        </is>
      </c>
      <c r="D76" s="31" t="inlineStr">
        <is>
          <t>Panache Digilife Ltd</t>
        </is>
      </c>
      <c r="E76" s="31" t="inlineStr">
        <is>
          <t>i.t</t>
        </is>
      </c>
      <c r="F76" s="31" t="inlineStr">
        <is>
          <t>computers - hardware</t>
        </is>
      </c>
      <c r="G76" s="31" t="inlineStr">
        <is>
          <t>smallcap</t>
        </is>
      </c>
      <c r="H76" s="32" t="n">
        <v>805.58</v>
      </c>
      <c r="I76" s="32" t="n">
        <v>500</v>
      </c>
      <c r="J76" s="32" t="n">
        <v>1.93</v>
      </c>
      <c r="K76" s="32" t="n">
        <v>22383</v>
      </c>
      <c r="L76" s="31" t="n">
        <v>85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70.09999999999999</v>
      </c>
      <c r="P76" s="32" t="n">
        <v>25.04</v>
      </c>
      <c r="Q76" s="32" t="n">
        <v>370.84</v>
      </c>
      <c r="R76" s="31" t="inlineStr">
        <is>
          <t>Near 52W High Breakout</t>
        </is>
      </c>
      <c r="S76" s="31" t="inlineStr">
        <is>
          <t>Nifty IT</t>
        </is>
      </c>
      <c r="T76" s="32" t="n">
        <v>-9.699999999999999</v>
      </c>
      <c r="U76" s="32" t="n">
        <v>107.64</v>
      </c>
      <c r="V76" s="32" t="n">
        <v>129.95</v>
      </c>
      <c r="W76" s="32" t="n">
        <v>28.24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IF(B77=0,"",RANK(B77,$B$2:$B$378,0))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THELEELA</t>
        </is>
      </c>
      <c r="D77" s="31" t="inlineStr">
        <is>
          <t>Leela Palaces Hotels &amp; Resorts Ltd</t>
        </is>
      </c>
      <c r="E77" s="31" t="inlineStr">
        <is>
          <t>services</t>
        </is>
      </c>
      <c r="F77" s="31" t="inlineStr">
        <is>
          <t>hotels</t>
        </is>
      </c>
      <c r="G77" s="31" t="inlineStr">
        <is>
          <t>midcap</t>
        </is>
      </c>
      <c r="H77" s="32" t="n">
        <v>17106.99</v>
      </c>
      <c r="I77" s="32" t="n">
        <v>508.45</v>
      </c>
      <c r="J77" s="32" t="n">
        <v>1.74</v>
      </c>
      <c r="K77" s="32" t="n">
        <v>370862</v>
      </c>
      <c r="L77" s="31" t="n">
        <v>40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62.3</v>
      </c>
      <c r="P77" s="32" t="n">
        <v>26.46</v>
      </c>
      <c r="Q77" s="32" t="n">
        <v>420.67</v>
      </c>
      <c r="R77" s="31" t="inlineStr">
        <is>
          <t>Near 52W High Breakout</t>
        </is>
      </c>
      <c r="S77" s="31" t="inlineStr">
        <is>
          <t>Nifty 50</t>
        </is>
      </c>
      <c r="T77" s="32" t="n">
        <v>-0.96</v>
      </c>
      <c r="U77" s="32" t="n">
        <v>15.77</v>
      </c>
      <c r="V77" s="32" t="n">
        <v>16.88</v>
      </c>
      <c r="W77" s="32" t="n">
        <v>8.01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IF(B78=0,"",RANK(B78,$B$2:$B$378,0))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MTARTECH</t>
        </is>
      </c>
      <c r="D78" s="31" t="inlineStr">
        <is>
          <t>MTAR Technologies Ltd</t>
        </is>
      </c>
      <c r="E78" s="31" t="inlineStr">
        <is>
          <t>aerospace &amp; defence</t>
        </is>
      </c>
      <c r="F78" s="31" t="inlineStr">
        <is>
          <t>engineering</t>
        </is>
      </c>
      <c r="G78" s="31" t="inlineStr">
        <is>
          <t>largecap</t>
        </is>
      </c>
      <c r="H78" s="32" t="n">
        <v>21202.59</v>
      </c>
      <c r="I78" s="32" t="n">
        <v>7234</v>
      </c>
      <c r="J78" s="32" t="n">
        <v>1.72</v>
      </c>
      <c r="K78" s="32" t="n">
        <v>139398</v>
      </c>
      <c r="L78" s="31" t="n">
        <v>94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61.52</v>
      </c>
      <c r="P78" s="32" t="n">
        <v>40.65</v>
      </c>
      <c r="Q78" s="32" t="n">
        <v>5893.64</v>
      </c>
      <c r="R78" s="31" t="inlineStr">
        <is>
          <t>Earnings / Momentum Support</t>
        </is>
      </c>
      <c r="S78" s="31" t="inlineStr">
        <is>
          <t>Nifty 50</t>
        </is>
      </c>
      <c r="T78" s="32" t="n">
        <v>-0.96</v>
      </c>
      <c r="U78" s="32" t="n">
        <v>376.77</v>
      </c>
      <c r="V78" s="32" t="n">
        <v>381.37</v>
      </c>
      <c r="W78" s="32" t="n">
        <v>42.27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IF(B79=0,"",RANK(B79,$B$2:$B$378,0))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NAUKRI</t>
        </is>
      </c>
      <c r="D79" s="31" t="inlineStr">
        <is>
          <t>Info Edge (india) Limited</t>
        </is>
      </c>
      <c r="E79" s="31" t="inlineStr">
        <is>
          <t>i.t</t>
        </is>
      </c>
      <c r="F79" s="31" t="inlineStr">
        <is>
          <t>miscellaneous</t>
        </is>
      </c>
      <c r="G79" s="31" t="inlineStr">
        <is>
          <t>largecap</t>
        </is>
      </c>
      <c r="H79" s="32" t="n">
        <v>88185.2</v>
      </c>
      <c r="I79" s="32" t="n">
        <v>1357.3</v>
      </c>
      <c r="J79" s="32" t="n">
        <v>1.37</v>
      </c>
      <c r="K79" s="32" t="n">
        <v>2302841</v>
      </c>
      <c r="L79" s="31" t="n">
        <v>54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70.22</v>
      </c>
      <c r="P79" s="32" t="n">
        <v>23.02</v>
      </c>
      <c r="Q79" s="32" t="n">
        <v>1097.09</v>
      </c>
      <c r="R79" s="31" t="inlineStr">
        <is>
          <t>Volume Spike &amp; Near 52W High Breakout</t>
        </is>
      </c>
      <c r="S79" s="31" t="inlineStr">
        <is>
          <t>Nifty IT</t>
        </is>
      </c>
      <c r="T79" s="32" t="n">
        <v>-9.699999999999999</v>
      </c>
      <c r="U79" s="32" t="n">
        <v>0.11</v>
      </c>
      <c r="V79" s="32" t="n">
        <v>10.86</v>
      </c>
      <c r="W79" s="32" t="n">
        <v>11.64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IF(B80=0,"",RANK(B80,$B$2:$B$378,0))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JGCHEM</t>
        </is>
      </c>
      <c r="D80" s="31" t="inlineStr">
        <is>
          <t>J.G.Chemicals Ltd</t>
        </is>
      </c>
      <c r="E80" s="31" t="inlineStr">
        <is>
          <t>chemicals</t>
        </is>
      </c>
      <c r="F80" s="31" t="inlineStr">
        <is>
          <t>chemicals</t>
        </is>
      </c>
      <c r="G80" s="31" t="inlineStr">
        <is>
          <t>smallcap</t>
        </is>
      </c>
      <c r="H80" s="32" t="n">
        <v>2438.74</v>
      </c>
      <c r="I80" s="32" t="n">
        <v>613</v>
      </c>
      <c r="J80" s="32" t="n">
        <v>1.21</v>
      </c>
      <c r="K80" s="32" t="n">
        <v>245276</v>
      </c>
      <c r="L80" s="31" t="n">
        <v>70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78.09999999999999</v>
      </c>
      <c r="P80" s="32" t="n">
        <v>31.29</v>
      </c>
      <c r="Q80" s="32" t="n">
        <v>478.04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-0.96</v>
      </c>
      <c r="U80" s="32" t="n">
        <v>20.62</v>
      </c>
      <c r="V80" s="32" t="n">
        <v>21.79</v>
      </c>
      <c r="W80" s="32" t="n">
        <v>17.78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IF(B81=0,"",RANK(B81,$B$2:$B$378,0))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DYCL</t>
        </is>
      </c>
      <c r="D81" s="31" t="inlineStr">
        <is>
          <t>Dynamic Cables Ltd</t>
        </is>
      </c>
      <c r="E81" s="31" t="inlineStr">
        <is>
          <t>industrials</t>
        </is>
      </c>
      <c r="F81" s="31" t="inlineStr">
        <is>
          <t>cables - power</t>
        </is>
      </c>
      <c r="G81" s="31" t="inlineStr">
        <is>
          <t>smallcap</t>
        </is>
      </c>
      <c r="H81" s="32" t="n">
        <v>2138</v>
      </c>
      <c r="I81" s="32" t="n">
        <v>455.35</v>
      </c>
      <c r="J81" s="32" t="n">
        <v>0.3</v>
      </c>
      <c r="K81" s="32" t="n">
        <v>676080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67.48</v>
      </c>
      <c r="P81" s="32" t="n">
        <v>22.2</v>
      </c>
      <c r="Q81" s="32" t="n">
        <v>322.4</v>
      </c>
      <c r="R81" s="31" t="inlineStr">
        <is>
          <t>Near 52W High Breakout</t>
        </is>
      </c>
      <c r="S81" s="31" t="inlineStr">
        <is>
          <t>Nifty Energy</t>
        </is>
      </c>
      <c r="T81" s="32" t="inlineStr"/>
      <c r="U81" s="32" t="inlineStr"/>
      <c r="V81" s="32" t="inlineStr"/>
      <c r="W81" s="32" t="inlineStr"/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IF(B82=0,"",RANK(B82,$B$2:$B$378,0))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SONACOMS</t>
        </is>
      </c>
      <c r="D82" s="31" t="inlineStr">
        <is>
          <t>Sona BLW Precision Forgings Ltd</t>
        </is>
      </c>
      <c r="E82" s="31" t="inlineStr">
        <is>
          <t>auto</t>
        </is>
      </c>
      <c r="F82" s="31" t="inlineStr">
        <is>
          <t>auto ancillaries</t>
        </is>
      </c>
      <c r="G82" s="31" t="inlineStr">
        <is>
          <t>largecap</t>
        </is>
      </c>
      <c r="H82" s="32" t="n">
        <v>49762.79</v>
      </c>
      <c r="I82" s="32" t="n">
        <v>799.9</v>
      </c>
      <c r="J82" s="32" t="n">
        <v>-0.57</v>
      </c>
      <c r="K82" s="32" t="n">
        <v>3457252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78.34</v>
      </c>
      <c r="P82" s="32" t="n">
        <v>49.59</v>
      </c>
      <c r="Q82" s="32" t="n">
        <v>694.74</v>
      </c>
      <c r="R82" s="31" t="inlineStr">
        <is>
          <t>Near 52W High Breakout</t>
        </is>
      </c>
      <c r="S82" s="31" t="inlineStr">
        <is>
          <t>Nifty Auto</t>
        </is>
      </c>
      <c r="T82" s="32" t="inlineStr"/>
      <c r="U82" s="32" t="inlineStr"/>
      <c r="V82" s="32" t="inlineStr"/>
      <c r="W82" s="32" t="inlineStr"/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Between 1.5 to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IF(B83=0,"",RANK(B83,$B$2:$B$378,0))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SSWL</t>
        </is>
      </c>
      <c r="D83" s="31" t="inlineStr">
        <is>
          <t>Steel Strips Wheels Limited</t>
        </is>
      </c>
      <c r="E83" s="31" t="inlineStr">
        <is>
          <t>auto</t>
        </is>
      </c>
      <c r="F83" s="31" t="inlineStr">
        <is>
          <t>auto ancillaries</t>
        </is>
      </c>
      <c r="G83" s="31" t="inlineStr">
        <is>
          <t>smallcap</t>
        </is>
      </c>
      <c r="H83" s="32" t="n">
        <v>4988.91</v>
      </c>
      <c r="I83" s="32" t="n">
        <v>310.7</v>
      </c>
      <c r="J83" s="32" t="n">
        <v>-0.58</v>
      </c>
      <c r="K83" s="32" t="n">
        <v>354318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75.83</v>
      </c>
      <c r="P83" s="32" t="n">
        <v>28.51</v>
      </c>
      <c r="Q83" s="32" t="n">
        <v>246.63</v>
      </c>
      <c r="R83" s="31" t="inlineStr">
        <is>
          <t>Near 52W High Breakout</t>
        </is>
      </c>
      <c r="S83" s="31" t="inlineStr">
        <is>
          <t>Nifty Auto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IF(B84=0,"",RANK(B84,$B$2:$B$378,0))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SHRIPISTON</t>
        </is>
      </c>
      <c r="D84" s="31" t="inlineStr">
        <is>
          <t>Shriram Pistons &amp; Rings Limited</t>
        </is>
      </c>
      <c r="E84" s="31" t="inlineStr">
        <is>
          <t>auto</t>
        </is>
      </c>
      <c r="F84" s="31" t="inlineStr">
        <is>
          <t>auto ancillaries</t>
        </is>
      </c>
      <c r="G84" s="31" t="inlineStr">
        <is>
          <t>midcap</t>
        </is>
      </c>
      <c r="H84" s="32" t="n">
        <v>19466.06</v>
      </c>
      <c r="I84" s="32" t="n">
        <v>4450</v>
      </c>
      <c r="J84" s="32" t="n">
        <v>-0.64</v>
      </c>
      <c r="K84" s="32" t="n">
        <v>57244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74.29000000000001</v>
      </c>
      <c r="P84" s="32" t="n">
        <v>43.13</v>
      </c>
      <c r="Q84" s="32" t="n">
        <v>3591.81</v>
      </c>
      <c r="R84" s="31" t="inlineStr">
        <is>
          <t>Near 52W High Breakout</t>
        </is>
      </c>
      <c r="S84" s="31" t="inlineStr">
        <is>
          <t>Nifty Auto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Less than 12%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IF(B85=0,"",RANK(B85,$B$2:$B$378,0))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FILATEX</t>
        </is>
      </c>
      <c r="D85" s="31" t="inlineStr">
        <is>
          <t>Filatex India Limited</t>
        </is>
      </c>
      <c r="E85" s="31" t="inlineStr">
        <is>
          <t>textiles</t>
        </is>
      </c>
      <c r="F85" s="31" t="inlineStr">
        <is>
          <t>textiles - manmade</t>
        </is>
      </c>
      <c r="G85" s="31" t="inlineStr">
        <is>
          <t>smallcap</t>
        </is>
      </c>
      <c r="H85" s="32" t="n">
        <v>3691.01</v>
      </c>
      <c r="I85" s="32" t="n">
        <v>82.29000000000001</v>
      </c>
      <c r="J85" s="32" t="n">
        <v>-1.22</v>
      </c>
      <c r="K85" s="32" t="n">
        <v>2534131</v>
      </c>
      <c r="L85" s="31" t="n">
        <v>89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79.41</v>
      </c>
      <c r="P85" s="32" t="n">
        <v>34.22</v>
      </c>
      <c r="Q85" s="32" t="n">
        <v>63.88</v>
      </c>
      <c r="R85" s="31" t="inlineStr">
        <is>
          <t>Near 52W High Breakout</t>
        </is>
      </c>
      <c r="S85" s="31" t="inlineStr">
        <is>
          <t>Nifty 50</t>
        </is>
      </c>
      <c r="T85" s="32" t="n">
        <v>-0.96</v>
      </c>
      <c r="U85" s="32" t="n">
        <v>58.46</v>
      </c>
      <c r="V85" s="32" t="n">
        <v>59.99</v>
      </c>
      <c r="W85" s="32" t="n">
        <v>34.04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Between 12 to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IF(B86=0,"",RANK(B86,$B$2:$B$378,0))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AVALON</t>
        </is>
      </c>
      <c r="D86" s="31" t="inlineStr">
        <is>
          <t>Avalon Technologies Ltd</t>
        </is>
      </c>
      <c r="E86" s="31" t="inlineStr">
        <is>
          <t>consumer discretionary</t>
        </is>
      </c>
      <c r="F86" s="31" t="inlineStr">
        <is>
          <t>electronics - components</t>
        </is>
      </c>
      <c r="G86" s="31" t="inlineStr">
        <is>
          <t>midcap</t>
        </is>
      </c>
      <c r="H86" s="32" t="n">
        <v>12950.12</v>
      </c>
      <c r="I86" s="32" t="n">
        <v>1940</v>
      </c>
      <c r="J86" s="32" t="n">
        <v>-1.22</v>
      </c>
      <c r="K86" s="32" t="n">
        <v>182316</v>
      </c>
      <c r="L86" s="31" t="n">
        <v>86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76.78</v>
      </c>
      <c r="P86" s="32" t="n">
        <v>57.94</v>
      </c>
      <c r="Q86" s="32" t="n">
        <v>1513.81</v>
      </c>
      <c r="R86" s="31" t="inlineStr">
        <is>
          <t>Near 52W High Breakout</t>
        </is>
      </c>
      <c r="S86" s="31" t="inlineStr">
        <is>
          <t>Nifty 50</t>
        </is>
      </c>
      <c r="T86" s="32" t="n">
        <v>-0.96</v>
      </c>
      <c r="U86" s="32" t="n">
        <v>130.43</v>
      </c>
      <c r="V86" s="32" t="n">
        <v>132.65</v>
      </c>
      <c r="W86" s="32" t="n">
        <v>28.59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IF(B87=0,"",RANK(B87,$B$2:$B$378,0))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ORIENTBELL</t>
        </is>
      </c>
      <c r="D87" s="31" t="inlineStr">
        <is>
          <t>Orient Bell Limited</t>
        </is>
      </c>
      <c r="E87" s="31" t="inlineStr">
        <is>
          <t>building materials</t>
        </is>
      </c>
      <c r="F87" s="31" t="inlineStr">
        <is>
          <t>ceramics - tiles / sanitaryware</t>
        </is>
      </c>
      <c r="G87" s="31" t="inlineStr">
        <is>
          <t>smallcap</t>
        </is>
      </c>
      <c r="H87" s="32" t="n">
        <v>518.54</v>
      </c>
      <c r="I87" s="32" t="n">
        <v>357.3</v>
      </c>
      <c r="J87" s="32" t="n">
        <v>-1.28</v>
      </c>
      <c r="K87" s="32" t="n">
        <v>19100</v>
      </c>
      <c r="L87" s="31" t="n">
        <v>46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63.34</v>
      </c>
      <c r="P87" s="32" t="n">
        <v>38.19</v>
      </c>
      <c r="Q87" s="32" t="n">
        <v>270.3</v>
      </c>
      <c r="R87" s="31" t="inlineStr">
        <is>
          <t>Volume Spike &amp; Near 52W High Breakout</t>
        </is>
      </c>
      <c r="S87" s="31" t="inlineStr">
        <is>
          <t>Nifty Infra</t>
        </is>
      </c>
      <c r="T87" s="32" t="n">
        <v>3.6</v>
      </c>
      <c r="U87" s="32" t="n">
        <v>16.87</v>
      </c>
      <c r="V87" s="32" t="n">
        <v>12.8</v>
      </c>
      <c r="W87" s="32" t="n">
        <v>9.460000000000001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IF(B88=0,"",RANK(B88,$B$2:$B$378,0))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UFBL</t>
        </is>
      </c>
      <c r="D88" s="31" t="inlineStr">
        <is>
          <t>United Foodbrands Ltd</t>
        </is>
      </c>
      <c r="E88" s="31" t="inlineStr">
        <is>
          <t>consumer discretionary</t>
        </is>
      </c>
      <c r="F88" s="31" t="inlineStr">
        <is>
          <t>hotels</t>
        </is>
      </c>
      <c r="G88" s="31" t="inlineStr">
        <is>
          <t>smallcap</t>
        </is>
      </c>
      <c r="H88" s="32" t="n">
        <v>3170.1</v>
      </c>
      <c r="I88" s="32" t="n">
        <v>766</v>
      </c>
      <c r="J88" s="32" t="n">
        <v>-1.77</v>
      </c>
      <c r="K88" s="32" t="n">
        <v>53378</v>
      </c>
      <c r="L88" s="31" t="n">
        <v>97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73.68000000000001</v>
      </c>
      <c r="P88" s="32" t="n">
        <v>56.36</v>
      </c>
      <c r="Q88" s="32" t="n">
        <v>592.62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-0.96</v>
      </c>
      <c r="U88" s="32" t="n">
        <v>200.79</v>
      </c>
      <c r="V88" s="32" t="n">
        <v>203.69</v>
      </c>
      <c r="W88" s="32" t="n">
        <v>54.78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More than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IF(B89=0,"",RANK(B89,$B$2:$B$378,0))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ARVIND</t>
        </is>
      </c>
      <c r="D89" s="31" t="inlineStr">
        <is>
          <t>Arvind Limited</t>
        </is>
      </c>
      <c r="E89" s="31" t="inlineStr">
        <is>
          <t>textiles</t>
        </is>
      </c>
      <c r="F89" s="31" t="inlineStr">
        <is>
          <t>textiles - cotton/blended</t>
        </is>
      </c>
      <c r="G89" s="31" t="inlineStr">
        <is>
          <t>midcap</t>
        </is>
      </c>
      <c r="H89" s="32" t="n">
        <v>14880.36</v>
      </c>
      <c r="I89" s="32" t="n">
        <v>555.65</v>
      </c>
      <c r="J89" s="32" t="n">
        <v>-1.98</v>
      </c>
      <c r="K89" s="32" t="n">
        <v>1106663</v>
      </c>
      <c r="L89" s="31" t="n">
        <v>73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69.2</v>
      </c>
      <c r="P89" s="32" t="n">
        <v>61.55</v>
      </c>
      <c r="Q89" s="32" t="n">
        <v>452.11</v>
      </c>
      <c r="R89" s="31" t="inlineStr">
        <is>
          <t>Near 52W High Breakout</t>
        </is>
      </c>
      <c r="S89" s="31" t="inlineStr">
        <is>
          <t>Nifty 50</t>
        </is>
      </c>
      <c r="T89" s="32" t="n">
        <v>-0.96</v>
      </c>
      <c r="U89" s="32" t="n">
        <v>93.56999999999999</v>
      </c>
      <c r="V89" s="32" t="n">
        <v>95.44</v>
      </c>
      <c r="W89" s="32" t="n">
        <v>19.03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IF(B90=0,"",RANK(B90,$B$2:$B$378,0))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FINCABLES</t>
        </is>
      </c>
      <c r="D90" s="31" t="inlineStr">
        <is>
          <t>Finolex Cables Limited</t>
        </is>
      </c>
      <c r="E90" s="31" t="inlineStr">
        <is>
          <t>industrials</t>
        </is>
      </c>
      <c r="F90" s="31" t="inlineStr">
        <is>
          <t>cables - power</t>
        </is>
      </c>
      <c r="G90" s="31" t="inlineStr">
        <is>
          <t>midcap</t>
        </is>
      </c>
      <c r="H90" s="32" t="n">
        <v>18472.78</v>
      </c>
      <c r="I90" s="32" t="n">
        <v>1249.3</v>
      </c>
      <c r="J90" s="32" t="n">
        <v>-2.4</v>
      </c>
      <c r="K90" s="32" t="n">
        <v>1641912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66.05</v>
      </c>
      <c r="P90" s="32" t="n">
        <v>35.43</v>
      </c>
      <c r="Q90" s="32" t="n">
        <v>925.52</v>
      </c>
      <c r="R90" s="31" t="inlineStr">
        <is>
          <t>Volume Spike &amp; Near 52W High Breakout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IF(B91=0,"",RANK(B91,$B$2:$B$378,0))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ATHERENERG</t>
        </is>
      </c>
      <c r="D91" s="31" t="inlineStr">
        <is>
          <t>Ather Energy Ltd</t>
        </is>
      </c>
      <c r="E91" s="31" t="inlineStr">
        <is>
          <t>auto</t>
        </is>
      </c>
      <c r="F91" s="31" t="inlineStr">
        <is>
          <t>automobiles - scooters and 3 - wheelers</t>
        </is>
      </c>
      <c r="G91" s="31" t="inlineStr">
        <is>
          <t>largecap</t>
        </is>
      </c>
      <c r="H91" s="32" t="n">
        <v>60119.87</v>
      </c>
      <c r="I91" s="32" t="n">
        <v>1526.5</v>
      </c>
      <c r="J91" s="32" t="n">
        <v>-2.73</v>
      </c>
      <c r="K91" s="32" t="n">
        <v>4013367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81.11</v>
      </c>
      <c r="P91" s="32" t="n">
        <v>60.28</v>
      </c>
      <c r="Q91" s="32" t="n">
        <v>1185.4</v>
      </c>
      <c r="R91" s="31" t="inlineStr">
        <is>
          <t>Near 52W High Breakout</t>
        </is>
      </c>
      <c r="S91" s="31" t="inlineStr">
        <is>
          <t>Nifty Auto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IF(B92=0,"",RANK(B92,$B$2:$B$378,0))</f>
        <v/>
      </c>
      <c r="B92" s="32">
        <f>SUM(N92,Y92,AA92,AC92,AE92,AG92,AI92,AK92,AM92,AO92,AQ92,AS92,AU92,AW92,AY92,BA92,BC92,BE92,BG92,BI92,BK92,BM92,BO92,BQ92,BS92,BU92,BW92,BY92,CA92,CC92,CE92)</f>
        <v/>
      </c>
      <c r="C92" s="33" t="inlineStr">
        <is>
          <t>INNOVACAP</t>
        </is>
      </c>
      <c r="D92" s="33" t="inlineStr">
        <is>
          <t>Innova Captab Ltd</t>
        </is>
      </c>
      <c r="E92" s="31" t="inlineStr">
        <is>
          <t>healthcare</t>
        </is>
      </c>
      <c r="F92" s="31" t="inlineStr">
        <is>
          <t>pharmaceuticals - indian - bulk drugs &amp; formln</t>
        </is>
      </c>
      <c r="G92" s="31" t="inlineStr">
        <is>
          <t>midcap</t>
        </is>
      </c>
      <c r="H92" s="32" t="n">
        <v>5830.65</v>
      </c>
      <c r="I92" s="32" t="n">
        <v>1050</v>
      </c>
      <c r="J92" s="32" t="n">
        <v>3.73</v>
      </c>
      <c r="K92" s="32" t="n">
        <v>215156</v>
      </c>
      <c r="L92" s="31" t="n">
        <v>43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72.22</v>
      </c>
      <c r="P92" s="32" t="n">
        <v>58.98</v>
      </c>
      <c r="Q92" s="32" t="n">
        <v>823.33</v>
      </c>
      <c r="R92" s="31" t="inlineStr">
        <is>
          <t>Volume Spike &amp; Near 52W High Breakout</t>
        </is>
      </c>
      <c r="S92" s="31" t="inlineStr">
        <is>
          <t>Nifty Pharma</t>
        </is>
      </c>
      <c r="T92" s="32" t="n">
        <v>20.47</v>
      </c>
      <c r="U92" s="32" t="n">
        <v>16.01</v>
      </c>
      <c r="V92" s="32" t="n">
        <v>-3.71</v>
      </c>
      <c r="W92" s="32" t="n">
        <v>8.82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Between 50% to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IF(B93=0,"",RANK(B93,$B$2:$B$378,0))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GLAND</t>
        </is>
      </c>
      <c r="D93" s="31" t="inlineStr">
        <is>
          <t>Gland Pharma Ltd</t>
        </is>
      </c>
      <c r="E93" s="31" t="inlineStr">
        <is>
          <t>healthcare</t>
        </is>
      </c>
      <c r="F93" s="31" t="inlineStr">
        <is>
          <t>pharmaceuticals - indian - formulations</t>
        </is>
      </c>
      <c r="G93" s="31" t="inlineStr">
        <is>
          <t>largecap</t>
        </is>
      </c>
      <c r="H93" s="32" t="n">
        <v>48240.81</v>
      </c>
      <c r="I93" s="32" t="n">
        <v>2967.6</v>
      </c>
      <c r="J93" s="32" t="n">
        <v>2.64</v>
      </c>
      <c r="K93" s="32" t="n">
        <v>793051</v>
      </c>
      <c r="L93" s="31" t="n">
        <v>79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79.86</v>
      </c>
      <c r="P93" s="32" t="n">
        <v>58.86</v>
      </c>
      <c r="Q93" s="32" t="n">
        <v>2437.57</v>
      </c>
      <c r="R93" s="31" t="inlineStr">
        <is>
          <t>Volume Spike &amp; Near 52W High Breakout</t>
        </is>
      </c>
      <c r="S93" s="31" t="inlineStr">
        <is>
          <t>Nifty Pharma</t>
        </is>
      </c>
      <c r="T93" s="32" t="n">
        <v>20.47</v>
      </c>
      <c r="U93" s="32" t="n">
        <v>51.33</v>
      </c>
      <c r="V93" s="32" t="n">
        <v>25.62</v>
      </c>
      <c r="W93" s="32" t="n">
        <v>22.98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Between 50% to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IF(B94=0,"",RANK(B94,$B$2:$B$378,0))</f>
        <v/>
      </c>
      <c r="B94" s="32">
        <f>SUM(N94,Y94,AA94,AC94,AE94,AG94,AI94,AK94,AM94,AO94,AQ94,AS94,AU94,AW94,AY94,BA94,BC94,BE94,BG94,BI94,BK94,BM94,BO94,BQ94,BS94,BU94,BW94,BY94,CA94,CC94,CE94)</f>
        <v/>
      </c>
      <c r="C94" s="33" t="inlineStr">
        <is>
          <t>ENTERO</t>
        </is>
      </c>
      <c r="D94" s="33" t="inlineStr">
        <is>
          <t>Entero Healthcare Solutions Ltd</t>
        </is>
      </c>
      <c r="E94" s="31" t="inlineStr">
        <is>
          <t>healthcare</t>
        </is>
      </c>
      <c r="F94" s="31" t="inlineStr">
        <is>
          <t>trading</t>
        </is>
      </c>
      <c r="G94" s="31" t="inlineStr">
        <is>
          <t>midcap</t>
        </is>
      </c>
      <c r="H94" s="32" t="n">
        <v>6211.61</v>
      </c>
      <c r="I94" s="32" t="n">
        <v>1448</v>
      </c>
      <c r="J94" s="32" t="n">
        <v>1.95</v>
      </c>
      <c r="K94" s="32" t="n">
        <v>228095</v>
      </c>
      <c r="L94" s="31" t="n">
        <v>41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66.31999999999999</v>
      </c>
      <c r="P94" s="32" t="n">
        <v>22.48</v>
      </c>
      <c r="Q94" s="32" t="n">
        <v>1119.24</v>
      </c>
      <c r="R94" s="31" t="inlineStr">
        <is>
          <t>Volume Spike &amp; Near 52W High Breakout</t>
        </is>
      </c>
      <c r="S94" s="31" t="inlineStr">
        <is>
          <t>Nifty Pharma</t>
        </is>
      </c>
      <c r="T94" s="32" t="n">
        <v>20.47</v>
      </c>
      <c r="U94" s="32" t="n">
        <v>20.03</v>
      </c>
      <c r="V94" s="32" t="n">
        <v>-0.37</v>
      </c>
      <c r="W94" s="32" t="n">
        <v>8.42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IF(B95=0,"",RANK(B95,$B$2:$B$378,0))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ALIVUS</t>
        </is>
      </c>
      <c r="D95" s="31" t="inlineStr">
        <is>
          <t>Alivus Life Sciences Ltd</t>
        </is>
      </c>
      <c r="E95" s="31" t="inlineStr">
        <is>
          <t>healthcare</t>
        </is>
      </c>
      <c r="F95" s="31" t="inlineStr">
        <is>
          <t>pharmaceuticals - indian - bulk drugs &amp; formln</t>
        </is>
      </c>
      <c r="G95" s="31" t="inlineStr">
        <is>
          <t>midcap</t>
        </is>
      </c>
      <c r="H95" s="32" t="n">
        <v>17104.54</v>
      </c>
      <c r="I95" s="32" t="n">
        <v>1374.6</v>
      </c>
      <c r="J95" s="32" t="n">
        <v>1</v>
      </c>
      <c r="K95" s="32" t="n">
        <v>76088</v>
      </c>
      <c r="L95" s="31" t="n">
        <v>63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77.98999999999999</v>
      </c>
      <c r="P95" s="32" t="n">
        <v>39.82</v>
      </c>
      <c r="Q95" s="32" t="n">
        <v>1118.81</v>
      </c>
      <c r="R95" s="31" t="inlineStr">
        <is>
          <t>Near 52W High Breakout</t>
        </is>
      </c>
      <c r="S95" s="31" t="inlineStr">
        <is>
          <t>Nifty Pharma</t>
        </is>
      </c>
      <c r="T95" s="32" t="n">
        <v>20.47</v>
      </c>
      <c r="U95" s="32" t="n">
        <v>46.37</v>
      </c>
      <c r="V95" s="32" t="n">
        <v>21.5</v>
      </c>
      <c r="W95" s="32" t="n">
        <v>14.95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IF(B96=0,"",RANK(B96,$B$2:$B$378,0))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TECHM</t>
        </is>
      </c>
      <c r="D96" s="31" t="inlineStr">
        <is>
          <t>Tech Mahindra Limited</t>
        </is>
      </c>
      <c r="E96" s="31" t="inlineStr">
        <is>
          <t>i.t</t>
        </is>
      </c>
      <c r="F96" s="31" t="inlineStr">
        <is>
          <t>computers - software - large</t>
        </is>
      </c>
      <c r="G96" s="31" t="inlineStr">
        <is>
          <t>largecap</t>
        </is>
      </c>
      <c r="H96" s="32" t="n">
        <v>161023.52</v>
      </c>
      <c r="I96" s="32" t="n">
        <v>1639</v>
      </c>
      <c r="J96" s="32" t="n">
        <v>0.86</v>
      </c>
      <c r="K96" s="32" t="n">
        <v>6789076</v>
      </c>
      <c r="L96" s="31" t="n">
        <v>39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63.66</v>
      </c>
      <c r="P96" s="32" t="n">
        <v>15.75</v>
      </c>
      <c r="Q96" s="32" t="n">
        <v>1369.98</v>
      </c>
      <c r="R96" s="31" t="inlineStr">
        <is>
          <t>Near 52W High Breakout</t>
        </is>
      </c>
      <c r="S96" s="31" t="inlineStr">
        <is>
          <t>Nifty IT</t>
        </is>
      </c>
      <c r="T96" s="32" t="n">
        <v>-9.699999999999999</v>
      </c>
      <c r="U96" s="32" t="n">
        <v>14.29</v>
      </c>
      <c r="V96" s="32" t="n">
        <v>26.57</v>
      </c>
      <c r="W96" s="32" t="n">
        <v>7.83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0 to 20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IF(B97=0,"",RANK(B97,$B$2:$B$378,0))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HNDFDS</t>
        </is>
      </c>
      <c r="D97" s="31" t="inlineStr">
        <is>
          <t>Hindustan Foods Ltd</t>
        </is>
      </c>
      <c r="E97" s="31" t="inlineStr">
        <is>
          <t>fmcg</t>
        </is>
      </c>
      <c r="F97" s="31" t="inlineStr">
        <is>
          <t>diversified - large</t>
        </is>
      </c>
      <c r="G97" s="31" t="inlineStr">
        <is>
          <t>midcap</t>
        </is>
      </c>
      <c r="H97" s="32" t="n">
        <v>7005.63</v>
      </c>
      <c r="I97" s="32" t="n">
        <v>596.75</v>
      </c>
      <c r="J97" s="32" t="n">
        <v>0.25</v>
      </c>
      <c r="K97" s="32" t="n">
        <v>91292</v>
      </c>
      <c r="L97" s="31" t="n">
        <v>34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66.70999999999999</v>
      </c>
      <c r="P97" s="32" t="n">
        <v>35.39</v>
      </c>
      <c r="Q97" s="32" t="n">
        <v>498.07</v>
      </c>
      <c r="R97" s="31" t="inlineStr">
        <is>
          <t>Near 52W High Breakout</t>
        </is>
      </c>
      <c r="S97" s="31" t="inlineStr">
        <is>
          <t>Nifty FMCG</t>
        </is>
      </c>
      <c r="T97" s="32" t="n">
        <v>-10.52</v>
      </c>
      <c r="U97" s="32" t="n">
        <v>8.73</v>
      </c>
      <c r="V97" s="32" t="n">
        <v>21.51</v>
      </c>
      <c r="W97" s="32" t="n">
        <v>6.94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B2C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Between 0.7 to 1.2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IF(B98=0,"",RANK(B98,$B$2:$B$378,0))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SHILPAMED</t>
        </is>
      </c>
      <c r="D98" s="31" t="inlineStr">
        <is>
          <t>Shilpa Medicare Limited</t>
        </is>
      </c>
      <c r="E98" s="31" t="inlineStr">
        <is>
          <t>healthcare</t>
        </is>
      </c>
      <c r="F98" s="31" t="inlineStr">
        <is>
          <t>pharmaceuticals - indian - formulations</t>
        </is>
      </c>
      <c r="G98" s="31" t="inlineStr">
        <is>
          <t>midcap</t>
        </is>
      </c>
      <c r="H98" s="32" t="n">
        <v>16031.84</v>
      </c>
      <c r="I98" s="32" t="n">
        <v>807.05</v>
      </c>
      <c r="J98" s="32" t="n">
        <v>0.23</v>
      </c>
      <c r="K98" s="32" t="n">
        <v>1394332</v>
      </c>
      <c r="L98" s="31" t="n">
        <v>88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88.98</v>
      </c>
      <c r="P98" s="32" t="n">
        <v>73.13</v>
      </c>
      <c r="Q98" s="32" t="n">
        <v>647.8</v>
      </c>
      <c r="R98" s="31" t="inlineStr">
        <is>
          <t>Near 52W High Breakout</t>
        </is>
      </c>
      <c r="S98" s="31" t="inlineStr">
        <is>
          <t>Nifty Pharma</t>
        </is>
      </c>
      <c r="T98" s="32" t="n">
        <v>20.47</v>
      </c>
      <c r="U98" s="32" t="n">
        <v>77.84999999999999</v>
      </c>
      <c r="V98" s="32" t="n">
        <v>47.63</v>
      </c>
      <c r="W98" s="32" t="n">
        <v>30.71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IF(B99=0,"",RANK(B99,$B$2:$B$378,0))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LAURUSLABS</t>
        </is>
      </c>
      <c r="D99" s="31" t="inlineStr">
        <is>
          <t>Laurus Labs Limited</t>
        </is>
      </c>
      <c r="E99" s="31" t="inlineStr">
        <is>
          <t>healthcare</t>
        </is>
      </c>
      <c r="F99" s="31" t="inlineStr">
        <is>
          <t>pharmaceuticals - indian - bulk drugs &amp; formln</t>
        </is>
      </c>
      <c r="G99" s="31" t="inlineStr">
        <is>
          <t>largecap</t>
        </is>
      </c>
      <c r="H99" s="32" t="n">
        <v>100378.37</v>
      </c>
      <c r="I99" s="32" t="n">
        <v>1851.7</v>
      </c>
      <c r="J99" s="32" t="n">
        <v>0.09</v>
      </c>
      <c r="K99" s="32" t="n">
        <v>2663996</v>
      </c>
      <c r="L99" s="31" t="n">
        <v>82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86.47</v>
      </c>
      <c r="P99" s="32" t="n">
        <v>64.89</v>
      </c>
      <c r="Q99" s="32" t="n">
        <v>1597.37</v>
      </c>
      <c r="R99" s="31" t="inlineStr">
        <is>
          <t>Near 52W High Breakout</t>
        </is>
      </c>
      <c r="S99" s="31" t="inlineStr">
        <is>
          <t>Nifty Pharma</t>
        </is>
      </c>
      <c r="T99" s="32" t="n">
        <v>20.47</v>
      </c>
      <c r="U99" s="32" t="n">
        <v>115.78</v>
      </c>
      <c r="V99" s="32" t="n">
        <v>79.11</v>
      </c>
      <c r="W99" s="32" t="n">
        <v>25.67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IF(B100=0,"",RANK(B100,$B$2:$B$378,0))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HTMEDIA</t>
        </is>
      </c>
      <c r="D100" s="31" t="inlineStr">
        <is>
          <t>Ht Media Limited</t>
        </is>
      </c>
      <c r="E100" s="31" t="inlineStr">
        <is>
          <t>media</t>
        </is>
      </c>
      <c r="F100" s="31" t="inlineStr">
        <is>
          <t>entertainment / electronic media software</t>
        </is>
      </c>
      <c r="G100" s="31" t="inlineStr">
        <is>
          <t>smallcap</t>
        </is>
      </c>
      <c r="H100" s="32" t="n">
        <v>636.63</v>
      </c>
      <c r="I100" s="32" t="n">
        <v>26.7</v>
      </c>
      <c r="J100" s="32" t="n">
        <v>-0.15</v>
      </c>
      <c r="K100" s="32" t="n">
        <v>88951</v>
      </c>
      <c r="L100" s="31" t="n">
        <v>36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60.47</v>
      </c>
      <c r="P100" s="32" t="n">
        <v>20.3</v>
      </c>
      <c r="Q100" s="32" t="n">
        <v>19.87</v>
      </c>
      <c r="R100" s="31" t="inlineStr">
        <is>
          <t>Near 52W High Breakout</t>
        </is>
      </c>
      <c r="S100" s="31" t="inlineStr">
        <is>
          <t>Nifty IT</t>
        </is>
      </c>
      <c r="T100" s="32" t="n">
        <v>-9.699999999999999</v>
      </c>
      <c r="U100" s="32" t="n">
        <v>7.11</v>
      </c>
      <c r="V100" s="32" t="n">
        <v>18.62</v>
      </c>
      <c r="W100" s="32" t="n">
        <v>7.19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IF(B101=0,"",RANK(B101,$B$2:$B$378,0))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MPSLTD</t>
        </is>
      </c>
      <c r="D101" s="31" t="inlineStr">
        <is>
          <t>Mps Limited</t>
        </is>
      </c>
      <c r="E101" s="31" t="inlineStr">
        <is>
          <t>i.t</t>
        </is>
      </c>
      <c r="F101" s="31" t="inlineStr">
        <is>
          <t>computers - software - medium / small</t>
        </is>
      </c>
      <c r="G101" s="31" t="inlineStr">
        <is>
          <t>smallcap</t>
        </is>
      </c>
      <c r="H101" s="32" t="n">
        <v>4873.79</v>
      </c>
      <c r="I101" s="32" t="n">
        <v>2756.5</v>
      </c>
      <c r="J101" s="32" t="n">
        <v>-4.02</v>
      </c>
      <c r="K101" s="32" t="n">
        <v>30209</v>
      </c>
      <c r="L101" s="31" t="n">
        <v>73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70.66</v>
      </c>
      <c r="P101" s="32" t="n">
        <v>35.02</v>
      </c>
      <c r="Q101" s="32" t="n">
        <v>2298.72</v>
      </c>
      <c r="R101" s="31" t="inlineStr">
        <is>
          <t>Earnings / Momentum Support</t>
        </is>
      </c>
      <c r="S101" s="31" t="inlineStr">
        <is>
          <t>Nifty IT</t>
        </is>
      </c>
      <c r="T101" s="32" t="n">
        <v>-9.699999999999999</v>
      </c>
      <c r="U101" s="32" t="n">
        <v>29.72</v>
      </c>
      <c r="V101" s="32" t="n">
        <v>43.65</v>
      </c>
      <c r="W101" s="32" t="n">
        <v>19.14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IF(B102=0,"",RANK(B102,$B$2:$B$378,0))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MIDHANI</t>
        </is>
      </c>
      <c r="D102" s="31" t="inlineStr">
        <is>
          <t>Mishra Dhatu Nigam Ltd</t>
        </is>
      </c>
      <c r="E102" s="31" t="inlineStr">
        <is>
          <t>aerospace &amp; defence</t>
        </is>
      </c>
      <c r="F102" s="31" t="inlineStr">
        <is>
          <t>steel - medium / small</t>
        </is>
      </c>
      <c r="G102" s="31" t="inlineStr">
        <is>
          <t>midcap</t>
        </is>
      </c>
      <c r="H102" s="32" t="n">
        <v>8013.47</v>
      </c>
      <c r="I102" s="32" t="n">
        <v>444.85</v>
      </c>
      <c r="J102" s="32" t="n">
        <v>8.91</v>
      </c>
      <c r="K102" s="32" t="n">
        <v>16215062</v>
      </c>
      <c r="L102" s="31" t="inlineStr"/>
      <c r="M102" s="31" t="inlineStr"/>
      <c r="N102" s="32">
        <f>IF(M102="Underperforming",-5,IF(L102&gt;=95,15,IF(L102&gt;=90,10,IF(L102&gt;=80,5,0))))</f>
        <v/>
      </c>
      <c r="O102" s="32" t="n">
        <v>62.76</v>
      </c>
      <c r="P102" s="32" t="n">
        <v>26.98</v>
      </c>
      <c r="Q102" s="32" t="n">
        <v>338.96</v>
      </c>
      <c r="R102" s="31" t="inlineStr">
        <is>
          <t>Volume Spike &amp; Near 52W High Breakout</t>
        </is>
      </c>
      <c r="S102" s="31" t="inlineStr">
        <is>
          <t>Nifty Metal</t>
        </is>
      </c>
      <c r="T102" s="32" t="inlineStr"/>
      <c r="U102" s="32" t="inlineStr"/>
      <c r="V102" s="32" t="inlineStr"/>
      <c r="W102" s="32" t="inlineStr"/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Between 1.5 to 2</t>
        </is>
      </c>
      <c r="BU102" s="31">
        <f>IF(BT102="Above 2",0,IF(BT102="Between 1.5 to 2",5,IF(BT102="Less than 1.5",10,0)))</f>
        <v/>
      </c>
      <c r="BV102" s="31" t="inlineStr">
        <is>
          <t>Between 50% to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IF(B103=0,"",RANK(B103,$B$2:$B$378,0))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AZAD</t>
        </is>
      </c>
      <c r="D103" s="31" t="inlineStr">
        <is>
          <t>Azad Engineering Ltd</t>
        </is>
      </c>
      <c r="E103" s="31" t="inlineStr">
        <is>
          <t>aerospace &amp; defence</t>
        </is>
      </c>
      <c r="F103" s="31" t="inlineStr">
        <is>
          <t>engineering</t>
        </is>
      </c>
      <c r="G103" s="31" t="inlineStr">
        <is>
          <t>midcap</t>
        </is>
      </c>
      <c r="H103" s="32" t="n">
        <v>15965.25</v>
      </c>
      <c r="I103" s="32" t="n">
        <v>2665.1</v>
      </c>
      <c r="J103" s="32" t="n">
        <v>7.49</v>
      </c>
      <c r="K103" s="32" t="n">
        <v>1826213</v>
      </c>
      <c r="L103" s="31" t="n">
        <v>70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67.59999999999999</v>
      </c>
      <c r="P103" s="32" t="n">
        <v>31.6</v>
      </c>
      <c r="Q103" s="32" t="n">
        <v>2019.66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-0.96</v>
      </c>
      <c r="U103" s="32" t="n">
        <v>71.84999999999999</v>
      </c>
      <c r="V103" s="32" t="n">
        <v>73.51000000000001</v>
      </c>
      <c r="W103" s="32" t="n">
        <v>17.77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IF(B104=0,"",RANK(B104,$B$2:$B$378,0))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BHARATSE</t>
        </is>
      </c>
      <c r="D104" s="31" t="inlineStr">
        <is>
          <t>Bharat Seats Ltd</t>
        </is>
      </c>
      <c r="E104" s="31" t="inlineStr">
        <is>
          <t>auto</t>
        </is>
      </c>
      <c r="F104" s="31" t="inlineStr">
        <is>
          <t>auto ancillaries</t>
        </is>
      </c>
      <c r="G104" s="31" t="inlineStr">
        <is>
          <t>smallcap</t>
        </is>
      </c>
      <c r="H104" s="32" t="n">
        <v>1454.32</v>
      </c>
      <c r="I104" s="32" t="n">
        <v>245.25</v>
      </c>
      <c r="J104" s="32" t="n">
        <v>4.23</v>
      </c>
      <c r="K104" s="32" t="n">
        <v>1253060</v>
      </c>
      <c r="L104" s="31" t="inlineStr"/>
      <c r="M104" s="31" t="inlineStr"/>
      <c r="N104" s="32">
        <f>IF(M104="Underperforming",-5,IF(L104&gt;=95,15,IF(L104&gt;=90,10,IF(L104&gt;=80,5,0))))</f>
        <v/>
      </c>
      <c r="O104" s="32" t="n">
        <v>65.94</v>
      </c>
      <c r="P104" s="32" t="n">
        <v>33.68</v>
      </c>
      <c r="Q104" s="32" t="n">
        <v>169.7</v>
      </c>
      <c r="R104" s="31" t="inlineStr">
        <is>
          <t>Near 52W High Breakout</t>
        </is>
      </c>
      <c r="S104" s="31" t="inlineStr">
        <is>
          <t>Nifty Auto</t>
        </is>
      </c>
      <c r="T104" s="32" t="inlineStr"/>
      <c r="U104" s="32" t="inlineStr"/>
      <c r="V104" s="32" t="inlineStr"/>
      <c r="W104" s="32" t="inlineStr"/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Between 12 to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IF(B105=0,"",RANK(B105,$B$2:$B$378,0))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CARBORUNIV</t>
        </is>
      </c>
      <c r="D105" s="31" t="inlineStr">
        <is>
          <t>Carborundum Universal Limited</t>
        </is>
      </c>
      <c r="E105" s="31" t="inlineStr">
        <is>
          <t>industrials</t>
        </is>
      </c>
      <c r="F105" s="31" t="inlineStr">
        <is>
          <t>abrasives and grinding wheels</t>
        </is>
      </c>
      <c r="G105" s="31" t="inlineStr">
        <is>
          <t>largecap</t>
        </is>
      </c>
      <c r="H105" s="32" t="n">
        <v>22360.13</v>
      </c>
      <c r="I105" s="32" t="n">
        <v>1184.6</v>
      </c>
      <c r="J105" s="32" t="n">
        <v>2.63</v>
      </c>
      <c r="K105" s="32" t="n">
        <v>232967</v>
      </c>
      <c r="L105" s="31" t="n">
        <v>45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65.40000000000001</v>
      </c>
      <c r="P105" s="32" t="n">
        <v>47.41</v>
      </c>
      <c r="Q105" s="32" t="n">
        <v>985.51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-0.96</v>
      </c>
      <c r="U105" s="32" t="n">
        <v>39.76</v>
      </c>
      <c r="V105" s="32" t="n">
        <v>41.11</v>
      </c>
      <c r="W105" s="32" t="n">
        <v>9.279999999999999</v>
      </c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IF(B106=0,"",RANK(B106,$B$2:$B$378,0))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LODHA</t>
        </is>
      </c>
      <c r="D106" s="31" t="inlineStr">
        <is>
          <t>Lodha Developers Ltd</t>
        </is>
      </c>
      <c r="E106" s="31" t="inlineStr">
        <is>
          <t>realty</t>
        </is>
      </c>
      <c r="F106" s="31" t="inlineStr">
        <is>
          <t>construction</t>
        </is>
      </c>
      <c r="G106" s="31" t="inlineStr">
        <is>
          <t>largecap</t>
        </is>
      </c>
      <c r="H106" s="32" t="n">
        <v>121090.24</v>
      </c>
      <c r="I106" s="32" t="n">
        <v>1232.3</v>
      </c>
      <c r="J106" s="32" t="n">
        <v>1.93</v>
      </c>
      <c r="K106" s="32" t="n">
        <v>2423103</v>
      </c>
      <c r="L106" s="31" t="n">
        <v>52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63.53</v>
      </c>
      <c r="P106" s="32" t="n">
        <v>20.54</v>
      </c>
      <c r="Q106" s="32" t="n">
        <v>966.9299999999999</v>
      </c>
      <c r="R106" s="31" t="inlineStr">
        <is>
          <t>Near 52W High Breakout</t>
        </is>
      </c>
      <c r="S106" s="31" t="inlineStr">
        <is>
          <t>Nifty Realty</t>
        </is>
      </c>
      <c r="T106" s="32" t="n">
        <v>-5.49</v>
      </c>
      <c r="U106" s="32" t="n">
        <v>-3.02</v>
      </c>
      <c r="V106" s="32" t="n">
        <v>2.61</v>
      </c>
      <c r="W106" s="32" t="n">
        <v>11.26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IF(B107=0,"",RANK(B107,$B$2:$B$378,0))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GRINDWELL</t>
        </is>
      </c>
      <c r="D107" s="31" t="inlineStr">
        <is>
          <t>Grindwell Norton Limited</t>
        </is>
      </c>
      <c r="E107" s="31" t="inlineStr">
        <is>
          <t>industrials</t>
        </is>
      </c>
      <c r="F107" s="31" t="inlineStr">
        <is>
          <t>abrasives and grinding wheels</t>
        </is>
      </c>
      <c r="G107" s="31" t="inlineStr">
        <is>
          <t>largecap</t>
        </is>
      </c>
      <c r="H107" s="32" t="n">
        <v>23038.62</v>
      </c>
      <c r="I107" s="32" t="n">
        <v>2146.3</v>
      </c>
      <c r="J107" s="32" t="n">
        <v>1.9</v>
      </c>
      <c r="K107" s="32" t="n">
        <v>17532</v>
      </c>
      <c r="L107" s="31" t="n">
        <v>53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65.3</v>
      </c>
      <c r="P107" s="32" t="n">
        <v>52.51</v>
      </c>
      <c r="Q107" s="32" t="n">
        <v>1742.3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-0.96</v>
      </c>
      <c r="U107" s="32" t="n">
        <v>47.6</v>
      </c>
      <c r="V107" s="32" t="n">
        <v>49.03</v>
      </c>
      <c r="W107" s="32" t="n">
        <v>11.57</v>
      </c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IF(B108=0,"",RANK(B108,$B$2:$B$378,0))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IRISDOREME</t>
        </is>
      </c>
      <c r="D108" s="31" t="inlineStr">
        <is>
          <t>Iris Clothings Ltd</t>
        </is>
      </c>
      <c r="E108" s="31" t="inlineStr">
        <is>
          <t>consumer discretionary</t>
        </is>
      </c>
      <c r="F108" s="31" t="inlineStr">
        <is>
          <t>textiles - products</t>
        </is>
      </c>
      <c r="G108" s="31" t="inlineStr">
        <is>
          <t>smallcap</t>
        </is>
      </c>
      <c r="H108" s="32" t="n">
        <v>1071.95</v>
      </c>
      <c r="I108" s="32" t="n">
        <v>57.74</v>
      </c>
      <c r="J108" s="32" t="n">
        <v>1.6</v>
      </c>
      <c r="K108" s="32" t="n">
        <v>1575386</v>
      </c>
      <c r="L108" s="31" t="n">
        <v>82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84.43000000000001</v>
      </c>
      <c r="P108" s="32" t="n">
        <v>39.43</v>
      </c>
      <c r="Q108" s="32" t="n">
        <v>44.99</v>
      </c>
      <c r="R108" s="31" t="inlineStr">
        <is>
          <t>Volume Spike &amp; Near 52W High Breakout</t>
        </is>
      </c>
      <c r="S108" s="31" t="inlineStr">
        <is>
          <t>Nifty 50</t>
        </is>
      </c>
      <c r="T108" s="32" t="n">
        <v>-0.96</v>
      </c>
      <c r="U108" s="32" t="n">
        <v>71.16</v>
      </c>
      <c r="V108" s="32" t="n">
        <v>72.81</v>
      </c>
      <c r="W108" s="32" t="n">
        <v>25.79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IF(B109=0,"",RANK(B109,$B$2:$B$378,0))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JKPAPER</t>
        </is>
      </c>
      <c r="D109" s="31" t="inlineStr">
        <is>
          <t>Jk Paper Limited</t>
        </is>
      </c>
      <c r="E109" s="31" t="inlineStr">
        <is>
          <t>building materials</t>
        </is>
      </c>
      <c r="F109" s="31" t="inlineStr">
        <is>
          <t>paper</t>
        </is>
      </c>
      <c r="G109" s="31" t="inlineStr">
        <is>
          <t>midcap</t>
        </is>
      </c>
      <c r="H109" s="32" t="n">
        <v>7083.22</v>
      </c>
      <c r="I109" s="32" t="n">
        <v>393.55</v>
      </c>
      <c r="J109" s="32" t="n">
        <v>1.2</v>
      </c>
      <c r="K109" s="32" t="n">
        <v>200910</v>
      </c>
      <c r="L109" s="31" t="n">
        <v>17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59.27</v>
      </c>
      <c r="P109" s="32" t="n">
        <v>24.83</v>
      </c>
      <c r="Q109" s="32" t="n">
        <v>323.21</v>
      </c>
      <c r="R109" s="31" t="inlineStr">
        <is>
          <t>Earnings / Momentum Support</t>
        </is>
      </c>
      <c r="S109" s="31" t="inlineStr">
        <is>
          <t>Nifty Infra</t>
        </is>
      </c>
      <c r="T109" s="32" t="n">
        <v>3.6</v>
      </c>
      <c r="U109" s="32" t="n">
        <v>6.68</v>
      </c>
      <c r="V109" s="32" t="n">
        <v>2.97</v>
      </c>
      <c r="W109" s="32" t="n">
        <v>3.33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IF(B110=0,"",RANK(B110,$B$2:$B$378,0))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SEAMECLTD</t>
        </is>
      </c>
      <c r="D110" s="31" t="inlineStr">
        <is>
          <t>Seamec Limited</t>
        </is>
      </c>
      <c r="E110" s="31" t="inlineStr">
        <is>
          <t>miscellaneous</t>
        </is>
      </c>
      <c r="F110" s="31" t="inlineStr">
        <is>
          <t>miscellaneous</t>
        </is>
      </c>
      <c r="G110" s="31" t="inlineStr">
        <is>
          <t>smallcap</t>
        </is>
      </c>
      <c r="H110" s="32" t="n">
        <v>3933.76</v>
      </c>
      <c r="I110" s="32" t="n">
        <v>1539.2</v>
      </c>
      <c r="J110" s="32" t="n">
        <v>1.14</v>
      </c>
      <c r="K110" s="32" t="n">
        <v>255511</v>
      </c>
      <c r="L110" s="31" t="n">
        <v>61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59.09</v>
      </c>
      <c r="P110" s="32" t="n">
        <v>24.55</v>
      </c>
      <c r="Q110" s="32" t="n">
        <v>1245.75</v>
      </c>
      <c r="R110" s="31" t="inlineStr">
        <is>
          <t>Volume Spike / Accumulation</t>
        </is>
      </c>
      <c r="S110" s="31" t="inlineStr">
        <is>
          <t>Nifty 50</t>
        </is>
      </c>
      <c r="T110" s="32" t="n">
        <v>-0.96</v>
      </c>
      <c r="U110" s="32" t="n">
        <v>78.84</v>
      </c>
      <c r="V110" s="32" t="n">
        <v>80.56999999999999</v>
      </c>
      <c r="W110" s="32" t="n">
        <v>14.41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IF(B111=0,"",RANK(B111,$B$2:$B$378,0))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KKCL</t>
        </is>
      </c>
      <c r="D111" s="31" t="inlineStr">
        <is>
          <t>Kewal Kiran Clothing Limited</t>
        </is>
      </c>
      <c r="E111" s="31" t="inlineStr">
        <is>
          <t>consumer discretionary</t>
        </is>
      </c>
      <c r="F111" s="31" t="inlineStr">
        <is>
          <t>textiles - products</t>
        </is>
      </c>
      <c r="G111" s="31" t="inlineStr">
        <is>
          <t>smallcap</t>
        </is>
      </c>
      <c r="H111" s="32" t="n">
        <v>3282.16</v>
      </c>
      <c r="I111" s="32" t="n">
        <v>529</v>
      </c>
      <c r="J111" s="32" t="n">
        <v>1.03</v>
      </c>
      <c r="K111" s="32" t="n">
        <v>15296</v>
      </c>
      <c r="L111" s="31" t="n">
        <v>25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59.79</v>
      </c>
      <c r="P111" s="32" t="n">
        <v>20.05</v>
      </c>
      <c r="Q111" s="32" t="n">
        <v>420.19</v>
      </c>
      <c r="R111" s="31" t="inlineStr">
        <is>
          <t>Earnings / Momentum Support</t>
        </is>
      </c>
      <c r="S111" s="31" t="inlineStr">
        <is>
          <t>Nifty 50</t>
        </is>
      </c>
      <c r="T111" s="32" t="n">
        <v>-0.96</v>
      </c>
      <c r="U111" s="32" t="n">
        <v>6.53</v>
      </c>
      <c r="V111" s="32" t="n">
        <v>7.56</v>
      </c>
      <c r="W111" s="32" t="n">
        <v>4.85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IF(B112=0,"",RANK(B112,$B$2:$B$378,0))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NYKAA</t>
        </is>
      </c>
      <c r="D112" s="31" t="inlineStr">
        <is>
          <t>FSN E-Commerce Ventures Ltd</t>
        </is>
      </c>
      <c r="E112" s="31" t="inlineStr">
        <is>
          <t>i.t</t>
        </is>
      </c>
      <c r="F112" s="31" t="inlineStr">
        <is>
          <t>trading</t>
        </is>
      </c>
      <c r="G112" s="31" t="inlineStr">
        <is>
          <t>largecap</t>
        </is>
      </c>
      <c r="H112" s="32" t="n">
        <v>93074.28</v>
      </c>
      <c r="I112" s="32" t="n">
        <v>331.15</v>
      </c>
      <c r="J112" s="32" t="n">
        <v>0.95</v>
      </c>
      <c r="K112" s="32" t="n">
        <v>14337462</v>
      </c>
      <c r="L112" s="31" t="n">
        <v>60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71.03</v>
      </c>
      <c r="P112" s="32" t="n">
        <v>42.59</v>
      </c>
      <c r="Q112" s="32" t="n">
        <v>283.14</v>
      </c>
      <c r="R112" s="31" t="inlineStr">
        <is>
          <t>Near 52W High Breakout</t>
        </is>
      </c>
      <c r="S112" s="31" t="inlineStr">
        <is>
          <t>Nifty IT</t>
        </is>
      </c>
      <c r="T112" s="32" t="n">
        <v>-9.699999999999999</v>
      </c>
      <c r="U112" s="32" t="n">
        <v>53.92</v>
      </c>
      <c r="V112" s="32" t="n">
        <v>70.45999999999999</v>
      </c>
      <c r="W112" s="32" t="n">
        <v>13.75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Between 0.7 to 1.2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IF(B113=0,"",RANK(B113,$B$2:$B$378,0))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WELCORP</t>
        </is>
      </c>
      <c r="D113" s="31" t="inlineStr">
        <is>
          <t>Welspun Corp Limited</t>
        </is>
      </c>
      <c r="E113" s="31" t="inlineStr">
        <is>
          <t>industrials</t>
        </is>
      </c>
      <c r="F113" s="31" t="inlineStr">
        <is>
          <t>steel - large</t>
        </is>
      </c>
      <c r="G113" s="31" t="inlineStr">
        <is>
          <t>largecap</t>
        </is>
      </c>
      <c r="H113" s="32" t="n">
        <v>48455.7</v>
      </c>
      <c r="I113" s="32" t="n">
        <v>1885</v>
      </c>
      <c r="J113" s="32" t="n">
        <v>0.93</v>
      </c>
      <c r="K113" s="32" t="n">
        <v>484980</v>
      </c>
      <c r="L113" s="31" t="inlineStr"/>
      <c r="M113" s="31" t="inlineStr"/>
      <c r="N113" s="32">
        <f>IF(M113="Underperforming",-5,IF(L113&gt;=95,15,IF(L113&gt;=90,10,IF(L113&gt;=80,5,0))))</f>
        <v/>
      </c>
      <c r="O113" s="32" t="n">
        <v>89.01000000000001</v>
      </c>
      <c r="P113" s="32" t="n">
        <v>70.76000000000001</v>
      </c>
      <c r="Q113" s="32" t="n">
        <v>1572.11</v>
      </c>
      <c r="R113" s="31" t="inlineStr">
        <is>
          <t>Near 52W High Breakout</t>
        </is>
      </c>
      <c r="S113" s="31" t="inlineStr">
        <is>
          <t>Nifty Metal</t>
        </is>
      </c>
      <c r="T113" s="32" t="inlineStr"/>
      <c r="U113" s="32" t="inlineStr"/>
      <c r="V113" s="32" t="inlineStr"/>
      <c r="W113" s="32" t="inlineStr"/>
      <c r="X113" s="31" t="inlineStr">
        <is>
          <t>Cyclical in an Upturn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IF(B114=0,"",RANK(B114,$B$2:$B$378,0))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HUHTAMAKI</t>
        </is>
      </c>
      <c r="D114" s="31" t="inlineStr">
        <is>
          <t>Huhtamaki India Ltd</t>
        </is>
      </c>
      <c r="E114" s="31" t="inlineStr">
        <is>
          <t>industrials</t>
        </is>
      </c>
      <c r="F114" s="31" t="inlineStr">
        <is>
          <t>packaging</t>
        </is>
      </c>
      <c r="G114" s="31" t="inlineStr">
        <is>
          <t>smallcap</t>
        </is>
      </c>
      <c r="H114" s="32" t="n">
        <v>2202.6</v>
      </c>
      <c r="I114" s="32" t="n">
        <v>280.95</v>
      </c>
      <c r="J114" s="32" t="n">
        <v>0.92</v>
      </c>
      <c r="K114" s="32" t="n">
        <v>158696</v>
      </c>
      <c r="L114" s="31" t="n">
        <v>80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66.76000000000001</v>
      </c>
      <c r="P114" s="32" t="n">
        <v>33.37</v>
      </c>
      <c r="Q114" s="32" t="n">
        <v>240.55</v>
      </c>
      <c r="R114" s="31" t="inlineStr">
        <is>
          <t>Earnings / Momentum Support</t>
        </is>
      </c>
      <c r="S114" s="31" t="inlineStr">
        <is>
          <t>Nifty 50</t>
        </is>
      </c>
      <c r="T114" s="32" t="n">
        <v>-0.96</v>
      </c>
      <c r="U114" s="32" t="n">
        <v>33.9</v>
      </c>
      <c r="V114" s="32" t="n">
        <v>35.19</v>
      </c>
      <c r="W114" s="32" t="n">
        <v>24.05</v>
      </c>
      <c r="X114" s="31" t="inlineStr">
        <is>
          <t>Cyclical in an Upturn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IF(B115=0,"",RANK(B115,$B$2:$B$378,0))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NAZARA</t>
        </is>
      </c>
      <c r="D115" s="31" t="inlineStr">
        <is>
          <t>Nazara Technologies Ltd</t>
        </is>
      </c>
      <c r="E115" s="31" t="inlineStr">
        <is>
          <t>i.t</t>
        </is>
      </c>
      <c r="F115" s="31" t="inlineStr">
        <is>
          <t>telecommunications - service provider</t>
        </is>
      </c>
      <c r="G115" s="31" t="inlineStr">
        <is>
          <t>midcap</t>
        </is>
      </c>
      <c r="H115" s="32" t="n">
        <v>13640.11</v>
      </c>
      <c r="I115" s="32" t="n">
        <v>355.2</v>
      </c>
      <c r="J115" s="32" t="n">
        <v>0.85</v>
      </c>
      <c r="K115" s="32" t="n">
        <v>1174739</v>
      </c>
      <c r="L115" s="31" t="n">
        <v>24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72.62</v>
      </c>
      <c r="P115" s="32" t="n">
        <v>20.64</v>
      </c>
      <c r="Q115" s="32" t="n">
        <v>287.19</v>
      </c>
      <c r="R115" s="31" t="inlineStr">
        <is>
          <t>Near 52W High Breakout</t>
        </is>
      </c>
      <c r="S115" s="31" t="inlineStr">
        <is>
          <t>Nifty IT</t>
        </is>
      </c>
      <c r="T115" s="32" t="n">
        <v>-9.699999999999999</v>
      </c>
      <c r="U115" s="32" t="n">
        <v>0.44</v>
      </c>
      <c r="V115" s="32" t="n">
        <v>11.23</v>
      </c>
      <c r="W115" s="32" t="n">
        <v>4.74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Oligopoly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IF(B116=0,"",RANK(B116,$B$2:$B$378,0))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UNIMECH</t>
        </is>
      </c>
      <c r="D116" s="31" t="inlineStr">
        <is>
          <t>Unimech Aerospace and Manufacturing Ltd</t>
        </is>
      </c>
      <c r="E116" s="31" t="inlineStr">
        <is>
          <t>aerospace &amp; defence</t>
        </is>
      </c>
      <c r="F116" s="31" t="inlineStr">
        <is>
          <t>engineering</t>
        </is>
      </c>
      <c r="G116" s="31" t="inlineStr">
        <is>
          <t>midcap</t>
        </is>
      </c>
      <c r="H116" s="32" t="n">
        <v>7228.8</v>
      </c>
      <c r="I116" s="32" t="n">
        <v>1426.9</v>
      </c>
      <c r="J116" s="32" t="n">
        <v>0.59</v>
      </c>
      <c r="K116" s="32" t="n">
        <v>111242</v>
      </c>
      <c r="L116" s="31" t="n">
        <v>71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71.45999999999999</v>
      </c>
      <c r="P116" s="32" t="n">
        <v>33.12</v>
      </c>
      <c r="Q116" s="32" t="n">
        <v>1099.36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-0.96</v>
      </c>
      <c r="U116" s="32" t="n">
        <v>33.81</v>
      </c>
      <c r="V116" s="32" t="n">
        <v>35.1</v>
      </c>
      <c r="W116" s="32" t="n">
        <v>18.23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IF(B117=0,"",RANK(B117,$B$2:$B$378,0))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SUPRAJIT</t>
        </is>
      </c>
      <c r="D117" s="31" t="inlineStr">
        <is>
          <t>Suprajit Engineering Limited</t>
        </is>
      </c>
      <c r="E117" s="31" t="inlineStr">
        <is>
          <t>auto</t>
        </is>
      </c>
      <c r="F117" s="31" t="inlineStr">
        <is>
          <t>auto ancillaries</t>
        </is>
      </c>
      <c r="G117" s="31" t="inlineStr">
        <is>
          <t>midcap</t>
        </is>
      </c>
      <c r="H117" s="32" t="n">
        <v>7287.22</v>
      </c>
      <c r="I117" s="32" t="n">
        <v>524.15</v>
      </c>
      <c r="J117" s="32" t="n">
        <v>0.13</v>
      </c>
      <c r="K117" s="32" t="n">
        <v>76120</v>
      </c>
      <c r="L117" s="31" t="inlineStr"/>
      <c r="M117" s="31" t="inlineStr"/>
      <c r="N117" s="32">
        <f>IF(M117="Underperforming",-5,IF(L117&gt;=95,15,IF(L117&gt;=90,10,IF(L117&gt;=80,5,0))))</f>
        <v/>
      </c>
      <c r="O117" s="32" t="n">
        <v>64.54000000000001</v>
      </c>
      <c r="P117" s="32" t="n">
        <v>42.95</v>
      </c>
      <c r="Q117" s="32" t="n">
        <v>421.38</v>
      </c>
      <c r="R117" s="31" t="inlineStr">
        <is>
          <t>Near 52W High Breakout</t>
        </is>
      </c>
      <c r="S117" s="31" t="inlineStr">
        <is>
          <t>Nifty Auto</t>
        </is>
      </c>
      <c r="T117" s="32" t="inlineStr"/>
      <c r="U117" s="32" t="inlineStr"/>
      <c r="V117" s="32" t="inlineStr"/>
      <c r="W117" s="32" t="inlineStr"/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IF(B118=0,"",RANK(B118,$B$2:$B$378,0))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MATRIMONY</t>
        </is>
      </c>
      <c r="D118" s="31" t="inlineStr">
        <is>
          <t>Matrimony.com Ltd</t>
        </is>
      </c>
      <c r="E118" s="31" t="inlineStr">
        <is>
          <t>miscellaneous</t>
        </is>
      </c>
      <c r="F118" s="31" t="inlineStr">
        <is>
          <t>miscellaneous</t>
        </is>
      </c>
      <c r="G118" s="31" t="inlineStr">
        <is>
          <t>smallcap</t>
        </is>
      </c>
      <c r="H118" s="32" t="n">
        <v>1110.37</v>
      </c>
      <c r="I118" s="32" t="n">
        <v>539.95</v>
      </c>
      <c r="J118" s="32" t="n">
        <v>-0.29</v>
      </c>
      <c r="K118" s="32" t="n">
        <v>56812</v>
      </c>
      <c r="L118" s="31" t="n">
        <v>39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68.81</v>
      </c>
      <c r="P118" s="32" t="n">
        <v>20.56</v>
      </c>
      <c r="Q118" s="32" t="n">
        <v>418.61</v>
      </c>
      <c r="R118" s="31" t="inlineStr">
        <is>
          <t>Volume Spike &amp; Near 52W High Breakout</t>
        </is>
      </c>
      <c r="S118" s="31" t="inlineStr">
        <is>
          <t>Nifty 50</t>
        </is>
      </c>
      <c r="T118" s="32" t="n">
        <v>-0.96</v>
      </c>
      <c r="U118" s="32" t="n">
        <v>6.79</v>
      </c>
      <c r="V118" s="32" t="n">
        <v>7.82</v>
      </c>
      <c r="W118" s="32" t="n">
        <v>7.73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IF(B119=0,"",RANK(B119,$B$2:$B$378,0))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PIDILITIND</t>
        </is>
      </c>
      <c r="D119" s="31" t="inlineStr">
        <is>
          <t>Pidilite Industries Limited</t>
        </is>
      </c>
      <c r="E119" s="31" t="inlineStr">
        <is>
          <t>chemicals</t>
        </is>
      </c>
      <c r="F119" s="31" t="inlineStr">
        <is>
          <t>chemicals</t>
        </is>
      </c>
      <c r="G119" s="31" t="inlineStr">
        <is>
          <t>largecap</t>
        </is>
      </c>
      <c r="H119" s="32" t="n">
        <v>171576.57</v>
      </c>
      <c r="I119" s="32" t="n">
        <v>1696.1</v>
      </c>
      <c r="J119" s="32" t="n">
        <v>-0.32</v>
      </c>
      <c r="K119" s="32" t="n">
        <v>1122399</v>
      </c>
      <c r="L119" s="31" t="n">
        <v>27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73.09999999999999</v>
      </c>
      <c r="P119" s="32" t="n">
        <v>25.9</v>
      </c>
      <c r="Q119" s="32" t="n">
        <v>1495.61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-0.96</v>
      </c>
      <c r="U119" s="32" t="n">
        <v>9.94</v>
      </c>
      <c r="V119" s="32" t="n">
        <v>11</v>
      </c>
      <c r="W119" s="32" t="n">
        <v>5.26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IF(B120=0,"",RANK(B120,$B$2:$B$378,0))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ARVSMART</t>
        </is>
      </c>
      <c r="D120" s="31" t="inlineStr">
        <is>
          <t>Arvind Smartspaces Limited</t>
        </is>
      </c>
      <c r="E120" s="31" t="inlineStr">
        <is>
          <t>realty</t>
        </is>
      </c>
      <c r="F120" s="31" t="inlineStr">
        <is>
          <t>construction</t>
        </is>
      </c>
      <c r="G120" s="31" t="inlineStr">
        <is>
          <t>smallcap</t>
        </is>
      </c>
      <c r="H120" s="32" t="n">
        <v>2918.97</v>
      </c>
      <c r="I120" s="32" t="n">
        <v>663.15</v>
      </c>
      <c r="J120" s="32" t="n">
        <v>-0.36</v>
      </c>
      <c r="K120" s="32" t="n">
        <v>162289</v>
      </c>
      <c r="L120" s="31" t="n">
        <v>19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61.75</v>
      </c>
      <c r="P120" s="32" t="n">
        <v>25.99</v>
      </c>
      <c r="Q120" s="32" t="n">
        <v>523.8</v>
      </c>
      <c r="R120" s="31" t="inlineStr">
        <is>
          <t>Near 52W High Breakout</t>
        </is>
      </c>
      <c r="S120" s="31" t="inlineStr">
        <is>
          <t>Nifty Realty</t>
        </is>
      </c>
      <c r="T120" s="32" t="n">
        <v>-5.49</v>
      </c>
      <c r="U120" s="32" t="n">
        <v>6.11</v>
      </c>
      <c r="V120" s="32" t="n">
        <v>12.28</v>
      </c>
      <c r="W120" s="32" t="n">
        <v>3.85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IF(B121=0,"",RANK(B121,$B$2:$B$378,0))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GULFOILLUB</t>
        </is>
      </c>
      <c r="D121" s="31" t="inlineStr">
        <is>
          <t>Gulf Oil Lubricants India Limited</t>
        </is>
      </c>
      <c r="E121" s="31" t="inlineStr">
        <is>
          <t>chemicals</t>
        </is>
      </c>
      <c r="F121" s="31" t="inlineStr">
        <is>
          <t>chemicals</t>
        </is>
      </c>
      <c r="G121" s="31" t="inlineStr">
        <is>
          <t>midcap</t>
        </is>
      </c>
      <c r="H121" s="32" t="n">
        <v>5891.51</v>
      </c>
      <c r="I121" s="32" t="n">
        <v>1176.7</v>
      </c>
      <c r="J121" s="32" t="n">
        <v>-0.38</v>
      </c>
      <c r="K121" s="32" t="n">
        <v>41356</v>
      </c>
      <c r="L121" s="31" t="n">
        <v>34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62.33</v>
      </c>
      <c r="P121" s="32" t="n">
        <v>20.04</v>
      </c>
      <c r="Q121" s="32" t="n">
        <v>971.49</v>
      </c>
      <c r="R121" s="31" t="inlineStr">
        <is>
          <t>Earnings / Momentum Support</t>
        </is>
      </c>
      <c r="S121" s="31" t="inlineStr">
        <is>
          <t>Nifty 50</t>
        </is>
      </c>
      <c r="T121" s="32" t="n">
        <v>-0.96</v>
      </c>
      <c r="U121" s="32" t="n">
        <v>5.52</v>
      </c>
      <c r="V121" s="32" t="n">
        <v>6.54</v>
      </c>
      <c r="W121" s="32" t="n">
        <v>6.95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IF(B122=0,"",RANK(B122,$B$2:$B$378,0))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UNIVCABLES</t>
        </is>
      </c>
      <c r="D122" s="31" t="inlineStr">
        <is>
          <t>Universal Cables Limited</t>
        </is>
      </c>
      <c r="E122" s="31" t="inlineStr">
        <is>
          <t>industrials</t>
        </is>
      </c>
      <c r="F122" s="31" t="inlineStr">
        <is>
          <t>cables - power</t>
        </is>
      </c>
      <c r="G122" s="31" t="inlineStr">
        <is>
          <t>midcap</t>
        </is>
      </c>
      <c r="H122" s="32" t="n">
        <v>5792.05</v>
      </c>
      <c r="I122" s="32" t="n">
        <v>1702.2</v>
      </c>
      <c r="J122" s="32" t="n">
        <v>-0.39</v>
      </c>
      <c r="K122" s="32" t="n">
        <v>107087</v>
      </c>
      <c r="L122" s="31" t="inlineStr"/>
      <c r="M122" s="31" t="inlineStr"/>
      <c r="N122" s="32">
        <f>IF(M122="Underperforming",-5,IF(L122&gt;=95,15,IF(L122&gt;=90,10,IF(L122&gt;=80,5,0))))</f>
        <v/>
      </c>
      <c r="O122" s="32" t="n">
        <v>77.93000000000001</v>
      </c>
      <c r="P122" s="32" t="n">
        <v>58.32</v>
      </c>
      <c r="Q122" s="32" t="n">
        <v>1230.51</v>
      </c>
      <c r="R122" s="31" t="inlineStr">
        <is>
          <t>Volume Spike &amp; Near 52W High Breakout</t>
        </is>
      </c>
      <c r="S122" s="31" t="inlineStr">
        <is>
          <t>Nifty Energy</t>
        </is>
      </c>
      <c r="T122" s="32" t="inlineStr"/>
      <c r="U122" s="32" t="inlineStr"/>
      <c r="V122" s="32" t="inlineStr"/>
      <c r="W122" s="32" t="inlineStr"/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IF(B123=0,"",RANK(B123,$B$2:$B$378,0))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SHAILY</t>
        </is>
      </c>
      <c r="D123" s="31" t="inlineStr">
        <is>
          <t>Shaily Engineering Plastics Ltd</t>
        </is>
      </c>
      <c r="E123" s="31" t="inlineStr">
        <is>
          <t>plastic products</t>
        </is>
      </c>
      <c r="F123" s="31" t="inlineStr">
        <is>
          <t>plastics products</t>
        </is>
      </c>
      <c r="G123" s="31" t="inlineStr">
        <is>
          <t>midcap</t>
        </is>
      </c>
      <c r="H123" s="32" t="n">
        <v>15904.7</v>
      </c>
      <c r="I123" s="32" t="n">
        <v>3406.9</v>
      </c>
      <c r="J123" s="32" t="n">
        <v>-0.79</v>
      </c>
      <c r="K123" s="32" t="n">
        <v>94358</v>
      </c>
      <c r="L123" s="31" t="n">
        <v>76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71.2</v>
      </c>
      <c r="P123" s="32" t="n">
        <v>29.43</v>
      </c>
      <c r="Q123" s="32" t="n">
        <v>2528.97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-0.96</v>
      </c>
      <c r="U123" s="32" t="n">
        <v>85.95999999999999</v>
      </c>
      <c r="V123" s="32" t="n">
        <v>87.75</v>
      </c>
      <c r="W123" s="32" t="n">
        <v>20.77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IF(B124=0,"",RANK(B124,$B$2:$B$378,0))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DIVGIITTS</t>
        </is>
      </c>
      <c r="D124" s="31" t="inlineStr">
        <is>
          <t>Divgi Torqtransfer Systems Ltd</t>
        </is>
      </c>
      <c r="E124" s="31" t="inlineStr">
        <is>
          <t>auto</t>
        </is>
      </c>
      <c r="F124" s="31" t="inlineStr">
        <is>
          <t>auto ancillaries</t>
        </is>
      </c>
      <c r="G124" s="31" t="inlineStr">
        <is>
          <t>smallcap</t>
        </is>
      </c>
      <c r="H124" s="32" t="n">
        <v>3291.95</v>
      </c>
      <c r="I124" s="32" t="n">
        <v>1219.75</v>
      </c>
      <c r="J124" s="32" t="n">
        <v>-0.99</v>
      </c>
      <c r="K124" s="32" t="n">
        <v>403607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75.78</v>
      </c>
      <c r="P124" s="32" t="n">
        <v>45.23</v>
      </c>
      <c r="Q124" s="32" t="n">
        <v>927.77</v>
      </c>
      <c r="R124" s="31" t="inlineStr">
        <is>
          <t>Volume Spike &amp; Near 52W High Breakout</t>
        </is>
      </c>
      <c r="S124" s="31" t="inlineStr">
        <is>
          <t>Nifty Auto</t>
        </is>
      </c>
      <c r="T124" s="32" t="inlineStr"/>
      <c r="U124" s="32" t="inlineStr"/>
      <c r="V124" s="32" t="inlineStr"/>
      <c r="W124" s="32" t="inlineStr"/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IF(B125=0,"",RANK(B125,$B$2:$B$378,0))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HAL</t>
        </is>
      </c>
      <c r="D125" s="31" t="inlineStr">
        <is>
          <t>Hindustan Aeronautics Ltd</t>
        </is>
      </c>
      <c r="E125" s="31" t="inlineStr">
        <is>
          <t>aerospace &amp; defence</t>
        </is>
      </c>
      <c r="F125" s="31" t="inlineStr">
        <is>
          <t>engineering</t>
        </is>
      </c>
      <c r="G125" s="31" t="inlineStr">
        <is>
          <t>largecap</t>
        </is>
      </c>
      <c r="H125" s="32" t="n">
        <v>328301.65</v>
      </c>
      <c r="I125" s="32" t="n">
        <v>4945</v>
      </c>
      <c r="J125" s="32" t="n">
        <v>-1</v>
      </c>
      <c r="K125" s="32" t="n">
        <v>3176151</v>
      </c>
      <c r="L125" s="31" t="n">
        <v>24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66.05</v>
      </c>
      <c r="P125" s="32" t="n">
        <v>23.41</v>
      </c>
      <c r="Q125" s="32" t="n">
        <v>4201.86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-0.96</v>
      </c>
      <c r="U125" s="32" t="n">
        <v>9.83</v>
      </c>
      <c r="V125" s="32" t="n">
        <v>10.89</v>
      </c>
      <c r="W125" s="32" t="n">
        <v>4.74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Between 12 to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IF(B126=0,"",RANK(B126,$B$2:$B$378,0))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EXIDEIND</t>
        </is>
      </c>
      <c r="D126" s="31" t="inlineStr">
        <is>
          <t>Exide Industries Limited</t>
        </is>
      </c>
      <c r="E126" s="31" t="inlineStr">
        <is>
          <t>auto</t>
        </is>
      </c>
      <c r="F126" s="31" t="inlineStr">
        <is>
          <t>auto ancillaries</t>
        </is>
      </c>
      <c r="G126" s="31" t="inlineStr">
        <is>
          <t>largecap</t>
        </is>
      </c>
      <c r="H126" s="32" t="n">
        <v>41084.75</v>
      </c>
      <c r="I126" s="32" t="n">
        <v>485.5</v>
      </c>
      <c r="J126" s="32" t="n">
        <v>-1.05</v>
      </c>
      <c r="K126" s="32" t="n">
        <v>1807196</v>
      </c>
      <c r="L126" s="31" t="inlineStr"/>
      <c r="M126" s="31" t="inlineStr"/>
      <c r="N126" s="32">
        <f>IF(M126="Underperforming",-5,IF(L126&gt;=95,15,IF(L126&gt;=90,10,IF(L126&gt;=80,5,0))))</f>
        <v/>
      </c>
      <c r="O126" s="32" t="n">
        <v>76.7</v>
      </c>
      <c r="P126" s="32" t="n">
        <v>42.53</v>
      </c>
      <c r="Q126" s="32" t="n">
        <v>408.99</v>
      </c>
      <c r="R126" s="31" t="inlineStr">
        <is>
          <t>Near 52W High Breakout</t>
        </is>
      </c>
      <c r="S126" s="31" t="inlineStr">
        <is>
          <t>Nifty Auto</t>
        </is>
      </c>
      <c r="T126" s="32" t="inlineStr"/>
      <c r="U126" s="32" t="inlineStr"/>
      <c r="V126" s="32" t="inlineStr"/>
      <c r="W126" s="32" t="inlineStr"/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Between 1.5 to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IF(B127=0,"",RANK(B127,$B$2:$B$378,0))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POWERINDIA</t>
        </is>
      </c>
      <c r="D127" s="31" t="inlineStr">
        <is>
          <t>Hitachi Energy India Ltd</t>
        </is>
      </c>
      <c r="E127" s="31" t="inlineStr">
        <is>
          <t>industrials</t>
        </is>
      </c>
      <c r="F127" s="31" t="inlineStr">
        <is>
          <t>electric equipment</t>
        </is>
      </c>
      <c r="G127" s="31" t="inlineStr">
        <is>
          <t>largecap</t>
        </is>
      </c>
      <c r="H127" s="32" t="n">
        <v>156003.27</v>
      </c>
      <c r="I127" s="32" t="n">
        <v>35360</v>
      </c>
      <c r="J127" s="32" t="n">
        <v>-1.23</v>
      </c>
      <c r="K127" s="32" t="n">
        <v>117291</v>
      </c>
      <c r="L127" s="31" t="n">
        <v>62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61.88</v>
      </c>
      <c r="P127" s="32" t="n">
        <v>41.57</v>
      </c>
      <c r="Q127" s="32" t="n">
        <v>30282.94</v>
      </c>
      <c r="R127" s="31" t="inlineStr">
        <is>
          <t>Volume Spike / Accumulation</t>
        </is>
      </c>
      <c r="S127" s="31" t="inlineStr">
        <is>
          <t>Nifty 50</t>
        </is>
      </c>
      <c r="T127" s="32" t="n">
        <v>-0.96</v>
      </c>
      <c r="U127" s="32" t="n">
        <v>73.38</v>
      </c>
      <c r="V127" s="32" t="n">
        <v>75.05</v>
      </c>
      <c r="W127" s="32" t="n">
        <v>14.44</v>
      </c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IF(B128=0,"",RANK(B128,$B$2:$B$378,0))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MOTHERSON</t>
        </is>
      </c>
      <c r="D128" s="31" t="inlineStr">
        <is>
          <t>Samvardhana Motherson International Ltd</t>
        </is>
      </c>
      <c r="E128" s="31" t="inlineStr">
        <is>
          <t>auto</t>
        </is>
      </c>
      <c r="F128" s="31" t="inlineStr">
        <is>
          <t>auto ancillaries</t>
        </is>
      </c>
      <c r="G128" s="31" t="inlineStr">
        <is>
          <t>largecap</t>
        </is>
      </c>
      <c r="H128" s="32" t="n">
        <v>178644.5</v>
      </c>
      <c r="I128" s="32" t="n">
        <v>167.4</v>
      </c>
      <c r="J128" s="32" t="n">
        <v>-1.24</v>
      </c>
      <c r="K128" s="32" t="n">
        <v>23657649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73.34999999999999</v>
      </c>
      <c r="P128" s="32" t="n">
        <v>37.34</v>
      </c>
      <c r="Q128" s="32" t="n">
        <v>139.14</v>
      </c>
      <c r="R128" s="31" t="inlineStr">
        <is>
          <t>Near 52W High Breakout</t>
        </is>
      </c>
      <c r="S128" s="31" t="inlineStr">
        <is>
          <t>Nifty Auto</t>
        </is>
      </c>
      <c r="T128" s="32" t="inlineStr"/>
      <c r="U128" s="32" t="inlineStr"/>
      <c r="V128" s="32" t="inlineStr"/>
      <c r="W128" s="32" t="inlineStr"/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IF(B129=0,"",RANK(B129,$B$2:$B$378,0))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TATVA</t>
        </is>
      </c>
      <c r="D129" s="31" t="inlineStr">
        <is>
          <t>Tatva Chintan Pharma Chem Ltd</t>
        </is>
      </c>
      <c r="E129" s="31" t="inlineStr">
        <is>
          <t>chemicals</t>
        </is>
      </c>
      <c r="F129" s="31" t="inlineStr">
        <is>
          <t>chemicals</t>
        </is>
      </c>
      <c r="G129" s="31" t="inlineStr">
        <is>
          <t>smallcap</t>
        </is>
      </c>
      <c r="H129" s="32" t="n">
        <v>4176.65</v>
      </c>
      <c r="I129" s="32" t="n">
        <v>1709.6</v>
      </c>
      <c r="J129" s="32" t="n">
        <v>-1.29</v>
      </c>
      <c r="K129" s="32" t="n">
        <v>36658</v>
      </c>
      <c r="L129" s="31" t="n">
        <v>72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69.77</v>
      </c>
      <c r="P129" s="32" t="n">
        <v>26.15</v>
      </c>
      <c r="Q129" s="32" t="n">
        <v>1358.89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-0.96</v>
      </c>
      <c r="U129" s="32" t="n">
        <v>63.79</v>
      </c>
      <c r="V129" s="32" t="n">
        <v>65.37</v>
      </c>
      <c r="W129" s="32" t="n">
        <v>18.56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IF(B130=0,"",RANK(B130,$B$2:$B$378,0))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NAHARSPING</t>
        </is>
      </c>
      <c r="D130" s="31" t="inlineStr">
        <is>
          <t>Nahar Spinning Mills Limited</t>
        </is>
      </c>
      <c r="E130" s="31" t="inlineStr">
        <is>
          <t>textiles</t>
        </is>
      </c>
      <c r="F130" s="31" t="inlineStr">
        <is>
          <t>textiles - cotton/blended</t>
        </is>
      </c>
      <c r="G130" s="31" t="inlineStr">
        <is>
          <t>smallcap</t>
        </is>
      </c>
      <c r="H130" s="32" t="n">
        <v>1111.35</v>
      </c>
      <c r="I130" s="32" t="n">
        <v>301.6</v>
      </c>
      <c r="J130" s="32" t="n">
        <v>-1.29</v>
      </c>
      <c r="K130" s="32" t="n">
        <v>18822</v>
      </c>
      <c r="L130" s="31" t="n">
        <v>58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65.23999999999999</v>
      </c>
      <c r="P130" s="32" t="n">
        <v>27.64</v>
      </c>
      <c r="Q130" s="32" t="n">
        <v>244.52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-0.96</v>
      </c>
      <c r="U130" s="32" t="n">
        <v>51.87</v>
      </c>
      <c r="V130" s="32" t="n">
        <v>53.33</v>
      </c>
      <c r="W130" s="32" t="n">
        <v>12.61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IF(B131=0,"",RANK(B131,$B$2:$B$378,0))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CRAFTSMAN</t>
        </is>
      </c>
      <c r="D131" s="31" t="inlineStr">
        <is>
          <t>Craftsman Automation Ltd</t>
        </is>
      </c>
      <c r="E131" s="31" t="inlineStr">
        <is>
          <t>auto</t>
        </is>
      </c>
      <c r="F131" s="31" t="inlineStr">
        <is>
          <t>auto ancillaries</t>
        </is>
      </c>
      <c r="G131" s="31" t="inlineStr">
        <is>
          <t>largecap</t>
        </is>
      </c>
      <c r="H131" s="32" t="n">
        <v>26923.37</v>
      </c>
      <c r="I131" s="32" t="n">
        <v>10373.5</v>
      </c>
      <c r="J131" s="32" t="n">
        <v>-1.31</v>
      </c>
      <c r="K131" s="32" t="n">
        <v>27725</v>
      </c>
      <c r="L131" s="31" t="inlineStr"/>
      <c r="M131" s="31" t="inlineStr"/>
      <c r="N131" s="32">
        <f>IF(M131="Underperforming",-5,IF(L131&gt;=95,15,IF(L131&gt;=90,10,IF(L131&gt;=80,5,0))))</f>
        <v/>
      </c>
      <c r="O131" s="32" t="n">
        <v>69.28</v>
      </c>
      <c r="P131" s="32" t="n">
        <v>62.44</v>
      </c>
      <c r="Q131" s="32" t="n">
        <v>8494.799999999999</v>
      </c>
      <c r="R131" s="31" t="inlineStr">
        <is>
          <t>Near 52W High Breakout</t>
        </is>
      </c>
      <c r="S131" s="31" t="inlineStr">
        <is>
          <t>Nifty Auto</t>
        </is>
      </c>
      <c r="T131" s="32" t="inlineStr"/>
      <c r="U131" s="32" t="inlineStr"/>
      <c r="V131" s="32" t="inlineStr"/>
      <c r="W131" s="32" t="inlineStr"/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Between 0.7 to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IF(B132=0,"",RANK(B132,$B$2:$B$378,0))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POLYPLEX</t>
        </is>
      </c>
      <c r="D132" s="31" t="inlineStr">
        <is>
          <t>Polyplex Corporation Limited</t>
        </is>
      </c>
      <c r="E132" s="31" t="inlineStr">
        <is>
          <t>industrials</t>
        </is>
      </c>
      <c r="F132" s="31" t="inlineStr">
        <is>
          <t>packaging</t>
        </is>
      </c>
      <c r="G132" s="31" t="inlineStr">
        <is>
          <t>smallcap</t>
        </is>
      </c>
      <c r="H132" s="32" t="n">
        <v>3860.02</v>
      </c>
      <c r="I132" s="32" t="n">
        <v>1167.2</v>
      </c>
      <c r="J132" s="32" t="n">
        <v>-1.54</v>
      </c>
      <c r="K132" s="32" t="n">
        <v>85502</v>
      </c>
      <c r="L132" s="31" t="n">
        <v>43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71.58</v>
      </c>
      <c r="P132" s="32" t="n">
        <v>48.62</v>
      </c>
      <c r="Q132" s="32" t="n">
        <v>936.6799999999999</v>
      </c>
      <c r="R132" s="31" t="inlineStr">
        <is>
          <t>Volume Spike &amp; Near 52W High Breakout</t>
        </is>
      </c>
      <c r="S132" s="31" t="inlineStr">
        <is>
          <t>Nifty 50</t>
        </is>
      </c>
      <c r="T132" s="32" t="n">
        <v>-0.96</v>
      </c>
      <c r="U132" s="32" t="n">
        <v>9.48</v>
      </c>
      <c r="V132" s="32" t="n">
        <v>10.53</v>
      </c>
      <c r="W132" s="32" t="n">
        <v>8.880000000000001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IF(B133=0,"",RANK(B133,$B$2:$B$378,0))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BELRISE</t>
        </is>
      </c>
      <c r="D133" s="31" t="inlineStr">
        <is>
          <t>Belrise Industries Ltd</t>
        </is>
      </c>
      <c r="E133" s="31" t="inlineStr">
        <is>
          <t>auto</t>
        </is>
      </c>
      <c r="F133" s="31" t="inlineStr">
        <is>
          <t>auto ancillaries</t>
        </is>
      </c>
      <c r="G133" s="31" t="inlineStr">
        <is>
          <t>largecap</t>
        </is>
      </c>
      <c r="H133" s="32" t="n">
        <v>24562.76</v>
      </c>
      <c r="I133" s="32" t="n">
        <v>254.42</v>
      </c>
      <c r="J133" s="32" t="n">
        <v>-2.65</v>
      </c>
      <c r="K133" s="32" t="n">
        <v>4352373</v>
      </c>
      <c r="L133" s="31" t="inlineStr"/>
      <c r="M133" s="31" t="inlineStr"/>
      <c r="N133" s="32">
        <f>IF(M133="Underperforming",-5,IF(L133&gt;=95,15,IF(L133&gt;=90,10,IF(L133&gt;=80,5,0))))</f>
        <v/>
      </c>
      <c r="O133" s="32" t="n">
        <v>71.52</v>
      </c>
      <c r="P133" s="32" t="n">
        <v>45.86</v>
      </c>
      <c r="Q133" s="32" t="n">
        <v>206.13</v>
      </c>
      <c r="R133" s="31" t="inlineStr">
        <is>
          <t>Near 52W High Breakout</t>
        </is>
      </c>
      <c r="S133" s="31" t="inlineStr">
        <is>
          <t>Nifty Auto</t>
        </is>
      </c>
      <c r="T133" s="32" t="inlineStr"/>
      <c r="U133" s="32" t="inlineStr"/>
      <c r="V133" s="32" t="inlineStr"/>
      <c r="W133" s="32" t="inlineStr"/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IF(B134=0,"",RANK(B134,$B$2:$B$378,0))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MOREPENLAB</t>
        </is>
      </c>
      <c r="D134" s="31" t="inlineStr">
        <is>
          <t>Morepen Laboratories Limited</t>
        </is>
      </c>
      <c r="E134" s="31" t="inlineStr">
        <is>
          <t>healthcare</t>
        </is>
      </c>
      <c r="F134" s="31" t="inlineStr">
        <is>
          <t>pharmaceuticals - indian - bulk drugs &amp; formln</t>
        </is>
      </c>
      <c r="G134" s="31" t="inlineStr">
        <is>
          <t>smallcap</t>
        </is>
      </c>
      <c r="H134" s="32" t="n">
        <v>4213.22</v>
      </c>
      <c r="I134" s="32" t="n">
        <v>80.89</v>
      </c>
      <c r="J134" s="32" t="n">
        <v>10.11</v>
      </c>
      <c r="K134" s="32" t="n">
        <v>51803828</v>
      </c>
      <c r="L134" s="31" t="n">
        <v>91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78.51000000000001</v>
      </c>
      <c r="P134" s="32" t="n">
        <v>34.43</v>
      </c>
      <c r="Q134" s="32" t="n">
        <v>59.38</v>
      </c>
      <c r="R134" s="31" t="inlineStr">
        <is>
          <t>Near 52W High Breakout</t>
        </is>
      </c>
      <c r="S134" s="31" t="inlineStr">
        <is>
          <t>Nifty Pharma</t>
        </is>
      </c>
      <c r="T134" s="32" t="n">
        <v>20.47</v>
      </c>
      <c r="U134" s="32" t="n">
        <v>75.12</v>
      </c>
      <c r="V134" s="32" t="n">
        <v>45.36</v>
      </c>
      <c r="W134" s="32" t="n">
        <v>35.6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Yes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Above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IF(B135=0,"",RANK(B135,$B$2:$B$378,0))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DALMIASUG</t>
        </is>
      </c>
      <c r="D135" s="31" t="inlineStr">
        <is>
          <t>Dalmia Bharat Sugar And Industries Limited</t>
        </is>
      </c>
      <c r="E135" s="31" t="inlineStr">
        <is>
          <t>fmcg</t>
        </is>
      </c>
      <c r="F135" s="31" t="inlineStr">
        <is>
          <t>sugar</t>
        </is>
      </c>
      <c r="G135" s="31" t="inlineStr">
        <is>
          <t>smallcap</t>
        </is>
      </c>
      <c r="H135" s="32" t="n">
        <v>3304.75</v>
      </c>
      <c r="I135" s="32" t="n">
        <v>427.35</v>
      </c>
      <c r="J135" s="32" t="n">
        <v>4.21</v>
      </c>
      <c r="K135" s="32" t="n">
        <v>1069652</v>
      </c>
      <c r="L135" s="31" t="n">
        <v>39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68.36</v>
      </c>
      <c r="P135" s="32" t="n">
        <v>23.27</v>
      </c>
      <c r="Q135" s="32" t="n">
        <v>321.98</v>
      </c>
      <c r="R135" s="31" t="inlineStr">
        <is>
          <t>Near 52W High Breakout</t>
        </is>
      </c>
      <c r="S135" s="31" t="inlineStr">
        <is>
          <t>Nifty FMCG</t>
        </is>
      </c>
      <c r="T135" s="32" t="n">
        <v>-10.52</v>
      </c>
      <c r="U135" s="32" t="n">
        <v>15.12</v>
      </c>
      <c r="V135" s="32" t="n">
        <v>28.65</v>
      </c>
      <c r="W135" s="32" t="n">
        <v>7.63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B2C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IF(B136=0,"",RANK(B136,$B$2:$B$378,0))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DBOL</t>
        </is>
      </c>
      <c r="D136" s="31" t="inlineStr">
        <is>
          <t>Dhampur Bio Organics Ltd</t>
        </is>
      </c>
      <c r="E136" s="31" t="inlineStr">
        <is>
          <t>fmcg</t>
        </is>
      </c>
      <c r="F136" s="31" t="inlineStr">
        <is>
          <t>sugar</t>
        </is>
      </c>
      <c r="G136" s="31" t="inlineStr">
        <is>
          <t>smallcap</t>
        </is>
      </c>
      <c r="H136" s="32" t="n">
        <v>761.0700000000001</v>
      </c>
      <c r="I136" s="32" t="n">
        <v>117.76</v>
      </c>
      <c r="J136" s="32" t="n">
        <v>3.2</v>
      </c>
      <c r="K136" s="32" t="n">
        <v>374211</v>
      </c>
      <c r="L136" s="31" t="n">
        <v>35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59.5</v>
      </c>
      <c r="P136" s="32" t="n">
        <v>34.44</v>
      </c>
      <c r="Q136" s="32" t="n">
        <v>85.22</v>
      </c>
      <c r="R136" s="31" t="inlineStr">
        <is>
          <t>Volume Spike &amp; Near 52W High Breakout</t>
        </is>
      </c>
      <c r="S136" s="31" t="inlineStr">
        <is>
          <t>Nifty FMCG</t>
        </is>
      </c>
      <c r="T136" s="32" t="n">
        <v>-10.52</v>
      </c>
      <c r="U136" s="32" t="n">
        <v>35.07</v>
      </c>
      <c r="V136" s="32" t="n">
        <v>50.95</v>
      </c>
      <c r="W136" s="32" t="n">
        <v>7.06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B2C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Between 0.7 to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IF(B137=0,"",RANK(B137,$B$2:$B$378,0))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NEULANDLAB</t>
        </is>
      </c>
      <c r="D137" s="31" t="inlineStr">
        <is>
          <t>Neuland Laboratories Limited</t>
        </is>
      </c>
      <c r="E137" s="31" t="inlineStr">
        <is>
          <t>healthcare</t>
        </is>
      </c>
      <c r="F137" s="31" t="inlineStr">
        <is>
          <t>pharmaceuticals - indian - bulk drugs</t>
        </is>
      </c>
      <c r="G137" s="31" t="inlineStr">
        <is>
          <t>largecap</t>
        </is>
      </c>
      <c r="H137" s="32" t="n">
        <v>29451.01</v>
      </c>
      <c r="I137" s="32" t="n">
        <v>23207</v>
      </c>
      <c r="J137" s="32" t="n">
        <v>3.1</v>
      </c>
      <c r="K137" s="32" t="n">
        <v>96590</v>
      </c>
      <c r="L137" s="31" t="n">
        <v>79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77.34</v>
      </c>
      <c r="P137" s="32" t="n">
        <v>52.39</v>
      </c>
      <c r="Q137" s="32" t="n">
        <v>18701.39</v>
      </c>
      <c r="R137" s="31" t="inlineStr">
        <is>
          <t>Near 52W High Breakout</t>
        </is>
      </c>
      <c r="S137" s="31" t="inlineStr">
        <is>
          <t>Nifty Pharma</t>
        </is>
      </c>
      <c r="T137" s="32" t="n">
        <v>20.47</v>
      </c>
      <c r="U137" s="32" t="n">
        <v>75.09999999999999</v>
      </c>
      <c r="V137" s="32" t="n">
        <v>45.35</v>
      </c>
      <c r="W137" s="32" t="n">
        <v>22.73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IF(B138=0,"",RANK(B138,$B$2:$B$378,0))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SUBEXLTD</t>
        </is>
      </c>
      <c r="D138" s="31" t="inlineStr">
        <is>
          <t>Subex Ltd</t>
        </is>
      </c>
      <c r="E138" s="31" t="inlineStr">
        <is>
          <t>i.t</t>
        </is>
      </c>
      <c r="F138" s="31" t="inlineStr">
        <is>
          <t>computers - software - medium / small</t>
        </is>
      </c>
      <c r="G138" s="31" t="inlineStr">
        <is>
          <t>smallcap</t>
        </is>
      </c>
      <c r="H138" s="32" t="n">
        <v>785.12</v>
      </c>
      <c r="I138" s="32" t="n">
        <v>13.73</v>
      </c>
      <c r="J138" s="32" t="n">
        <v>1.93</v>
      </c>
      <c r="K138" s="32" t="n">
        <v>856615</v>
      </c>
      <c r="L138" s="31" t="n">
        <v>38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63.53</v>
      </c>
      <c r="P138" s="32" t="n">
        <v>24.62</v>
      </c>
      <c r="Q138" s="32" t="n">
        <v>9.66</v>
      </c>
      <c r="R138" s="31" t="inlineStr">
        <is>
          <t>Near 52W High Breakout</t>
        </is>
      </c>
      <c r="S138" s="31" t="inlineStr">
        <is>
          <t>Nifty IT</t>
        </is>
      </c>
      <c r="T138" s="32" t="n">
        <v>-9.699999999999999</v>
      </c>
      <c r="U138" s="32" t="n">
        <v>-0.15</v>
      </c>
      <c r="V138" s="32" t="n">
        <v>10.58</v>
      </c>
      <c r="W138" s="32" t="n">
        <v>7.61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Between 12 to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IF(B139=0,"",RANK(B139,$B$2:$B$378,0))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NGLFINE</t>
        </is>
      </c>
      <c r="D139" s="31" t="inlineStr">
        <is>
          <t>NGL Fine Chem Ltd</t>
        </is>
      </c>
      <c r="E139" s="31" t="inlineStr">
        <is>
          <t>healthcare</t>
        </is>
      </c>
      <c r="F139" s="31" t="inlineStr">
        <is>
          <t>pharmaceuticals - indian - bulk drugs</t>
        </is>
      </c>
      <c r="G139" s="31" t="inlineStr">
        <is>
          <t>smallcap</t>
        </is>
      </c>
      <c r="H139" s="32" t="n">
        <v>2130</v>
      </c>
      <c r="I139" s="32" t="n">
        <v>3435.5</v>
      </c>
      <c r="J139" s="32" t="n">
        <v>0.78</v>
      </c>
      <c r="K139" s="32" t="n">
        <v>15619</v>
      </c>
      <c r="L139" s="31" t="n">
        <v>89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80.31</v>
      </c>
      <c r="P139" s="32" t="n">
        <v>68.16</v>
      </c>
      <c r="Q139" s="32" t="n">
        <v>2490.3</v>
      </c>
      <c r="R139" s="31" t="inlineStr">
        <is>
          <t>Near 52W High Breakout</t>
        </is>
      </c>
      <c r="S139" s="31" t="inlineStr">
        <is>
          <t>Nifty Pharma</t>
        </is>
      </c>
      <c r="T139" s="32" t="n">
        <v>20.47</v>
      </c>
      <c r="U139" s="32" t="n">
        <v>150.18</v>
      </c>
      <c r="V139" s="32" t="n">
        <v>107.67</v>
      </c>
      <c r="W139" s="32" t="n">
        <v>32.12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Yes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Above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Between 50% to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IF(B140=0,"",RANK(B140,$B$2:$B$378,0))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KEI</t>
        </is>
      </c>
      <c r="D140" s="31" t="inlineStr">
        <is>
          <t>Kei Industries Limited</t>
        </is>
      </c>
      <c r="E140" s="31" t="inlineStr">
        <is>
          <t>industrials</t>
        </is>
      </c>
      <c r="F140" s="31" t="inlineStr">
        <is>
          <t>cables - power</t>
        </is>
      </c>
      <c r="G140" s="31" t="inlineStr">
        <is>
          <t>largecap</t>
        </is>
      </c>
      <c r="H140" s="32" t="n">
        <v>53966.54</v>
      </c>
      <c r="I140" s="32" t="n">
        <v>5789</v>
      </c>
      <c r="J140" s="32" t="n">
        <v>0.61</v>
      </c>
      <c r="K140" s="32" t="n">
        <v>843333</v>
      </c>
      <c r="L140" s="31" t="inlineStr"/>
      <c r="M140" s="31" t="inlineStr"/>
      <c r="N140" s="32">
        <f>IF(M140="Underperforming",-5,IF(L140&gt;=95,15,IF(L140&gt;=90,10,IF(L140&gt;=80,5,0))))</f>
        <v/>
      </c>
      <c r="O140" s="32" t="n">
        <v>66.75</v>
      </c>
      <c r="P140" s="32" t="n">
        <v>25.72</v>
      </c>
      <c r="Q140" s="32" t="n">
        <v>4668.58</v>
      </c>
      <c r="R140" s="31" t="inlineStr">
        <is>
          <t>Near 52W High Breakout</t>
        </is>
      </c>
      <c r="S140" s="31" t="inlineStr">
        <is>
          <t>Nifty Energy</t>
        </is>
      </c>
      <c r="T140" s="32" t="inlineStr"/>
      <c r="U140" s="32" t="inlineStr"/>
      <c r="V140" s="32" t="inlineStr"/>
      <c r="W140" s="32" t="inlineStr"/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Fully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Yes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Yes, More Than 10%</t>
        </is>
      </c>
      <c r="CE140" s="31">
        <f>IF(CD140="Yes, more than 10%",-10,IF(CD140="No",10,0))</f>
        <v/>
      </c>
    </row>
    <row r="141">
      <c r="A141" s="31">
        <f>IF(B141=0,"",RANK(B141,$B$2:$B$378,0))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AKUMS</t>
        </is>
      </c>
      <c r="D141" s="31" t="inlineStr">
        <is>
          <t>Akums Drugs &amp; Pharmaceuticals Ltd</t>
        </is>
      </c>
      <c r="E141" s="31" t="inlineStr">
        <is>
          <t>healthcare</t>
        </is>
      </c>
      <c r="F141" s="31" t="inlineStr">
        <is>
          <t>pharmaceuticals - indian - bulk drugs &amp; formln</t>
        </is>
      </c>
      <c r="G141" s="31" t="inlineStr">
        <is>
          <t>midcap</t>
        </is>
      </c>
      <c r="H141" s="32" t="n">
        <v>11976.9</v>
      </c>
      <c r="I141" s="32" t="n">
        <v>751.85</v>
      </c>
      <c r="J141" s="32" t="n">
        <v>0.25</v>
      </c>
      <c r="K141" s="32" t="n">
        <v>287659</v>
      </c>
      <c r="L141" s="31" t="n">
        <v>76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72.98999999999999</v>
      </c>
      <c r="P141" s="32" t="n">
        <v>50.75</v>
      </c>
      <c r="Q141" s="32" t="n">
        <v>606.9400000000001</v>
      </c>
      <c r="R141" s="31" t="inlineStr">
        <is>
          <t>Volume Spike &amp; Near 52W High Breakout</t>
        </is>
      </c>
      <c r="S141" s="31" t="inlineStr">
        <is>
          <t>Nifty Pharma</t>
        </is>
      </c>
      <c r="T141" s="32" t="n">
        <v>20.47</v>
      </c>
      <c r="U141" s="32" t="n">
        <v>60.5</v>
      </c>
      <c r="V141" s="32" t="n">
        <v>33.23</v>
      </c>
      <c r="W141" s="32" t="n">
        <v>20.66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Yes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IF(B142=0,"",RANK(B142,$B$2:$B$378,0))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BLSE</t>
        </is>
      </c>
      <c r="D142" s="31" t="inlineStr">
        <is>
          <t>BLS E-Services Ltd</t>
        </is>
      </c>
      <c r="E142" s="31" t="inlineStr">
        <is>
          <t>i.t</t>
        </is>
      </c>
      <c r="F142" s="31" t="inlineStr">
        <is>
          <t>computers - software - medium / small</t>
        </is>
      </c>
      <c r="G142" s="31" t="inlineStr">
        <is>
          <t>smallcap</t>
        </is>
      </c>
      <c r="H142" s="32" t="n">
        <v>2886.06</v>
      </c>
      <c r="I142" s="32" t="n">
        <v>315.65</v>
      </c>
      <c r="J142" s="32" t="n">
        <v>-0.32</v>
      </c>
      <c r="K142" s="32" t="n">
        <v>258732</v>
      </c>
      <c r="L142" s="31" t="n">
        <v>86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83.47</v>
      </c>
      <c r="P142" s="32" t="n">
        <v>45.88</v>
      </c>
      <c r="Q142" s="32" t="n">
        <v>250.64</v>
      </c>
      <c r="R142" s="31" t="inlineStr">
        <is>
          <t>Near 52W High Breakout</t>
        </is>
      </c>
      <c r="S142" s="31" t="inlineStr">
        <is>
          <t>Nifty IT</t>
        </is>
      </c>
      <c r="T142" s="32" t="n">
        <v>-9.699999999999999</v>
      </c>
      <c r="U142" s="32" t="n">
        <v>76.88</v>
      </c>
      <c r="V142" s="32" t="n">
        <v>95.89</v>
      </c>
      <c r="W142" s="32" t="n">
        <v>28.28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IF(B143=0,"",RANK(B143,$B$2:$B$378,0))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DIVISLAB</t>
        </is>
      </c>
      <c r="D143" s="31" t="inlineStr">
        <is>
          <t>Divi's Laboratories Limited</t>
        </is>
      </c>
      <c r="E143" s="31" t="inlineStr">
        <is>
          <t>healthcare</t>
        </is>
      </c>
      <c r="F143" s="31" t="inlineStr">
        <is>
          <t>pharmaceuticals - indian - bulk drugs</t>
        </is>
      </c>
      <c r="G143" s="31" t="inlineStr">
        <is>
          <t>largecap</t>
        </is>
      </c>
      <c r="H143" s="32" t="n">
        <v>227732.22</v>
      </c>
      <c r="I143" s="32" t="n">
        <v>8500</v>
      </c>
      <c r="J143" s="32" t="n">
        <v>-1.16</v>
      </c>
      <c r="K143" s="32" t="n">
        <v>675017</v>
      </c>
      <c r="L143" s="31" t="n">
        <v>57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83.79000000000001</v>
      </c>
      <c r="P143" s="32" t="n">
        <v>31.42</v>
      </c>
      <c r="Q143" s="32" t="n">
        <v>7384.83</v>
      </c>
      <c r="R143" s="31" t="inlineStr">
        <is>
          <t>Near 52W High Breakout</t>
        </is>
      </c>
      <c r="S143" s="31" t="inlineStr">
        <is>
          <t>Nifty Pharma</t>
        </is>
      </c>
      <c r="T143" s="32" t="n">
        <v>20.47</v>
      </c>
      <c r="U143" s="32" t="n">
        <v>39.18</v>
      </c>
      <c r="V143" s="32" t="n">
        <v>15.53</v>
      </c>
      <c r="W143" s="32" t="n">
        <v>12.6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Yes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IF(B144=0,"",RANK(B144,$B$2:$B$378,0))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BAFNAPH</t>
        </is>
      </c>
      <c r="D144" s="31" t="inlineStr">
        <is>
          <t>Bafna Pharmaceuticals Ltd</t>
        </is>
      </c>
      <c r="E144" s="31" t="inlineStr">
        <is>
          <t>healthcare</t>
        </is>
      </c>
      <c r="F144" s="31" t="inlineStr">
        <is>
          <t>pharmaceuticals - indian - formulations</t>
        </is>
      </c>
      <c r="G144" s="31" t="inlineStr">
        <is>
          <t>smallcap</t>
        </is>
      </c>
      <c r="H144" s="32" t="n">
        <v>647.59</v>
      </c>
      <c r="I144" s="32" t="n">
        <v>268.3</v>
      </c>
      <c r="J144" s="32" t="n">
        <v>-1.99</v>
      </c>
      <c r="K144" s="32" t="n">
        <v>3321</v>
      </c>
      <c r="L144" s="31" t="n">
        <v>96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70.59999999999999</v>
      </c>
      <c r="P144" s="32" t="n">
        <v>52</v>
      </c>
      <c r="Q144" s="32" t="n">
        <v>217.33</v>
      </c>
      <c r="R144" s="31" t="inlineStr">
        <is>
          <t>Earnings / Momentum Support</t>
        </is>
      </c>
      <c r="S144" s="31" t="inlineStr">
        <is>
          <t>Nifty Pharma</t>
        </is>
      </c>
      <c r="T144" s="32" t="n">
        <v>20.47</v>
      </c>
      <c r="U144" s="32" t="n">
        <v>140.31</v>
      </c>
      <c r="V144" s="32" t="n">
        <v>99.48</v>
      </c>
      <c r="W144" s="32" t="n">
        <v>46.38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Yes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IF(B145=0,"",RANK(B145,$B$2:$B$378,0))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3" t="inlineStr">
        <is>
          <t>ZYDUSLIFE</t>
        </is>
      </c>
      <c r="D145" s="33" t="inlineStr">
        <is>
          <t>Zydus Lifesciences Ltd</t>
        </is>
      </c>
      <c r="E145" s="31" t="inlineStr">
        <is>
          <t>healthcare</t>
        </is>
      </c>
      <c r="F145" s="31" t="inlineStr">
        <is>
          <t>pharmaceuticals - indian - bulk drugs &amp; formln</t>
        </is>
      </c>
      <c r="G145" s="31" t="inlineStr">
        <is>
          <t>largecap</t>
        </is>
      </c>
      <c r="H145" s="32" t="n">
        <v>118802.71</v>
      </c>
      <c r="I145" s="32" t="n">
        <v>1167.3</v>
      </c>
      <c r="J145" s="32" t="n">
        <v>-3.13</v>
      </c>
      <c r="K145" s="32" t="n">
        <v>3177531</v>
      </c>
      <c r="L145" s="31" t="n">
        <v>33</v>
      </c>
      <c r="M145" s="31" t="inlineStr">
        <is>
          <t>Underperforming</t>
        </is>
      </c>
      <c r="N145" s="32">
        <f>IF(M145="Underperforming",-5,IF(L145&gt;=95,15,IF(L145&gt;=90,10,IF(L145&gt;=80,5,0))))</f>
        <v/>
      </c>
      <c r="O145" s="32" t="n">
        <v>68.67</v>
      </c>
      <c r="P145" s="32" t="n">
        <v>41.56</v>
      </c>
      <c r="Q145" s="32" t="n">
        <v>999.91</v>
      </c>
      <c r="R145" s="31" t="inlineStr">
        <is>
          <t>Volume Spike &amp; Near 52W High Breakout</t>
        </is>
      </c>
      <c r="S145" s="31" t="inlineStr">
        <is>
          <t>Nifty Pharma</t>
        </is>
      </c>
      <c r="T145" s="32" t="n">
        <v>20.47</v>
      </c>
      <c r="U145" s="32" t="n">
        <v>18.16</v>
      </c>
      <c r="V145" s="32" t="n">
        <v>-1.92</v>
      </c>
      <c r="W145" s="32" t="n">
        <v>6.82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IF(B146=0,"",RANK(B146,$B$2:$B$378,0))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PRECWIRE</t>
        </is>
      </c>
      <c r="D146" s="31" t="inlineStr">
        <is>
          <t>Precision Wires India Limited</t>
        </is>
      </c>
      <c r="E146" s="31" t="inlineStr">
        <is>
          <t>metals &amp; mining</t>
        </is>
      </c>
      <c r="F146" s="31" t="inlineStr">
        <is>
          <t>mining / minerals / metals</t>
        </is>
      </c>
      <c r="G146" s="31" t="inlineStr">
        <is>
          <t>midcap</t>
        </is>
      </c>
      <c r="H146" s="32" t="n">
        <v>7571.91</v>
      </c>
      <c r="I146" s="32" t="n">
        <v>468.65</v>
      </c>
      <c r="J146" s="32" t="n">
        <v>10.98</v>
      </c>
      <c r="K146" s="32" t="n">
        <v>6856446</v>
      </c>
      <c r="L146" s="31" t="inlineStr"/>
      <c r="M146" s="31" t="inlineStr"/>
      <c r="N146" s="32">
        <f>IF(M146="Underperforming",-5,IF(L146&gt;=95,15,IF(L146&gt;=90,10,IF(L146&gt;=80,5,0))))</f>
        <v/>
      </c>
      <c r="O146" s="32" t="n">
        <v>67.39</v>
      </c>
      <c r="P146" s="32" t="n">
        <v>43.67</v>
      </c>
      <c r="Q146" s="32" t="n">
        <v>343.95</v>
      </c>
      <c r="R146" s="31" t="inlineStr">
        <is>
          <t>Volume Spike &amp; Near 52W High Breakout</t>
        </is>
      </c>
      <c r="S146" s="31" t="inlineStr">
        <is>
          <t>Nifty Metal</t>
        </is>
      </c>
      <c r="T146" s="32" t="inlineStr"/>
      <c r="U146" s="32" t="inlineStr"/>
      <c r="V146" s="32" t="inlineStr"/>
      <c r="W146" s="32" t="inlineStr"/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Cyclical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Volatile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IF(B147=0,"",RANK(B147,$B$2:$B$378,0))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STEELCAS</t>
        </is>
      </c>
      <c r="D147" s="31" t="inlineStr">
        <is>
          <t>Steelcast Ltd</t>
        </is>
      </c>
      <c r="E147" s="31" t="inlineStr">
        <is>
          <t>industrials</t>
        </is>
      </c>
      <c r="F147" s="31" t="inlineStr">
        <is>
          <t>castings &amp; forgings</t>
        </is>
      </c>
      <c r="G147" s="31" t="inlineStr">
        <is>
          <t>smallcap</t>
        </is>
      </c>
      <c r="H147" s="32" t="n">
        <v>3323.41</v>
      </c>
      <c r="I147" s="32" t="n">
        <v>354.15</v>
      </c>
      <c r="J147" s="32" t="n">
        <v>7.4</v>
      </c>
      <c r="K147" s="32" t="n">
        <v>680360</v>
      </c>
      <c r="L147" s="31" t="n">
        <v>66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79.77</v>
      </c>
      <c r="P147" s="32" t="n">
        <v>41.07</v>
      </c>
      <c r="Q147" s="32" t="n">
        <v>269.53</v>
      </c>
      <c r="R147" s="31" t="inlineStr">
        <is>
          <t>Near 52W High Breakout</t>
        </is>
      </c>
      <c r="S147" s="31" t="inlineStr">
        <is>
          <t>Nifty Infra</t>
        </is>
      </c>
      <c r="T147" s="32" t="n">
        <v>3.6</v>
      </c>
      <c r="U147" s="32" t="n">
        <v>52.44</v>
      </c>
      <c r="V147" s="32" t="n">
        <v>47.14</v>
      </c>
      <c r="W147" s="32" t="n">
        <v>16.39</v>
      </c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Between 12 to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IF(B148=0,"",RANK(B148,$B$2:$B$378,0))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LMW</t>
        </is>
      </c>
      <c r="D148" s="31" t="inlineStr">
        <is>
          <t>LMW Ltd</t>
        </is>
      </c>
      <c r="E148" s="31" t="inlineStr">
        <is>
          <t>industrials</t>
        </is>
      </c>
      <c r="F148" s="31" t="inlineStr">
        <is>
          <t>textile machinery</t>
        </is>
      </c>
      <c r="G148" s="31" t="inlineStr">
        <is>
          <t>midcap</t>
        </is>
      </c>
      <c r="H148" s="32" t="n">
        <v>18506.16</v>
      </c>
      <c r="I148" s="32" t="n">
        <v>18747</v>
      </c>
      <c r="J148" s="32" t="n">
        <v>6.82</v>
      </c>
      <c r="K148" s="32" t="n">
        <v>33295</v>
      </c>
      <c r="L148" s="31" t="n">
        <v>52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71.62</v>
      </c>
      <c r="P148" s="32" t="n">
        <v>34.16</v>
      </c>
      <c r="Q148" s="32" t="n">
        <v>15333.99</v>
      </c>
      <c r="R148" s="31" t="inlineStr">
        <is>
          <t>Volume Spike &amp; Near 52W High Breakout</t>
        </is>
      </c>
      <c r="S148" s="31" t="inlineStr">
        <is>
          <t>Nifty 50</t>
        </is>
      </c>
      <c r="T148" s="32" t="n">
        <v>-0.96</v>
      </c>
      <c r="U148" s="32" t="n">
        <v>26.42</v>
      </c>
      <c r="V148" s="32" t="n">
        <v>27.64</v>
      </c>
      <c r="W148" s="32" t="n">
        <v>11.25</v>
      </c>
      <c r="X148" s="31" t="inlineStr">
        <is>
          <t>Cyclical in an Upturn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IF(B149=0,"",RANK(B149,$B$2:$B$378,0))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3" t="inlineStr">
        <is>
          <t>VALIANTORG</t>
        </is>
      </c>
      <c r="D149" s="33" t="inlineStr">
        <is>
          <t>Valiant Organics Ltd</t>
        </is>
      </c>
      <c r="E149" s="31" t="inlineStr">
        <is>
          <t>chemicals</t>
        </is>
      </c>
      <c r="F149" s="31" t="inlineStr">
        <is>
          <t>chemicals</t>
        </is>
      </c>
      <c r="G149" s="31" t="inlineStr">
        <is>
          <t>smallcap</t>
        </is>
      </c>
      <c r="H149" s="32" t="n">
        <v>868.65</v>
      </c>
      <c r="I149" s="32" t="n">
        <v>341.55</v>
      </c>
      <c r="J149" s="32" t="n">
        <v>5</v>
      </c>
      <c r="K149" s="32" t="n">
        <v>98755</v>
      </c>
      <c r="L149" s="31" t="n">
        <v>13</v>
      </c>
      <c r="M149" s="31" t="inlineStr">
        <is>
          <t>Underperforming</t>
        </is>
      </c>
      <c r="N149" s="32">
        <f>IF(M149="Underperforming",-5,IF(L149&gt;=95,15,IF(L149&gt;=90,10,IF(L149&gt;=80,5,0))))</f>
        <v/>
      </c>
      <c r="O149" s="32" t="n">
        <v>64.31</v>
      </c>
      <c r="P149" s="32" t="n">
        <v>30.51</v>
      </c>
      <c r="Q149" s="32" t="n">
        <v>249.12</v>
      </c>
      <c r="R149" s="31" t="inlineStr">
        <is>
          <t>Volume Spike / Accumulation</t>
        </is>
      </c>
      <c r="S149" s="31" t="inlineStr">
        <is>
          <t>Nifty 50</t>
        </is>
      </c>
      <c r="T149" s="32" t="n">
        <v>-0.96</v>
      </c>
      <c r="U149" s="32" t="n">
        <v>-7.33</v>
      </c>
      <c r="V149" s="32" t="n">
        <v>-6.43</v>
      </c>
      <c r="W149" s="32" t="n">
        <v>2.46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IF(B150=0,"",RANK(B150,$B$2:$B$378,0))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KRN</t>
        </is>
      </c>
      <c r="D150" s="31" t="inlineStr">
        <is>
          <t>KRN Heat Exchanger and Refrigeration Ltd</t>
        </is>
      </c>
      <c r="E150" s="31" t="inlineStr">
        <is>
          <t>industrials</t>
        </is>
      </c>
      <c r="F150" s="31" t="inlineStr">
        <is>
          <t>engineering</t>
        </is>
      </c>
      <c r="G150" s="31" t="inlineStr">
        <is>
          <t>midcap</t>
        </is>
      </c>
      <c r="H150" s="32" t="n">
        <v>8429.09</v>
      </c>
      <c r="I150" s="32" t="n">
        <v>1398.4</v>
      </c>
      <c r="J150" s="32" t="n">
        <v>4.99</v>
      </c>
      <c r="K150" s="32" t="n">
        <v>58664</v>
      </c>
      <c r="L150" s="31" t="n">
        <v>68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68.08</v>
      </c>
      <c r="P150" s="32" t="n">
        <v>28.68</v>
      </c>
      <c r="Q150" s="32" t="n">
        <v>1017.8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-0.96</v>
      </c>
      <c r="U150" s="32" t="n">
        <v>63.94</v>
      </c>
      <c r="V150" s="32" t="n">
        <v>65.52</v>
      </c>
      <c r="W150" s="32" t="n">
        <v>17.18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IF(B151=0,"",RANK(B151,$B$2:$B$378,0))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TTKHLTCARE</t>
        </is>
      </c>
      <c r="D151" s="31" t="inlineStr">
        <is>
          <t>Ttk Healthcare Limited</t>
        </is>
      </c>
      <c r="E151" s="31" t="inlineStr">
        <is>
          <t>miscellaneous</t>
        </is>
      </c>
      <c r="F151" s="31" t="inlineStr">
        <is>
          <t>diversified - medium / small</t>
        </is>
      </c>
      <c r="G151" s="31" t="inlineStr">
        <is>
          <t>smallcap</t>
        </is>
      </c>
      <c r="H151" s="32" t="n">
        <v>1533.57</v>
      </c>
      <c r="I151" s="32" t="n">
        <v>1139.1</v>
      </c>
      <c r="J151" s="32" t="n">
        <v>3.24</v>
      </c>
      <c r="K151" s="32" t="n">
        <v>61248</v>
      </c>
      <c r="L151" s="31" t="n">
        <v>35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71.45</v>
      </c>
      <c r="P151" s="32" t="n">
        <v>18.85</v>
      </c>
      <c r="Q151" s="32" t="n">
        <v>883.38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-0.96</v>
      </c>
      <c r="U151" s="32" t="n">
        <v>1.76</v>
      </c>
      <c r="V151" s="32" t="n">
        <v>2.75</v>
      </c>
      <c r="W151" s="32" t="n">
        <v>7.05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0 to 20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IF(B152=0,"",RANK(B152,$B$2:$B$378,0))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KENNAMET</t>
        </is>
      </c>
      <c r="D152" s="31" t="inlineStr">
        <is>
          <t>Kennametal India Ltd</t>
        </is>
      </c>
      <c r="E152" s="31" t="inlineStr">
        <is>
          <t>industrials</t>
        </is>
      </c>
      <c r="F152" s="31" t="inlineStr">
        <is>
          <t>castings &amp; forgings</t>
        </is>
      </c>
      <c r="G152" s="31" t="inlineStr">
        <is>
          <t>midcap</t>
        </is>
      </c>
      <c r="H152" s="32" t="n">
        <v>7257</v>
      </c>
      <c r="I152" s="32" t="n">
        <v>3674.1</v>
      </c>
      <c r="J152" s="32" t="n">
        <v>2.85</v>
      </c>
      <c r="K152" s="32" t="n">
        <v>79894</v>
      </c>
      <c r="L152" s="31" t="n">
        <v>71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76.23</v>
      </c>
      <c r="P152" s="32" t="n">
        <v>43.95</v>
      </c>
      <c r="Q152" s="32" t="n">
        <v>2902.76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-0.96</v>
      </c>
      <c r="U152" s="32" t="n">
        <v>70.94</v>
      </c>
      <c r="V152" s="32" t="n">
        <v>72.59</v>
      </c>
      <c r="W152" s="32" t="n">
        <v>18.24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Above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IF(B153=0,"",RANK(B153,$B$2:$B$378,0))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KALYANKJIL</t>
        </is>
      </c>
      <c r="D153" s="31" t="inlineStr">
        <is>
          <t>Kalyan Jewellers India Ltd</t>
        </is>
      </c>
      <c r="E153" s="31" t="inlineStr">
        <is>
          <t>consumer discretionary</t>
        </is>
      </c>
      <c r="F153" s="31" t="inlineStr">
        <is>
          <t>diamond cutting / jewellery</t>
        </is>
      </c>
      <c r="G153" s="31" t="inlineStr">
        <is>
          <t>largecap</t>
        </is>
      </c>
      <c r="H153" s="32" t="n">
        <v>62191.62</v>
      </c>
      <c r="I153" s="32" t="n">
        <v>613.4</v>
      </c>
      <c r="J153" s="32" t="n">
        <v>2.8</v>
      </c>
      <c r="K153" s="32" t="n">
        <v>32286360</v>
      </c>
      <c r="L153" s="31" t="n">
        <v>78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72.25</v>
      </c>
      <c r="P153" s="32" t="n">
        <v>33.13</v>
      </c>
      <c r="Q153" s="32" t="n">
        <v>465.23</v>
      </c>
      <c r="R153" s="31" t="inlineStr">
        <is>
          <t>Near 52W High Breakout</t>
        </is>
      </c>
      <c r="S153" s="31" t="inlineStr">
        <is>
          <t>Nifty 500</t>
        </is>
      </c>
      <c r="T153" s="32" t="n">
        <v>4.31</v>
      </c>
      <c r="U153" s="32" t="n">
        <v>15.31</v>
      </c>
      <c r="V153" s="32" t="n">
        <v>10.55</v>
      </c>
      <c r="W153" s="32" t="n">
        <v>21.89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Between 0.7 to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IF(B154=0,"",RANK(B154,$B$2:$B$378,0))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ANDHRSUGAR</t>
        </is>
      </c>
      <c r="D154" s="31" t="inlineStr">
        <is>
          <t>The Andhra Sugars Limited</t>
        </is>
      </c>
      <c r="E154" s="31" t="inlineStr">
        <is>
          <t>chemicals</t>
        </is>
      </c>
      <c r="F154" s="31" t="inlineStr">
        <is>
          <t>chlor alkali / soda ash</t>
        </is>
      </c>
      <c r="G154" s="31" t="inlineStr">
        <is>
          <t>smallcap</t>
        </is>
      </c>
      <c r="H154" s="32" t="n">
        <v>1344.51</v>
      </c>
      <c r="I154" s="32" t="n">
        <v>100.43</v>
      </c>
      <c r="J154" s="32" t="n">
        <v>2.38</v>
      </c>
      <c r="K154" s="32" t="n">
        <v>1016715</v>
      </c>
      <c r="L154" s="31" t="n">
        <v>36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64.98</v>
      </c>
      <c r="P154" s="32" t="n">
        <v>13.36</v>
      </c>
      <c r="Q154" s="32" t="n">
        <v>75.65000000000001</v>
      </c>
      <c r="R154" s="31" t="inlineStr">
        <is>
          <t>Volume Spike &amp; Near 52W High Breakout</t>
        </is>
      </c>
      <c r="S154" s="31" t="inlineStr">
        <is>
          <t>Nifty 50</t>
        </is>
      </c>
      <c r="T154" s="32" t="n">
        <v>-0.96</v>
      </c>
      <c r="U154" s="32" t="n">
        <v>25.36</v>
      </c>
      <c r="V154" s="32" t="n">
        <v>26.57</v>
      </c>
      <c r="W154" s="32" t="n">
        <v>7.23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0 to 20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IF(B155=0,"",RANK(B155,$B$2:$B$378,0))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HEG</t>
        </is>
      </c>
      <c r="D155" s="31" t="inlineStr">
        <is>
          <t>Heg Limited</t>
        </is>
      </c>
      <c r="E155" s="31" t="inlineStr">
        <is>
          <t>industrials</t>
        </is>
      </c>
      <c r="F155" s="31" t="inlineStr">
        <is>
          <t>electrodes - graphites</t>
        </is>
      </c>
      <c r="G155" s="31" t="inlineStr">
        <is>
          <t>midcap</t>
        </is>
      </c>
      <c r="H155" s="32" t="n">
        <v>13088.7</v>
      </c>
      <c r="I155" s="32" t="n">
        <v>687</v>
      </c>
      <c r="J155" s="32" t="n">
        <v>1.88</v>
      </c>
      <c r="K155" s="32" t="n">
        <v>1212142</v>
      </c>
      <c r="L155" s="31" t="n">
        <v>43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66.81</v>
      </c>
      <c r="P155" s="32" t="n">
        <v>26.81</v>
      </c>
      <c r="Q155" s="32" t="n">
        <v>534.61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-0.96</v>
      </c>
      <c r="U155" s="32" t="n">
        <v>37</v>
      </c>
      <c r="V155" s="32" t="n">
        <v>38.32</v>
      </c>
      <c r="W155" s="32" t="n">
        <v>8.84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Between 12 to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IF(B156=0,"",RANK(B156,$B$2:$B$378,0))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RRKABEL</t>
        </is>
      </c>
      <c r="D156" s="31" t="inlineStr">
        <is>
          <t>R R Kabel Ltd</t>
        </is>
      </c>
      <c r="E156" s="31" t="inlineStr">
        <is>
          <t>industrials</t>
        </is>
      </c>
      <c r="F156" s="31" t="inlineStr">
        <is>
          <t>cables - power</t>
        </is>
      </c>
      <c r="G156" s="31" t="inlineStr">
        <is>
          <t>largecap</t>
        </is>
      </c>
      <c r="H156" s="32" t="n">
        <v>31814.32</v>
      </c>
      <c r="I156" s="32" t="n">
        <v>2834.2</v>
      </c>
      <c r="J156" s="32" t="n">
        <v>1.6</v>
      </c>
      <c r="K156" s="32" t="n">
        <v>174863</v>
      </c>
      <c r="L156" s="31" t="inlineStr"/>
      <c r="M156" s="31" t="inlineStr"/>
      <c r="N156" s="32">
        <f>IF(M156="Underperforming",-5,IF(L156&gt;=95,15,IF(L156&gt;=90,10,IF(L156&gt;=80,5,0))))</f>
        <v/>
      </c>
      <c r="O156" s="32" t="n">
        <v>78.18000000000001</v>
      </c>
      <c r="P156" s="32" t="n">
        <v>67.23999999999999</v>
      </c>
      <c r="Q156" s="32" t="n">
        <v>2275.52</v>
      </c>
      <c r="R156" s="31" t="inlineStr">
        <is>
          <t>Near 52W High Breakout</t>
        </is>
      </c>
      <c r="S156" s="31" t="inlineStr">
        <is>
          <t>Nifty Energy</t>
        </is>
      </c>
      <c r="T156" s="32" t="inlineStr"/>
      <c r="U156" s="32" t="inlineStr"/>
      <c r="V156" s="32" t="inlineStr"/>
      <c r="W156" s="32" t="inlineStr"/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IF(B157=0,"",RANK(B157,$B$2:$B$378,0))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YASHO</t>
        </is>
      </c>
      <c r="D157" s="31" t="inlineStr">
        <is>
          <t>Yasho Industries Ltd</t>
        </is>
      </c>
      <c r="E157" s="31" t="inlineStr">
        <is>
          <t>chemicals</t>
        </is>
      </c>
      <c r="F157" s="31" t="inlineStr">
        <is>
          <t>chemicals</t>
        </is>
      </c>
      <c r="G157" s="31" t="inlineStr">
        <is>
          <t>midcap</t>
        </is>
      </c>
      <c r="H157" s="32" t="n">
        <v>5192.27</v>
      </c>
      <c r="I157" s="32" t="n">
        <v>4276.5</v>
      </c>
      <c r="J157" s="32" t="n">
        <v>1.51</v>
      </c>
      <c r="K157" s="32" t="n">
        <v>22421</v>
      </c>
      <c r="L157" s="31" t="n">
        <v>98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91.84999999999999</v>
      </c>
      <c r="P157" s="32" t="n">
        <v>65.54000000000001</v>
      </c>
      <c r="Q157" s="32" t="n">
        <v>3293.33</v>
      </c>
      <c r="R157" s="31" t="inlineStr">
        <is>
          <t>Near 52W High Breakout</t>
        </is>
      </c>
      <c r="S157" s="31" t="inlineStr">
        <is>
          <t>Nifty IT</t>
        </is>
      </c>
      <c r="T157" s="32" t="n">
        <v>-9.699999999999999</v>
      </c>
      <c r="U157" s="32" t="n">
        <v>145.38</v>
      </c>
      <c r="V157" s="32" t="n">
        <v>171.74</v>
      </c>
      <c r="W157" s="32" t="n">
        <v>61.34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More than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IF(B158=0,"",RANK(B158,$B$2:$B$378,0))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KRISHANA</t>
        </is>
      </c>
      <c r="D158" s="31" t="inlineStr">
        <is>
          <t>Krishana Phoschem Ltd</t>
        </is>
      </c>
      <c r="E158" s="31" t="inlineStr">
        <is>
          <t>chemicals</t>
        </is>
      </c>
      <c r="F158" s="31" t="inlineStr">
        <is>
          <t>fertilizers</t>
        </is>
      </c>
      <c r="G158" s="31" t="inlineStr">
        <is>
          <t>smallcap</t>
        </is>
      </c>
      <c r="H158" s="32" t="n">
        <v>1152.78</v>
      </c>
      <c r="I158" s="32" t="n">
        <v>188.94</v>
      </c>
      <c r="J158" s="32" t="n">
        <v>1.34</v>
      </c>
      <c r="K158" s="32" t="n">
        <v>577409</v>
      </c>
      <c r="L158" s="31" t="n">
        <v>77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79.05</v>
      </c>
      <c r="P158" s="32" t="n">
        <v>46.29</v>
      </c>
      <c r="Q158" s="32" t="n">
        <v>148.69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-0.96</v>
      </c>
      <c r="U158" s="32" t="n">
        <v>73.79000000000001</v>
      </c>
      <c r="V158" s="32" t="n">
        <v>75.47</v>
      </c>
      <c r="W158" s="32" t="n">
        <v>21.44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More than 1.2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IF(B159=0,"",RANK(B159,$B$2:$B$378,0))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KINGFA</t>
        </is>
      </c>
      <c r="D159" s="31" t="inlineStr">
        <is>
          <t>Kingfa Science &amp; Technology (india) Limited</t>
        </is>
      </c>
      <c r="E159" s="31" t="inlineStr">
        <is>
          <t>plastic products</t>
        </is>
      </c>
      <c r="F159" s="31" t="inlineStr">
        <is>
          <t>plastics products</t>
        </is>
      </c>
      <c r="G159" s="31" t="inlineStr">
        <is>
          <t>midcap</t>
        </is>
      </c>
      <c r="H159" s="32" t="n">
        <v>7735.13</v>
      </c>
      <c r="I159" s="32" t="n">
        <v>6028.5</v>
      </c>
      <c r="J159" s="32" t="n">
        <v>1.33</v>
      </c>
      <c r="K159" s="32" t="n">
        <v>28005</v>
      </c>
      <c r="L159" s="31" t="n">
        <v>59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71.41</v>
      </c>
      <c r="P159" s="32" t="n">
        <v>31.4</v>
      </c>
      <c r="Q159" s="32" t="n">
        <v>4803.64</v>
      </c>
      <c r="R159" s="31" t="inlineStr">
        <is>
          <t>Volume Spike &amp; Near 52W High Breakout</t>
        </is>
      </c>
      <c r="S159" s="31" t="inlineStr">
        <is>
          <t>Nifty 50</t>
        </is>
      </c>
      <c r="T159" s="32" t="n">
        <v>-0.96</v>
      </c>
      <c r="U159" s="32" t="n">
        <v>57.91</v>
      </c>
      <c r="V159" s="32" t="n">
        <v>59.43</v>
      </c>
      <c r="W159" s="32" t="n">
        <v>13.16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Between 1.5 to 2</t>
        </is>
      </c>
      <c r="BU159" s="31">
        <f>IF(BT159="Above 2",0,IF(BT159="Between 1.5 to 2",5,IF(BT159="Less than 1.5",10,0)))</f>
        <v/>
      </c>
      <c r="BV159" s="31" t="inlineStr">
        <is>
          <t>Less than 50%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IF(B160=0,"",RANK(B160,$B$2:$B$378,0))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NRBBEARING</t>
        </is>
      </c>
      <c r="D160" s="31" t="inlineStr">
        <is>
          <t>Nrb Bearing Limited</t>
        </is>
      </c>
      <c r="E160" s="31" t="inlineStr">
        <is>
          <t>industrials</t>
        </is>
      </c>
      <c r="F160" s="31" t="inlineStr">
        <is>
          <t>bearings</t>
        </is>
      </c>
      <c r="G160" s="31" t="inlineStr">
        <is>
          <t>smallcap</t>
        </is>
      </c>
      <c r="H160" s="32" t="n">
        <v>4412.4</v>
      </c>
      <c r="I160" s="32" t="n">
        <v>467.2</v>
      </c>
      <c r="J160" s="32" t="n">
        <v>1.2</v>
      </c>
      <c r="K160" s="32" t="n">
        <v>328048</v>
      </c>
      <c r="L160" s="31" t="n">
        <v>74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75.5</v>
      </c>
      <c r="P160" s="32" t="n">
        <v>49.51</v>
      </c>
      <c r="Q160" s="32" t="n">
        <v>359.85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-0.96</v>
      </c>
      <c r="U160" s="32" t="n">
        <v>72.65000000000001</v>
      </c>
      <c r="V160" s="32" t="n">
        <v>74.31</v>
      </c>
      <c r="W160" s="32" t="n">
        <v>19.34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Between 12 to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IF(B161=0,"",RANK(B161,$B$2:$B$378,0))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AYMSYNTEX</t>
        </is>
      </c>
      <c r="D161" s="31" t="inlineStr">
        <is>
          <t>Aym Syntex Limited</t>
        </is>
      </c>
      <c r="E161" s="31" t="inlineStr">
        <is>
          <t>textiles</t>
        </is>
      </c>
      <c r="F161" s="31" t="inlineStr">
        <is>
          <t>textiles - processing</t>
        </is>
      </c>
      <c r="G161" s="31" t="inlineStr">
        <is>
          <t>smallcap</t>
        </is>
      </c>
      <c r="H161" s="32" t="n">
        <v>1502.71</v>
      </c>
      <c r="I161" s="32" t="n">
        <v>255.6</v>
      </c>
      <c r="J161" s="32" t="n">
        <v>0.95</v>
      </c>
      <c r="K161" s="32" t="n">
        <v>15044</v>
      </c>
      <c r="L161" s="31" t="n">
        <v>44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61.49</v>
      </c>
      <c r="P161" s="32" t="n">
        <v>32.53</v>
      </c>
      <c r="Q161" s="32" t="n">
        <v>184.07</v>
      </c>
      <c r="R161" s="31" t="inlineStr">
        <is>
          <t>Near 52W High Breakout</t>
        </is>
      </c>
      <c r="S161" s="31" t="inlineStr">
        <is>
          <t>Nifty 50</t>
        </is>
      </c>
      <c r="T161" s="32" t="n">
        <v>-0.96</v>
      </c>
      <c r="U161" s="32" t="n">
        <v>33.39</v>
      </c>
      <c r="V161" s="32" t="n">
        <v>34.68</v>
      </c>
      <c r="W161" s="32" t="n">
        <v>9.050000000000001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IF(B162=0,"",RANK(B162,$B$2:$B$378,0))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EICHERMOT</t>
        </is>
      </c>
      <c r="D162" s="31" t="inlineStr">
        <is>
          <t>Eicher Motors Limited</t>
        </is>
      </c>
      <c r="E162" s="31" t="inlineStr">
        <is>
          <t>auto</t>
        </is>
      </c>
      <c r="F162" s="31" t="inlineStr">
        <is>
          <t>automobiles - motorcycles / mopeds</t>
        </is>
      </c>
      <c r="G162" s="31" t="inlineStr">
        <is>
          <t>largecap</t>
        </is>
      </c>
      <c r="H162" s="32" t="n">
        <v>219598.02</v>
      </c>
      <c r="I162" s="32" t="n">
        <v>8100</v>
      </c>
      <c r="J162" s="32" t="n">
        <v>0.63</v>
      </c>
      <c r="K162" s="32" t="n">
        <v>461657</v>
      </c>
      <c r="L162" s="31" t="inlineStr"/>
      <c r="M162" s="31" t="inlineStr"/>
      <c r="N162" s="32">
        <f>IF(M162="Underperforming",-5,IF(L162&gt;=95,15,IF(L162&gt;=90,10,IF(L162&gt;=80,5,0))))</f>
        <v/>
      </c>
      <c r="O162" s="32" t="n">
        <v>66.04000000000001</v>
      </c>
      <c r="P162" s="32" t="n">
        <v>8.76</v>
      </c>
      <c r="Q162" s="32" t="n">
        <v>7002.01</v>
      </c>
      <c r="R162" s="31" t="inlineStr">
        <is>
          <t>Near 52W High Breakout</t>
        </is>
      </c>
      <c r="S162" s="31" t="inlineStr">
        <is>
          <t>Nifty Auto</t>
        </is>
      </c>
      <c r="T162" s="32" t="inlineStr"/>
      <c r="U162" s="32" t="inlineStr"/>
      <c r="V162" s="32" t="inlineStr"/>
      <c r="W162" s="32" t="inlineStr"/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Between 1.5 to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IF(B163=0,"",RANK(B163,$B$2:$B$378,0))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ASIANPAINT</t>
        </is>
      </c>
      <c r="D163" s="31" t="inlineStr">
        <is>
          <t>Asian Paints Limited</t>
        </is>
      </c>
      <c r="E163" s="31" t="inlineStr">
        <is>
          <t>building materials</t>
        </is>
      </c>
      <c r="F163" s="31" t="inlineStr">
        <is>
          <t>paints / varnishes</t>
        </is>
      </c>
      <c r="G163" s="31" t="inlineStr">
        <is>
          <t>largecap</t>
        </is>
      </c>
      <c r="H163" s="32" t="n">
        <v>262388.56</v>
      </c>
      <c r="I163" s="32" t="n">
        <v>2755.5</v>
      </c>
      <c r="J163" s="32" t="n">
        <v>0.57</v>
      </c>
      <c r="K163" s="32" t="n">
        <v>1110398</v>
      </c>
      <c r="L163" s="31" t="n">
        <v>31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60.67</v>
      </c>
      <c r="P163" s="32" t="n">
        <v>23.63</v>
      </c>
      <c r="Q163" s="32" t="n">
        <v>2361.34</v>
      </c>
      <c r="R163" s="31" t="inlineStr">
        <is>
          <t>Earnings / Momentum Support</t>
        </is>
      </c>
      <c r="S163" s="31" t="inlineStr">
        <is>
          <t>Nifty Infra</t>
        </is>
      </c>
      <c r="T163" s="32" t="n">
        <v>3.6</v>
      </c>
      <c r="U163" s="32" t="n">
        <v>19.16</v>
      </c>
      <c r="V163" s="32" t="n">
        <v>15.01</v>
      </c>
      <c r="W163" s="32" t="n">
        <v>6.19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IF(B164=0,"",RANK(B164,$B$2:$B$378,0))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SIGMAADV</t>
        </is>
      </c>
      <c r="D164" s="31" t="inlineStr">
        <is>
          <t>Sigma Advanced System Ltd</t>
        </is>
      </c>
      <c r="E164" s="31" t="inlineStr">
        <is>
          <t>aerospace &amp; defence</t>
        </is>
      </c>
      <c r="F164" s="31" t="inlineStr">
        <is>
          <t>electronics - components</t>
        </is>
      </c>
      <c r="G164" s="31" t="inlineStr">
        <is>
          <t>midcap</t>
        </is>
      </c>
      <c r="H164" s="32" t="n">
        <v>13292.21</v>
      </c>
      <c r="I164" s="32" t="n">
        <v>687.15</v>
      </c>
      <c r="J164" s="32" t="n">
        <v>0.48</v>
      </c>
      <c r="K164" s="32" t="n">
        <v>197280</v>
      </c>
      <c r="L164" s="31" t="n">
        <v>98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76.28</v>
      </c>
      <c r="P164" s="32" t="n">
        <v>67.42</v>
      </c>
      <c r="Q164" s="32" t="n">
        <v>518.55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-0.96</v>
      </c>
      <c r="U164" s="32" t="n">
        <v>508.47</v>
      </c>
      <c r="V164" s="32" t="n">
        <v>514.35</v>
      </c>
      <c r="W164" s="32" t="n">
        <v>74.41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Negative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IF(B165=0,"",RANK(B165,$B$2:$B$378,0))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ATUL</t>
        </is>
      </c>
      <c r="D165" s="31" t="inlineStr">
        <is>
          <t>Atul Limited</t>
        </is>
      </c>
      <c r="E165" s="31" t="inlineStr">
        <is>
          <t>chemicals</t>
        </is>
      </c>
      <c r="F165" s="31" t="inlineStr">
        <is>
          <t>chemicals</t>
        </is>
      </c>
      <c r="G165" s="31" t="inlineStr">
        <is>
          <t>largecap</t>
        </is>
      </c>
      <c r="H165" s="32" t="n">
        <v>20167.6</v>
      </c>
      <c r="I165" s="32" t="n">
        <v>6903</v>
      </c>
      <c r="J165" s="32" t="n">
        <v>0.09</v>
      </c>
      <c r="K165" s="32" t="n">
        <v>32716</v>
      </c>
      <c r="L165" s="31" t="n">
        <v>11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59.51</v>
      </c>
      <c r="P165" s="32" t="n">
        <v>12.41</v>
      </c>
      <c r="Q165" s="32" t="n">
        <v>5963.56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-0.96</v>
      </c>
      <c r="U165" s="32" t="n">
        <v>9.26</v>
      </c>
      <c r="V165" s="32" t="n">
        <v>10.32</v>
      </c>
      <c r="W165" s="32" t="n">
        <v>1.55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IF(B166=0,"",RANK(B166,$B$2:$B$378,0))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ENRIN</t>
        </is>
      </c>
      <c r="D166" s="31" t="inlineStr">
        <is>
          <t>Siemens Energy India Ltd</t>
        </is>
      </c>
      <c r="E166" s="31" t="inlineStr">
        <is>
          <t>power &amp; utilities</t>
        </is>
      </c>
      <c r="F166" s="31" t="inlineStr">
        <is>
          <t>power generation and supply</t>
        </is>
      </c>
      <c r="G166" s="31" t="inlineStr">
        <is>
          <t>largecap</t>
        </is>
      </c>
      <c r="H166" s="32" t="n">
        <v>126914.23</v>
      </c>
      <c r="I166" s="32" t="n">
        <v>3561.2</v>
      </c>
      <c r="J166" s="32" t="n">
        <v>-0.03</v>
      </c>
      <c r="K166" s="32" t="n">
        <v>401584</v>
      </c>
      <c r="L166" s="31" t="n">
        <v>30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56.91</v>
      </c>
      <c r="P166" s="32" t="n">
        <v>23.54</v>
      </c>
      <c r="Q166" s="32" t="n">
        <v>2985</v>
      </c>
      <c r="R166" s="31" t="inlineStr">
        <is>
          <t>Earnings / Momentum Support</t>
        </is>
      </c>
      <c r="S166" s="31" t="inlineStr">
        <is>
          <t>Nifty IT</t>
        </is>
      </c>
      <c r="T166" s="32" t="n">
        <v>-9.699999999999999</v>
      </c>
      <c r="U166" s="32" t="n">
        <v>12.41</v>
      </c>
      <c r="V166" s="32" t="n">
        <v>24.48</v>
      </c>
      <c r="W166" s="32" t="n">
        <v>6.06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IF(B167=0,"",RANK(B167,$B$2:$B$378,0))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GRASIM</t>
        </is>
      </c>
      <c r="D167" s="31" t="inlineStr">
        <is>
          <t>Grasim Industries Limited</t>
        </is>
      </c>
      <c r="E167" s="31" t="inlineStr">
        <is>
          <t>textiles</t>
        </is>
      </c>
      <c r="F167" s="31" t="inlineStr">
        <is>
          <t>textiles - manmade</t>
        </is>
      </c>
      <c r="G167" s="31" t="inlineStr">
        <is>
          <t>largecap</t>
        </is>
      </c>
      <c r="H167" s="32" t="n">
        <v>226102.48</v>
      </c>
      <c r="I167" s="32" t="n">
        <v>3257</v>
      </c>
      <c r="J167" s="32" t="n">
        <v>-1.54</v>
      </c>
      <c r="K167" s="32" t="n">
        <v>2060889</v>
      </c>
      <c r="L167" s="31" t="n">
        <v>30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64.23999999999999</v>
      </c>
      <c r="P167" s="32" t="n">
        <v>36.54</v>
      </c>
      <c r="Q167" s="32" t="n">
        <v>2896.28</v>
      </c>
      <c r="R167" s="31" t="inlineStr">
        <is>
          <t>Volume Spike &amp; Near 52W High Breakout</t>
        </is>
      </c>
      <c r="S167" s="31" t="inlineStr">
        <is>
          <t>Nifty 50</t>
        </is>
      </c>
      <c r="T167" s="32" t="n">
        <v>-0.96</v>
      </c>
      <c r="U167" s="32" t="n">
        <v>18.17</v>
      </c>
      <c r="V167" s="32" t="n">
        <v>19.31</v>
      </c>
      <c r="W167" s="32" t="n">
        <v>5.75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More than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IF(B168=0,"",RANK(B168,$B$2:$B$378,0))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PDSL</t>
        </is>
      </c>
      <c r="D168" s="31" t="inlineStr">
        <is>
          <t>PDS Ltd</t>
        </is>
      </c>
      <c r="E168" s="31" t="inlineStr">
        <is>
          <t>textiles</t>
        </is>
      </c>
      <c r="F168" s="31" t="inlineStr">
        <is>
          <t>trading</t>
        </is>
      </c>
      <c r="G168" s="31" t="inlineStr">
        <is>
          <t>midcap</t>
        </is>
      </c>
      <c r="H168" s="32" t="n">
        <v>5325.3</v>
      </c>
      <c r="I168" s="32" t="n">
        <v>373</v>
      </c>
      <c r="J168" s="32" t="n">
        <v>-1.69</v>
      </c>
      <c r="K168" s="32" t="n">
        <v>61695</v>
      </c>
      <c r="L168" s="31" t="n">
        <v>56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61.73</v>
      </c>
      <c r="P168" s="32" t="n">
        <v>33.61</v>
      </c>
      <c r="Q168" s="32" t="n">
        <v>273.69</v>
      </c>
      <c r="R168" s="31" t="inlineStr">
        <is>
          <t>Earnings / Momentum Support</t>
        </is>
      </c>
      <c r="S168" s="31" t="inlineStr">
        <is>
          <t>Nifty 50</t>
        </is>
      </c>
      <c r="T168" s="32" t="n">
        <v>-0.96</v>
      </c>
      <c r="U168" s="32" t="n">
        <v>18.68</v>
      </c>
      <c r="V168" s="32" t="n">
        <v>19.83</v>
      </c>
      <c r="W168" s="32" t="n">
        <v>12.02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IF(B169=0,"",RANK(B169,$B$2:$B$378,0))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SANSERA</t>
        </is>
      </c>
      <c r="D169" s="31" t="inlineStr">
        <is>
          <t>Sansera Engineering Ltd</t>
        </is>
      </c>
      <c r="E169" s="31" t="inlineStr">
        <is>
          <t>auto</t>
        </is>
      </c>
      <c r="F169" s="31" t="inlineStr">
        <is>
          <t>auto ancillaries</t>
        </is>
      </c>
      <c r="G169" s="31" t="inlineStr">
        <is>
          <t>largecap</t>
        </is>
      </c>
      <c r="H169" s="32" t="n">
        <v>22996.34</v>
      </c>
      <c r="I169" s="32" t="n">
        <v>3786</v>
      </c>
      <c r="J169" s="32" t="n">
        <v>-2.38</v>
      </c>
      <c r="K169" s="32" t="n">
        <v>971796</v>
      </c>
      <c r="L169" s="31" t="inlineStr"/>
      <c r="M169" s="31" t="inlineStr"/>
      <c r="N169" s="32">
        <f>IF(M169="Underperforming",-5,IF(L169&gt;=95,15,IF(L169&gt;=90,10,IF(L169&gt;=80,5,0))))</f>
        <v/>
      </c>
      <c r="O169" s="32" t="n">
        <v>79.19</v>
      </c>
      <c r="P169" s="32" t="n">
        <v>56.26</v>
      </c>
      <c r="Q169" s="32" t="n">
        <v>3091.95</v>
      </c>
      <c r="R169" s="31" t="inlineStr">
        <is>
          <t>Near 52W High Breakout</t>
        </is>
      </c>
      <c r="S169" s="31" t="inlineStr">
        <is>
          <t>Nifty Auto</t>
        </is>
      </c>
      <c r="T169" s="32" t="inlineStr"/>
      <c r="U169" s="32" t="inlineStr"/>
      <c r="V169" s="32" t="inlineStr"/>
      <c r="W169" s="32" t="inlineStr"/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Above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Between 50% to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IF(B170=0,"",RANK(B170,$B$2:$B$378,0))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CHENNPETRO</t>
        </is>
      </c>
      <c r="D170" s="31" t="inlineStr">
        <is>
          <t>Chennai Petroleum Corporation Limited</t>
        </is>
      </c>
      <c r="E170" s="31" t="inlineStr">
        <is>
          <t>energy</t>
        </is>
      </c>
      <c r="F170" s="31" t="inlineStr">
        <is>
          <t>refineries</t>
        </is>
      </c>
      <c r="G170" s="31" t="inlineStr">
        <is>
          <t>largecap</t>
        </is>
      </c>
      <c r="H170" s="32" t="n">
        <v>21236.25</v>
      </c>
      <c r="I170" s="32" t="n">
        <v>1341.8</v>
      </c>
      <c r="J170" s="32" t="n">
        <v>-2.73</v>
      </c>
      <c r="K170" s="32" t="n">
        <v>1846316</v>
      </c>
      <c r="L170" s="31" t="inlineStr"/>
      <c r="M170" s="31" t="inlineStr"/>
      <c r="N170" s="32">
        <f>IF(M170="Underperforming",-5,IF(L170&gt;=95,15,IF(L170&gt;=90,10,IF(L170&gt;=80,5,0))))</f>
        <v/>
      </c>
      <c r="O170" s="32" t="n">
        <v>73.29000000000001</v>
      </c>
      <c r="P170" s="32" t="n">
        <v>49.4</v>
      </c>
      <c r="Q170" s="32" t="n">
        <v>988.51</v>
      </c>
      <c r="R170" s="31" t="inlineStr">
        <is>
          <t>Volume Spike &amp; Near 52W High Breakout</t>
        </is>
      </c>
      <c r="S170" s="31" t="inlineStr">
        <is>
          <t>Nifty Energy</t>
        </is>
      </c>
      <c r="T170" s="32" t="inlineStr"/>
      <c r="U170" s="32" t="inlineStr"/>
      <c r="V170" s="32" t="inlineStr"/>
      <c r="W170" s="32" t="inlineStr"/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Oligopoly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Cyclical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Volatile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IF(B171=0,"",RANK(B171,$B$2:$B$378,0))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MMFL</t>
        </is>
      </c>
      <c r="D171" s="31" t="inlineStr">
        <is>
          <t>Mm Forgings Limited</t>
        </is>
      </c>
      <c r="E171" s="31" t="inlineStr">
        <is>
          <t>industrials</t>
        </is>
      </c>
      <c r="F171" s="31" t="inlineStr">
        <is>
          <t>castings &amp; forgings</t>
        </is>
      </c>
      <c r="G171" s="31" t="inlineStr">
        <is>
          <t>smallcap</t>
        </is>
      </c>
      <c r="H171" s="32" t="n">
        <v>3105.23</v>
      </c>
      <c r="I171" s="32" t="n">
        <v>613</v>
      </c>
      <c r="J171" s="32" t="n">
        <v>-3.75</v>
      </c>
      <c r="K171" s="32" t="n">
        <v>228142</v>
      </c>
      <c r="L171" s="31" t="n">
        <v>83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74.7</v>
      </c>
      <c r="P171" s="32" t="n">
        <v>21.15</v>
      </c>
      <c r="Q171" s="32" t="n">
        <v>490.92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-0.96</v>
      </c>
      <c r="U171" s="32" t="n">
        <v>110.3</v>
      </c>
      <c r="V171" s="32" t="n">
        <v>112.33</v>
      </c>
      <c r="W171" s="32" t="n">
        <v>26.49</v>
      </c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More than 1.2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IF(B172=0,"",RANK(B172,$B$2:$B$378,0))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GUFICBIO</t>
        </is>
      </c>
      <c r="D172" s="31" t="inlineStr">
        <is>
          <t>Gufic Biosciences Limited</t>
        </is>
      </c>
      <c r="E172" s="31" t="inlineStr">
        <is>
          <t>healthcare</t>
        </is>
      </c>
      <c r="F172" s="31" t="inlineStr">
        <is>
          <t>pharmaceuticals - indian - bulk drugs &amp; formln</t>
        </is>
      </c>
      <c r="G172" s="31" t="inlineStr">
        <is>
          <t>smallcap</t>
        </is>
      </c>
      <c r="H172" s="32" t="n">
        <v>4323.18</v>
      </c>
      <c r="I172" s="32" t="n">
        <v>430.25</v>
      </c>
      <c r="J172" s="32" t="n">
        <v>1.26</v>
      </c>
      <c r="K172" s="32" t="n">
        <v>75423</v>
      </c>
      <c r="L172" s="31" t="n">
        <v>67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72.11</v>
      </c>
      <c r="P172" s="32" t="n">
        <v>47.86</v>
      </c>
      <c r="Q172" s="32" t="n">
        <v>336.23</v>
      </c>
      <c r="R172" s="31" t="inlineStr">
        <is>
          <t>Near 52W High Breakout</t>
        </is>
      </c>
      <c r="S172" s="31" t="inlineStr">
        <is>
          <t>Nifty Pharma</t>
        </is>
      </c>
      <c r="T172" s="32" t="n">
        <v>20.47</v>
      </c>
      <c r="U172" s="32" t="n">
        <v>20.72</v>
      </c>
      <c r="V172" s="32" t="n">
        <v>0.21</v>
      </c>
      <c r="W172" s="32" t="n">
        <v>16.56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Yes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Less than 50%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IF(B173=0,"",RANK(B173,$B$2:$B$378,0))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3" t="inlineStr">
        <is>
          <t>PPLPHARMA</t>
        </is>
      </c>
      <c r="D173" s="33" t="inlineStr">
        <is>
          <t>Piramal Pharma Ltd</t>
        </is>
      </c>
      <c r="E173" s="31" t="inlineStr">
        <is>
          <t>healthcare</t>
        </is>
      </c>
      <c r="F173" s="31" t="inlineStr">
        <is>
          <t>pharmaceuticals - indian - bulk drugs &amp; formln</t>
        </is>
      </c>
      <c r="G173" s="31" t="inlineStr">
        <is>
          <t>largecap</t>
        </is>
      </c>
      <c r="H173" s="32" t="n">
        <v>28516.15</v>
      </c>
      <c r="I173" s="32" t="n">
        <v>212.67</v>
      </c>
      <c r="J173" s="32" t="n">
        <v>1.16</v>
      </c>
      <c r="K173" s="32" t="n">
        <v>2244788</v>
      </c>
      <c r="L173" s="31" t="n">
        <v>36</v>
      </c>
      <c r="M173" s="31" t="inlineStr">
        <is>
          <t>Underperforming</t>
        </is>
      </c>
      <c r="N173" s="32">
        <f>IF(M173="Underperforming",-5,IF(L173&gt;=95,15,IF(L173&gt;=90,10,IF(L173&gt;=80,5,0))))</f>
        <v/>
      </c>
      <c r="O173" s="32" t="n">
        <v>72.22</v>
      </c>
      <c r="P173" s="32" t="n">
        <v>25.59</v>
      </c>
      <c r="Q173" s="32" t="n">
        <v>170.24</v>
      </c>
      <c r="R173" s="31" t="inlineStr">
        <is>
          <t>Near 52W High Breakout</t>
        </is>
      </c>
      <c r="S173" s="31" t="inlineStr">
        <is>
          <t>Nifty Pharma</t>
        </is>
      </c>
      <c r="T173" s="32" t="n">
        <v>20.47</v>
      </c>
      <c r="U173" s="32" t="n">
        <v>11.91</v>
      </c>
      <c r="V173" s="32" t="n">
        <v>-7.11</v>
      </c>
      <c r="W173" s="32" t="n">
        <v>7.25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Yes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IF(B174=0,"",RANK(B174,$B$2:$B$378,0))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LALPATHLAB</t>
        </is>
      </c>
      <c r="D174" s="33" t="inlineStr">
        <is>
          <t>Dr. Lal Path Labs Ltd.</t>
        </is>
      </c>
      <c r="E174" s="31" t="inlineStr">
        <is>
          <t>healthcare</t>
        </is>
      </c>
      <c r="F174" s="31" t="inlineStr">
        <is>
          <t>healthcare</t>
        </is>
      </c>
      <c r="G174" s="31" t="inlineStr">
        <is>
          <t>largecap</t>
        </is>
      </c>
      <c r="H174" s="32" t="n">
        <v>32687.69</v>
      </c>
      <c r="I174" s="32" t="n">
        <v>1965</v>
      </c>
      <c r="J174" s="32" t="n">
        <v>0.6</v>
      </c>
      <c r="K174" s="32" t="n">
        <v>205127</v>
      </c>
      <c r="L174" s="31" t="n">
        <v>44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76.06999999999999</v>
      </c>
      <c r="P174" s="32" t="n">
        <v>41.93</v>
      </c>
      <c r="Q174" s="32" t="n">
        <v>1644.44</v>
      </c>
      <c r="R174" s="31" t="inlineStr">
        <is>
          <t>Near 52W High Breakout</t>
        </is>
      </c>
      <c r="S174" s="31" t="inlineStr">
        <is>
          <t>Nifty Pharma</t>
        </is>
      </c>
      <c r="T174" s="32" t="n">
        <v>20.47</v>
      </c>
      <c r="U174" s="32" t="n">
        <v>18.75</v>
      </c>
      <c r="V174" s="32" t="n">
        <v>-1.43</v>
      </c>
      <c r="W174" s="32" t="n">
        <v>8.960000000000001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Above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Blue sky scenario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IF(B175=0,"",RANK(B175,$B$2:$B$378,0))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ARTEMISMED</t>
        </is>
      </c>
      <c r="D175" s="31" t="inlineStr">
        <is>
          <t>Artemis Medicare Services Ltd</t>
        </is>
      </c>
      <c r="E175" s="31" t="inlineStr">
        <is>
          <t>healthcare</t>
        </is>
      </c>
      <c r="F175" s="31" t="inlineStr">
        <is>
          <t>healthcare</t>
        </is>
      </c>
      <c r="G175" s="31" t="inlineStr">
        <is>
          <t>smallcap</t>
        </is>
      </c>
      <c r="H175" s="32" t="n">
        <v>4959.73</v>
      </c>
      <c r="I175" s="32" t="n">
        <v>317.2</v>
      </c>
      <c r="J175" s="32" t="n">
        <v>0.28</v>
      </c>
      <c r="K175" s="32" t="n">
        <v>860862</v>
      </c>
      <c r="L175" s="31" t="n">
        <v>44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71.69</v>
      </c>
      <c r="P175" s="32" t="n">
        <v>27.85</v>
      </c>
      <c r="Q175" s="32" t="n">
        <v>257.46</v>
      </c>
      <c r="R175" s="31" t="inlineStr">
        <is>
          <t>Volume Spike &amp; Near 52W High Breakout</t>
        </is>
      </c>
      <c r="S175" s="31" t="inlineStr">
        <is>
          <t>Nifty Pharma</t>
        </is>
      </c>
      <c r="T175" s="32" t="n">
        <v>20.47</v>
      </c>
      <c r="U175" s="32" t="n">
        <v>32.47</v>
      </c>
      <c r="V175" s="32" t="n">
        <v>9.960000000000001</v>
      </c>
      <c r="W175" s="32" t="n">
        <v>9.08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Yes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IF(B176=0,"",RANK(B176,$B$2:$B$378,0))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UNITDSPR</t>
        </is>
      </c>
      <c r="D176" s="31" t="inlineStr">
        <is>
          <t>United Spirits Ltd</t>
        </is>
      </c>
      <c r="E176" s="31" t="inlineStr">
        <is>
          <t>fmcg</t>
        </is>
      </c>
      <c r="F176" s="31" t="inlineStr">
        <is>
          <t>breweries &amp; distilleries</t>
        </is>
      </c>
      <c r="G176" s="31" t="inlineStr">
        <is>
          <t>largecap</t>
        </is>
      </c>
      <c r="H176" s="32" t="n">
        <v>112644.83</v>
      </c>
      <c r="I176" s="32" t="n">
        <v>1515</v>
      </c>
      <c r="J176" s="32" t="n">
        <v>-1.3</v>
      </c>
      <c r="K176" s="32" t="n">
        <v>582381</v>
      </c>
      <c r="L176" s="31" t="n">
        <v>28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67.31999999999999</v>
      </c>
      <c r="P176" s="32" t="n">
        <v>21.63</v>
      </c>
      <c r="Q176" s="32" t="n">
        <v>1310.73</v>
      </c>
      <c r="R176" s="31" t="inlineStr">
        <is>
          <t>Near 52W High Breakout</t>
        </is>
      </c>
      <c r="S176" s="31" t="inlineStr">
        <is>
          <t>Nifty FMCG</t>
        </is>
      </c>
      <c r="T176" s="32" t="n">
        <v>-10.52</v>
      </c>
      <c r="U176" s="32" t="n">
        <v>17.81</v>
      </c>
      <c r="V176" s="32" t="n">
        <v>31.66</v>
      </c>
      <c r="W176" s="32" t="n">
        <v>5.35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B2C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IF(B177=0,"",RANK(B177,$B$2:$B$378,0))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JBCHEPHARM</t>
        </is>
      </c>
      <c r="D177" s="31" t="inlineStr">
        <is>
          <t>Jb Chemicals &amp; Pharmaceuticals Limited</t>
        </is>
      </c>
      <c r="E177" s="31" t="inlineStr">
        <is>
          <t>healthcare</t>
        </is>
      </c>
      <c r="F177" s="31" t="inlineStr">
        <is>
          <t>pharmaceuticals - indian - bulk drugs &amp; formln</t>
        </is>
      </c>
      <c r="G177" s="31" t="inlineStr">
        <is>
          <t>largecap</t>
        </is>
      </c>
      <c r="H177" s="32" t="n">
        <v>38676.99</v>
      </c>
      <c r="I177" s="32" t="n">
        <v>2408.9</v>
      </c>
      <c r="J177" s="32" t="n">
        <v>-3.87</v>
      </c>
      <c r="K177" s="32" t="n">
        <v>9558448</v>
      </c>
      <c r="L177" s="31" t="n">
        <v>55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73.05</v>
      </c>
      <c r="P177" s="32" t="n">
        <v>47.41</v>
      </c>
      <c r="Q177" s="32" t="n">
        <v>2117.28</v>
      </c>
      <c r="R177" s="31" t="inlineStr">
        <is>
          <t>Near 52W High Breakout</t>
        </is>
      </c>
      <c r="S177" s="31" t="inlineStr">
        <is>
          <t>Nifty Pharma</t>
        </is>
      </c>
      <c r="T177" s="32" t="n">
        <v>12.73</v>
      </c>
      <c r="U177" s="32" t="n">
        <v>43.13</v>
      </c>
      <c r="V177" s="32" t="n">
        <v>26.97</v>
      </c>
      <c r="W177" s="32" t="n">
        <v>11.82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Between 50% to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IF(B178=0,"",RANK(B178,$B$2:$B$378,0))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MUNJALAU</t>
        </is>
      </c>
      <c r="D178" s="31" t="inlineStr">
        <is>
          <t>Munjal Auto Industries Limited</t>
        </is>
      </c>
      <c r="E178" s="31" t="inlineStr">
        <is>
          <t>auto</t>
        </is>
      </c>
      <c r="F178" s="31" t="inlineStr">
        <is>
          <t>auto ancillaries</t>
        </is>
      </c>
      <c r="G178" s="31" t="inlineStr">
        <is>
          <t>smallcap</t>
        </is>
      </c>
      <c r="H178" s="32" t="n">
        <v>1020.2</v>
      </c>
      <c r="I178" s="32" t="n">
        <v>119.37</v>
      </c>
      <c r="J178" s="32" t="n">
        <v>19.57</v>
      </c>
      <c r="K178" s="32" t="n">
        <v>41518431</v>
      </c>
      <c r="L178" s="31" t="inlineStr"/>
      <c r="M178" s="31" t="inlineStr"/>
      <c r="N178" s="32">
        <f>IF(M178="Underperforming",-5,IF(L178&gt;=95,15,IF(L178&gt;=90,10,IF(L178&gt;=80,5,0))))</f>
        <v/>
      </c>
      <c r="O178" s="32" t="n">
        <v>76.01000000000001</v>
      </c>
      <c r="P178" s="32" t="n">
        <v>46.03</v>
      </c>
      <c r="Q178" s="32" t="n">
        <v>90.65000000000001</v>
      </c>
      <c r="R178" s="31" t="inlineStr">
        <is>
          <t>Volume Spike &amp; Near 52W High Breakout</t>
        </is>
      </c>
      <c r="S178" s="31" t="inlineStr">
        <is>
          <t>Nifty Auto</t>
        </is>
      </c>
      <c r="T178" s="32" t="inlineStr"/>
      <c r="U178" s="32" t="inlineStr"/>
      <c r="V178" s="32" t="inlineStr"/>
      <c r="W178" s="32" t="inlineStr"/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Above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Between 0.7 to 1.2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IF(B179=0,"",RANK(B179,$B$2:$B$378,0))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NELCO</t>
        </is>
      </c>
      <c r="D179" s="31" t="inlineStr">
        <is>
          <t>Nelco Limited</t>
        </is>
      </c>
      <c r="E179" s="31" t="inlineStr">
        <is>
          <t>telecom</t>
        </is>
      </c>
      <c r="F179" s="31" t="inlineStr">
        <is>
          <t>telecommunications - service provider</t>
        </is>
      </c>
      <c r="G179" s="31" t="inlineStr">
        <is>
          <t>smallcap</t>
        </is>
      </c>
      <c r="H179" s="32" t="n">
        <v>2270.66</v>
      </c>
      <c r="I179" s="32" t="n">
        <v>1047.5</v>
      </c>
      <c r="J179" s="32" t="n">
        <v>7.54</v>
      </c>
      <c r="K179" s="32" t="n">
        <v>1199433</v>
      </c>
      <c r="L179" s="31" t="n">
        <v>72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67.52</v>
      </c>
      <c r="P179" s="32" t="n">
        <v>32.35</v>
      </c>
      <c r="Q179" s="32" t="n">
        <v>793.03</v>
      </c>
      <c r="R179" s="31" t="inlineStr">
        <is>
          <t>Near 52W High Breakout</t>
        </is>
      </c>
      <c r="S179" s="31" t="inlineStr">
        <is>
          <t>Nifty 50</t>
        </is>
      </c>
      <c r="T179" s="32" t="n">
        <v>-0.96</v>
      </c>
      <c r="U179" s="32" t="n">
        <v>23.66</v>
      </c>
      <c r="V179" s="32" t="n">
        <v>24.85</v>
      </c>
      <c r="W179" s="32" t="n">
        <v>18.59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Oligopoly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Yes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IF(B180=0,"",RANK(B180,$B$2:$B$378,0))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SICALLOG</t>
        </is>
      </c>
      <c r="D180" s="31" t="inlineStr">
        <is>
          <t>Sical Logistics Ltd</t>
        </is>
      </c>
      <c r="E180" s="31" t="inlineStr">
        <is>
          <t>transportation</t>
        </is>
      </c>
      <c r="F180" s="31" t="inlineStr">
        <is>
          <t>miscellaneous</t>
        </is>
      </c>
      <c r="G180" s="31" t="inlineStr">
        <is>
          <t>smallcap</t>
        </is>
      </c>
      <c r="H180" s="32" t="n">
        <v>855.05</v>
      </c>
      <c r="I180" s="32" t="n">
        <v>117.4</v>
      </c>
      <c r="J180" s="32" t="n">
        <v>5</v>
      </c>
      <c r="K180" s="32" t="n">
        <v>94379</v>
      </c>
      <c r="L180" s="31" t="n">
        <v>80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69.48</v>
      </c>
      <c r="P180" s="32" t="n">
        <v>30.2</v>
      </c>
      <c r="Q180" s="32" t="n">
        <v>85.18000000000001</v>
      </c>
      <c r="R180" s="31" t="inlineStr">
        <is>
          <t>Near 52W High Breakout</t>
        </is>
      </c>
      <c r="S180" s="31" t="inlineStr">
        <is>
          <t>Nifty 50</t>
        </is>
      </c>
      <c r="T180" s="32" t="n">
        <v>-0.96</v>
      </c>
      <c r="U180" s="32" t="n">
        <v>11.86</v>
      </c>
      <c r="V180" s="32" t="n">
        <v>12.94</v>
      </c>
      <c r="W180" s="32" t="n">
        <v>23.96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Between 50% to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More than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IF(B181=0,"",RANK(B181,$B$2:$B$378,0))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KMEW</t>
        </is>
      </c>
      <c r="D181" s="31" t="inlineStr">
        <is>
          <t>Knowledge Marine &amp; Engineering Works Ltd</t>
        </is>
      </c>
      <c r="E181" s="31" t="inlineStr">
        <is>
          <t>transportation</t>
        </is>
      </c>
      <c r="F181" s="31" t="inlineStr">
        <is>
          <t>miscellaneous</t>
        </is>
      </c>
      <c r="G181" s="31" t="inlineStr">
        <is>
          <t>midcap</t>
        </is>
      </c>
      <c r="H181" s="32" t="n">
        <v>6407.05</v>
      </c>
      <c r="I181" s="32" t="n">
        <v>2709.8</v>
      </c>
      <c r="J181" s="32" t="n">
        <v>4.23</v>
      </c>
      <c r="K181" s="32" t="n">
        <v>76044</v>
      </c>
      <c r="L181" s="31" t="n">
        <v>91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76.89</v>
      </c>
      <c r="P181" s="32" t="n">
        <v>50.34</v>
      </c>
      <c r="Q181" s="32" t="n">
        <v>2003.55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-0.96</v>
      </c>
      <c r="U181" s="32" t="n">
        <v>224.7</v>
      </c>
      <c r="V181" s="32" t="n">
        <v>227.84</v>
      </c>
      <c r="W181" s="32" t="n">
        <v>35.5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Above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Negative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IF(B182=0,"",RANK(B182,$B$2:$B$378,0))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HONASA</t>
        </is>
      </c>
      <c r="D182" s="31" t="inlineStr">
        <is>
          <t>Honasa Consumer Ltd</t>
        </is>
      </c>
      <c r="E182" s="31" t="inlineStr">
        <is>
          <t>services</t>
        </is>
      </c>
      <c r="F182" s="31" t="inlineStr">
        <is>
          <t>trading</t>
        </is>
      </c>
      <c r="G182" s="31" t="inlineStr">
        <is>
          <t>midcap</t>
        </is>
      </c>
      <c r="H182" s="32" t="n">
        <v>15235.11</v>
      </c>
      <c r="I182" s="32" t="n">
        <v>479</v>
      </c>
      <c r="J182" s="32" t="n">
        <v>2.48</v>
      </c>
      <c r="K182" s="32" t="n">
        <v>2523334</v>
      </c>
      <c r="L182" s="31" t="n">
        <v>73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76.73</v>
      </c>
      <c r="P182" s="32" t="n">
        <v>57.85</v>
      </c>
      <c r="Q182" s="32" t="n">
        <v>391.49</v>
      </c>
      <c r="R182" s="31" t="inlineStr">
        <is>
          <t>Near 52W High Breakout</t>
        </is>
      </c>
      <c r="S182" s="31" t="inlineStr">
        <is>
          <t>Nifty 50</t>
        </is>
      </c>
      <c r="T182" s="32" t="n">
        <v>-0.96</v>
      </c>
      <c r="U182" s="32" t="n">
        <v>71.54000000000001</v>
      </c>
      <c r="V182" s="32" t="n">
        <v>73.19</v>
      </c>
      <c r="W182" s="32" t="n">
        <v>19.2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Above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Between 50% to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IF(B183=0,"",RANK(B183,$B$2:$B$378,0))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BEPL</t>
        </is>
      </c>
      <c r="D183" s="31" t="inlineStr">
        <is>
          <t>Bhansali Engineering Polymers Limited</t>
        </is>
      </c>
      <c r="E183" s="31" t="inlineStr">
        <is>
          <t>energy</t>
        </is>
      </c>
      <c r="F183" s="31" t="inlineStr">
        <is>
          <t>petrochemicals</t>
        </is>
      </c>
      <c r="G183" s="31" t="inlineStr">
        <is>
          <t>smallcap</t>
        </is>
      </c>
      <c r="H183" s="32" t="n">
        <v>3049.26</v>
      </c>
      <c r="I183" s="32" t="n">
        <v>122.36</v>
      </c>
      <c r="J183" s="32" t="n">
        <v>1.51</v>
      </c>
      <c r="K183" s="32" t="n">
        <v>663619</v>
      </c>
      <c r="L183" s="31" t="inlineStr"/>
      <c r="M183" s="31" t="inlineStr"/>
      <c r="N183" s="32">
        <f>IF(M183="Underperforming",-5,IF(L183&gt;=95,15,IF(L183&gt;=90,10,IF(L183&gt;=80,5,0))))</f>
        <v/>
      </c>
      <c r="O183" s="32" t="n">
        <v>69.78</v>
      </c>
      <c r="P183" s="32" t="n">
        <v>47.25</v>
      </c>
      <c r="Q183" s="32" t="n">
        <v>96.64</v>
      </c>
      <c r="R183" s="31" t="inlineStr">
        <is>
          <t>Near 52W High Breakout</t>
        </is>
      </c>
      <c r="S183" s="31" t="inlineStr">
        <is>
          <t>Nifty Energy</t>
        </is>
      </c>
      <c r="T183" s="32" t="inlineStr"/>
      <c r="U183" s="32" t="inlineStr"/>
      <c r="V183" s="32" t="inlineStr"/>
      <c r="W183" s="32" t="inlineStr"/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Oligopoly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Yes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Cyclical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Volatile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IF(B184=0,"",RANK(B184,$B$2:$B$378,0))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MACPOWER</t>
        </is>
      </c>
      <c r="D184" s="31" t="inlineStr">
        <is>
          <t>Macpower CNC Machines Ltd</t>
        </is>
      </c>
      <c r="E184" s="31" t="inlineStr">
        <is>
          <t>industrials</t>
        </is>
      </c>
      <c r="F184" s="31" t="inlineStr">
        <is>
          <t>engineering</t>
        </is>
      </c>
      <c r="G184" s="31" t="inlineStr">
        <is>
          <t>smallcap</t>
        </is>
      </c>
      <c r="H184" s="32" t="n">
        <v>1755.03</v>
      </c>
      <c r="I184" s="32" t="n">
        <v>1752.1</v>
      </c>
      <c r="J184" s="32" t="n">
        <v>1.49</v>
      </c>
      <c r="K184" s="32" t="n">
        <v>23194</v>
      </c>
      <c r="L184" s="31" t="n">
        <v>87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75</v>
      </c>
      <c r="P184" s="32" t="n">
        <v>31.31</v>
      </c>
      <c r="Q184" s="32" t="n">
        <v>1253.05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-0.96</v>
      </c>
      <c r="U184" s="32" t="n">
        <v>105.09</v>
      </c>
      <c r="V184" s="32" t="n">
        <v>107.07</v>
      </c>
      <c r="W184" s="32" t="n">
        <v>29.51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Above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IF(B185=0,"",RANK(B185,$B$2:$B$378,0))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AARTIIND</t>
        </is>
      </c>
      <c r="D185" s="31" t="inlineStr">
        <is>
          <t>Aarti Industries Limited</t>
        </is>
      </c>
      <c r="E185" s="31" t="inlineStr">
        <is>
          <t>chemicals</t>
        </is>
      </c>
      <c r="F185" s="31" t="inlineStr">
        <is>
          <t>chemicals</t>
        </is>
      </c>
      <c r="G185" s="31" t="inlineStr">
        <is>
          <t>midcap</t>
        </is>
      </c>
      <c r="H185" s="32" t="n">
        <v>18328.58</v>
      </c>
      <c r="I185" s="32" t="n">
        <v>538.2</v>
      </c>
      <c r="J185" s="32" t="n">
        <v>1.38</v>
      </c>
      <c r="K185" s="32" t="n">
        <v>2850685</v>
      </c>
      <c r="L185" s="31" t="n">
        <v>50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66.81</v>
      </c>
      <c r="P185" s="32" t="n">
        <v>22.96</v>
      </c>
      <c r="Q185" s="32" t="n">
        <v>428.91</v>
      </c>
      <c r="R185" s="31" t="inlineStr">
        <is>
          <t>Near 52W High Breakout</t>
        </is>
      </c>
      <c r="S185" s="31" t="inlineStr">
        <is>
          <t>Nifty 50</t>
        </is>
      </c>
      <c r="T185" s="32" t="n">
        <v>-0.96</v>
      </c>
      <c r="U185" s="32" t="n">
        <v>43.48</v>
      </c>
      <c r="V185" s="32" t="n">
        <v>44.87</v>
      </c>
      <c r="W185" s="32" t="n">
        <v>10.73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Between 0.7 to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IF(B186=0,"",RANK(B186,$B$2:$B$378,0))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3" t="inlineStr">
        <is>
          <t>COSMOFIRST</t>
        </is>
      </c>
      <c r="D186" s="33" t="inlineStr">
        <is>
          <t>Cosmo First Ltd</t>
        </is>
      </c>
      <c r="E186" s="31" t="inlineStr">
        <is>
          <t>industrials</t>
        </is>
      </c>
      <c r="F186" s="31" t="inlineStr">
        <is>
          <t>packaging</t>
        </is>
      </c>
      <c r="G186" s="31" t="inlineStr">
        <is>
          <t>smallcap</t>
        </is>
      </c>
      <c r="H186" s="32" t="n">
        <v>2442.01</v>
      </c>
      <c r="I186" s="32" t="n">
        <v>916</v>
      </c>
      <c r="J186" s="32" t="n">
        <v>0.77</v>
      </c>
      <c r="K186" s="32" t="n">
        <v>73254</v>
      </c>
      <c r="L186" s="31" t="n">
        <v>16</v>
      </c>
      <c r="M186" s="31" t="inlineStr">
        <is>
          <t>Underperforming</t>
        </is>
      </c>
      <c r="N186" s="32">
        <f>IF(M186="Underperforming",-5,IF(L186&gt;=95,15,IF(L186&gt;=90,10,IF(L186&gt;=80,5,0))))</f>
        <v/>
      </c>
      <c r="O186" s="32" t="n">
        <v>66.48999999999999</v>
      </c>
      <c r="P186" s="32" t="n">
        <v>43.19</v>
      </c>
      <c r="Q186" s="32" t="n">
        <v>697.02</v>
      </c>
      <c r="R186" s="31" t="inlineStr">
        <is>
          <t>Earnings / Momentum Support</t>
        </is>
      </c>
      <c r="S186" s="31" t="inlineStr">
        <is>
          <t>Nifty 50</t>
        </is>
      </c>
      <c r="T186" s="32" t="n">
        <v>-0.96</v>
      </c>
      <c r="U186" s="32" t="n">
        <v>-9.779999999999999</v>
      </c>
      <c r="V186" s="32" t="n">
        <v>-8.91</v>
      </c>
      <c r="W186" s="32" t="n">
        <v>3.11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Between 0.7 to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IF(B187=0,"",RANK(B187,$B$2:$B$378,0))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BOSCHLTD</t>
        </is>
      </c>
      <c r="D187" s="31" t="inlineStr">
        <is>
          <t>Bosch Limited</t>
        </is>
      </c>
      <c r="E187" s="31" t="inlineStr">
        <is>
          <t>auto</t>
        </is>
      </c>
      <c r="F187" s="31" t="inlineStr">
        <is>
          <t>auto ancillaries</t>
        </is>
      </c>
      <c r="G187" s="31" t="inlineStr">
        <is>
          <t>largecap</t>
        </is>
      </c>
      <c r="H187" s="32" t="n">
        <v>133278.13</v>
      </c>
      <c r="I187" s="32" t="n">
        <v>46750</v>
      </c>
      <c r="J187" s="32" t="n">
        <v>0.58</v>
      </c>
      <c r="K187" s="32" t="n">
        <v>97235</v>
      </c>
      <c r="L187" s="31" t="inlineStr"/>
      <c r="M187" s="31" t="inlineStr"/>
      <c r="N187" s="32">
        <f>IF(M187="Underperforming",-5,IF(L187&gt;=95,15,IF(L187&gt;=90,10,IF(L187&gt;=80,5,0))))</f>
        <v/>
      </c>
      <c r="O187" s="32" t="n">
        <v>72.89</v>
      </c>
      <c r="P187" s="32" t="n">
        <v>31.19</v>
      </c>
      <c r="Q187" s="32" t="n">
        <v>39449.04</v>
      </c>
      <c r="R187" s="31" t="inlineStr">
        <is>
          <t>Volume Spike &amp; Near 52W High Breakout</t>
        </is>
      </c>
      <c r="S187" s="31" t="inlineStr">
        <is>
          <t>Nifty Auto</t>
        </is>
      </c>
      <c r="T187" s="32" t="inlineStr"/>
      <c r="U187" s="32" t="inlineStr"/>
      <c r="V187" s="32" t="inlineStr"/>
      <c r="W187" s="32" t="inlineStr"/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IF(B188=0,"",RANK(B188,$B$2:$B$378,0))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VRLLOG</t>
        </is>
      </c>
      <c r="D188" s="31" t="inlineStr">
        <is>
          <t>Vrl Logistics Limited</t>
        </is>
      </c>
      <c r="E188" s="31" t="inlineStr">
        <is>
          <t>transportation</t>
        </is>
      </c>
      <c r="F188" s="31" t="inlineStr">
        <is>
          <t>miscellaneous</t>
        </is>
      </c>
      <c r="G188" s="31" t="inlineStr">
        <is>
          <t>midcap</t>
        </is>
      </c>
      <c r="H188" s="32" t="n">
        <v>5339.95</v>
      </c>
      <c r="I188" s="32" t="n">
        <v>301.75</v>
      </c>
      <c r="J188" s="32" t="n">
        <v>0.28</v>
      </c>
      <c r="K188" s="32" t="n">
        <v>177890</v>
      </c>
      <c r="L188" s="31" t="n">
        <v>33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67.98</v>
      </c>
      <c r="P188" s="32" t="n">
        <v>13.18</v>
      </c>
      <c r="Q188" s="32" t="n">
        <v>246.18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-0.96</v>
      </c>
      <c r="U188" s="32" t="n">
        <v>9.449999999999999</v>
      </c>
      <c r="V188" s="32" t="n">
        <v>10.51</v>
      </c>
      <c r="W188" s="32" t="n">
        <v>6.82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Between 0.7 to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IF(B189=0,"",RANK(B189,$B$2:$B$378,0))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CENTUM</t>
        </is>
      </c>
      <c r="D189" s="31" t="inlineStr">
        <is>
          <t>Centum Electronics Limited</t>
        </is>
      </c>
      <c r="E189" s="31" t="inlineStr">
        <is>
          <t>aerospace &amp; defence</t>
        </is>
      </c>
      <c r="F189" s="31" t="inlineStr">
        <is>
          <t>electronics - components</t>
        </is>
      </c>
      <c r="G189" s="31" t="inlineStr">
        <is>
          <t>midcap</t>
        </is>
      </c>
      <c r="H189" s="32" t="n">
        <v>5639.72</v>
      </c>
      <c r="I189" s="32" t="n">
        <v>3790.2</v>
      </c>
      <c r="J189" s="32" t="n">
        <v>-0.12</v>
      </c>
      <c r="K189" s="32" t="n">
        <v>27588</v>
      </c>
      <c r="L189" s="31" t="n">
        <v>74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65.72</v>
      </c>
      <c r="P189" s="32" t="n">
        <v>59.64</v>
      </c>
      <c r="Q189" s="32" t="n">
        <v>2932.96</v>
      </c>
      <c r="R189" s="31" t="inlineStr">
        <is>
          <t>Near 52W High Breakout</t>
        </is>
      </c>
      <c r="S189" s="31" t="inlineStr">
        <is>
          <t>Nifty Infra</t>
        </is>
      </c>
      <c r="T189" s="32" t="n">
        <v>3.6</v>
      </c>
      <c r="U189" s="32" t="n">
        <v>66.61</v>
      </c>
      <c r="V189" s="32" t="n">
        <v>60.81</v>
      </c>
      <c r="W189" s="32" t="n">
        <v>19.23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Less than 50%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IF(B190=0,"",RANK(B190,$B$2:$B$378,0))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EBGNG</t>
        </is>
      </c>
      <c r="D190" s="31" t="inlineStr">
        <is>
          <t>GNG Electronics Ltd</t>
        </is>
      </c>
      <c r="E190" s="31" t="inlineStr">
        <is>
          <t>services</t>
        </is>
      </c>
      <c r="F190" s="31" t="inlineStr">
        <is>
          <t>trading</t>
        </is>
      </c>
      <c r="G190" s="31" t="inlineStr">
        <is>
          <t>midcap</t>
        </is>
      </c>
      <c r="H190" s="32" t="n">
        <v>6527.73</v>
      </c>
      <c r="I190" s="32" t="n">
        <v>572.55</v>
      </c>
      <c r="J190" s="32" t="n">
        <v>-0.31</v>
      </c>
      <c r="K190" s="32" t="n">
        <v>128158</v>
      </c>
      <c r="L190" s="31" t="n">
        <v>75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62.59</v>
      </c>
      <c r="P190" s="32" t="n">
        <v>32.73</v>
      </c>
      <c r="Q190" s="32" t="n">
        <v>462.54</v>
      </c>
      <c r="R190" s="31" t="inlineStr">
        <is>
          <t>Earnings / Momentum Support</t>
        </is>
      </c>
      <c r="S190" s="31" t="inlineStr">
        <is>
          <t>Nifty 50</t>
        </is>
      </c>
      <c r="T190" s="32" t="n">
        <v>-0.96</v>
      </c>
      <c r="U190" s="32" t="n">
        <v>77.78</v>
      </c>
      <c r="V190" s="32" t="n">
        <v>79.5</v>
      </c>
      <c r="W190" s="32" t="n">
        <v>20.45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Between 1.5 to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IF(B191=0,"",RANK(B191,$B$2:$B$378,0))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TITAN</t>
        </is>
      </c>
      <c r="D191" s="31" t="inlineStr">
        <is>
          <t>Titan Company Limited</t>
        </is>
      </c>
      <c r="E191" s="31" t="inlineStr">
        <is>
          <t>consumer discretionary</t>
        </is>
      </c>
      <c r="F191" s="31" t="inlineStr">
        <is>
          <t>diamond cutting / jewellery</t>
        </is>
      </c>
      <c r="G191" s="31" t="inlineStr">
        <is>
          <t>largecap</t>
        </is>
      </c>
      <c r="H191" s="32" t="n">
        <v>455256.74</v>
      </c>
      <c r="I191" s="32" t="n">
        <v>5063.7</v>
      </c>
      <c r="J191" s="32" t="n">
        <v>-0.6899999999999999</v>
      </c>
      <c r="K191" s="32" t="n">
        <v>1031213</v>
      </c>
      <c r="L191" s="31" t="n">
        <v>57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71.83</v>
      </c>
      <c r="P191" s="32" t="n">
        <v>23.92</v>
      </c>
      <c r="Q191" s="32" t="n">
        <v>4415.08</v>
      </c>
      <c r="R191" s="31" t="inlineStr">
        <is>
          <t>Volume Spike &amp; Near 52W High Breakout</t>
        </is>
      </c>
      <c r="S191" s="31" t="inlineStr">
        <is>
          <t>Nifty 50</t>
        </is>
      </c>
      <c r="T191" s="32" t="n">
        <v>-0.96</v>
      </c>
      <c r="U191" s="32" t="n">
        <v>45.59</v>
      </c>
      <c r="V191" s="32" t="n">
        <v>47</v>
      </c>
      <c r="W191" s="32" t="n">
        <v>12.47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More than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IF(B192=0,"",RANK(B192,$B$2:$B$378,0))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SIEMENS</t>
        </is>
      </c>
      <c r="D192" s="31" t="inlineStr">
        <is>
          <t>Siemens Limited</t>
        </is>
      </c>
      <c r="E192" s="31" t="inlineStr">
        <is>
          <t>industrials</t>
        </is>
      </c>
      <c r="F192" s="31" t="inlineStr">
        <is>
          <t>electric equipment</t>
        </is>
      </c>
      <c r="G192" s="31" t="inlineStr">
        <is>
          <t>largecap</t>
        </is>
      </c>
      <c r="H192" s="32" t="n">
        <v>142839.93</v>
      </c>
      <c r="I192" s="32" t="n">
        <v>3987</v>
      </c>
      <c r="J192" s="32" t="n">
        <v>-0.8</v>
      </c>
      <c r="K192" s="32" t="n">
        <v>464870</v>
      </c>
      <c r="L192" s="31" t="n">
        <v>37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64.54000000000001</v>
      </c>
      <c r="P192" s="32" t="n">
        <v>23.64</v>
      </c>
      <c r="Q192" s="32" t="n">
        <v>3252.88</v>
      </c>
      <c r="R192" s="31" t="inlineStr">
        <is>
          <t>Near 52W High Breakout</t>
        </is>
      </c>
      <c r="S192" s="31" t="inlineStr">
        <is>
          <t>Nifty 500</t>
        </is>
      </c>
      <c r="T192" s="32" t="n">
        <v>4.31</v>
      </c>
      <c r="U192" s="32" t="n">
        <v>26.43</v>
      </c>
      <c r="V192" s="32" t="n">
        <v>21.21</v>
      </c>
      <c r="W192" s="32" t="n">
        <v>7.37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IF(B193=0,"",RANK(B193,$B$2:$B$378,0))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VSSL</t>
        </is>
      </c>
      <c r="D193" s="31" t="inlineStr">
        <is>
          <t>Vardhman Special Steels Limited</t>
        </is>
      </c>
      <c r="E193" s="31" t="inlineStr">
        <is>
          <t>metals &amp; mining</t>
        </is>
      </c>
      <c r="F193" s="31" t="inlineStr">
        <is>
          <t>steel - medium / small</t>
        </is>
      </c>
      <c r="G193" s="31" t="inlineStr">
        <is>
          <t>smallcap</t>
        </is>
      </c>
      <c r="H193" s="32" t="n">
        <v>3216.73</v>
      </c>
      <c r="I193" s="32" t="n">
        <v>327.15</v>
      </c>
      <c r="J193" s="32" t="n">
        <v>-1.19</v>
      </c>
      <c r="K193" s="32" t="n">
        <v>59080</v>
      </c>
      <c r="L193" s="31" t="inlineStr"/>
      <c r="M193" s="31" t="inlineStr"/>
      <c r="N193" s="32">
        <f>IF(M193="Underperforming",-5,IF(L193&gt;=95,15,IF(L193&gt;=90,10,IF(L193&gt;=80,5,0))))</f>
        <v/>
      </c>
      <c r="O193" s="32" t="n">
        <v>67.06999999999999</v>
      </c>
      <c r="P193" s="32" t="n">
        <v>24.6</v>
      </c>
      <c r="Q193" s="32" t="n">
        <v>273.22</v>
      </c>
      <c r="R193" s="31" t="inlineStr">
        <is>
          <t>Near 52W High Breakout</t>
        </is>
      </c>
      <c r="S193" s="31" t="inlineStr">
        <is>
          <t>Nifty Metal</t>
        </is>
      </c>
      <c r="T193" s="32" t="inlineStr"/>
      <c r="U193" s="32" t="inlineStr"/>
      <c r="V193" s="32" t="inlineStr"/>
      <c r="W193" s="32" t="inlineStr"/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Cyclical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Volatile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IF(B194=0,"",RANK(B194,$B$2:$B$378,0))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KABRAEXTRU</t>
        </is>
      </c>
      <c r="D194" s="31" t="inlineStr">
        <is>
          <t>Kabra Extrusion Technik Limited</t>
        </is>
      </c>
      <c r="E194" s="31" t="inlineStr">
        <is>
          <t>industrials</t>
        </is>
      </c>
      <c r="F194" s="31" t="inlineStr">
        <is>
          <t>engineering</t>
        </is>
      </c>
      <c r="G194" s="31" t="inlineStr">
        <is>
          <t>smallcap</t>
        </is>
      </c>
      <c r="H194" s="32" t="n">
        <v>1779.07</v>
      </c>
      <c r="I194" s="32" t="n">
        <v>487.5</v>
      </c>
      <c r="J194" s="32" t="n">
        <v>-1.5</v>
      </c>
      <c r="K194" s="32" t="n">
        <v>140641</v>
      </c>
      <c r="L194" s="31" t="n">
        <v>92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83.13</v>
      </c>
      <c r="P194" s="32" t="n">
        <v>33.69</v>
      </c>
      <c r="Q194" s="32" t="n">
        <v>357.69</v>
      </c>
      <c r="R194" s="31" t="inlineStr">
        <is>
          <t>Volume Spike &amp; Near 52W High Breakout</t>
        </is>
      </c>
      <c r="S194" s="31" t="inlineStr">
        <is>
          <t>Nifty Infra</t>
        </is>
      </c>
      <c r="T194" s="32" t="n">
        <v>3.6</v>
      </c>
      <c r="U194" s="32" t="n">
        <v>66.54000000000001</v>
      </c>
      <c r="V194" s="32" t="n">
        <v>60.75</v>
      </c>
      <c r="W194" s="32" t="n">
        <v>37.4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IF(B195=0,"",RANK(B195,$B$2:$B$378,0))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ARE&amp;M</t>
        </is>
      </c>
      <c r="D195" s="31" t="inlineStr">
        <is>
          <t>Amara Raja Energy &amp; Mobility Ltd</t>
        </is>
      </c>
      <c r="E195" s="31" t="inlineStr">
        <is>
          <t>auto</t>
        </is>
      </c>
      <c r="F195" s="31" t="inlineStr">
        <is>
          <t>auto ancillaries</t>
        </is>
      </c>
      <c r="G195" s="31" t="inlineStr">
        <is>
          <t>midcap</t>
        </is>
      </c>
      <c r="H195" s="32" t="n">
        <v>17758.04</v>
      </c>
      <c r="I195" s="32" t="n">
        <v>948.8</v>
      </c>
      <c r="J195" s="32" t="n">
        <v>-2.13</v>
      </c>
      <c r="K195" s="32" t="n">
        <v>868801</v>
      </c>
      <c r="L195" s="31" t="inlineStr"/>
      <c r="M195" s="31" t="inlineStr"/>
      <c r="N195" s="32">
        <f>IF(M195="Underperforming",-5,IF(L195&gt;=95,15,IF(L195&gt;=90,10,IF(L195&gt;=80,5,0))))</f>
        <v/>
      </c>
      <c r="O195" s="32" t="n">
        <v>61.12</v>
      </c>
      <c r="P195" s="32" t="n">
        <v>14.76</v>
      </c>
      <c r="Q195" s="32" t="n">
        <v>765.84</v>
      </c>
      <c r="R195" s="31" t="inlineStr">
        <is>
          <t>Volume Spike / Accumulation</t>
        </is>
      </c>
      <c r="S195" s="31" t="inlineStr">
        <is>
          <t>Nifty Auto</t>
        </is>
      </c>
      <c r="T195" s="32" t="inlineStr"/>
      <c r="U195" s="32" t="inlineStr"/>
      <c r="V195" s="32" t="inlineStr"/>
      <c r="W195" s="32" t="inlineStr"/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Between 12 to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IF(B196=0,"",RANK(B196,$B$2:$B$378,0))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THEJO</t>
        </is>
      </c>
      <c r="D196" s="31" t="inlineStr">
        <is>
          <t>Thejo Engineering Ltd</t>
        </is>
      </c>
      <c r="E196" s="31" t="inlineStr">
        <is>
          <t>industrials</t>
        </is>
      </c>
      <c r="F196" s="31" t="inlineStr">
        <is>
          <t>engineering</t>
        </is>
      </c>
      <c r="G196" s="31" t="inlineStr">
        <is>
          <t>smallcap</t>
        </is>
      </c>
      <c r="H196" s="32" t="n">
        <v>2337.09</v>
      </c>
      <c r="I196" s="32" t="n">
        <v>2072.6</v>
      </c>
      <c r="J196" s="32" t="n">
        <v>-2.36</v>
      </c>
      <c r="K196" s="32" t="n">
        <v>12985</v>
      </c>
      <c r="L196" s="31" t="n">
        <v>32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61.65</v>
      </c>
      <c r="P196" s="32" t="n">
        <v>25</v>
      </c>
      <c r="Q196" s="32" t="n">
        <v>1742.85</v>
      </c>
      <c r="R196" s="31" t="inlineStr">
        <is>
          <t>Earnings / Momentum Support</t>
        </is>
      </c>
      <c r="S196" s="31" t="inlineStr">
        <is>
          <t>Nifty 50</t>
        </is>
      </c>
      <c r="T196" s="32" t="n">
        <v>-0.96</v>
      </c>
      <c r="U196" s="32" t="n">
        <v>9.76</v>
      </c>
      <c r="V196" s="32" t="n">
        <v>10.81</v>
      </c>
      <c r="W196" s="32" t="n">
        <v>6.41</v>
      </c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IF(B197=0,"",RANK(B197,$B$2:$B$378,0))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VISAKAIND</t>
        </is>
      </c>
      <c r="D197" s="31" t="inlineStr">
        <is>
          <t>Visaka Industries Limited</t>
        </is>
      </c>
      <c r="E197" s="31" t="inlineStr">
        <is>
          <t>building materials</t>
        </is>
      </c>
      <c r="F197" s="31" t="inlineStr">
        <is>
          <t>cement products</t>
        </is>
      </c>
      <c r="G197" s="31" t="inlineStr">
        <is>
          <t>smallcap</t>
        </is>
      </c>
      <c r="H197" s="32" t="n">
        <v>865.86</v>
      </c>
      <c r="I197" s="32" t="n">
        <v>95.51000000000001</v>
      </c>
      <c r="J197" s="32" t="n">
        <v>-3.29</v>
      </c>
      <c r="K197" s="32" t="n">
        <v>293415</v>
      </c>
      <c r="L197" s="31" t="n">
        <v>66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75.23</v>
      </c>
      <c r="P197" s="32" t="n">
        <v>41.54</v>
      </c>
      <c r="Q197" s="32" t="n">
        <v>76.04000000000001</v>
      </c>
      <c r="R197" s="31" t="inlineStr">
        <is>
          <t>Volume Spike &amp; Near 52W High Breakout</t>
        </is>
      </c>
      <c r="S197" s="31" t="inlineStr">
        <is>
          <t>Nifty Infra</t>
        </is>
      </c>
      <c r="T197" s="32" t="n">
        <v>3.6</v>
      </c>
      <c r="U197" s="32" t="n">
        <v>17.95</v>
      </c>
      <c r="V197" s="32" t="n">
        <v>13.85</v>
      </c>
      <c r="W197" s="32" t="n">
        <v>16.32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IF(B198=0,"",RANK(B198,$B$2:$B$378,0))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MANINDS</t>
        </is>
      </c>
      <c r="D198" s="31" t="inlineStr">
        <is>
          <t>Man Industries (india) Limited</t>
        </is>
      </c>
      <c r="E198" s="31" t="inlineStr">
        <is>
          <t>metals &amp; mining</t>
        </is>
      </c>
      <c r="F198" s="31" t="inlineStr">
        <is>
          <t>steel - medium / small</t>
        </is>
      </c>
      <c r="G198" s="31" t="inlineStr">
        <is>
          <t>smallcap</t>
        </is>
      </c>
      <c r="H198" s="32" t="n">
        <v>4193.79</v>
      </c>
      <c r="I198" s="32" t="n">
        <v>576.15</v>
      </c>
      <c r="J198" s="32" t="n">
        <v>-3.76</v>
      </c>
      <c r="K198" s="32" t="n">
        <v>767815</v>
      </c>
      <c r="L198" s="31" t="inlineStr"/>
      <c r="M198" s="31" t="inlineStr"/>
      <c r="N198" s="32">
        <f>IF(M198="Underperforming",-5,IF(L198&gt;=95,15,IF(L198&gt;=90,10,IF(L198&gt;=80,5,0))))</f>
        <v/>
      </c>
      <c r="O198" s="32" t="n">
        <v>60.29</v>
      </c>
      <c r="P198" s="32" t="n">
        <v>28.21</v>
      </c>
      <c r="Q198" s="32" t="n">
        <v>424.99</v>
      </c>
      <c r="R198" s="31" t="inlineStr">
        <is>
          <t>Volume Spike &amp; Near 52W High Breakout</t>
        </is>
      </c>
      <c r="S198" s="31" t="inlineStr">
        <is>
          <t>Nifty Metal</t>
        </is>
      </c>
      <c r="T198" s="32" t="inlineStr"/>
      <c r="U198" s="32" t="inlineStr"/>
      <c r="V198" s="32" t="inlineStr"/>
      <c r="W198" s="32" t="inlineStr"/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Cyclical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Volatile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IF(B199=0,"",RANK(B199,$B$2:$B$378,0))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UEL</t>
        </is>
      </c>
      <c r="D199" s="31" t="inlineStr">
        <is>
          <t>Ujaas Energy Ltd</t>
        </is>
      </c>
      <c r="E199" s="31" t="inlineStr">
        <is>
          <t>power &amp; utilities</t>
        </is>
      </c>
      <c r="F199" s="31" t="inlineStr">
        <is>
          <t>power generation and supply</t>
        </is>
      </c>
      <c r="G199" s="31" t="inlineStr">
        <is>
          <t>smallcap</t>
        </is>
      </c>
      <c r="H199" s="32" t="n">
        <v>3643.36</v>
      </c>
      <c r="I199" s="32" t="n">
        <v>246.5</v>
      </c>
      <c r="J199" s="32" t="n">
        <v>-5</v>
      </c>
      <c r="K199" s="32" t="n">
        <v>5917</v>
      </c>
      <c r="L199" s="31" t="n">
        <v>89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73.67</v>
      </c>
      <c r="P199" s="32" t="n">
        <v>15.64</v>
      </c>
      <c r="Q199" s="32" t="n">
        <v>182.71</v>
      </c>
      <c r="R199" s="31" t="inlineStr">
        <is>
          <t>Volume Spike &amp; Near 52W High Breakout</t>
        </is>
      </c>
      <c r="S199" s="31" t="inlineStr">
        <is>
          <t>Nifty IT</t>
        </is>
      </c>
      <c r="T199" s="32" t="n">
        <v>-9.699999999999999</v>
      </c>
      <c r="U199" s="32" t="n">
        <v>101.69</v>
      </c>
      <c r="V199" s="32" t="n">
        <v>123.36</v>
      </c>
      <c r="W199" s="32" t="n">
        <v>33.02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0 to 20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IF(B200=0,"",RANK(B200,$B$2:$B$378,0))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SPECIALITY</t>
        </is>
      </c>
      <c r="D200" s="31" t="inlineStr">
        <is>
          <t>Speciality Restaurants Limited</t>
        </is>
      </c>
      <c r="E200" s="31" t="inlineStr">
        <is>
          <t>services</t>
        </is>
      </c>
      <c r="F200" s="31" t="inlineStr">
        <is>
          <t>hotels</t>
        </is>
      </c>
      <c r="G200" s="31" t="inlineStr">
        <is>
          <t>smallcap</t>
        </is>
      </c>
      <c r="H200" s="32" t="n">
        <v>765.02</v>
      </c>
      <c r="I200" s="32" t="n">
        <v>146.38</v>
      </c>
      <c r="J200" s="32" t="n">
        <v>-7.58</v>
      </c>
      <c r="K200" s="32" t="n">
        <v>485386</v>
      </c>
      <c r="L200" s="31" t="n">
        <v>63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68.39</v>
      </c>
      <c r="P200" s="32" t="n">
        <v>26.46</v>
      </c>
      <c r="Q200" s="32" t="n">
        <v>104.67</v>
      </c>
      <c r="R200" s="31" t="inlineStr">
        <is>
          <t>Volume Spike &amp; Near 52W High Breakout</t>
        </is>
      </c>
      <c r="S200" s="31" t="inlineStr">
        <is>
          <t>Nifty 50</t>
        </is>
      </c>
      <c r="T200" s="32" t="n">
        <v>-0.96</v>
      </c>
      <c r="U200" s="32" t="n">
        <v>19.38</v>
      </c>
      <c r="V200" s="32" t="n">
        <v>20.53</v>
      </c>
      <c r="W200" s="32" t="n">
        <v>14.75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IF(B201=0,"",RANK(B201,$B$2:$B$378,0))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TATATECH</t>
        </is>
      </c>
      <c r="D201" s="31" t="inlineStr">
        <is>
          <t>Tata Technologies Ltd</t>
        </is>
      </c>
      <c r="E201" s="31" t="inlineStr">
        <is>
          <t>i.t</t>
        </is>
      </c>
      <c r="F201" s="31" t="inlineStr">
        <is>
          <t>computers - software - medium / small</t>
        </is>
      </c>
      <c r="G201" s="31" t="inlineStr">
        <is>
          <t>largecap</t>
        </is>
      </c>
      <c r="H201" s="32" t="n">
        <v>35131.6</v>
      </c>
      <c r="I201" s="32" t="n">
        <v>868.4</v>
      </c>
      <c r="J201" s="32" t="n">
        <v>3.12</v>
      </c>
      <c r="K201" s="32" t="n">
        <v>1593490</v>
      </c>
      <c r="L201" s="31" t="n">
        <v>65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72.09999999999999</v>
      </c>
      <c r="P201" s="32" t="n">
        <v>33.2</v>
      </c>
      <c r="Q201" s="32" t="n">
        <v>696.73</v>
      </c>
      <c r="R201" s="31" t="inlineStr">
        <is>
          <t>Near 52W High Breakout</t>
        </is>
      </c>
      <c r="S201" s="31" t="inlineStr">
        <is>
          <t>Nifty IT</t>
        </is>
      </c>
      <c r="T201" s="32" t="n">
        <v>-9.699999999999999</v>
      </c>
      <c r="U201" s="32" t="n">
        <v>32.92</v>
      </c>
      <c r="V201" s="32" t="n">
        <v>47.2</v>
      </c>
      <c r="W201" s="32" t="n">
        <v>15.68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IF(B202=0,"",RANK(B202,$B$2:$B$378,0))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COFORGE</t>
        </is>
      </c>
      <c r="D202" s="31" t="inlineStr">
        <is>
          <t>Coforge (Niit Tech) Ltd</t>
        </is>
      </c>
      <c r="E202" s="31" t="inlineStr">
        <is>
          <t>i.t</t>
        </is>
      </c>
      <c r="F202" s="31" t="inlineStr">
        <is>
          <t>computers - software - large</t>
        </is>
      </c>
      <c r="G202" s="31" t="inlineStr">
        <is>
          <t>largecap</t>
        </is>
      </c>
      <c r="H202" s="32" t="n">
        <v>80525.46000000001</v>
      </c>
      <c r="I202" s="32" t="n">
        <v>1829</v>
      </c>
      <c r="J202" s="32" t="n">
        <v>1.53</v>
      </c>
      <c r="K202" s="32" t="n">
        <v>3740169</v>
      </c>
      <c r="L202" s="31" t="n">
        <v>60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68.53</v>
      </c>
      <c r="P202" s="32" t="n">
        <v>11.26</v>
      </c>
      <c r="Q202" s="32" t="n">
        <v>1452.91</v>
      </c>
      <c r="R202" s="31" t="inlineStr">
        <is>
          <t>Earnings / Momentum Support</t>
        </is>
      </c>
      <c r="S202" s="31" t="inlineStr">
        <is>
          <t>Nifty IT</t>
        </is>
      </c>
      <c r="T202" s="32" t="n">
        <v>-9.699999999999999</v>
      </c>
      <c r="U202" s="32" t="n">
        <v>12.42</v>
      </c>
      <c r="V202" s="32" t="n">
        <v>24.5</v>
      </c>
      <c r="W202" s="32" t="n">
        <v>13.3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IF(B203=0,"",RANK(B203,$B$2:$B$378,0))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KILITCH</t>
        </is>
      </c>
      <c r="D203" s="33" t="inlineStr">
        <is>
          <t>Kilitch Drugs (india) Limited</t>
        </is>
      </c>
      <c r="E203" s="31" t="inlineStr">
        <is>
          <t>healthcare</t>
        </is>
      </c>
      <c r="F203" s="31" t="inlineStr">
        <is>
          <t>pharmaceuticals - indian - formulations</t>
        </is>
      </c>
      <c r="G203" s="31" t="inlineStr">
        <is>
          <t>smallcap</t>
        </is>
      </c>
      <c r="H203" s="32" t="n">
        <v>669.37</v>
      </c>
      <c r="I203" s="32" t="n">
        <v>191.22</v>
      </c>
      <c r="J203" s="32" t="n">
        <v>0.01</v>
      </c>
      <c r="K203" s="32" t="n">
        <v>17758</v>
      </c>
      <c r="L203" s="31" t="n">
        <v>19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59.2</v>
      </c>
      <c r="P203" s="32" t="n">
        <v>30.99</v>
      </c>
      <c r="Q203" s="32" t="n">
        <v>137.53</v>
      </c>
      <c r="R203" s="31" t="inlineStr">
        <is>
          <t>Earnings / Momentum Support</t>
        </is>
      </c>
      <c r="S203" s="31" t="inlineStr">
        <is>
          <t>Nifty Pharma</t>
        </is>
      </c>
      <c r="T203" s="32" t="n">
        <v>20.47</v>
      </c>
      <c r="U203" s="32" t="n">
        <v>-10.11</v>
      </c>
      <c r="V203" s="32" t="n">
        <v>-25.38</v>
      </c>
      <c r="W203" s="32" t="n">
        <v>3.66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Between 50% to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IF(B204=0,"",RANK(B204,$B$2:$B$378,0))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SAILIFE</t>
        </is>
      </c>
      <c r="D204" s="31" t="inlineStr">
        <is>
          <t>Sai Life Sciences Ltd</t>
        </is>
      </c>
      <c r="E204" s="31" t="inlineStr">
        <is>
          <t>healthcare</t>
        </is>
      </c>
      <c r="F204" s="31" t="inlineStr">
        <is>
          <t>pharmaceuticals - indian - bulk drugs &amp; formln</t>
        </is>
      </c>
      <c r="G204" s="31" t="inlineStr">
        <is>
          <t>largecap</t>
        </is>
      </c>
      <c r="H204" s="32" t="n">
        <v>30662.59</v>
      </c>
      <c r="I204" s="32" t="n">
        <v>1452</v>
      </c>
      <c r="J204" s="32" t="n">
        <v>-0.79</v>
      </c>
      <c r="K204" s="32" t="n">
        <v>477974</v>
      </c>
      <c r="L204" s="31" t="n">
        <v>70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80.34</v>
      </c>
      <c r="P204" s="32" t="n">
        <v>31.46</v>
      </c>
      <c r="Q204" s="32" t="n">
        <v>1196.74</v>
      </c>
      <c r="R204" s="31" t="inlineStr">
        <is>
          <t>Volume Spike &amp; Near 52W High Breakout</t>
        </is>
      </c>
      <c r="S204" s="31" t="inlineStr">
        <is>
          <t>Nifty Pharma</t>
        </is>
      </c>
      <c r="T204" s="32" t="n">
        <v>20.47</v>
      </c>
      <c r="U204" s="32" t="n">
        <v>63.49</v>
      </c>
      <c r="V204" s="32" t="n">
        <v>35.71</v>
      </c>
      <c r="W204" s="32" t="n">
        <v>17.69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Above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IF(B205=0,"",RANK(B205,$B$2:$B$378,0))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3" t="inlineStr">
        <is>
          <t>AARTIPHARM</t>
        </is>
      </c>
      <c r="D205" s="33" t="inlineStr">
        <is>
          <t>Aarti Pharmalabs Ltd</t>
        </is>
      </c>
      <c r="E205" s="31" t="inlineStr">
        <is>
          <t>healthcare</t>
        </is>
      </c>
      <c r="F205" s="31" t="inlineStr">
        <is>
          <t>pharmaceuticals - indian - bulk drugs &amp; formln</t>
        </is>
      </c>
      <c r="G205" s="31" t="inlineStr">
        <is>
          <t>midcap</t>
        </is>
      </c>
      <c r="H205" s="32" t="n">
        <v>8013.38</v>
      </c>
      <c r="I205" s="32" t="n">
        <v>873.65</v>
      </c>
      <c r="J205" s="32" t="n">
        <v>-1.69</v>
      </c>
      <c r="K205" s="32" t="n">
        <v>605030</v>
      </c>
      <c r="L205" s="31" t="n">
        <v>39</v>
      </c>
      <c r="M205" s="31" t="inlineStr">
        <is>
          <t>Underperforming</t>
        </is>
      </c>
      <c r="N205" s="32">
        <f>IF(M205="Underperforming",-5,IF(L205&gt;=95,15,IF(L205&gt;=90,10,IF(L205&gt;=80,5,0))))</f>
        <v/>
      </c>
      <c r="O205" s="32" t="n">
        <v>67.87</v>
      </c>
      <c r="P205" s="32" t="n">
        <v>10.33</v>
      </c>
      <c r="Q205" s="32" t="n">
        <v>668.28</v>
      </c>
      <c r="R205" s="31" t="inlineStr">
        <is>
          <t>Volume Spike / Accumulation</t>
        </is>
      </c>
      <c r="S205" s="31" t="inlineStr">
        <is>
          <t>Nifty Pharma</t>
        </is>
      </c>
      <c r="T205" s="32" t="n">
        <v>20.47</v>
      </c>
      <c r="U205" s="32" t="n">
        <v>15.88</v>
      </c>
      <c r="V205" s="32" t="n">
        <v>-3.81</v>
      </c>
      <c r="W205" s="32" t="n">
        <v>7.98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Less than 1.5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IF(B206=0,"",RANK(B206,$B$2:$B$378,0))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SBCL</t>
        </is>
      </c>
      <c r="D206" s="31" t="inlineStr">
        <is>
          <t>Shivalik Bimetal Controls Ltd</t>
        </is>
      </c>
      <c r="E206" s="31" t="inlineStr">
        <is>
          <t>metals &amp; mining</t>
        </is>
      </c>
      <c r="F206" s="31" t="inlineStr">
        <is>
          <t>mining / minerals / metals</t>
        </is>
      </c>
      <c r="G206" s="31" t="inlineStr">
        <is>
          <t>midcap</t>
        </is>
      </c>
      <c r="H206" s="32" t="n">
        <v>5986.23</v>
      </c>
      <c r="I206" s="32" t="n">
        <v>1008.65</v>
      </c>
      <c r="J206" s="32" t="n">
        <v>-1.75</v>
      </c>
      <c r="K206" s="32" t="n">
        <v>282487</v>
      </c>
      <c r="L206" s="31" t="inlineStr"/>
      <c r="M206" s="31" t="inlineStr"/>
      <c r="N206" s="32">
        <f>IF(M206="Underperforming",-5,IF(L206&gt;=95,15,IF(L206&gt;=90,10,IF(L206&gt;=80,5,0))))</f>
        <v/>
      </c>
      <c r="O206" s="32" t="n">
        <v>79.68000000000001</v>
      </c>
      <c r="P206" s="32" t="n">
        <v>46.52</v>
      </c>
      <c r="Q206" s="32" t="n">
        <v>765.87</v>
      </c>
      <c r="R206" s="31" t="inlineStr">
        <is>
          <t>Volume Spike &amp; Near 52W High Breakout</t>
        </is>
      </c>
      <c r="S206" s="31" t="inlineStr">
        <is>
          <t>Nifty Metal</t>
        </is>
      </c>
      <c r="T206" s="32" t="inlineStr"/>
      <c r="U206" s="32" t="inlineStr"/>
      <c r="V206" s="32" t="inlineStr"/>
      <c r="W206" s="32" t="inlineStr"/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Monopoly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Shallow Cyclical (2 to 3 Years Growth)</t>
        </is>
      </c>
      <c r="AG206" s="31">
        <f>IF(AF206="Structural (10 Years Consistency)",10,IF(AF206="Shallow Cyclical (2 to 3 years growth)",5,0))</f>
        <v/>
      </c>
      <c r="AH206" s="31" t="inlineStr">
        <is>
          <t>Yes due to Product Mix change or Operating Leverage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Fully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Yes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Between 1.5 to 2</t>
        </is>
      </c>
      <c r="BU206" s="31">
        <f>IF(BT206="Above 2",0,IF(BT206="Between 1.5 to 2",5,IF(BT206="Less than 1.5",10,0)))</f>
        <v/>
      </c>
      <c r="BV206" s="31" t="inlineStr">
        <is>
          <t>Less than 50%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IF(B207=0,"",RANK(B207,$B$2:$B$378,0))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LTFOODS</t>
        </is>
      </c>
      <c r="D207" s="33" t="inlineStr">
        <is>
          <t>L T Foods Ltd</t>
        </is>
      </c>
      <c r="E207" s="31" t="inlineStr">
        <is>
          <t>fmcg</t>
        </is>
      </c>
      <c r="F207" s="31" t="inlineStr">
        <is>
          <t>food - processing - indian</t>
        </is>
      </c>
      <c r="G207" s="31" t="inlineStr">
        <is>
          <t>midcap</t>
        </is>
      </c>
      <c r="H207" s="32" t="n">
        <v>14560.32</v>
      </c>
      <c r="I207" s="32" t="n">
        <v>418.95</v>
      </c>
      <c r="J207" s="32" t="n">
        <v>-1.82</v>
      </c>
      <c r="K207" s="32" t="n">
        <v>246558</v>
      </c>
      <c r="L207" s="31" t="n">
        <v>1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56.66</v>
      </c>
      <c r="P207" s="32" t="n">
        <v>14.68</v>
      </c>
      <c r="Q207" s="32" t="n">
        <v>348.12</v>
      </c>
      <c r="R207" s="31" t="inlineStr">
        <is>
          <t>Earnings / Momentum Support</t>
        </is>
      </c>
      <c r="S207" s="31" t="inlineStr">
        <is>
          <t>Nifty FMCG</t>
        </is>
      </c>
      <c r="T207" s="32" t="n">
        <v>-10.52</v>
      </c>
      <c r="U207" s="32" t="n">
        <v>-13.6</v>
      </c>
      <c r="V207" s="32" t="n">
        <v>-3.44</v>
      </c>
      <c r="W207" s="32" t="n">
        <v>-1.99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B2C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Annuity, Lower One Time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IF(B208=0,"",RANK(B208,$B$2:$B$378,0))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KANPRPLA</t>
        </is>
      </c>
      <c r="D208" s="31" t="inlineStr">
        <is>
          <t>Kanpur Plastipack Ltd</t>
        </is>
      </c>
      <c r="E208" s="31" t="inlineStr">
        <is>
          <t>industrials</t>
        </is>
      </c>
      <c r="F208" s="31" t="inlineStr">
        <is>
          <t>packaging</t>
        </is>
      </c>
      <c r="G208" s="31" t="inlineStr">
        <is>
          <t>smallcap</t>
        </is>
      </c>
      <c r="H208" s="32" t="n">
        <v>528.55</v>
      </c>
      <c r="I208" s="32" t="n">
        <v>260.38</v>
      </c>
      <c r="J208" s="32" t="n">
        <v>12.02</v>
      </c>
      <c r="K208" s="32" t="n">
        <v>918762</v>
      </c>
      <c r="L208" s="31" t="n">
        <v>51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70.59</v>
      </c>
      <c r="P208" s="32" t="n">
        <v>15.81</v>
      </c>
      <c r="Q208" s="32" t="n">
        <v>184.05</v>
      </c>
      <c r="R208" s="31" t="inlineStr">
        <is>
          <t>Volume Spike &amp; Near 52W High Breakout</t>
        </is>
      </c>
      <c r="S208" s="31" t="inlineStr">
        <is>
          <t>Nifty 50</t>
        </is>
      </c>
      <c r="T208" s="32" t="n">
        <v>-0.96</v>
      </c>
      <c r="U208" s="32" t="n">
        <v>21.8</v>
      </c>
      <c r="V208" s="32" t="n">
        <v>22.98</v>
      </c>
      <c r="W208" s="32" t="n">
        <v>10.97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IF(B209=0,"",RANK(B209,$B$2:$B$378,0))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INGERRAND</t>
        </is>
      </c>
      <c r="D209" s="31" t="inlineStr">
        <is>
          <t>Ingersoll Rand (india) Limited</t>
        </is>
      </c>
      <c r="E209" s="31" t="inlineStr">
        <is>
          <t>industrials</t>
        </is>
      </c>
      <c r="F209" s="31" t="inlineStr">
        <is>
          <t>compressors / drilling equipment</t>
        </is>
      </c>
      <c r="G209" s="31" t="inlineStr">
        <is>
          <t>midcap</t>
        </is>
      </c>
      <c r="H209" s="32" t="n">
        <v>13603.91</v>
      </c>
      <c r="I209" s="32" t="n">
        <v>4606.4</v>
      </c>
      <c r="J209" s="32" t="n">
        <v>7.32</v>
      </c>
      <c r="K209" s="32" t="n">
        <v>163508</v>
      </c>
      <c r="L209" s="31" t="n">
        <v>35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59.87</v>
      </c>
      <c r="P209" s="32" t="n">
        <v>24.23</v>
      </c>
      <c r="Q209" s="32" t="n">
        <v>3715.76</v>
      </c>
      <c r="R209" s="31" t="inlineStr">
        <is>
          <t>Volume Spike &amp; Near 52W High Breakout</t>
        </is>
      </c>
      <c r="S209" s="31" t="inlineStr">
        <is>
          <t>Nifty 50</t>
        </is>
      </c>
      <c r="T209" s="32" t="n">
        <v>-0.96</v>
      </c>
      <c r="U209" s="32" t="n">
        <v>32.83</v>
      </c>
      <c r="V209" s="32" t="n">
        <v>34.11</v>
      </c>
      <c r="W209" s="32" t="n">
        <v>7.09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Blue sky scenario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IF(B210=0,"",RANK(B210,$B$2:$B$378,0))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COMSYN</t>
        </is>
      </c>
      <c r="D210" s="31" t="inlineStr">
        <is>
          <t>Commercial Syn Bags Ltd</t>
        </is>
      </c>
      <c r="E210" s="31" t="inlineStr">
        <is>
          <t>industrials</t>
        </is>
      </c>
      <c r="F210" s="31" t="inlineStr">
        <is>
          <t>packaging</t>
        </is>
      </c>
      <c r="G210" s="31" t="inlineStr">
        <is>
          <t>smallcap</t>
        </is>
      </c>
      <c r="H210" s="32" t="n">
        <v>1079.28</v>
      </c>
      <c r="I210" s="32" t="n">
        <v>282.66</v>
      </c>
      <c r="J210" s="32" t="n">
        <v>4.98</v>
      </c>
      <c r="K210" s="32" t="n">
        <v>555727</v>
      </c>
      <c r="L210" s="31" t="n">
        <v>91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81.06</v>
      </c>
      <c r="P210" s="32" t="n">
        <v>59.58</v>
      </c>
      <c r="Q210" s="32" t="n">
        <v>211.86</v>
      </c>
      <c r="R210" s="31" t="inlineStr">
        <is>
          <t>Volume Spike &amp; Near 52W High Breakout</t>
        </is>
      </c>
      <c r="S210" s="31" t="inlineStr">
        <is>
          <t>Nifty 50</t>
        </is>
      </c>
      <c r="T210" s="32" t="n">
        <v>-0.96</v>
      </c>
      <c r="U210" s="32" t="n">
        <v>100.25</v>
      </c>
      <c r="V210" s="32" t="n">
        <v>102.18</v>
      </c>
      <c r="W210" s="32" t="n">
        <v>36.57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Above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Between 0.7 to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IF(B211=0,"",RANK(B211,$B$2:$B$378,0))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MOLDTECH</t>
        </is>
      </c>
      <c r="D211" s="31" t="inlineStr">
        <is>
          <t>Mold-tek Technologies Limited</t>
        </is>
      </c>
      <c r="E211" s="31" t="inlineStr">
        <is>
          <t>realty</t>
        </is>
      </c>
      <c r="F211" s="31" t="inlineStr">
        <is>
          <t>engineering - turnkey services</t>
        </is>
      </c>
      <c r="G211" s="31" t="inlineStr">
        <is>
          <t>smallcap</t>
        </is>
      </c>
      <c r="H211" s="32" t="n">
        <v>526.41</v>
      </c>
      <c r="I211" s="32" t="n">
        <v>188.42</v>
      </c>
      <c r="J211" s="32" t="n">
        <v>4.3</v>
      </c>
      <c r="K211" s="32" t="n">
        <v>88383</v>
      </c>
      <c r="L211" s="31" t="n">
        <v>69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70.62</v>
      </c>
      <c r="P211" s="32" t="n">
        <v>27.71</v>
      </c>
      <c r="Q211" s="32" t="n">
        <v>138.04</v>
      </c>
      <c r="R211" s="31" t="inlineStr">
        <is>
          <t>Earnings / Momentum Support</t>
        </is>
      </c>
      <c r="S211" s="31" t="inlineStr">
        <is>
          <t>Nifty Realty</t>
        </is>
      </c>
      <c r="T211" s="32" t="n">
        <v>-5.49</v>
      </c>
      <c r="U211" s="32" t="n">
        <v>25.33</v>
      </c>
      <c r="V211" s="32" t="n">
        <v>32.62</v>
      </c>
      <c r="W211" s="32" t="n">
        <v>17.53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IF(B212=0,"",RANK(B212,$B$2:$B$378,0))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RAYMOND</t>
        </is>
      </c>
      <c r="D212" s="31" t="inlineStr">
        <is>
          <t>Raymond Limited</t>
        </is>
      </c>
      <c r="E212" s="31" t="inlineStr">
        <is>
          <t>transportation</t>
        </is>
      </c>
      <c r="F212" s="31" t="inlineStr">
        <is>
          <t>transport - airlines</t>
        </is>
      </c>
      <c r="G212" s="31" t="inlineStr">
        <is>
          <t>smallcap</t>
        </is>
      </c>
      <c r="H212" s="32" t="n">
        <v>4156.2</v>
      </c>
      <c r="I212" s="32" t="n">
        <v>642</v>
      </c>
      <c r="J212" s="32" t="n">
        <v>3.72</v>
      </c>
      <c r="K212" s="32" t="n">
        <v>921896</v>
      </c>
      <c r="L212" s="31" t="n">
        <v>55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64.38</v>
      </c>
      <c r="P212" s="32" t="n">
        <v>39.75</v>
      </c>
      <c r="Q212" s="32" t="n">
        <v>491.97</v>
      </c>
      <c r="R212" s="31" t="inlineStr">
        <is>
          <t>Near 52W High Breakout</t>
        </is>
      </c>
      <c r="S212" s="31" t="inlineStr">
        <is>
          <t>Nifty 50</t>
        </is>
      </c>
      <c r="T212" s="32" t="n">
        <v>-0.96</v>
      </c>
      <c r="U212" s="32" t="n">
        <v>4.91</v>
      </c>
      <c r="V212" s="32" t="n">
        <v>5.92</v>
      </c>
      <c r="W212" s="32" t="n">
        <v>11.72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IF(B213=0,"",RANK(B213,$B$2:$B$378,0))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PAYTM</t>
        </is>
      </c>
      <c r="D213" s="31" t="inlineStr">
        <is>
          <t>One 97 Communications Ltd</t>
        </is>
      </c>
      <c r="E213" s="31" t="inlineStr">
        <is>
          <t>i.t</t>
        </is>
      </c>
      <c r="F213" s="31" t="inlineStr">
        <is>
          <t>miscellaneous</t>
        </is>
      </c>
      <c r="G213" s="31" t="inlineStr">
        <is>
          <t>largecap</t>
        </is>
      </c>
      <c r="H213" s="32" t="n">
        <v>102050.51</v>
      </c>
      <c r="I213" s="32" t="n">
        <v>1649.5</v>
      </c>
      <c r="J213" s="32" t="n">
        <v>2.45</v>
      </c>
      <c r="K213" s="32" t="n">
        <v>6117382</v>
      </c>
      <c r="L213" s="31" t="n">
        <v>71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74.86</v>
      </c>
      <c r="P213" s="32" t="n">
        <v>18.56</v>
      </c>
      <c r="Q213" s="32" t="n">
        <v>1325.11</v>
      </c>
      <c r="R213" s="31" t="inlineStr">
        <is>
          <t>Volume Spike &amp; Near 52W High Breakout</t>
        </is>
      </c>
      <c r="S213" s="31" t="inlineStr">
        <is>
          <t>Nifty IT</t>
        </is>
      </c>
      <c r="T213" s="32" t="n">
        <v>-9.699999999999999</v>
      </c>
      <c r="U213" s="32" t="n">
        <v>43.27</v>
      </c>
      <c r="V213" s="32" t="n">
        <v>58.67</v>
      </c>
      <c r="W213" s="32" t="n">
        <v>18.32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IF(B214=0,"",RANK(B214,$B$2:$B$378,0))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DMCC</t>
        </is>
      </c>
      <c r="D214" s="33" t="inlineStr">
        <is>
          <t>DMCC Speciality Chemicals Ltd</t>
        </is>
      </c>
      <c r="E214" s="31" t="inlineStr">
        <is>
          <t>chemicals</t>
        </is>
      </c>
      <c r="F214" s="31" t="inlineStr">
        <is>
          <t>chemicals</t>
        </is>
      </c>
      <c r="G214" s="31" t="inlineStr">
        <is>
          <t>smallcap</t>
        </is>
      </c>
      <c r="H214" s="32" t="n">
        <v>753.5599999999999</v>
      </c>
      <c r="I214" s="32" t="n">
        <v>304</v>
      </c>
      <c r="J214" s="32" t="n">
        <v>1.57</v>
      </c>
      <c r="K214" s="32" t="n">
        <v>187439</v>
      </c>
      <c r="L214" s="31" t="n">
        <v>1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60.77</v>
      </c>
      <c r="P214" s="32" t="n">
        <v>25.11</v>
      </c>
      <c r="Q214" s="32" t="n">
        <v>227.58</v>
      </c>
      <c r="R214" s="31" t="inlineStr">
        <is>
          <t>Volume Spike / Accumulation</t>
        </is>
      </c>
      <c r="S214" s="31" t="inlineStr">
        <is>
          <t>Nifty IT</t>
        </is>
      </c>
      <c r="T214" s="32" t="n">
        <v>-9.699999999999999</v>
      </c>
      <c r="U214" s="32" t="n">
        <v>-11.8</v>
      </c>
      <c r="V214" s="32" t="n">
        <v>-2.32</v>
      </c>
      <c r="W214" s="32" t="n">
        <v>-2.21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IF(B215=0,"",RANK(B215,$B$2:$B$378,0))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KAPSTON</t>
        </is>
      </c>
      <c r="D215" s="31" t="inlineStr">
        <is>
          <t>Kapston Services Ltd</t>
        </is>
      </c>
      <c r="E215" s="31" t="inlineStr">
        <is>
          <t>miscellaneous</t>
        </is>
      </c>
      <c r="F215" s="31" t="inlineStr">
        <is>
          <t>miscellaneous</t>
        </is>
      </c>
      <c r="G215" s="31" t="inlineStr">
        <is>
          <t>smallcap</t>
        </is>
      </c>
      <c r="H215" s="32" t="n">
        <v>1714.55</v>
      </c>
      <c r="I215" s="32" t="n">
        <v>585.9</v>
      </c>
      <c r="J215" s="32" t="n">
        <v>1.33</v>
      </c>
      <c r="K215" s="32" t="n">
        <v>91754</v>
      </c>
      <c r="L215" s="31" t="n">
        <v>93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84.17</v>
      </c>
      <c r="P215" s="32" t="n">
        <v>30.19</v>
      </c>
      <c r="Q215" s="32" t="n">
        <v>460.64</v>
      </c>
      <c r="R215" s="31" t="inlineStr">
        <is>
          <t>Volume Spike &amp; Near 52W High Breakout</t>
        </is>
      </c>
      <c r="S215" s="31" t="inlineStr">
        <is>
          <t>Nifty 50</t>
        </is>
      </c>
      <c r="T215" s="32" t="n">
        <v>-0.96</v>
      </c>
      <c r="U215" s="32" t="n">
        <v>138.94</v>
      </c>
      <c r="V215" s="32" t="n">
        <v>141.25</v>
      </c>
      <c r="W215" s="32" t="n">
        <v>38.83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Above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Between 1.5 to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More than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IF(B216=0,"",RANK(B216,$B$2:$B$378,0))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PRIMO</t>
        </is>
      </c>
      <c r="D216" s="33" t="inlineStr">
        <is>
          <t>Primo Chemicals Ltd</t>
        </is>
      </c>
      <c r="E216" s="31" t="inlineStr">
        <is>
          <t>chemicals</t>
        </is>
      </c>
      <c r="F216" s="31" t="inlineStr">
        <is>
          <t>chlor alkali / soda ash</t>
        </is>
      </c>
      <c r="G216" s="31" t="inlineStr">
        <is>
          <t>smallcap</t>
        </is>
      </c>
      <c r="H216" s="32" t="n">
        <v>591.08</v>
      </c>
      <c r="I216" s="32" t="n">
        <v>24.54</v>
      </c>
      <c r="J216" s="32" t="n">
        <v>1.03</v>
      </c>
      <c r="K216" s="32" t="n">
        <v>115807</v>
      </c>
      <c r="L216" s="31" t="n">
        <v>2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52.88</v>
      </c>
      <c r="P216" s="32" t="n">
        <v>22.07</v>
      </c>
      <c r="Q216" s="32" t="n">
        <v>18.28</v>
      </c>
      <c r="R216" s="31" t="inlineStr">
        <is>
          <t>Earnings / Momentum Support</t>
        </is>
      </c>
      <c r="S216" s="31" t="inlineStr">
        <is>
          <t>Nifty 50</t>
        </is>
      </c>
      <c r="T216" s="32" t="n">
        <v>-0.96</v>
      </c>
      <c r="U216" s="32" t="n">
        <v>-10.04</v>
      </c>
      <c r="V216" s="32" t="n">
        <v>-9.17</v>
      </c>
      <c r="W216" s="32" t="n">
        <v>-1.39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IF(B217=0,"",RANK(B217,$B$2:$B$378,0))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VMART</t>
        </is>
      </c>
      <c r="D217" s="31" t="inlineStr">
        <is>
          <t>V-mart Retail Limited</t>
        </is>
      </c>
      <c r="E217" s="31" t="inlineStr">
        <is>
          <t>consumer discretionary</t>
        </is>
      </c>
      <c r="F217" s="31" t="inlineStr">
        <is>
          <t>trading</t>
        </is>
      </c>
      <c r="G217" s="31" t="inlineStr">
        <is>
          <t>midcap</t>
        </is>
      </c>
      <c r="H217" s="32" t="n">
        <v>6480.78</v>
      </c>
      <c r="I217" s="32" t="n">
        <v>807.3</v>
      </c>
      <c r="J217" s="32" t="n">
        <v>0.77</v>
      </c>
      <c r="K217" s="32" t="n">
        <v>99861</v>
      </c>
      <c r="L217" s="31" t="n">
        <v>42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62.92</v>
      </c>
      <c r="P217" s="32" t="n">
        <v>26.36</v>
      </c>
      <c r="Q217" s="32" t="n">
        <v>624.78</v>
      </c>
      <c r="R217" s="31" t="inlineStr">
        <is>
          <t>Earnings / Momentum Support</t>
        </is>
      </c>
      <c r="S217" s="31" t="inlineStr">
        <is>
          <t>Nifty 50</t>
        </is>
      </c>
      <c r="T217" s="32" t="n">
        <v>-0.96</v>
      </c>
      <c r="U217" s="32" t="n">
        <v>9.06</v>
      </c>
      <c r="V217" s="32" t="n">
        <v>10.12</v>
      </c>
      <c r="W217" s="32" t="n">
        <v>8.52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Between 0.7 to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IF(B218=0,"",RANK(B218,$B$2:$B$378,0))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OLECTRA</t>
        </is>
      </c>
      <c r="D218" s="31" t="inlineStr">
        <is>
          <t>Olectra Greentech Ltd</t>
        </is>
      </c>
      <c r="E218" s="31" t="inlineStr">
        <is>
          <t>auto</t>
        </is>
      </c>
      <c r="F218" s="31" t="inlineStr">
        <is>
          <t>automobiles - lcvs / hcvs</t>
        </is>
      </c>
      <c r="G218" s="31" t="inlineStr">
        <is>
          <t>midcap</t>
        </is>
      </c>
      <c r="H218" s="32" t="n">
        <v>11422.36</v>
      </c>
      <c r="I218" s="32" t="n">
        <v>1393.5</v>
      </c>
      <c r="J218" s="32" t="n">
        <v>0.72</v>
      </c>
      <c r="K218" s="32" t="n">
        <v>452108</v>
      </c>
      <c r="L218" s="31" t="inlineStr"/>
      <c r="M218" s="31" t="inlineStr"/>
      <c r="N218" s="32">
        <f>IF(M218="Underperforming",-5,IF(L218&gt;=95,15,IF(L218&gt;=90,10,IF(L218&gt;=80,5,0))))</f>
        <v/>
      </c>
      <c r="O218" s="32" t="n">
        <v>56.79</v>
      </c>
      <c r="P218" s="32" t="n">
        <v>32.82</v>
      </c>
      <c r="Q218" s="32" t="n">
        <v>1192.1</v>
      </c>
      <c r="R218" s="31" t="inlineStr">
        <is>
          <t>Earnings / Momentum Support</t>
        </is>
      </c>
      <c r="S218" s="31" t="inlineStr">
        <is>
          <t>Nifty Auto</t>
        </is>
      </c>
      <c r="T218" s="32" t="inlineStr"/>
      <c r="U218" s="32" t="inlineStr"/>
      <c r="V218" s="32" t="inlineStr"/>
      <c r="W218" s="32" t="inlineStr"/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IF(B219=0,"",RANK(B219,$B$2:$B$378,0))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PARACABLES</t>
        </is>
      </c>
      <c r="D219" s="31" t="inlineStr">
        <is>
          <t>Paramount Communications Limited</t>
        </is>
      </c>
      <c r="E219" s="31" t="inlineStr">
        <is>
          <t>industrials</t>
        </is>
      </c>
      <c r="F219" s="31" t="inlineStr">
        <is>
          <t>cables - power</t>
        </is>
      </c>
      <c r="G219" s="31" t="inlineStr">
        <is>
          <t>smallcap</t>
        </is>
      </c>
      <c r="H219" s="32" t="n">
        <v>2221.41</v>
      </c>
      <c r="I219" s="32" t="n">
        <v>68.69</v>
      </c>
      <c r="J219" s="32" t="n">
        <v>0.6899999999999999</v>
      </c>
      <c r="K219" s="32" t="n">
        <v>2515201</v>
      </c>
      <c r="L219" s="31" t="inlineStr"/>
      <c r="M219" s="31" t="inlineStr"/>
      <c r="N219" s="32">
        <f>IF(M219="Underperforming",-5,IF(L219&gt;=95,15,IF(L219&gt;=90,10,IF(L219&gt;=80,5,0))))</f>
        <v/>
      </c>
      <c r="O219" s="32" t="n">
        <v>64.29000000000001</v>
      </c>
      <c r="P219" s="32" t="n">
        <v>54.09</v>
      </c>
      <c r="Q219" s="32" t="n">
        <v>52.31</v>
      </c>
      <c r="R219" s="31" t="inlineStr">
        <is>
          <t>Earnings / Momentum Support</t>
        </is>
      </c>
      <c r="S219" s="31" t="inlineStr">
        <is>
          <t>Nifty Energy</t>
        </is>
      </c>
      <c r="T219" s="32" t="inlineStr"/>
      <c r="U219" s="32" t="inlineStr"/>
      <c r="V219" s="32" t="inlineStr"/>
      <c r="W219" s="32" t="inlineStr"/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IF(B220=0,"",RANK(B220,$B$2:$B$378,0))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BHEL</t>
        </is>
      </c>
      <c r="D220" s="31" t="inlineStr">
        <is>
          <t>Bharat Heavy Electricals Limited</t>
        </is>
      </c>
      <c r="E220" s="31" t="inlineStr">
        <is>
          <t>industrials</t>
        </is>
      </c>
      <c r="F220" s="31" t="inlineStr">
        <is>
          <t>electric equipment</t>
        </is>
      </c>
      <c r="G220" s="31" t="inlineStr">
        <is>
          <t>largecap</t>
        </is>
      </c>
      <c r="H220" s="32" t="n">
        <v>140327.15</v>
      </c>
      <c r="I220" s="32" t="n">
        <v>420</v>
      </c>
      <c r="J220" s="32" t="n">
        <v>0</v>
      </c>
      <c r="K220" s="32" t="n">
        <v>29552558</v>
      </c>
      <c r="L220" s="31" t="n">
        <v>68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65.37</v>
      </c>
      <c r="P220" s="32" t="n">
        <v>41.88</v>
      </c>
      <c r="Q220" s="32" t="n">
        <v>339.17</v>
      </c>
      <c r="R220" s="31" t="inlineStr">
        <is>
          <t>Near 52W High Breakout</t>
        </is>
      </c>
      <c r="S220" s="31" t="inlineStr">
        <is>
          <t>Nifty 50</t>
        </is>
      </c>
      <c r="T220" s="32" t="n">
        <v>-0.96</v>
      </c>
      <c r="U220" s="32" t="n">
        <v>90.37</v>
      </c>
      <c r="V220" s="32" t="n">
        <v>92.20999999999999</v>
      </c>
      <c r="W220" s="32" t="n">
        <v>17.07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IF(B221=0,"",RANK(B221,$B$2:$B$378,0))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ARROWGREEN</t>
        </is>
      </c>
      <c r="D221" s="31" t="inlineStr">
        <is>
          <t>Arrow Greentech Limited</t>
        </is>
      </c>
      <c r="E221" s="31" t="inlineStr">
        <is>
          <t>plastic products</t>
        </is>
      </c>
      <c r="F221" s="31" t="inlineStr">
        <is>
          <t>plastics products</t>
        </is>
      </c>
      <c r="G221" s="31" t="inlineStr">
        <is>
          <t>smallcap</t>
        </is>
      </c>
      <c r="H221" s="32" t="n">
        <v>1172.41</v>
      </c>
      <c r="I221" s="32" t="n">
        <v>782.5</v>
      </c>
      <c r="J221" s="32" t="n">
        <v>-0.27</v>
      </c>
      <c r="K221" s="32" t="n">
        <v>68583</v>
      </c>
      <c r="L221" s="31" t="n">
        <v>62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72.37</v>
      </c>
      <c r="P221" s="32" t="n">
        <v>35.25</v>
      </c>
      <c r="Q221" s="32" t="n">
        <v>586.2</v>
      </c>
      <c r="R221" s="31" t="inlineStr">
        <is>
          <t>Near 52W High Breakout</t>
        </is>
      </c>
      <c r="S221" s="31" t="inlineStr">
        <is>
          <t>Nifty Infra</t>
        </is>
      </c>
      <c r="T221" s="32" t="n">
        <v>3.6</v>
      </c>
      <c r="U221" s="32" t="n">
        <v>3.73</v>
      </c>
      <c r="V221" s="32" t="n">
        <v>0.13</v>
      </c>
      <c r="W221" s="32" t="n">
        <v>14.53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Between 50% to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IF(B222=0,"",RANK(B222,$B$2:$B$378,0))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ASKAUTOLTD</t>
        </is>
      </c>
      <c r="D222" s="31" t="inlineStr">
        <is>
          <t>ASK Automotive Ltd</t>
        </is>
      </c>
      <c r="E222" s="31" t="inlineStr">
        <is>
          <t>auto</t>
        </is>
      </c>
      <c r="F222" s="31" t="inlineStr">
        <is>
          <t>auto ancillaries</t>
        </is>
      </c>
      <c r="G222" s="31" t="inlineStr">
        <is>
          <t>midcap</t>
        </is>
      </c>
      <c r="H222" s="32" t="n">
        <v>12898.05</v>
      </c>
      <c r="I222" s="32" t="n">
        <v>644.9</v>
      </c>
      <c r="J222" s="32" t="n">
        <v>-0.97</v>
      </c>
      <c r="K222" s="32" t="n">
        <v>844981</v>
      </c>
      <c r="L222" s="31" t="inlineStr"/>
      <c r="M222" s="31" t="inlineStr"/>
      <c r="N222" s="32">
        <f>IF(M222="Underperforming",-5,IF(L222&gt;=95,15,IF(L222&gt;=90,10,IF(L222&gt;=80,5,0))))</f>
        <v/>
      </c>
      <c r="O222" s="32" t="n">
        <v>80.54000000000001</v>
      </c>
      <c r="P222" s="32" t="n">
        <v>19.56</v>
      </c>
      <c r="Q222" s="32" t="n">
        <v>527.3200000000001</v>
      </c>
      <c r="R222" s="31" t="inlineStr">
        <is>
          <t>Near 52W High Breakout</t>
        </is>
      </c>
      <c r="S222" s="31" t="inlineStr">
        <is>
          <t>Nifty Auto</t>
        </is>
      </c>
      <c r="T222" s="32" t="inlineStr"/>
      <c r="U222" s="32" t="inlineStr"/>
      <c r="V222" s="32" t="inlineStr"/>
      <c r="W222" s="32" t="inlineStr"/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Above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IF(B223=0,"",RANK(B223,$B$2:$B$378,0))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MMP</t>
        </is>
      </c>
      <c r="D223" s="31" t="inlineStr">
        <is>
          <t>MMP Industries Ltd</t>
        </is>
      </c>
      <c r="E223" s="31" t="inlineStr">
        <is>
          <t>metals &amp; mining</t>
        </is>
      </c>
      <c r="F223" s="31" t="inlineStr">
        <is>
          <t>aluminium and aluminium products</t>
        </is>
      </c>
      <c r="G223" s="31" t="inlineStr">
        <is>
          <t>smallcap</t>
        </is>
      </c>
      <c r="H223" s="32" t="n">
        <v>639.8099999999999</v>
      </c>
      <c r="I223" s="32" t="n">
        <v>339</v>
      </c>
      <c r="J223" s="32" t="n">
        <v>-1.8</v>
      </c>
      <c r="K223" s="32" t="n">
        <v>26434</v>
      </c>
      <c r="L223" s="31" t="inlineStr"/>
      <c r="M223" s="31" t="inlineStr"/>
      <c r="N223" s="32">
        <f>IF(M223="Underperforming",-5,IF(L223&gt;=95,15,IF(L223&gt;=90,10,IF(L223&gt;=80,5,0))))</f>
        <v/>
      </c>
      <c r="O223" s="32" t="n">
        <v>70.31999999999999</v>
      </c>
      <c r="P223" s="32" t="n">
        <v>38.72</v>
      </c>
      <c r="Q223" s="32" t="n">
        <v>253.62</v>
      </c>
      <c r="R223" s="31" t="inlineStr">
        <is>
          <t>Volume Spike &amp; Near 52W High Breakout</t>
        </is>
      </c>
      <c r="S223" s="31" t="inlineStr">
        <is>
          <t>Nifty Metal</t>
        </is>
      </c>
      <c r="T223" s="32" t="inlineStr"/>
      <c r="U223" s="32" t="inlineStr"/>
      <c r="V223" s="32" t="inlineStr"/>
      <c r="W223" s="32" t="inlineStr"/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Cyclical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Volatile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Less than 1.5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IF(B224=0,"",RANK(B224,$B$2:$B$378,0))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BERGEPAINT</t>
        </is>
      </c>
      <c r="D224" s="33" t="inlineStr">
        <is>
          <t>Berger Paints (i) Limited</t>
        </is>
      </c>
      <c r="E224" s="31" t="inlineStr">
        <is>
          <t>building materials</t>
        </is>
      </c>
      <c r="F224" s="31" t="inlineStr">
        <is>
          <t>paints / varnishes</t>
        </is>
      </c>
      <c r="G224" s="31" t="inlineStr">
        <is>
          <t>largecap</t>
        </is>
      </c>
      <c r="H224" s="32" t="n">
        <v>62375.32</v>
      </c>
      <c r="I224" s="32" t="n">
        <v>546.35</v>
      </c>
      <c r="J224" s="32" t="n">
        <v>-2.4</v>
      </c>
      <c r="K224" s="32" t="n">
        <v>513801</v>
      </c>
      <c r="L224" s="31" t="n">
        <v>21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60.76</v>
      </c>
      <c r="P224" s="32" t="n">
        <v>20.33</v>
      </c>
      <c r="Q224" s="32" t="n">
        <v>445.03</v>
      </c>
      <c r="R224" s="31" t="inlineStr">
        <is>
          <t>Earnings / Momentum Support</t>
        </is>
      </c>
      <c r="S224" s="31" t="inlineStr">
        <is>
          <t>Nifty Infra</t>
        </is>
      </c>
      <c r="T224" s="32" t="n">
        <v>3.6</v>
      </c>
      <c r="U224" s="32" t="n">
        <v>-0.6899999999999999</v>
      </c>
      <c r="V224" s="32" t="n">
        <v>-4.14</v>
      </c>
      <c r="W224" s="32" t="n">
        <v>4.26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Between 1.5 to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IF(B225=0,"",RANK(B225,$B$2:$B$378,0))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LUMAXTECH</t>
        </is>
      </c>
      <c r="D225" s="31" t="inlineStr">
        <is>
          <t>Lumax Auto Technologies Limited</t>
        </is>
      </c>
      <c r="E225" s="31" t="inlineStr">
        <is>
          <t>auto</t>
        </is>
      </c>
      <c r="F225" s="31" t="inlineStr">
        <is>
          <t>auto ancillaries</t>
        </is>
      </c>
      <c r="G225" s="31" t="inlineStr">
        <is>
          <t>midcap</t>
        </is>
      </c>
      <c r="H225" s="32" t="n">
        <v>14151.58</v>
      </c>
      <c r="I225" s="32" t="n">
        <v>1987.5</v>
      </c>
      <c r="J225" s="32" t="n">
        <v>-2.54</v>
      </c>
      <c r="K225" s="32" t="n">
        <v>274708</v>
      </c>
      <c r="L225" s="31" t="inlineStr"/>
      <c r="M225" s="31" t="inlineStr"/>
      <c r="N225" s="32">
        <f>IF(M225="Underperforming",-5,IF(L225&gt;=95,15,IF(L225&gt;=90,10,IF(L225&gt;=80,5,0))))</f>
        <v/>
      </c>
      <c r="O225" s="32" t="n">
        <v>66.69</v>
      </c>
      <c r="P225" s="32" t="n">
        <v>14.45</v>
      </c>
      <c r="Q225" s="32" t="n">
        <v>1477.88</v>
      </c>
      <c r="R225" s="31" t="inlineStr">
        <is>
          <t>Volume Spike &amp; Near 52W High Breakout</t>
        </is>
      </c>
      <c r="S225" s="31" t="inlineStr">
        <is>
          <t>Nifty Auto</t>
        </is>
      </c>
      <c r="T225" s="32" t="inlineStr"/>
      <c r="U225" s="32" t="inlineStr"/>
      <c r="V225" s="32" t="inlineStr"/>
      <c r="W225" s="32" t="inlineStr"/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Between 0.7 to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IF(B226=0,"",RANK(B226,$B$2:$B$378,0))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TCPLPACK</t>
        </is>
      </c>
      <c r="D226" s="31" t="inlineStr">
        <is>
          <t>TCPL Packaging Ltd</t>
        </is>
      </c>
      <c r="E226" s="31" t="inlineStr">
        <is>
          <t>industrials</t>
        </is>
      </c>
      <c r="F226" s="31" t="inlineStr">
        <is>
          <t>packaging</t>
        </is>
      </c>
      <c r="G226" s="31" t="inlineStr">
        <is>
          <t>smallcap</t>
        </is>
      </c>
      <c r="H226" s="32" t="n">
        <v>3344.98</v>
      </c>
      <c r="I226" s="32" t="n">
        <v>4255.2</v>
      </c>
      <c r="J226" s="32" t="n">
        <v>-3.18</v>
      </c>
      <c r="K226" s="32" t="n">
        <v>132654</v>
      </c>
      <c r="L226" s="31" t="n">
        <v>75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78.63</v>
      </c>
      <c r="P226" s="32" t="n">
        <v>25.55</v>
      </c>
      <c r="Q226" s="32" t="n">
        <v>3287.05</v>
      </c>
      <c r="R226" s="31" t="inlineStr">
        <is>
          <t>Volume Spike &amp; Near 52W High Breakout</t>
        </is>
      </c>
      <c r="S226" s="31" t="inlineStr">
        <is>
          <t>Nifty 50</t>
        </is>
      </c>
      <c r="T226" s="32" t="n">
        <v>-0.96</v>
      </c>
      <c r="U226" s="32" t="n">
        <v>27.91</v>
      </c>
      <c r="V226" s="32" t="n">
        <v>29.14</v>
      </c>
      <c r="W226" s="32" t="n">
        <v>20.12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Above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Between 0.7 to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IF(B227=0,"",RANK(B227,$B$2:$B$378,0))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SKYGOLD</t>
        </is>
      </c>
      <c r="D227" s="31" t="inlineStr">
        <is>
          <t>Sky Gold Ltd</t>
        </is>
      </c>
      <c r="E227" s="31" t="inlineStr">
        <is>
          <t>consumer discretionary</t>
        </is>
      </c>
      <c r="F227" s="31" t="inlineStr">
        <is>
          <t>diamond cutting / jewellery</t>
        </is>
      </c>
      <c r="G227" s="31" t="inlineStr">
        <is>
          <t>midcap</t>
        </is>
      </c>
      <c r="H227" s="32" t="n">
        <v>12235.81</v>
      </c>
      <c r="I227" s="32" t="n">
        <v>773.95</v>
      </c>
      <c r="J227" s="32" t="n">
        <v>-7.1</v>
      </c>
      <c r="K227" s="32" t="n">
        <v>2043318</v>
      </c>
      <c r="L227" s="31" t="n">
        <v>93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80.16</v>
      </c>
      <c r="P227" s="32" t="n">
        <v>61.14</v>
      </c>
      <c r="Q227" s="32" t="n">
        <v>584.28</v>
      </c>
      <c r="R227" s="31" t="inlineStr">
        <is>
          <t>Volume Spike &amp; Near 52W High Breakout</t>
        </is>
      </c>
      <c r="S227" s="31" t="inlineStr">
        <is>
          <t>Nifty 50</t>
        </is>
      </c>
      <c r="T227" s="32" t="n">
        <v>-0.96</v>
      </c>
      <c r="U227" s="32" t="n">
        <v>183.34</v>
      </c>
      <c r="V227" s="32" t="n">
        <v>186.08</v>
      </c>
      <c r="W227" s="32" t="n">
        <v>40.21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Above 40</t>
        </is>
      </c>
      <c r="AY227" s="31">
        <f>IF(AX227="Above 40",20,IF(AX227="20 to 40",10,IF(AX227="0 to 20",-5,0)))</f>
        <v/>
      </c>
      <c r="AZ227" s="31" t="inlineStr">
        <is>
          <t>Above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Negative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Between 0.7 to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IF(B228=0,"",RANK(B228,$B$2:$B$378,0))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UGARSUGAR</t>
        </is>
      </c>
      <c r="D228" s="31" t="inlineStr">
        <is>
          <t>The Ugar Sugar Works Limited</t>
        </is>
      </c>
      <c r="E228" s="31" t="inlineStr">
        <is>
          <t>fmcg</t>
        </is>
      </c>
      <c r="F228" s="31" t="inlineStr">
        <is>
          <t>sugar</t>
        </is>
      </c>
      <c r="G228" s="31" t="inlineStr">
        <is>
          <t>smallcap</t>
        </is>
      </c>
      <c r="H228" s="32" t="n">
        <v>511.99</v>
      </c>
      <c r="I228" s="32" t="n">
        <v>46.46</v>
      </c>
      <c r="J228" s="32" t="n">
        <v>5.23</v>
      </c>
      <c r="K228" s="32" t="n">
        <v>850453</v>
      </c>
      <c r="L228" s="31" t="n">
        <v>16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67.52</v>
      </c>
      <c r="P228" s="32" t="n">
        <v>13.97</v>
      </c>
      <c r="Q228" s="32" t="n">
        <v>35.66</v>
      </c>
      <c r="R228" s="31" t="inlineStr">
        <is>
          <t>Volume Spike &amp; Near 52W High Breakout</t>
        </is>
      </c>
      <c r="S228" s="31" t="inlineStr">
        <is>
          <t>Nifty FMCG</t>
        </is>
      </c>
      <c r="T228" s="32" t="n">
        <v>-10.52</v>
      </c>
      <c r="U228" s="32" t="n">
        <v>3.45</v>
      </c>
      <c r="V228" s="32" t="n">
        <v>15.61</v>
      </c>
      <c r="W228" s="32" t="n">
        <v>3.09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B2C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Annuity, Lower One Time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More than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IF(B229=0,"",RANK(B229,$B$2:$B$378,0))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VENUSREM</t>
        </is>
      </c>
      <c r="D229" s="31" t="inlineStr">
        <is>
          <t>Venus Remedies Limited</t>
        </is>
      </c>
      <c r="E229" s="31" t="inlineStr">
        <is>
          <t>healthcare</t>
        </is>
      </c>
      <c r="F229" s="31" t="inlineStr">
        <is>
          <t>pharmaceuticals - indian - formulations</t>
        </is>
      </c>
      <c r="G229" s="31" t="inlineStr">
        <is>
          <t>smallcap</t>
        </is>
      </c>
      <c r="H229" s="32" t="n">
        <v>2096.88</v>
      </c>
      <c r="I229" s="32" t="n">
        <v>1729.3</v>
      </c>
      <c r="J229" s="32" t="n">
        <v>5</v>
      </c>
      <c r="K229" s="32" t="n">
        <v>72791</v>
      </c>
      <c r="L229" s="31" t="n">
        <v>97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65.65000000000001</v>
      </c>
      <c r="P229" s="32" t="n">
        <v>59.16</v>
      </c>
      <c r="Q229" s="32" t="n">
        <v>1378.93</v>
      </c>
      <c r="R229" s="31" t="inlineStr">
        <is>
          <t>Earnings / Momentum Support</t>
        </is>
      </c>
      <c r="S229" s="31" t="inlineStr">
        <is>
          <t>Nifty Pharma</t>
        </is>
      </c>
      <c r="T229" s="32" t="n">
        <v>20.47</v>
      </c>
      <c r="U229" s="32" t="n">
        <v>267.37</v>
      </c>
      <c r="V229" s="32" t="n">
        <v>204.95</v>
      </c>
      <c r="W229" s="32" t="n">
        <v>51.01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Yes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Annuity, Lower One Time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Above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IF(B230=0,"",RANK(B230,$B$2:$B$378,0))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MAGADSUGAR</t>
        </is>
      </c>
      <c r="D230" s="31" t="inlineStr">
        <is>
          <t>Magadh Sugar &amp; Energy Ltd</t>
        </is>
      </c>
      <c r="E230" s="31" t="inlineStr">
        <is>
          <t>fmcg</t>
        </is>
      </c>
      <c r="F230" s="31" t="inlineStr">
        <is>
          <t>sugar</t>
        </is>
      </c>
      <c r="G230" s="31" t="inlineStr">
        <is>
          <t>smallcap</t>
        </is>
      </c>
      <c r="H230" s="32" t="n">
        <v>740.87</v>
      </c>
      <c r="I230" s="32" t="n">
        <v>542.85</v>
      </c>
      <c r="J230" s="32" t="n">
        <v>4.32</v>
      </c>
      <c r="K230" s="32" t="n">
        <v>78615</v>
      </c>
      <c r="L230" s="31" t="n">
        <v>13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65.68000000000001</v>
      </c>
      <c r="P230" s="32" t="n">
        <v>14.73</v>
      </c>
      <c r="Q230" s="32" t="n">
        <v>421.52</v>
      </c>
      <c r="R230" s="31" t="inlineStr">
        <is>
          <t>Near 52W High Breakout</t>
        </is>
      </c>
      <c r="S230" s="31" t="inlineStr">
        <is>
          <t>Nifty FMCG</t>
        </is>
      </c>
      <c r="T230" s="32" t="n">
        <v>-10.52</v>
      </c>
      <c r="U230" s="32" t="n">
        <v>-1.19</v>
      </c>
      <c r="V230" s="32" t="n">
        <v>10.43</v>
      </c>
      <c r="W230" s="32" t="n">
        <v>2.36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B2C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Annuity, Lower One Time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Between 0.7 to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IF(B231=0,"",RANK(B231,$B$2:$B$378,0))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GLAXO</t>
        </is>
      </c>
      <c r="D231" s="33" t="inlineStr">
        <is>
          <t>Glaxosmithkline Pharmaceuticals Limited</t>
        </is>
      </c>
      <c r="E231" s="31" t="inlineStr">
        <is>
          <t>healthcare</t>
        </is>
      </c>
      <c r="F231" s="31" t="inlineStr">
        <is>
          <t>pharmaceuticals - multinational</t>
        </is>
      </c>
      <c r="G231" s="31" t="inlineStr">
        <is>
          <t>largecap</t>
        </is>
      </c>
      <c r="H231" s="32" t="n">
        <v>44077.76</v>
      </c>
      <c r="I231" s="32" t="n">
        <v>2667.7</v>
      </c>
      <c r="J231" s="32" t="n">
        <v>1.81</v>
      </c>
      <c r="K231" s="32" t="n">
        <v>59367</v>
      </c>
      <c r="L231" s="31" t="n">
        <v>14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62.87</v>
      </c>
      <c r="P231" s="32" t="n">
        <v>20.48</v>
      </c>
      <c r="Q231" s="32" t="n">
        <v>2250.61</v>
      </c>
      <c r="R231" s="31" t="inlineStr">
        <is>
          <t>Near 52W High Breakout</t>
        </is>
      </c>
      <c r="S231" s="31" t="inlineStr">
        <is>
          <t>Nifty Pharma</t>
        </is>
      </c>
      <c r="T231" s="32" t="n">
        <v>20.47</v>
      </c>
      <c r="U231" s="32" t="n">
        <v>-1.23</v>
      </c>
      <c r="V231" s="32" t="n">
        <v>-18.01</v>
      </c>
      <c r="W231" s="32" t="n">
        <v>2.5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Yes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Annuity, Lower One Time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Between 12 to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IF(B232=0,"",RANK(B232,$B$2:$B$378,0))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GLENMARK</t>
        </is>
      </c>
      <c r="D232" s="33" t="inlineStr">
        <is>
          <t>Glenmark Pharmaceuticals Limited</t>
        </is>
      </c>
      <c r="E232" s="31" t="inlineStr">
        <is>
          <t>healthcare</t>
        </is>
      </c>
      <c r="F232" s="31" t="inlineStr">
        <is>
          <t>pharmaceuticals - indian - bulk drugs &amp; formln</t>
        </is>
      </c>
      <c r="G232" s="31" t="inlineStr">
        <is>
          <t>largecap</t>
        </is>
      </c>
      <c r="H232" s="32" t="n">
        <v>64228.9</v>
      </c>
      <c r="I232" s="32" t="n">
        <v>2320</v>
      </c>
      <c r="J232" s="32" t="n">
        <v>1.31</v>
      </c>
      <c r="K232" s="32" t="n">
        <v>822026</v>
      </c>
      <c r="L232" s="31" t="n">
        <v>15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59.91</v>
      </c>
      <c r="P232" s="32" t="n">
        <v>18.13</v>
      </c>
      <c r="Q232" s="32" t="n">
        <v>1959.26</v>
      </c>
      <c r="R232" s="31" t="inlineStr">
        <is>
          <t>Near 52W High Breakout</t>
        </is>
      </c>
      <c r="S232" s="31" t="inlineStr">
        <is>
          <t>Nifty Pharma</t>
        </is>
      </c>
      <c r="T232" s="32" t="n">
        <v>20.47</v>
      </c>
      <c r="U232" s="32" t="n">
        <v>13.75</v>
      </c>
      <c r="V232" s="32" t="n">
        <v>-5.58</v>
      </c>
      <c r="W232" s="32" t="n">
        <v>2.85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Yes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Annuity, Lower One Time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IF(B233=0,"",RANK(B233,$B$2:$B$378,0))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ANTHEM</t>
        </is>
      </c>
      <c r="D233" s="33" t="inlineStr">
        <is>
          <t>Anthem Biosciences Ltd</t>
        </is>
      </c>
      <c r="E233" s="31" t="inlineStr">
        <is>
          <t>healthcare</t>
        </is>
      </c>
      <c r="F233" s="31" t="inlineStr">
        <is>
          <t>pharmaceuticals - indian - bulk drugs &amp; formln</t>
        </is>
      </c>
      <c r="G233" s="31" t="inlineStr">
        <is>
          <t>largecap</t>
        </is>
      </c>
      <c r="H233" s="32" t="n">
        <v>50234.2</v>
      </c>
      <c r="I233" s="32" t="n">
        <v>874.9</v>
      </c>
      <c r="J233" s="32" t="n">
        <v>-0.4</v>
      </c>
      <c r="K233" s="32" t="n">
        <v>446775</v>
      </c>
      <c r="L233" s="31" t="n">
        <v>22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69.34</v>
      </c>
      <c r="P233" s="32" t="n">
        <v>37.4</v>
      </c>
      <c r="Q233" s="32" t="n">
        <v>730.01</v>
      </c>
      <c r="R233" s="31" t="inlineStr">
        <is>
          <t>Near 52W High Breakout</t>
        </is>
      </c>
      <c r="S233" s="31" t="inlineStr">
        <is>
          <t>Nifty Pharma</t>
        </is>
      </c>
      <c r="T233" s="32" t="n">
        <v>20.47</v>
      </c>
      <c r="U233" s="32" t="n">
        <v>6.33</v>
      </c>
      <c r="V233" s="32" t="n">
        <v>-11.74</v>
      </c>
      <c r="W233" s="32" t="n">
        <v>4.28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IF(B234=0,"",RANK(B234,$B$2:$B$378,0))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3IINFOLTD</t>
        </is>
      </c>
      <c r="D234" s="31" t="inlineStr">
        <is>
          <t>3i Infotech Ltd</t>
        </is>
      </c>
      <c r="E234" s="31" t="inlineStr">
        <is>
          <t>i.t</t>
        </is>
      </c>
      <c r="F234" s="31" t="inlineStr">
        <is>
          <t>computers - software - medium / small</t>
        </is>
      </c>
      <c r="G234" s="31" t="inlineStr">
        <is>
          <t>smallcap</t>
        </is>
      </c>
      <c r="H234" s="32" t="n">
        <v>572.4299999999999</v>
      </c>
      <c r="I234" s="32" t="n">
        <v>26.93</v>
      </c>
      <c r="J234" s="32" t="n">
        <v>-1.97</v>
      </c>
      <c r="K234" s="32" t="n">
        <v>1391031</v>
      </c>
      <c r="L234" s="31" t="n">
        <v>69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82.16</v>
      </c>
      <c r="P234" s="32" t="n">
        <v>39.86</v>
      </c>
      <c r="Q234" s="32" t="n">
        <v>21.85</v>
      </c>
      <c r="R234" s="31" t="inlineStr">
        <is>
          <t>Volume Spike &amp; Near 52W High Breakout</t>
        </is>
      </c>
      <c r="S234" s="31" t="inlineStr">
        <is>
          <t>Nifty IT</t>
        </is>
      </c>
      <c r="T234" s="32" t="n">
        <v>-9.699999999999999</v>
      </c>
      <c r="U234" s="32" t="n">
        <v>21.31</v>
      </c>
      <c r="V234" s="32" t="n">
        <v>34.34</v>
      </c>
      <c r="W234" s="32" t="n">
        <v>17.25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Above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IF(B235=0,"",RANK(B235,$B$2:$B$378,0))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OMAXE</t>
        </is>
      </c>
      <c r="D235" s="31" t="inlineStr">
        <is>
          <t>Omaxe Limited</t>
        </is>
      </c>
      <c r="E235" s="31" t="inlineStr">
        <is>
          <t>realty</t>
        </is>
      </c>
      <c r="F235" s="31" t="inlineStr">
        <is>
          <t>construction</t>
        </is>
      </c>
      <c r="G235" s="31" t="inlineStr">
        <is>
          <t>smallcap</t>
        </is>
      </c>
      <c r="H235" s="32" t="n">
        <v>1518.62</v>
      </c>
      <c r="I235" s="32" t="n">
        <v>98.37</v>
      </c>
      <c r="J235" s="32" t="n">
        <v>19.99</v>
      </c>
      <c r="K235" s="32" t="n">
        <v>19398685</v>
      </c>
      <c r="L235" s="31" t="n">
        <v>27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65.93000000000001</v>
      </c>
      <c r="P235" s="32" t="n">
        <v>24.06</v>
      </c>
      <c r="Q235" s="32" t="n">
        <v>69.5</v>
      </c>
      <c r="R235" s="31" t="inlineStr">
        <is>
          <t>Volume Spike &amp; Near 52W High Breakout</t>
        </is>
      </c>
      <c r="S235" s="31" t="inlineStr">
        <is>
          <t>Nifty Realty</t>
        </is>
      </c>
      <c r="T235" s="32" t="n">
        <v>-5.49</v>
      </c>
      <c r="U235" s="32" t="n">
        <v>4.46</v>
      </c>
      <c r="V235" s="32" t="n">
        <v>10.53</v>
      </c>
      <c r="W235" s="32" t="n">
        <v>5.22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Negative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IF(B236=0,"",RANK(B236,$B$2:$B$378,0))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PVP</t>
        </is>
      </c>
      <c r="D236" s="31" t="inlineStr">
        <is>
          <t>Pvp Ventures Limited</t>
        </is>
      </c>
      <c r="E236" s="31" t="inlineStr">
        <is>
          <t>realty</t>
        </is>
      </c>
      <c r="F236" s="31" t="inlineStr">
        <is>
          <t>construction</t>
        </is>
      </c>
      <c r="G236" s="31" t="inlineStr">
        <is>
          <t>smallcap</t>
        </is>
      </c>
      <c r="H236" s="32" t="n">
        <v>897.35</v>
      </c>
      <c r="I236" s="32" t="n">
        <v>36.67</v>
      </c>
      <c r="J236" s="32" t="n">
        <v>7.38</v>
      </c>
      <c r="K236" s="32" t="n">
        <v>2684334</v>
      </c>
      <c r="L236" s="31" t="n">
        <v>65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62.61</v>
      </c>
      <c r="P236" s="32" t="n">
        <v>11.5</v>
      </c>
      <c r="Q236" s="32" t="n">
        <v>24.75</v>
      </c>
      <c r="R236" s="31" t="inlineStr">
        <is>
          <t>Volume Spike &amp; Near 52W High Breakout</t>
        </is>
      </c>
      <c r="S236" s="31" t="inlineStr">
        <is>
          <t>Nifty Realty</t>
        </is>
      </c>
      <c r="T236" s="32" t="n">
        <v>-5.49</v>
      </c>
      <c r="U236" s="32" t="n">
        <v>73.63</v>
      </c>
      <c r="V236" s="32" t="n">
        <v>83.72</v>
      </c>
      <c r="W236" s="32" t="n">
        <v>15.65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Negative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IF(B237=0,"",RANK(B237,$B$2:$B$378,0))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GANDHAR</t>
        </is>
      </c>
      <c r="D237" s="31" t="inlineStr">
        <is>
          <t>Gandhar Oil Refinery (India) Ltd</t>
        </is>
      </c>
      <c r="E237" s="31" t="inlineStr">
        <is>
          <t>energy</t>
        </is>
      </c>
      <c r="F237" s="31" t="inlineStr">
        <is>
          <t>refineries</t>
        </is>
      </c>
      <c r="G237" s="31" t="inlineStr">
        <is>
          <t>smallcap</t>
        </is>
      </c>
      <c r="H237" s="32" t="n">
        <v>2382.49</v>
      </c>
      <c r="I237" s="32" t="n">
        <v>244.75</v>
      </c>
      <c r="J237" s="32" t="n">
        <v>3.58</v>
      </c>
      <c r="K237" s="32" t="n">
        <v>1608171</v>
      </c>
      <c r="L237" s="31" t="inlineStr"/>
      <c r="M237" s="31" t="inlineStr"/>
      <c r="N237" s="32">
        <f>IF(M237="Underperforming",-5,IF(L237&gt;=95,15,IF(L237&gt;=90,10,IF(L237&gt;=80,5,0))))</f>
        <v/>
      </c>
      <c r="O237" s="32" t="n">
        <v>66.15000000000001</v>
      </c>
      <c r="P237" s="32" t="n">
        <v>61.7</v>
      </c>
      <c r="Q237" s="32" t="n">
        <v>208.05</v>
      </c>
      <c r="R237" s="31" t="inlineStr">
        <is>
          <t>Earnings / Momentum Support</t>
        </is>
      </c>
      <c r="S237" s="31" t="inlineStr">
        <is>
          <t>Nifty Energy</t>
        </is>
      </c>
      <c r="T237" s="32" t="inlineStr"/>
      <c r="U237" s="32" t="inlineStr"/>
      <c r="V237" s="32" t="inlineStr"/>
      <c r="W237" s="32" t="inlineStr"/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Oligopoly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Yes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Cyclical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Volatile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Above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Less than 1.5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IF(B238=0,"",RANK(B238,$B$2:$B$378,0))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MANAKSTEEL</t>
        </is>
      </c>
      <c r="D238" s="31" t="inlineStr">
        <is>
          <t>Manaksia Steels Limited</t>
        </is>
      </c>
      <c r="E238" s="31" t="inlineStr">
        <is>
          <t>metals &amp; mining</t>
        </is>
      </c>
      <c r="F238" s="31" t="inlineStr">
        <is>
          <t>steel - medium / small</t>
        </is>
      </c>
      <c r="G238" s="31" t="inlineStr">
        <is>
          <t>smallcap</t>
        </is>
      </c>
      <c r="H238" s="32" t="n">
        <v>555.14</v>
      </c>
      <c r="I238" s="32" t="n">
        <v>85.3</v>
      </c>
      <c r="J238" s="32" t="n">
        <v>3.08</v>
      </c>
      <c r="K238" s="32" t="n">
        <v>94999</v>
      </c>
      <c r="L238" s="31" t="inlineStr"/>
      <c r="M238" s="31" t="inlineStr"/>
      <c r="N238" s="32">
        <f>IF(M238="Underperforming",-5,IF(L238&gt;=95,15,IF(L238&gt;=90,10,IF(L238&gt;=80,5,0))))</f>
        <v/>
      </c>
      <c r="O238" s="32" t="n">
        <v>66.14</v>
      </c>
      <c r="P238" s="32" t="n">
        <v>38.81</v>
      </c>
      <c r="Q238" s="32" t="n">
        <v>59.31</v>
      </c>
      <c r="R238" s="31" t="inlineStr">
        <is>
          <t>Volume Spike &amp; Near 52W High Breakout</t>
        </is>
      </c>
      <c r="S238" s="31" t="inlineStr">
        <is>
          <t>Nifty Metal</t>
        </is>
      </c>
      <c r="T238" s="32" t="inlineStr"/>
      <c r="U238" s="32" t="inlineStr"/>
      <c r="V238" s="32" t="inlineStr"/>
      <c r="W238" s="32" t="inlineStr"/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Cyclical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Volatile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Blue sky scenario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IF(B239=0,"",RANK(B239,$B$2:$B$378,0))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PITTIENG</t>
        </is>
      </c>
      <c r="D239" s="31" t="inlineStr">
        <is>
          <t>Pitti Engineering Ltd</t>
        </is>
      </c>
      <c r="E239" s="31" t="inlineStr">
        <is>
          <t>industrials</t>
        </is>
      </c>
      <c r="F239" s="31" t="inlineStr">
        <is>
          <t>engineering</t>
        </is>
      </c>
      <c r="G239" s="31" t="inlineStr">
        <is>
          <t>smallcap</t>
        </is>
      </c>
      <c r="H239" s="32" t="n">
        <v>3616.06</v>
      </c>
      <c r="I239" s="32" t="n">
        <v>1064.95</v>
      </c>
      <c r="J239" s="32" t="n">
        <v>2</v>
      </c>
      <c r="K239" s="32" t="n">
        <v>344293</v>
      </c>
      <c r="L239" s="31" t="n">
        <v>35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64.33</v>
      </c>
      <c r="P239" s="32" t="n">
        <v>6.82</v>
      </c>
      <c r="Q239" s="32" t="n">
        <v>833.6</v>
      </c>
      <c r="R239" s="31" t="inlineStr">
        <is>
          <t>Volume Spike &amp; Near 52W High Breakout</t>
        </is>
      </c>
      <c r="S239" s="31" t="inlineStr">
        <is>
          <t>Nifty Infra</t>
        </is>
      </c>
      <c r="T239" s="32" t="n">
        <v>3.6</v>
      </c>
      <c r="U239" s="32" t="n">
        <v>12.71</v>
      </c>
      <c r="V239" s="32" t="n">
        <v>8.789999999999999</v>
      </c>
      <c r="W239" s="32" t="n">
        <v>7.05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Between 0.7 to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IF(B240=0,"",RANK(B240,$B$2:$B$378,0))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ALKYLAMINE</t>
        </is>
      </c>
      <c r="D240" s="33" t="inlineStr">
        <is>
          <t>Alkyl Amines Chemicals Limited</t>
        </is>
      </c>
      <c r="E240" s="31" t="inlineStr">
        <is>
          <t>chemicals</t>
        </is>
      </c>
      <c r="F240" s="31" t="inlineStr">
        <is>
          <t>chemicals</t>
        </is>
      </c>
      <c r="G240" s="31" t="inlineStr">
        <is>
          <t>midcap</t>
        </is>
      </c>
      <c r="H240" s="32" t="n">
        <v>9960.209999999999</v>
      </c>
      <c r="I240" s="32" t="n">
        <v>1920</v>
      </c>
      <c r="J240" s="32" t="n">
        <v>1.6</v>
      </c>
      <c r="K240" s="32" t="n">
        <v>35430</v>
      </c>
      <c r="L240" s="31" t="n">
        <v>11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63.35</v>
      </c>
      <c r="P240" s="32" t="n">
        <v>40.77</v>
      </c>
      <c r="Q240" s="32" t="n">
        <v>1485.29</v>
      </c>
      <c r="R240" s="31" t="inlineStr">
        <is>
          <t>Earnings / Momentum Support</t>
        </is>
      </c>
      <c r="S240" s="31" t="inlineStr">
        <is>
          <t>Nifty 50</t>
        </is>
      </c>
      <c r="T240" s="32" t="n">
        <v>-0.96</v>
      </c>
      <c r="U240" s="32" t="n">
        <v>-6.72</v>
      </c>
      <c r="V240" s="32" t="n">
        <v>-5.82</v>
      </c>
      <c r="W240" s="32" t="n">
        <v>1.81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Above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IF(B241=0,"",RANK(B241,$B$2:$B$378,0))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SUNDRMFAST</t>
        </is>
      </c>
      <c r="D241" s="31" t="inlineStr">
        <is>
          <t>Sundram Fasteners Limited</t>
        </is>
      </c>
      <c r="E241" s="31" t="inlineStr">
        <is>
          <t>auto</t>
        </is>
      </c>
      <c r="F241" s="31" t="inlineStr">
        <is>
          <t>auto ancillaries</t>
        </is>
      </c>
      <c r="G241" s="31" t="inlineStr">
        <is>
          <t>largecap</t>
        </is>
      </c>
      <c r="H241" s="32" t="n">
        <v>25426.58</v>
      </c>
      <c r="I241" s="32" t="n">
        <v>1229</v>
      </c>
      <c r="J241" s="32" t="n">
        <v>1.57</v>
      </c>
      <c r="K241" s="32" t="n">
        <v>164015</v>
      </c>
      <c r="L241" s="31" t="inlineStr"/>
      <c r="M241" s="31" t="inlineStr"/>
      <c r="N241" s="32">
        <f>IF(M241="Underperforming",-5,IF(L241&gt;=95,15,IF(L241&gt;=90,10,IF(L241&gt;=80,5,0))))</f>
        <v/>
      </c>
      <c r="O241" s="32" t="n">
        <v>82.09</v>
      </c>
      <c r="P241" s="32" t="n">
        <v>22.09</v>
      </c>
      <c r="Q241" s="32" t="n">
        <v>1040.57</v>
      </c>
      <c r="R241" s="31" t="inlineStr">
        <is>
          <t>Volume Spike &amp; Near 52W High Breakout</t>
        </is>
      </c>
      <c r="S241" s="31" t="inlineStr">
        <is>
          <t>Nifty Auto</t>
        </is>
      </c>
      <c r="T241" s="32" t="inlineStr"/>
      <c r="U241" s="32" t="inlineStr"/>
      <c r="V241" s="32" t="inlineStr"/>
      <c r="W241" s="32" t="inlineStr"/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Above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Between 12 to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IF(B242=0,"",RANK(B242,$B$2:$B$378,0))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SMARTWORKS</t>
        </is>
      </c>
      <c r="D242" s="31" t="inlineStr">
        <is>
          <t>Smartworks Coworking Spaces Ltd</t>
        </is>
      </c>
      <c r="E242" s="31" t="inlineStr">
        <is>
          <t>co-working</t>
        </is>
      </c>
      <c r="F242" s="31" t="inlineStr">
        <is>
          <t>miscellaneous</t>
        </is>
      </c>
      <c r="G242" s="31" t="inlineStr">
        <is>
          <t>midcap</t>
        </is>
      </c>
      <c r="H242" s="32" t="n">
        <v>5462.87</v>
      </c>
      <c r="I242" s="32" t="n">
        <v>495.5</v>
      </c>
      <c r="J242" s="32" t="n">
        <v>1.43</v>
      </c>
      <c r="K242" s="32" t="n">
        <v>58999</v>
      </c>
      <c r="L242" s="31" t="n">
        <v>29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55.65</v>
      </c>
      <c r="P242" s="32" t="n">
        <v>24.78</v>
      </c>
      <c r="Q242" s="32" t="n">
        <v>378.32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-0.96</v>
      </c>
      <c r="U242" s="32" t="n">
        <v>8.289999999999999</v>
      </c>
      <c r="V242" s="32" t="n">
        <v>9.33</v>
      </c>
      <c r="W242" s="32" t="n">
        <v>5.43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More than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IF(B243=0,"",RANK(B243,$B$2:$B$378,0))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GRAPHITE</t>
        </is>
      </c>
      <c r="D243" s="31" t="inlineStr">
        <is>
          <t>Graphite India Limited</t>
        </is>
      </c>
      <c r="E243" s="31" t="inlineStr">
        <is>
          <t>industrials</t>
        </is>
      </c>
      <c r="F243" s="31" t="inlineStr">
        <is>
          <t>electrodes - graphites</t>
        </is>
      </c>
      <c r="G243" s="31" t="inlineStr">
        <is>
          <t>midcap</t>
        </is>
      </c>
      <c r="H243" s="32" t="n">
        <v>14279.03</v>
      </c>
      <c r="I243" s="32" t="n">
        <v>734.85</v>
      </c>
      <c r="J243" s="32" t="n">
        <v>1.18</v>
      </c>
      <c r="K243" s="32" t="n">
        <v>684781</v>
      </c>
      <c r="L243" s="31" t="n">
        <v>32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61.21</v>
      </c>
      <c r="P243" s="32" t="n">
        <v>17.21</v>
      </c>
      <c r="Q243" s="32" t="n">
        <v>589.34</v>
      </c>
      <c r="R243" s="31" t="inlineStr">
        <is>
          <t>Near 52W High Breakout</t>
        </is>
      </c>
      <c r="S243" s="31" t="inlineStr">
        <is>
          <t>Nifty 50</t>
        </is>
      </c>
      <c r="T243" s="32" t="n">
        <v>-0.96</v>
      </c>
      <c r="U243" s="32" t="n">
        <v>39.01</v>
      </c>
      <c r="V243" s="32" t="n">
        <v>40.35</v>
      </c>
      <c r="W243" s="32" t="n">
        <v>6.34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IF(B244=0,"",RANK(B244,$B$2:$B$378,0))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MBAPL</t>
        </is>
      </c>
      <c r="D244" s="31" t="inlineStr">
        <is>
          <t>Madhya Bharat Agro Products Ltd</t>
        </is>
      </c>
      <c r="E244" s="31" t="inlineStr">
        <is>
          <t>chemicals</t>
        </is>
      </c>
      <c r="F244" s="31" t="inlineStr">
        <is>
          <t>fertilizers</t>
        </is>
      </c>
      <c r="G244" s="31" t="inlineStr">
        <is>
          <t>smallcap</t>
        </is>
      </c>
      <c r="H244" s="32" t="n">
        <v>1450.14</v>
      </c>
      <c r="I244" s="32" t="n">
        <v>167</v>
      </c>
      <c r="J244" s="32" t="n">
        <v>0.75</v>
      </c>
      <c r="K244" s="32" t="n">
        <v>802624</v>
      </c>
      <c r="L244" s="31" t="n">
        <v>85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86.40000000000001</v>
      </c>
      <c r="P244" s="32" t="n">
        <v>65.77</v>
      </c>
      <c r="Q244" s="32" t="n">
        <v>134.86</v>
      </c>
      <c r="R244" s="31" t="inlineStr">
        <is>
          <t>Near 52W High Breakout</t>
        </is>
      </c>
      <c r="S244" s="31" t="inlineStr">
        <is>
          <t>Nifty 50</t>
        </is>
      </c>
      <c r="T244" s="32" t="n">
        <v>-0.96</v>
      </c>
      <c r="U244" s="32" t="n">
        <v>99.58</v>
      </c>
      <c r="V244" s="32" t="n">
        <v>101.5</v>
      </c>
      <c r="W244" s="32" t="n">
        <v>28.04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Above 40</t>
        </is>
      </c>
      <c r="AY244" s="31">
        <f>IF(AX244="Above 40",20,IF(AX244="20 to 40",10,IF(AX244="0 to 20",-5,0)))</f>
        <v/>
      </c>
      <c r="AZ244" s="31" t="inlineStr">
        <is>
          <t>Above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Between 12 to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More than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IF(B245=0,"",RANK(B245,$B$2:$B$378,0))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VARROC</t>
        </is>
      </c>
      <c r="D245" s="31" t="inlineStr">
        <is>
          <t>Varroc Engineering Ltd</t>
        </is>
      </c>
      <c r="E245" s="31" t="inlineStr">
        <is>
          <t>auto</t>
        </is>
      </c>
      <c r="F245" s="31" t="inlineStr">
        <is>
          <t>auto ancillaries</t>
        </is>
      </c>
      <c r="G245" s="31" t="inlineStr">
        <is>
          <t>midcap</t>
        </is>
      </c>
      <c r="H245" s="32" t="n">
        <v>12866.91</v>
      </c>
      <c r="I245" s="32" t="n">
        <v>841.95</v>
      </c>
      <c r="J245" s="32" t="n">
        <v>0.6899999999999999</v>
      </c>
      <c r="K245" s="32" t="n">
        <v>330258</v>
      </c>
      <c r="L245" s="31" t="inlineStr"/>
      <c r="M245" s="31" t="inlineStr"/>
      <c r="N245" s="32">
        <f>IF(M245="Underperforming",-5,IF(L245&gt;=95,15,IF(L245&gt;=90,10,IF(L245&gt;=80,5,0))))</f>
        <v/>
      </c>
      <c r="O245" s="32" t="n">
        <v>81.03</v>
      </c>
      <c r="P245" s="32" t="n">
        <v>39.33</v>
      </c>
      <c r="Q245" s="32" t="n">
        <v>685.08</v>
      </c>
      <c r="R245" s="31" t="inlineStr">
        <is>
          <t>Near 52W High Breakout</t>
        </is>
      </c>
      <c r="S245" s="31" t="inlineStr">
        <is>
          <t>Nifty Auto</t>
        </is>
      </c>
      <c r="T245" s="32" t="inlineStr"/>
      <c r="U245" s="32" t="inlineStr"/>
      <c r="V245" s="32" t="inlineStr"/>
      <c r="W245" s="32" t="inlineStr"/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Above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Blue sky scenario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IF(B246=0,"",RANK(B246,$B$2:$B$378,0))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3MINDIA</t>
        </is>
      </c>
      <c r="D246" s="31" t="inlineStr">
        <is>
          <t>3m India Limited</t>
        </is>
      </c>
      <c r="E246" s="31" t="inlineStr">
        <is>
          <t>miscellaneous</t>
        </is>
      </c>
      <c r="F246" s="31" t="inlineStr">
        <is>
          <t>diversified - large</t>
        </is>
      </c>
      <c r="G246" s="31" t="inlineStr">
        <is>
          <t>largecap</t>
        </is>
      </c>
      <c r="H246" s="32" t="n">
        <v>40683.8</v>
      </c>
      <c r="I246" s="32" t="n">
        <v>36180</v>
      </c>
      <c r="J246" s="32" t="n">
        <v>0.68</v>
      </c>
      <c r="K246" s="32" t="n">
        <v>4039</v>
      </c>
      <c r="L246" s="31" t="n">
        <v>40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62.18</v>
      </c>
      <c r="P246" s="32" t="n">
        <v>16.75</v>
      </c>
      <c r="Q246" s="32" t="n">
        <v>30709.96</v>
      </c>
      <c r="R246" s="31" t="inlineStr">
        <is>
          <t>Near 52W High Breakout</t>
        </is>
      </c>
      <c r="S246" s="31" t="inlineStr">
        <is>
          <t>Nifty 500</t>
        </is>
      </c>
      <c r="T246" s="32" t="n">
        <v>4.31</v>
      </c>
      <c r="U246" s="32" t="n">
        <v>20.89</v>
      </c>
      <c r="V246" s="32" t="n">
        <v>15.89</v>
      </c>
      <c r="W246" s="32" t="n">
        <v>7.99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Blue sky scenario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Between 50% to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IF(B247=0,"",RANK(B247,$B$2:$B$378,0))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ABB</t>
        </is>
      </c>
      <c r="D247" s="31" t="inlineStr">
        <is>
          <t>Abb India Limited</t>
        </is>
      </c>
      <c r="E247" s="31" t="inlineStr">
        <is>
          <t>industrials</t>
        </is>
      </c>
      <c r="F247" s="31" t="inlineStr">
        <is>
          <t>electric equipment</t>
        </is>
      </c>
      <c r="G247" s="31" t="inlineStr">
        <is>
          <t>largecap</t>
        </is>
      </c>
      <c r="H247" s="32" t="n">
        <v>161294.06</v>
      </c>
      <c r="I247" s="32" t="n">
        <v>7710</v>
      </c>
      <c r="J247" s="32" t="n">
        <v>0</v>
      </c>
      <c r="K247" s="32" t="n">
        <v>258161</v>
      </c>
      <c r="L247" s="31" t="n">
        <v>60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65.09999999999999</v>
      </c>
      <c r="P247" s="32" t="n">
        <v>29.22</v>
      </c>
      <c r="Q247" s="32" t="n">
        <v>6272.87</v>
      </c>
      <c r="R247" s="31" t="inlineStr">
        <is>
          <t>Near 52W High Breakout</t>
        </is>
      </c>
      <c r="S247" s="31" t="inlineStr">
        <is>
          <t>Nifty 500</t>
        </is>
      </c>
      <c r="T247" s="32" t="n">
        <v>4.31</v>
      </c>
      <c r="U247" s="32" t="n">
        <v>55.72</v>
      </c>
      <c r="V247" s="32" t="n">
        <v>49.28</v>
      </c>
      <c r="W247" s="32" t="n">
        <v>14.1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IF(B248=0,"",RANK(B248,$B$2:$B$378,0))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RAMRAT</t>
        </is>
      </c>
      <c r="D248" s="31" t="inlineStr">
        <is>
          <t>Ram Ratna Wires Ltd</t>
        </is>
      </c>
      <c r="E248" s="31" t="inlineStr">
        <is>
          <t>metals &amp; mining</t>
        </is>
      </c>
      <c r="F248" s="31" t="inlineStr">
        <is>
          <t>mining / minerals / metals</t>
        </is>
      </c>
      <c r="G248" s="31" t="inlineStr">
        <is>
          <t>smallcap</t>
        </is>
      </c>
      <c r="H248" s="32" t="n">
        <v>4196.04</v>
      </c>
      <c r="I248" s="32" t="n">
        <v>471.35</v>
      </c>
      <c r="J248" s="32" t="n">
        <v>-0.55</v>
      </c>
      <c r="K248" s="32" t="n">
        <v>373346</v>
      </c>
      <c r="L248" s="31" t="inlineStr"/>
      <c r="M248" s="31" t="inlineStr"/>
      <c r="N248" s="32">
        <f>IF(M248="Underperforming",-5,IF(L248&gt;=95,15,IF(L248&gt;=90,10,IF(L248&gt;=80,5,0))))</f>
        <v/>
      </c>
      <c r="O248" s="32" t="n">
        <v>69.12</v>
      </c>
      <c r="P248" s="32" t="n">
        <v>42.86</v>
      </c>
      <c r="Q248" s="32" t="n">
        <v>350.12</v>
      </c>
      <c r="R248" s="31" t="inlineStr">
        <is>
          <t>Near 52W High Breakout</t>
        </is>
      </c>
      <c r="S248" s="31" t="inlineStr">
        <is>
          <t>Nifty Metal</t>
        </is>
      </c>
      <c r="T248" s="32" t="inlineStr"/>
      <c r="U248" s="32" t="inlineStr"/>
      <c r="V248" s="32" t="inlineStr"/>
      <c r="W248" s="32" t="inlineStr"/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Cyclical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Volatile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Above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Blue sky scenario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Between 0.7 to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IF(B249=0,"",RANK(B249,$B$2:$B$378,0))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HEROMOTOCO</t>
        </is>
      </c>
      <c r="D249" s="31" t="inlineStr">
        <is>
          <t>Hero Motocorp Limited</t>
        </is>
      </c>
      <c r="E249" s="31" t="inlineStr">
        <is>
          <t>auto</t>
        </is>
      </c>
      <c r="F249" s="31" t="inlineStr">
        <is>
          <t>automobiles - motorcycles / mopeds</t>
        </is>
      </c>
      <c r="G249" s="31" t="inlineStr">
        <is>
          <t>largecap</t>
        </is>
      </c>
      <c r="H249" s="32" t="n">
        <v>117364.51</v>
      </c>
      <c r="I249" s="32" t="n">
        <v>5850</v>
      </c>
      <c r="J249" s="32" t="n">
        <v>-0.76</v>
      </c>
      <c r="K249" s="32" t="n">
        <v>1025510</v>
      </c>
      <c r="L249" s="31" t="inlineStr"/>
      <c r="M249" s="31" t="inlineStr"/>
      <c r="N249" s="32">
        <f>IF(M249="Underperforming",-5,IF(L249&gt;=95,15,IF(L249&gt;=90,10,IF(L249&gt;=80,5,0))))</f>
        <v/>
      </c>
      <c r="O249" s="32" t="n">
        <v>66.34999999999999</v>
      </c>
      <c r="P249" s="32" t="n">
        <v>11.49</v>
      </c>
      <c r="Q249" s="32" t="n">
        <v>4975.71</v>
      </c>
      <c r="R249" s="31" t="inlineStr">
        <is>
          <t>Near 52W High Breakout</t>
        </is>
      </c>
      <c r="S249" s="31" t="inlineStr">
        <is>
          <t>Nifty Auto</t>
        </is>
      </c>
      <c r="T249" s="32" t="inlineStr"/>
      <c r="U249" s="32" t="inlineStr"/>
      <c r="V249" s="32" t="inlineStr"/>
      <c r="W249" s="32" t="inlineStr"/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Blue sky scenario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IF(B250=0,"",RANK(B250,$B$2:$B$378,0))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SUMICHEM</t>
        </is>
      </c>
      <c r="D250" s="33" t="inlineStr">
        <is>
          <t>Sumitomo Chemical India Ltd</t>
        </is>
      </c>
      <c r="E250" s="31" t="inlineStr">
        <is>
          <t>chemicals</t>
        </is>
      </c>
      <c r="F250" s="31" t="inlineStr">
        <is>
          <t>pesticides / agrochemicals - indian</t>
        </is>
      </c>
      <c r="G250" s="31" t="inlineStr">
        <is>
          <t>largecap</t>
        </is>
      </c>
      <c r="H250" s="32" t="n">
        <v>27857.32</v>
      </c>
      <c r="I250" s="32" t="n">
        <v>541.9</v>
      </c>
      <c r="J250" s="32" t="n">
        <v>-1</v>
      </c>
      <c r="K250" s="32" t="n">
        <v>274916</v>
      </c>
      <c r="L250" s="31" t="n">
        <v>18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62.57</v>
      </c>
      <c r="P250" s="32" t="n">
        <v>32.95</v>
      </c>
      <c r="Q250" s="32" t="n">
        <v>420.54</v>
      </c>
      <c r="R250" s="31" t="inlineStr">
        <is>
          <t>Earnings / Momentum Support</t>
        </is>
      </c>
      <c r="S250" s="31" t="inlineStr">
        <is>
          <t>Nifty 50</t>
        </is>
      </c>
      <c r="T250" s="32" t="n">
        <v>-0.96</v>
      </c>
      <c r="U250" s="32" t="n">
        <v>-7.19</v>
      </c>
      <c r="V250" s="32" t="n">
        <v>-6.29</v>
      </c>
      <c r="W250" s="32" t="n">
        <v>3.37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IF(B251=0,"",RANK(B251,$B$2:$B$378,0))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ENDURANCE</t>
        </is>
      </c>
      <c r="D251" s="31" t="inlineStr">
        <is>
          <t>Endurance Technologies Limited</t>
        </is>
      </c>
      <c r="E251" s="31" t="inlineStr">
        <is>
          <t>auto</t>
        </is>
      </c>
      <c r="F251" s="31" t="inlineStr">
        <is>
          <t>auto ancillaries</t>
        </is>
      </c>
      <c r="G251" s="31" t="inlineStr">
        <is>
          <t>largecap</t>
        </is>
      </c>
      <c r="H251" s="32" t="n">
        <v>42027.25</v>
      </c>
      <c r="I251" s="32" t="n">
        <v>2985</v>
      </c>
      <c r="J251" s="32" t="n">
        <v>-1.15</v>
      </c>
      <c r="K251" s="32" t="n">
        <v>143774</v>
      </c>
      <c r="L251" s="31" t="inlineStr"/>
      <c r="M251" s="31" t="inlineStr"/>
      <c r="N251" s="32">
        <f>IF(M251="Underperforming",-5,IF(L251&gt;=95,15,IF(L251&gt;=90,10,IF(L251&gt;=80,5,0))))</f>
        <v/>
      </c>
      <c r="O251" s="32" t="n">
        <v>65.59</v>
      </c>
      <c r="P251" s="32" t="n">
        <v>17.3</v>
      </c>
      <c r="Q251" s="32" t="n">
        <v>2426.17</v>
      </c>
      <c r="R251" s="31" t="inlineStr">
        <is>
          <t>Near 52W High Breakout</t>
        </is>
      </c>
      <c r="S251" s="31" t="inlineStr">
        <is>
          <t>Nifty Auto</t>
        </is>
      </c>
      <c r="T251" s="32" t="inlineStr"/>
      <c r="U251" s="32" t="inlineStr"/>
      <c r="V251" s="32" t="inlineStr"/>
      <c r="W251" s="32" t="inlineStr"/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Between 12 to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IF(B252=0,"",RANK(B252,$B$2:$B$378,0))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LUMAXIND</t>
        </is>
      </c>
      <c r="D252" s="31" t="inlineStr">
        <is>
          <t>Lumax Industries Limited</t>
        </is>
      </c>
      <c r="E252" s="31" t="inlineStr">
        <is>
          <t>auto</t>
        </is>
      </c>
      <c r="F252" s="31" t="inlineStr">
        <is>
          <t>auto ancillaries</t>
        </is>
      </c>
      <c r="G252" s="31" t="inlineStr">
        <is>
          <t>midcap</t>
        </is>
      </c>
      <c r="H252" s="32" t="n">
        <v>5605.37</v>
      </c>
      <c r="I252" s="32" t="n">
        <v>5852</v>
      </c>
      <c r="J252" s="32" t="n">
        <v>-1.91</v>
      </c>
      <c r="K252" s="32" t="n">
        <v>18074</v>
      </c>
      <c r="L252" s="31" t="inlineStr"/>
      <c r="M252" s="31" t="inlineStr"/>
      <c r="N252" s="32">
        <f>IF(M252="Underperforming",-5,IF(L252&gt;=95,15,IF(L252&gt;=90,10,IF(L252&gt;=80,5,0))))</f>
        <v/>
      </c>
      <c r="O252" s="32" t="n">
        <v>60.19</v>
      </c>
      <c r="P252" s="32" t="n">
        <v>10.82</v>
      </c>
      <c r="Q252" s="32" t="n">
        <v>4407.47</v>
      </c>
      <c r="R252" s="31" t="inlineStr">
        <is>
          <t>Volume Spike &amp; Near 52W High Breakout</t>
        </is>
      </c>
      <c r="S252" s="31" t="inlineStr">
        <is>
          <t>Nifty Auto</t>
        </is>
      </c>
      <c r="T252" s="32" t="inlineStr"/>
      <c r="U252" s="32" t="inlineStr"/>
      <c r="V252" s="32" t="inlineStr"/>
      <c r="W252" s="32" t="inlineStr"/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Between 0.7 to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IF(B253=0,"",RANK(B253,$B$2:$B$378,0))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DOLPHIN</t>
        </is>
      </c>
      <c r="D253" s="31" t="inlineStr">
        <is>
          <t>Dolphin Offshore Enterprises (India) Ltd</t>
        </is>
      </c>
      <c r="E253" s="31" t="inlineStr">
        <is>
          <t>energy</t>
        </is>
      </c>
      <c r="F253" s="31" t="inlineStr">
        <is>
          <t>oil drilling / allied services</t>
        </is>
      </c>
      <c r="G253" s="31" t="inlineStr">
        <is>
          <t>smallcap</t>
        </is>
      </c>
      <c r="H253" s="32" t="n">
        <v>1762.4</v>
      </c>
      <c r="I253" s="32" t="n">
        <v>484.9</v>
      </c>
      <c r="J253" s="32" t="n">
        <v>-1.91</v>
      </c>
      <c r="K253" s="32" t="n">
        <v>498545</v>
      </c>
      <c r="L253" s="31" t="inlineStr"/>
      <c r="M253" s="31" t="inlineStr"/>
      <c r="N253" s="32">
        <f>IF(M253="Underperforming",-5,IF(L253&gt;=95,15,IF(L253&gt;=90,10,IF(L253&gt;=80,5,0))))</f>
        <v/>
      </c>
      <c r="O253" s="32" t="n">
        <v>69.13</v>
      </c>
      <c r="P253" s="32" t="n">
        <v>27.45</v>
      </c>
      <c r="Q253" s="32" t="n">
        <v>351.75</v>
      </c>
      <c r="R253" s="31" t="inlineStr">
        <is>
          <t>Volume Spike &amp; Near 52W High Breakout</t>
        </is>
      </c>
      <c r="S253" s="31" t="inlineStr">
        <is>
          <t>Nifty Energy</t>
        </is>
      </c>
      <c r="T253" s="32" t="inlineStr"/>
      <c r="U253" s="32" t="inlineStr"/>
      <c r="V253" s="32" t="inlineStr"/>
      <c r="W253" s="32" t="inlineStr"/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Oligopoly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Yes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Cyclical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Volatile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IF(B254=0,"",RANK(B254,$B$2:$B$378,0))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FINEORG</t>
        </is>
      </c>
      <c r="D254" s="31" t="inlineStr">
        <is>
          <t>Fine Organic Industries Ltd</t>
        </is>
      </c>
      <c r="E254" s="31" t="inlineStr">
        <is>
          <t>chemicals</t>
        </is>
      </c>
      <c r="F254" s="31" t="inlineStr">
        <is>
          <t>chemicals</t>
        </is>
      </c>
      <c r="G254" s="31" t="inlineStr">
        <is>
          <t>midcap</t>
        </is>
      </c>
      <c r="H254" s="32" t="n">
        <v>15700.05</v>
      </c>
      <c r="I254" s="32" t="n">
        <v>5130</v>
      </c>
      <c r="J254" s="32" t="n">
        <v>-2.57</v>
      </c>
      <c r="K254" s="32" t="n">
        <v>28990</v>
      </c>
      <c r="L254" s="31" t="n">
        <v>20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60.31</v>
      </c>
      <c r="P254" s="32" t="n">
        <v>11.94</v>
      </c>
      <c r="Q254" s="32" t="n">
        <v>4244.19</v>
      </c>
      <c r="R254" s="31" t="inlineStr">
        <is>
          <t>Volume Spike &amp; Near 52W High Breakout</t>
        </is>
      </c>
      <c r="S254" s="31" t="inlineStr">
        <is>
          <t>Nifty IT</t>
        </is>
      </c>
      <c r="T254" s="32" t="n">
        <v>-9.699999999999999</v>
      </c>
      <c r="U254" s="32" t="n">
        <v>7.68</v>
      </c>
      <c r="V254" s="32" t="n">
        <v>19.25</v>
      </c>
      <c r="W254" s="32" t="n">
        <v>4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Between 12 to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IF(B255=0,"",RANK(B255,$B$2:$B$378,0))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ROSSTECH</t>
        </is>
      </c>
      <c r="D255" s="31" t="inlineStr">
        <is>
          <t>Rossell Techsys Ltd</t>
        </is>
      </c>
      <c r="E255" s="31" t="inlineStr">
        <is>
          <t>aerospace &amp; defence</t>
        </is>
      </c>
      <c r="F255" s="31" t="inlineStr">
        <is>
          <t>engineering</t>
        </is>
      </c>
      <c r="G255" s="31" t="inlineStr">
        <is>
          <t>smallcap</t>
        </is>
      </c>
      <c r="H255" s="32" t="n">
        <v>4020.89</v>
      </c>
      <c r="I255" s="32" t="n">
        <v>1060.2</v>
      </c>
      <c r="J255" s="32" t="n">
        <v>-2.69</v>
      </c>
      <c r="K255" s="32" t="n">
        <v>226864</v>
      </c>
      <c r="L255" s="31" t="n">
        <v>65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60.86</v>
      </c>
      <c r="P255" s="32" t="n">
        <v>28.79</v>
      </c>
      <c r="Q255" s="32" t="n">
        <v>757.78</v>
      </c>
      <c r="R255" s="31" t="inlineStr">
        <is>
          <t>Near 52W High Breakout</t>
        </is>
      </c>
      <c r="S255" s="31" t="inlineStr">
        <is>
          <t>Nifty 50</t>
        </is>
      </c>
      <c r="T255" s="32" t="n">
        <v>-0.96</v>
      </c>
      <c r="U255" s="32" t="n">
        <v>73.14</v>
      </c>
      <c r="V255" s="32" t="n">
        <v>74.81</v>
      </c>
      <c r="W255" s="32" t="n">
        <v>15.77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More than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IF(B256=0,"",RANK(B256,$B$2:$B$378,0))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PLASTIBLEN</t>
        </is>
      </c>
      <c r="D256" s="31" t="inlineStr">
        <is>
          <t>Plastiblends India Limited</t>
        </is>
      </c>
      <c r="E256" s="31" t="inlineStr">
        <is>
          <t>chemicals</t>
        </is>
      </c>
      <c r="F256" s="31" t="inlineStr">
        <is>
          <t>chemicals</t>
        </is>
      </c>
      <c r="G256" s="31" t="inlineStr">
        <is>
          <t>smallcap</t>
        </is>
      </c>
      <c r="H256" s="32" t="n">
        <v>531.51</v>
      </c>
      <c r="I256" s="32" t="n">
        <v>196.03</v>
      </c>
      <c r="J256" s="32" t="n">
        <v>-2.71</v>
      </c>
      <c r="K256" s="32" t="n">
        <v>58604</v>
      </c>
      <c r="L256" s="31" t="n">
        <v>29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64.45</v>
      </c>
      <c r="P256" s="32" t="n">
        <v>28.04</v>
      </c>
      <c r="Q256" s="32" t="n">
        <v>154.5</v>
      </c>
      <c r="R256" s="31" t="inlineStr">
        <is>
          <t>Near 52W High Breakout</t>
        </is>
      </c>
      <c r="S256" s="31" t="inlineStr">
        <is>
          <t>Nifty 50</t>
        </is>
      </c>
      <c r="T256" s="32" t="n">
        <v>-0.96</v>
      </c>
      <c r="U256" s="32" t="n">
        <v>4.16</v>
      </c>
      <c r="V256" s="32" t="n">
        <v>5.17</v>
      </c>
      <c r="W256" s="32" t="n">
        <v>5.44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IF(B257=0,"",RANK(B257,$B$2:$B$378,0))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NRAIL</t>
        </is>
      </c>
      <c r="D257" s="31" t="inlineStr">
        <is>
          <t>N R Agarwal Industries Ltd</t>
        </is>
      </c>
      <c r="E257" s="31" t="inlineStr">
        <is>
          <t>building materials</t>
        </is>
      </c>
      <c r="F257" s="31" t="inlineStr">
        <is>
          <t>paper</t>
        </is>
      </c>
      <c r="G257" s="31" t="inlineStr">
        <is>
          <t>smallcap</t>
        </is>
      </c>
      <c r="H257" s="32" t="n">
        <v>884.8200000000001</v>
      </c>
      <c r="I257" s="32" t="n">
        <v>502.8</v>
      </c>
      <c r="J257" s="32" t="n">
        <v>-3.79</v>
      </c>
      <c r="K257" s="32" t="n">
        <v>16004</v>
      </c>
      <c r="L257" s="31" t="n">
        <v>48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56.45</v>
      </c>
      <c r="P257" s="32" t="n">
        <v>23.65</v>
      </c>
      <c r="Q257" s="32" t="n">
        <v>388.89</v>
      </c>
      <c r="R257" s="31" t="inlineStr">
        <is>
          <t>Earnings / Momentum Support</t>
        </is>
      </c>
      <c r="S257" s="31" t="inlineStr">
        <is>
          <t>Nifty Infra</t>
        </is>
      </c>
      <c r="T257" s="32" t="n">
        <v>3.6</v>
      </c>
      <c r="U257" s="32" t="n">
        <v>46.65</v>
      </c>
      <c r="V257" s="32" t="n">
        <v>41.55</v>
      </c>
      <c r="W257" s="32" t="n">
        <v>10.38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Between 0.7 to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IF(B258=0,"",RANK(B258,$B$2:$B$378,0))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TI</t>
        </is>
      </c>
      <c r="D258" s="31" t="inlineStr">
        <is>
          <t>Tilaknagar Industries Limited</t>
        </is>
      </c>
      <c r="E258" s="31" t="inlineStr">
        <is>
          <t>fmcg</t>
        </is>
      </c>
      <c r="F258" s="31" t="inlineStr">
        <is>
          <t>breweries &amp; distilleries</t>
        </is>
      </c>
      <c r="G258" s="31" t="inlineStr">
        <is>
          <t>midcap</t>
        </is>
      </c>
      <c r="H258" s="32" t="n">
        <v>12887.2</v>
      </c>
      <c r="I258" s="32" t="n">
        <v>553.7</v>
      </c>
      <c r="J258" s="32" t="n">
        <v>4.29</v>
      </c>
      <c r="K258" s="32" t="n">
        <v>4183284</v>
      </c>
      <c r="L258" s="31" t="n">
        <v>38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71.17</v>
      </c>
      <c r="P258" s="32" t="n">
        <v>10.05</v>
      </c>
      <c r="Q258" s="32" t="n">
        <v>447.39</v>
      </c>
      <c r="R258" s="31" t="inlineStr">
        <is>
          <t>Volume Spike &amp; Near 52W High Breakout</t>
        </is>
      </c>
      <c r="S258" s="31" t="inlineStr">
        <is>
          <t>Nifty FMCG</t>
        </is>
      </c>
      <c r="T258" s="32" t="n">
        <v>-10.52</v>
      </c>
      <c r="U258" s="32" t="n">
        <v>11.56</v>
      </c>
      <c r="V258" s="32" t="n">
        <v>24.68</v>
      </c>
      <c r="W258" s="32" t="n">
        <v>7.55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B2C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Annuity, Lower One Time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Blue sky scenario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Between 0.7 to 1.2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IF(B259=0,"",RANK(B259,$B$2:$B$378,0))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APLAPOLLO</t>
        </is>
      </c>
      <c r="D259" s="31" t="inlineStr">
        <is>
          <t>Apl Apollo Tubes Limited</t>
        </is>
      </c>
      <c r="E259" s="31" t="inlineStr">
        <is>
          <t>industrials</t>
        </is>
      </c>
      <c r="F259" s="31" t="inlineStr">
        <is>
          <t>steel - large</t>
        </is>
      </c>
      <c r="G259" s="31" t="inlineStr">
        <is>
          <t>largecap</t>
        </is>
      </c>
      <c r="H259" s="32" t="n">
        <v>55884.31</v>
      </c>
      <c r="I259" s="32" t="n">
        <v>2064.3</v>
      </c>
      <c r="J259" s="32" t="n">
        <v>3.36</v>
      </c>
      <c r="K259" s="32" t="n">
        <v>1636459</v>
      </c>
      <c r="L259" s="31" t="inlineStr"/>
      <c r="M259" s="31" t="inlineStr"/>
      <c r="N259" s="32">
        <f>IF(M259="Underperforming",-5,IF(L259&gt;=95,15,IF(L259&gt;=90,10,IF(L259&gt;=80,5,0))))</f>
        <v/>
      </c>
      <c r="O259" s="32" t="n">
        <v>61.22</v>
      </c>
      <c r="P259" s="32" t="n">
        <v>11.49</v>
      </c>
      <c r="Q259" s="32" t="n">
        <v>1732.11</v>
      </c>
      <c r="R259" s="31" t="inlineStr">
        <is>
          <t>Earnings / Momentum Support</t>
        </is>
      </c>
      <c r="S259" s="31" t="inlineStr">
        <is>
          <t>Nifty Metal</t>
        </is>
      </c>
      <c r="T259" s="32" t="inlineStr"/>
      <c r="U259" s="32" t="inlineStr"/>
      <c r="V259" s="32" t="inlineStr"/>
      <c r="W259" s="32" t="inlineStr"/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Oligopoly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Cyclical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B2C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Fully One Time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Above 40</t>
        </is>
      </c>
      <c r="AY259" s="31">
        <f>IF(AX259="Above 40",20,IF(AX259="20 to 40",10,IF(AX259="0 to 20",-5,0)))</f>
        <v/>
      </c>
      <c r="AZ259" s="31" t="inlineStr">
        <is>
          <t>Above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Yes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Between 1.5 to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IF(B260=0,"",RANK(B260,$B$2:$B$378,0))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AVADHSUGAR</t>
        </is>
      </c>
      <c r="D260" s="31" t="inlineStr">
        <is>
          <t>Avadh Sugar &amp; Energy</t>
        </is>
      </c>
      <c r="E260" s="31" t="inlineStr">
        <is>
          <t>fmcg</t>
        </is>
      </c>
      <c r="F260" s="31" t="inlineStr">
        <is>
          <t>sugar</t>
        </is>
      </c>
      <c r="G260" s="31" t="inlineStr">
        <is>
          <t>smallcap</t>
        </is>
      </c>
      <c r="H260" s="32" t="n">
        <v>1270.77</v>
      </c>
      <c r="I260" s="32" t="n">
        <v>637.2</v>
      </c>
      <c r="J260" s="32" t="n">
        <v>1.63</v>
      </c>
      <c r="K260" s="32" t="n">
        <v>180144</v>
      </c>
      <c r="L260" s="31" t="n">
        <v>68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77.42</v>
      </c>
      <c r="P260" s="32" t="n">
        <v>37.54</v>
      </c>
      <c r="Q260" s="32" t="n">
        <v>487.66</v>
      </c>
      <c r="R260" s="31" t="inlineStr">
        <is>
          <t>Near 52W High Breakout</t>
        </is>
      </c>
      <c r="S260" s="31" t="inlineStr">
        <is>
          <t>Nifty FMCG</t>
        </is>
      </c>
      <c r="T260" s="32" t="n">
        <v>-10.52</v>
      </c>
      <c r="U260" s="32" t="n">
        <v>39.85</v>
      </c>
      <c r="V260" s="32" t="n">
        <v>56.29</v>
      </c>
      <c r="W260" s="32" t="n">
        <v>17.01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B2C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Annuity, Lower One Time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Above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More than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IF(B261=0,"",RANK(B261,$B$2:$B$378,0))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POLYMED</t>
        </is>
      </c>
      <c r="D261" s="33" t="inlineStr">
        <is>
          <t>Poly Medicure Limited</t>
        </is>
      </c>
      <c r="E261" s="31" t="inlineStr">
        <is>
          <t>healthcare</t>
        </is>
      </c>
      <c r="F261" s="31" t="inlineStr">
        <is>
          <t>healthcare</t>
        </is>
      </c>
      <c r="G261" s="31" t="inlineStr">
        <is>
          <t>midcap</t>
        </is>
      </c>
      <c r="H261" s="32" t="n">
        <v>18892.4</v>
      </c>
      <c r="I261" s="32" t="n">
        <v>1812.8</v>
      </c>
      <c r="J261" s="32" t="n">
        <v>-3.03</v>
      </c>
      <c r="K261" s="32" t="n">
        <v>122907</v>
      </c>
      <c r="L261" s="31" t="n">
        <v>29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61.89</v>
      </c>
      <c r="P261" s="32" t="n">
        <v>21.31</v>
      </c>
      <c r="Q261" s="32" t="n">
        <v>1361.53</v>
      </c>
      <c r="R261" s="31" t="inlineStr">
        <is>
          <t>Volume Spike / Accumulation</t>
        </is>
      </c>
      <c r="S261" s="31" t="inlineStr">
        <is>
          <t>Nifty Pharma</t>
        </is>
      </c>
      <c r="T261" s="32" t="n">
        <v>20.47</v>
      </c>
      <c r="U261" s="32" t="n">
        <v>-4.54</v>
      </c>
      <c r="V261" s="32" t="n">
        <v>-20.76</v>
      </c>
      <c r="W261" s="32" t="n">
        <v>5.36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Yes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Annuity, Lower One Time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IF(B262=0,"",RANK(B262,$B$2:$B$378,0))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MARINE</t>
        </is>
      </c>
      <c r="D262" s="31" t="inlineStr">
        <is>
          <t>Marine Electricals (India) Ltd</t>
        </is>
      </c>
      <c r="E262" s="31" t="inlineStr">
        <is>
          <t>industrials</t>
        </is>
      </c>
      <c r="F262" s="31" t="inlineStr">
        <is>
          <t>electric equipment</t>
        </is>
      </c>
      <c r="G262" s="31" t="inlineStr">
        <is>
          <t>smallcap</t>
        </is>
      </c>
      <c r="H262" s="32" t="n">
        <v>4893.86</v>
      </c>
      <c r="I262" s="32" t="n">
        <v>371.2</v>
      </c>
      <c r="J262" s="32" t="n">
        <v>6.97</v>
      </c>
      <c r="K262" s="32" t="n">
        <v>1561386</v>
      </c>
      <c r="L262" s="31" t="n">
        <v>91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75.56</v>
      </c>
      <c r="P262" s="32" t="n">
        <v>33.81</v>
      </c>
      <c r="Q262" s="32" t="n">
        <v>277.69</v>
      </c>
      <c r="R262" s="31" t="inlineStr">
        <is>
          <t>Near 52W High Breakout</t>
        </is>
      </c>
      <c r="S262" s="31" t="inlineStr">
        <is>
          <t>Nifty 50</t>
        </is>
      </c>
      <c r="T262" s="32" t="n">
        <v>-0.96</v>
      </c>
      <c r="U262" s="32" t="n">
        <v>124.22</v>
      </c>
      <c r="V262" s="32" t="n">
        <v>126.39</v>
      </c>
      <c r="W262" s="32" t="n">
        <v>36.65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Above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Blue sky scenario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Negative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IF(B263=0,"",RANK(B263,$B$2:$B$378,0))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RATNAVEER</t>
        </is>
      </c>
      <c r="D263" s="31" t="inlineStr">
        <is>
          <t>Ratnaveer Precision Engineering Ltd</t>
        </is>
      </c>
      <c r="E263" s="31" t="inlineStr">
        <is>
          <t>metals &amp; mining</t>
        </is>
      </c>
      <c r="F263" s="31" t="inlineStr">
        <is>
          <t>steel - medium / small</t>
        </is>
      </c>
      <c r="G263" s="31" t="inlineStr">
        <is>
          <t>smallcap</t>
        </is>
      </c>
      <c r="H263" s="32" t="n">
        <v>1472.53</v>
      </c>
      <c r="I263" s="32" t="n">
        <v>220</v>
      </c>
      <c r="J263" s="32" t="n">
        <v>4.76</v>
      </c>
      <c r="K263" s="32" t="n">
        <v>10124724</v>
      </c>
      <c r="L263" s="31" t="inlineStr"/>
      <c r="M263" s="31" t="inlineStr"/>
      <c r="N263" s="32">
        <f>IF(M263="Underperforming",-5,IF(L263&gt;=95,15,IF(L263&gt;=90,10,IF(L263&gt;=80,5,0))))</f>
        <v/>
      </c>
      <c r="O263" s="32" t="n">
        <v>70.31999999999999</v>
      </c>
      <c r="P263" s="32" t="n">
        <v>50.06</v>
      </c>
      <c r="Q263" s="32" t="n">
        <v>160.04</v>
      </c>
      <c r="R263" s="31" t="inlineStr">
        <is>
          <t>Near 52W High Breakout</t>
        </is>
      </c>
      <c r="S263" s="31" t="inlineStr">
        <is>
          <t>Nifty Metal</t>
        </is>
      </c>
      <c r="T263" s="32" t="inlineStr"/>
      <c r="U263" s="32" t="inlineStr"/>
      <c r="V263" s="32" t="inlineStr"/>
      <c r="W263" s="32" t="inlineStr"/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Cyclical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Volatile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Above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IF(B264=0,"",RANK(B264,$B$2:$B$378,0))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CONCOR</t>
        </is>
      </c>
      <c r="D264" s="31" t="inlineStr">
        <is>
          <t>Container Corporation Of India Limited</t>
        </is>
      </c>
      <c r="E264" s="31" t="inlineStr">
        <is>
          <t>transportation</t>
        </is>
      </c>
      <c r="F264" s="31" t="inlineStr">
        <is>
          <t>miscellaneous</t>
        </is>
      </c>
      <c r="G264" s="31" t="inlineStr">
        <is>
          <t>largecap</t>
        </is>
      </c>
      <c r="H264" s="32" t="n">
        <v>38994.84</v>
      </c>
      <c r="I264" s="32" t="n">
        <v>533.65</v>
      </c>
      <c r="J264" s="32" t="n">
        <v>4.22</v>
      </c>
      <c r="K264" s="32" t="n">
        <v>9407347</v>
      </c>
      <c r="L264" s="31" t="n">
        <v>10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58.48</v>
      </c>
      <c r="P264" s="32" t="n">
        <v>12.85</v>
      </c>
      <c r="Q264" s="32" t="n">
        <v>439.56</v>
      </c>
      <c r="R264" s="31" t="inlineStr">
        <is>
          <t>Near 52W High Breakout</t>
        </is>
      </c>
      <c r="S264" s="31" t="inlineStr">
        <is>
          <t>Nifty 50</t>
        </is>
      </c>
      <c r="T264" s="32" t="n">
        <v>-0.96</v>
      </c>
      <c r="U264" s="32" t="n">
        <v>1.84</v>
      </c>
      <c r="V264" s="32" t="n">
        <v>2.83</v>
      </c>
      <c r="W264" s="32" t="n">
        <v>1.04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IF(B265=0,"",RANK(B265,$B$2:$B$378,0))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BASF</t>
        </is>
      </c>
      <c r="D265" s="31" t="inlineStr">
        <is>
          <t>Basf India Limited</t>
        </is>
      </c>
      <c r="E265" s="31" t="inlineStr">
        <is>
          <t>chemicals</t>
        </is>
      </c>
      <c r="F265" s="31" t="inlineStr">
        <is>
          <t>chemicals</t>
        </is>
      </c>
      <c r="G265" s="31" t="inlineStr">
        <is>
          <t>midcap</t>
        </is>
      </c>
      <c r="H265" s="32" t="n">
        <v>17475.28</v>
      </c>
      <c r="I265" s="32" t="n">
        <v>4134.2</v>
      </c>
      <c r="J265" s="32" t="n">
        <v>3.61</v>
      </c>
      <c r="K265" s="32" t="n">
        <v>66291</v>
      </c>
      <c r="L265" s="31" t="n">
        <v>7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63.2</v>
      </c>
      <c r="P265" s="32" t="n">
        <v>15.47</v>
      </c>
      <c r="Q265" s="32" t="n">
        <v>3317.64</v>
      </c>
      <c r="R265" s="31" t="inlineStr">
        <is>
          <t>Earnings / Momentum Support</t>
        </is>
      </c>
      <c r="S265" s="31" t="inlineStr">
        <is>
          <t>Nifty IT</t>
        </is>
      </c>
      <c r="T265" s="32" t="n">
        <v>-9.699999999999999</v>
      </c>
      <c r="U265" s="32" t="n">
        <v>-8.029999999999999</v>
      </c>
      <c r="V265" s="32" t="n">
        <v>1.85</v>
      </c>
      <c r="W265" s="32" t="n">
        <v>0.35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IF(B266=0,"",RANK(B266,$B$2:$B$378,0))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SOMANYCERA</t>
        </is>
      </c>
      <c r="D266" s="33" t="inlineStr">
        <is>
          <t>Somany Ceramics Limited</t>
        </is>
      </c>
      <c r="E266" s="31" t="inlineStr">
        <is>
          <t>building materials</t>
        </is>
      </c>
      <c r="F266" s="31" t="inlineStr">
        <is>
          <t>ceramics - tiles / sanitaryware</t>
        </is>
      </c>
      <c r="G266" s="31" t="inlineStr">
        <is>
          <t>smallcap</t>
        </is>
      </c>
      <c r="H266" s="32" t="n">
        <v>2092.68</v>
      </c>
      <c r="I266" s="32" t="n">
        <v>519.15</v>
      </c>
      <c r="J266" s="32" t="n">
        <v>2.18</v>
      </c>
      <c r="K266" s="32" t="n">
        <v>2044121</v>
      </c>
      <c r="L266" s="31" t="n">
        <v>16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59.65</v>
      </c>
      <c r="P266" s="32" t="n">
        <v>28.35</v>
      </c>
      <c r="Q266" s="32" t="n">
        <v>408.89</v>
      </c>
      <c r="R266" s="31" t="inlineStr">
        <is>
          <t>Volume Spike &amp; Near 52W High Breakout</t>
        </is>
      </c>
      <c r="S266" s="31" t="inlineStr">
        <is>
          <t>Nifty Infra</t>
        </is>
      </c>
      <c r="T266" s="32" t="n">
        <v>3.6</v>
      </c>
      <c r="U266" s="32" t="n">
        <v>-1.42</v>
      </c>
      <c r="V266" s="32" t="n">
        <v>-4.85</v>
      </c>
      <c r="W266" s="32" t="n">
        <v>3.17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IF(B267=0,"",RANK(B267,$B$2:$B$378,0))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ANANTRAJ</t>
        </is>
      </c>
      <c r="D267" s="31" t="inlineStr">
        <is>
          <t>Anant Raj Limited</t>
        </is>
      </c>
      <c r="E267" s="31" t="inlineStr">
        <is>
          <t>realty</t>
        </is>
      </c>
      <c r="F267" s="31" t="inlineStr">
        <is>
          <t>construction</t>
        </is>
      </c>
      <c r="G267" s="31" t="inlineStr">
        <is>
          <t>largecap</t>
        </is>
      </c>
      <c r="H267" s="32" t="n">
        <v>21817.54</v>
      </c>
      <c r="I267" s="32" t="n">
        <v>627.05</v>
      </c>
      <c r="J267" s="32" t="n">
        <v>2.02</v>
      </c>
      <c r="K267" s="32" t="n">
        <v>2147193</v>
      </c>
      <c r="L267" s="31" t="n">
        <v>49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61.35</v>
      </c>
      <c r="P267" s="32" t="n">
        <v>21.09</v>
      </c>
      <c r="Q267" s="32" t="n">
        <v>481.69</v>
      </c>
      <c r="R267" s="31" t="inlineStr">
        <is>
          <t>Earnings / Momentum Support</t>
        </is>
      </c>
      <c r="S267" s="31" t="inlineStr">
        <is>
          <t>Nifty Realty</t>
        </is>
      </c>
      <c r="T267" s="32" t="n">
        <v>-5.49</v>
      </c>
      <c r="U267" s="32" t="n">
        <v>9.529999999999999</v>
      </c>
      <c r="V267" s="32" t="n">
        <v>15.89</v>
      </c>
      <c r="W267" s="32" t="n">
        <v>10.55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Between 1.5 to 2</t>
        </is>
      </c>
      <c r="BU267" s="31">
        <f>IF(BT267="Above 2",0,IF(BT267="Between 1.5 to 2",5,IF(BT267="Less than 1.5",10,0)))</f>
        <v/>
      </c>
      <c r="BV267" s="31" t="inlineStr">
        <is>
          <t>Negative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IF(B268=0,"",RANK(B268,$B$2:$B$378,0))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PANAMAPET</t>
        </is>
      </c>
      <c r="D268" s="31" t="inlineStr">
        <is>
          <t>Panama Petrochem Limited</t>
        </is>
      </c>
      <c r="E268" s="31" t="inlineStr">
        <is>
          <t>energy</t>
        </is>
      </c>
      <c r="F268" s="31" t="inlineStr">
        <is>
          <t>petrochemicals</t>
        </is>
      </c>
      <c r="G268" s="31" t="inlineStr">
        <is>
          <t>smallcap</t>
        </is>
      </c>
      <c r="H268" s="32" t="n">
        <v>3299.93</v>
      </c>
      <c r="I268" s="32" t="n">
        <v>488.2</v>
      </c>
      <c r="J268" s="32" t="n">
        <v>1.59</v>
      </c>
      <c r="K268" s="32" t="n">
        <v>5602552</v>
      </c>
      <c r="L268" s="31" t="inlineStr"/>
      <c r="M268" s="31" t="inlineStr"/>
      <c r="N268" s="32">
        <f>IF(M268="Underperforming",-5,IF(L268&gt;=95,15,IF(L268&gt;=90,10,IF(L268&gt;=80,5,0))))</f>
        <v/>
      </c>
      <c r="O268" s="32" t="n">
        <v>63.88</v>
      </c>
      <c r="P268" s="32" t="n">
        <v>51.79</v>
      </c>
      <c r="Q268" s="32" t="n">
        <v>333.16</v>
      </c>
      <c r="R268" s="31" t="inlineStr">
        <is>
          <t>Volume Spike &amp; Near 52W High Breakout</t>
        </is>
      </c>
      <c r="S268" s="31" t="inlineStr">
        <is>
          <t>Nifty Energy</t>
        </is>
      </c>
      <c r="T268" s="32" t="inlineStr"/>
      <c r="U268" s="32" t="inlineStr"/>
      <c r="V268" s="32" t="inlineStr"/>
      <c r="W268" s="32" t="inlineStr"/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Oligopoly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Yes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Cyclical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Volatile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Above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Blue sky scenario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Negative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IF(B269=0,"",RANK(B269,$B$2:$B$378,0))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ZENTEC</t>
        </is>
      </c>
      <c r="D269" s="31" t="inlineStr">
        <is>
          <t>Zen Technologies Limited</t>
        </is>
      </c>
      <c r="E269" s="31" t="inlineStr">
        <is>
          <t>aerospace &amp; defence</t>
        </is>
      </c>
      <c r="F269" s="31" t="inlineStr">
        <is>
          <t>miscellaneous</t>
        </is>
      </c>
      <c r="G269" s="31" t="inlineStr">
        <is>
          <t>midcap</t>
        </is>
      </c>
      <c r="H269" s="32" t="n">
        <v>16431.04</v>
      </c>
      <c r="I269" s="32" t="n">
        <v>1831.8</v>
      </c>
      <c r="J269" s="32" t="n">
        <v>0.41</v>
      </c>
      <c r="K269" s="32" t="n">
        <v>288202</v>
      </c>
      <c r="L269" s="31" t="n">
        <v>46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58.08</v>
      </c>
      <c r="P269" s="32" t="n">
        <v>31.93</v>
      </c>
      <c r="Q269" s="32" t="n">
        <v>1541.86</v>
      </c>
      <c r="R269" s="31" t="inlineStr">
        <is>
          <t>Earnings / Momentum Support</t>
        </is>
      </c>
      <c r="S269" s="31" t="inlineStr">
        <is>
          <t>Nifty 50</t>
        </is>
      </c>
      <c r="T269" s="32" t="n">
        <v>-0.96</v>
      </c>
      <c r="U269" s="32" t="n">
        <v>30.23</v>
      </c>
      <c r="V269" s="32" t="n">
        <v>31.49</v>
      </c>
      <c r="W269" s="32" t="n">
        <v>9.51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IF(B270=0,"",RANK(B270,$B$2:$B$378,0))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TIIL</t>
        </is>
      </c>
      <c r="D270" s="31" t="inlineStr">
        <is>
          <t>Technocraft Industries (india) Limited</t>
        </is>
      </c>
      <c r="E270" s="31" t="inlineStr">
        <is>
          <t>metals &amp; mining</t>
        </is>
      </c>
      <c r="F270" s="31" t="inlineStr">
        <is>
          <t>steel - medium / small</t>
        </is>
      </c>
      <c r="G270" s="31" t="inlineStr">
        <is>
          <t>midcap</t>
        </is>
      </c>
      <c r="H270" s="32" t="n">
        <v>5915.11</v>
      </c>
      <c r="I270" s="32" t="n">
        <v>2887.6</v>
      </c>
      <c r="J270" s="32" t="n">
        <v>0.32</v>
      </c>
      <c r="K270" s="32" t="n">
        <v>110365</v>
      </c>
      <c r="L270" s="31" t="inlineStr"/>
      <c r="M270" s="31" t="inlineStr"/>
      <c r="N270" s="32">
        <f>IF(M270="Underperforming",-5,IF(L270&gt;=95,15,IF(L270&gt;=90,10,IF(L270&gt;=80,5,0))))</f>
        <v/>
      </c>
      <c r="O270" s="32" t="n">
        <v>67.67</v>
      </c>
      <c r="P270" s="32" t="n">
        <v>26.07</v>
      </c>
      <c r="Q270" s="32" t="n">
        <v>2284.58</v>
      </c>
      <c r="R270" s="31" t="inlineStr">
        <is>
          <t>Volume Spike &amp; Near 52W High Breakout</t>
        </is>
      </c>
      <c r="S270" s="31" t="inlineStr">
        <is>
          <t>Nifty Metal</t>
        </is>
      </c>
      <c r="T270" s="32" t="inlineStr"/>
      <c r="U270" s="32" t="inlineStr"/>
      <c r="V270" s="32" t="inlineStr"/>
      <c r="W270" s="32" t="inlineStr"/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Cyclical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Volatile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Between 12 to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Between 50% to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IF(B271=0,"",RANK(B271,$B$2:$B$378,0))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TRAVELFOOD</t>
        </is>
      </c>
      <c r="D271" s="31" t="inlineStr">
        <is>
          <t>Travel Food Services Ltd</t>
        </is>
      </c>
      <c r="E271" s="31" t="inlineStr">
        <is>
          <t>consumer discretionary</t>
        </is>
      </c>
      <c r="F271" s="31" t="inlineStr">
        <is>
          <t>hotels</t>
        </is>
      </c>
      <c r="G271" s="31" t="inlineStr">
        <is>
          <t>midcap</t>
        </is>
      </c>
      <c r="H271" s="32" t="n">
        <v>18290.28</v>
      </c>
      <c r="I271" s="32" t="n">
        <v>1394.3</v>
      </c>
      <c r="J271" s="32" t="n">
        <v>0.3</v>
      </c>
      <c r="K271" s="32" t="n">
        <v>145722</v>
      </c>
      <c r="L271" s="31" t="n">
        <v>51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60.69</v>
      </c>
      <c r="P271" s="32" t="n">
        <v>12.93</v>
      </c>
      <c r="Q271" s="32" t="n">
        <v>1150.05</v>
      </c>
      <c r="R271" s="31" t="inlineStr">
        <is>
          <t>Near 52W High Breakout</t>
        </is>
      </c>
      <c r="S271" s="31" t="inlineStr">
        <is>
          <t>Nifty 50</t>
        </is>
      </c>
      <c r="T271" s="32" t="n">
        <v>-0.96</v>
      </c>
      <c r="U271" s="32" t="n">
        <v>24.81</v>
      </c>
      <c r="V271" s="32" t="n">
        <v>26.02</v>
      </c>
      <c r="W271" s="32" t="n">
        <v>10.74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Blue sky scenario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Between 12 to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Between 50% to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IF(B272=0,"",RANK(B272,$B$2:$B$378,0))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DIACABS</t>
        </is>
      </c>
      <c r="D272" s="31" t="inlineStr">
        <is>
          <t>Diamond Power Infrastructure Ltd</t>
        </is>
      </c>
      <c r="E272" s="31" t="inlineStr">
        <is>
          <t>industrials</t>
        </is>
      </c>
      <c r="F272" s="31" t="inlineStr">
        <is>
          <t>cables - power</t>
        </is>
      </c>
      <c r="G272" s="31" t="inlineStr">
        <is>
          <t>midcap</t>
        </is>
      </c>
      <c r="H272" s="32" t="n">
        <v>19076.35</v>
      </c>
      <c r="I272" s="32" t="n">
        <v>367.5</v>
      </c>
      <c r="J272" s="32" t="n">
        <v>-0.12</v>
      </c>
      <c r="K272" s="32" t="n">
        <v>1136238</v>
      </c>
      <c r="L272" s="31" t="inlineStr"/>
      <c r="M272" s="31" t="inlineStr"/>
      <c r="N272" s="32">
        <f>IF(M272="Underperforming",-5,IF(L272&gt;=95,15,IF(L272&gt;=90,10,IF(L272&gt;=80,5,0))))</f>
        <v/>
      </c>
      <c r="O272" s="32" t="n">
        <v>88.8</v>
      </c>
      <c r="P272" s="32" t="n">
        <v>62.77</v>
      </c>
      <c r="Q272" s="32" t="n">
        <v>283.03</v>
      </c>
      <c r="R272" s="31" t="inlineStr">
        <is>
          <t>Near 52W High Breakout</t>
        </is>
      </c>
      <c r="S272" s="31" t="inlineStr">
        <is>
          <t>Nifty Energy</t>
        </is>
      </c>
      <c r="T272" s="32" t="inlineStr"/>
      <c r="U272" s="32" t="inlineStr"/>
      <c r="V272" s="32" t="inlineStr"/>
      <c r="W272" s="32" t="inlineStr"/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Above 40</t>
        </is>
      </c>
      <c r="AY272" s="31">
        <f>IF(AX272="Above 40",20,IF(AX272="20 to 40",10,IF(AX272="0 to 20",-5,0)))</f>
        <v/>
      </c>
      <c r="AZ272" s="31" t="inlineStr">
        <is>
          <t>Above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Blue sky scenario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Negative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IF(B273=0,"",RANK(B273,$B$2:$B$378,0))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TVSMOTOR</t>
        </is>
      </c>
      <c r="D273" s="31" t="inlineStr">
        <is>
          <t>Tvs Motor Company Limited</t>
        </is>
      </c>
      <c r="E273" s="31" t="inlineStr">
        <is>
          <t>auto</t>
        </is>
      </c>
      <c r="F273" s="31" t="inlineStr">
        <is>
          <t>automobiles - motorcycles / mopeds</t>
        </is>
      </c>
      <c r="G273" s="31" t="inlineStr">
        <is>
          <t>largecap</t>
        </is>
      </c>
      <c r="H273" s="32" t="n">
        <v>209038.33</v>
      </c>
      <c r="I273" s="32" t="n">
        <v>4342.2</v>
      </c>
      <c r="J273" s="32" t="n">
        <v>-0.75</v>
      </c>
      <c r="K273" s="32" t="n">
        <v>1043651</v>
      </c>
      <c r="L273" s="31" t="inlineStr"/>
      <c r="M273" s="31" t="inlineStr"/>
      <c r="N273" s="32">
        <f>IF(M273="Underperforming",-5,IF(L273&gt;=95,15,IF(L273&gt;=90,10,IF(L273&gt;=80,5,0))))</f>
        <v/>
      </c>
      <c r="O273" s="32" t="n">
        <v>68.67</v>
      </c>
      <c r="P273" s="32" t="n">
        <v>19.96</v>
      </c>
      <c r="Q273" s="32" t="n">
        <v>3737.16</v>
      </c>
      <c r="R273" s="31" t="inlineStr">
        <is>
          <t>Near 52W High Breakout</t>
        </is>
      </c>
      <c r="S273" s="31" t="inlineStr">
        <is>
          <t>Nifty Auto</t>
        </is>
      </c>
      <c r="T273" s="32" t="inlineStr"/>
      <c r="U273" s="32" t="inlineStr"/>
      <c r="V273" s="32" t="inlineStr"/>
      <c r="W273" s="32" t="inlineStr"/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Blue sky scenario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Less than 1.5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More than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IF(B274=0,"",RANK(B274,$B$2:$B$378,0))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KOLTEPATIL</t>
        </is>
      </c>
      <c r="D274" s="31" t="inlineStr">
        <is>
          <t>Kolte - Patil Developers Limited</t>
        </is>
      </c>
      <c r="E274" s="31" t="inlineStr">
        <is>
          <t>realty</t>
        </is>
      </c>
      <c r="F274" s="31" t="inlineStr">
        <is>
          <t>construction</t>
        </is>
      </c>
      <c r="G274" s="31" t="inlineStr">
        <is>
          <t>smallcap</t>
        </is>
      </c>
      <c r="H274" s="32" t="n">
        <v>4581.21</v>
      </c>
      <c r="I274" s="32" t="n">
        <v>489</v>
      </c>
      <c r="J274" s="32" t="n">
        <v>-0.75</v>
      </c>
      <c r="K274" s="32" t="n">
        <v>215149</v>
      </c>
      <c r="L274" s="31" t="n">
        <v>45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73.87</v>
      </c>
      <c r="P274" s="32" t="n">
        <v>16.25</v>
      </c>
      <c r="Q274" s="32" t="n">
        <v>382.01</v>
      </c>
      <c r="R274" s="31" t="inlineStr">
        <is>
          <t>Volume Spike &amp; Near 52W High Breakout</t>
        </is>
      </c>
      <c r="S274" s="31" t="inlineStr">
        <is>
          <t>Nifty Realty</t>
        </is>
      </c>
      <c r="T274" s="32" t="n">
        <v>-5.49</v>
      </c>
      <c r="U274" s="32" t="n">
        <v>10.51</v>
      </c>
      <c r="V274" s="32" t="n">
        <v>16.94</v>
      </c>
      <c r="W274" s="32" t="n">
        <v>9.25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Blue sky scenario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Between 0.7 to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IF(B275=0,"",RANK(B275,$B$2:$B$378,0))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EMIL</t>
        </is>
      </c>
      <c r="D275" s="31" t="inlineStr">
        <is>
          <t>Electronics Mart India Ltd</t>
        </is>
      </c>
      <c r="E275" s="31" t="inlineStr">
        <is>
          <t>consumer discretionary</t>
        </is>
      </c>
      <c r="F275" s="31" t="inlineStr">
        <is>
          <t>trading</t>
        </is>
      </c>
      <c r="G275" s="31" t="inlineStr">
        <is>
          <t>midcap</t>
        </is>
      </c>
      <c r="H275" s="32" t="n">
        <v>7108.23</v>
      </c>
      <c r="I275" s="32" t="n">
        <v>191.78</v>
      </c>
      <c r="J275" s="32" t="n">
        <v>-0.95</v>
      </c>
      <c r="K275" s="32" t="n">
        <v>10553624</v>
      </c>
      <c r="L275" s="31" t="n">
        <v>81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77.86</v>
      </c>
      <c r="P275" s="32" t="n">
        <v>26.86</v>
      </c>
      <c r="Q275" s="32" t="n">
        <v>146.51</v>
      </c>
      <c r="R275" s="31" t="inlineStr">
        <is>
          <t>Volume Spike &amp; Near 52W High Breakout</t>
        </is>
      </c>
      <c r="S275" s="31" t="inlineStr">
        <is>
          <t>Nifty 50</t>
        </is>
      </c>
      <c r="T275" s="32" t="n">
        <v>-0.96</v>
      </c>
      <c r="U275" s="32" t="n">
        <v>60.86</v>
      </c>
      <c r="V275" s="32" t="n">
        <v>62.41</v>
      </c>
      <c r="W275" s="32" t="n">
        <v>25.1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Above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More than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IF(B276=0,"",RANK(B276,$B$2:$B$378,0))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QPOWER</t>
        </is>
      </c>
      <c r="D276" s="31" t="inlineStr">
        <is>
          <t>Quality Power Electrical Equipments Ltd</t>
        </is>
      </c>
      <c r="E276" s="31" t="inlineStr">
        <is>
          <t>industrials</t>
        </is>
      </c>
      <c r="F276" s="31" t="inlineStr">
        <is>
          <t>electric equipment</t>
        </is>
      </c>
      <c r="G276" s="31" t="inlineStr">
        <is>
          <t>midcap</t>
        </is>
      </c>
      <c r="H276" s="32" t="n">
        <v>9597.65</v>
      </c>
      <c r="I276" s="32" t="n">
        <v>1278.1</v>
      </c>
      <c r="J276" s="32" t="n">
        <v>-1.27</v>
      </c>
      <c r="K276" s="32" t="n">
        <v>318795</v>
      </c>
      <c r="L276" s="31" t="n">
        <v>62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59.68</v>
      </c>
      <c r="P276" s="32" t="n">
        <v>13.82</v>
      </c>
      <c r="Q276" s="32" t="n">
        <v>918.98</v>
      </c>
      <c r="R276" s="31" t="inlineStr">
        <is>
          <t>Volume Spike / Accumulation</t>
        </is>
      </c>
      <c r="S276" s="31" t="inlineStr">
        <is>
          <t>Nifty 50</t>
        </is>
      </c>
      <c r="T276" s="32" t="n">
        <v>-0.96</v>
      </c>
      <c r="U276" s="32" t="n">
        <v>64.88</v>
      </c>
      <c r="V276" s="32" t="n">
        <v>66.47</v>
      </c>
      <c r="W276" s="32" t="n">
        <v>14.62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Less than 50%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IF(B277=0,"",RANK(B277,$B$2:$B$378,0))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KECL</t>
        </is>
      </c>
      <c r="D277" s="31" t="inlineStr">
        <is>
          <t>Kirloskar Electric Company Limited</t>
        </is>
      </c>
      <c r="E277" s="31" t="inlineStr">
        <is>
          <t>industrials</t>
        </is>
      </c>
      <c r="F277" s="31" t="inlineStr">
        <is>
          <t>electric equipment</t>
        </is>
      </c>
      <c r="G277" s="31" t="inlineStr">
        <is>
          <t>smallcap</t>
        </is>
      </c>
      <c r="H277" s="32" t="n">
        <v>986.38</v>
      </c>
      <c r="I277" s="32" t="n">
        <v>142.8</v>
      </c>
      <c r="J277" s="32" t="n">
        <v>-1.86</v>
      </c>
      <c r="K277" s="32" t="n">
        <v>1390713</v>
      </c>
      <c r="L277" s="31" t="n">
        <v>47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65.48</v>
      </c>
      <c r="P277" s="32" t="n">
        <v>26.8</v>
      </c>
      <c r="Q277" s="32" t="n">
        <v>99.56999999999999</v>
      </c>
      <c r="R277" s="31" t="inlineStr">
        <is>
          <t>Volume Spike &amp; Near 52W High Breakout</t>
        </is>
      </c>
      <c r="S277" s="31" t="inlineStr">
        <is>
          <t>Nifty 50</t>
        </is>
      </c>
      <c r="T277" s="32" t="n">
        <v>-0.96</v>
      </c>
      <c r="U277" s="32" t="n">
        <v>22.18</v>
      </c>
      <c r="V277" s="32" t="n">
        <v>23.36</v>
      </c>
      <c r="W277" s="32" t="n">
        <v>9.81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Between 50% to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Between 0.7 to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IF(B278=0,"",RANK(B278,$B$2:$B$378,0))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NATIONALUM</t>
        </is>
      </c>
      <c r="D278" s="31" t="inlineStr">
        <is>
          <t>National Aluminium Company Limited</t>
        </is>
      </c>
      <c r="E278" s="31" t="inlineStr">
        <is>
          <t>metals &amp; mining</t>
        </is>
      </c>
      <c r="F278" s="31" t="inlineStr">
        <is>
          <t>aluminium and aluminium products</t>
        </is>
      </c>
      <c r="G278" s="31" t="inlineStr">
        <is>
          <t>largecap</t>
        </is>
      </c>
      <c r="H278" s="32" t="n">
        <v>71261.31</v>
      </c>
      <c r="I278" s="32" t="n">
        <v>400.5</v>
      </c>
      <c r="J278" s="32" t="n">
        <v>-4.64</v>
      </c>
      <c r="K278" s="32" t="n">
        <v>19275740</v>
      </c>
      <c r="L278" s="31" t="inlineStr"/>
      <c r="M278" s="31" t="inlineStr"/>
      <c r="N278" s="32">
        <f>IF(M278="Underperforming",-5,IF(L278&gt;=95,15,IF(L278&gt;=90,10,IF(L278&gt;=80,5,0))))</f>
        <v/>
      </c>
      <c r="O278" s="32" t="n">
        <v>59.69</v>
      </c>
      <c r="P278" s="32" t="n">
        <v>25</v>
      </c>
      <c r="Q278" s="32" t="n">
        <v>332.43</v>
      </c>
      <c r="R278" s="31" t="inlineStr">
        <is>
          <t>Earnings / Momentum Support</t>
        </is>
      </c>
      <c r="S278" s="31" t="inlineStr">
        <is>
          <t>Nifty Metal</t>
        </is>
      </c>
      <c r="T278" s="32" t="inlineStr"/>
      <c r="U278" s="32" t="inlineStr"/>
      <c r="V278" s="32" t="inlineStr"/>
      <c r="W278" s="32" t="inlineStr"/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Cyclical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Volatile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Less than 1.5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IF(B279=0,"",RANK(B279,$B$2:$B$378,0))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UTTAMSUGAR</t>
        </is>
      </c>
      <c r="D279" s="31" t="inlineStr">
        <is>
          <t>Uttam Sugar Mills Limited</t>
        </is>
      </c>
      <c r="E279" s="31" t="inlineStr">
        <is>
          <t>fmcg</t>
        </is>
      </c>
      <c r="F279" s="31" t="inlineStr">
        <is>
          <t>sugar</t>
        </is>
      </c>
      <c r="G279" s="31" t="inlineStr">
        <is>
          <t>smallcap</t>
        </is>
      </c>
      <c r="H279" s="32" t="n">
        <v>964.4400000000001</v>
      </c>
      <c r="I279" s="32" t="n">
        <v>264.99</v>
      </c>
      <c r="J279" s="32" t="n">
        <v>4.52</v>
      </c>
      <c r="K279" s="32" t="n">
        <v>395523</v>
      </c>
      <c r="L279" s="31" t="n">
        <v>10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60.05</v>
      </c>
      <c r="P279" s="32" t="n">
        <v>11.92</v>
      </c>
      <c r="Q279" s="32" t="n">
        <v>197.42</v>
      </c>
      <c r="R279" s="31" t="inlineStr">
        <is>
          <t>Volume Spike &amp; Near 52W High Breakout</t>
        </is>
      </c>
      <c r="S279" s="31" t="inlineStr">
        <is>
          <t>Nifty FMCG</t>
        </is>
      </c>
      <c r="T279" s="32" t="n">
        <v>-10.52</v>
      </c>
      <c r="U279" s="32" t="n">
        <v>-0.53</v>
      </c>
      <c r="V279" s="32" t="n">
        <v>11.16</v>
      </c>
      <c r="W279" s="32" t="n">
        <v>1.15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B2C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Annuity, Lower One Time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Between 0.7 to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IF(B280=0,"",RANK(B280,$B$2:$B$378,0))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DHAMPURSUG</t>
        </is>
      </c>
      <c r="D280" s="31" t="inlineStr">
        <is>
          <t>Dhampur Sugar Mills Limited</t>
        </is>
      </c>
      <c r="E280" s="31" t="inlineStr">
        <is>
          <t>fmcg</t>
        </is>
      </c>
      <c r="F280" s="31" t="inlineStr">
        <is>
          <t>sugar</t>
        </is>
      </c>
      <c r="G280" s="31" t="inlineStr">
        <is>
          <t>smallcap</t>
        </is>
      </c>
      <c r="H280" s="32" t="n">
        <v>1016.04</v>
      </c>
      <c r="I280" s="32" t="n">
        <v>161.73</v>
      </c>
      <c r="J280" s="32" t="n">
        <v>1.57</v>
      </c>
      <c r="K280" s="32" t="n">
        <v>1050330</v>
      </c>
      <c r="L280" s="31" t="n">
        <v>32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67.09999999999999</v>
      </c>
      <c r="P280" s="32" t="n">
        <v>15.59</v>
      </c>
      <c r="Q280" s="32" t="n">
        <v>125.55</v>
      </c>
      <c r="R280" s="31" t="inlineStr">
        <is>
          <t>Volume Spike &amp; Near 52W High Breakout</t>
        </is>
      </c>
      <c r="S280" s="31" t="inlineStr">
        <is>
          <t>Nifty FMCG</t>
        </is>
      </c>
      <c r="T280" s="32" t="n">
        <v>-10.52</v>
      </c>
      <c r="U280" s="32" t="n">
        <v>12.75</v>
      </c>
      <c r="V280" s="32" t="n">
        <v>26.01</v>
      </c>
      <c r="W280" s="32" t="n">
        <v>6.65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B2C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Annuity, Lower One Time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Between 0.7 to 1.2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IF(B281=0,"",RANK(B281,$B$2:$B$378,0))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PVRINOX</t>
        </is>
      </c>
      <c r="D281" s="31" t="inlineStr">
        <is>
          <t>PVR Inox Ltd</t>
        </is>
      </c>
      <c r="E281" s="31" t="inlineStr">
        <is>
          <t>media</t>
        </is>
      </c>
      <c r="F281" s="31" t="inlineStr">
        <is>
          <t>entertainment / electronic media software</t>
        </is>
      </c>
      <c r="G281" s="31" t="inlineStr">
        <is>
          <t>midcap</t>
        </is>
      </c>
      <c r="H281" s="32" t="n">
        <v>11393.16</v>
      </c>
      <c r="I281" s="32" t="n">
        <v>1179.7</v>
      </c>
      <c r="J281" s="32" t="n">
        <v>-0.82</v>
      </c>
      <c r="K281" s="32" t="n">
        <v>275806</v>
      </c>
      <c r="L281" s="31" t="n">
        <v>28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68.59999999999999</v>
      </c>
      <c r="P281" s="32" t="n">
        <v>14.85</v>
      </c>
      <c r="Q281" s="32" t="n">
        <v>978.54</v>
      </c>
      <c r="R281" s="31" t="inlineStr">
        <is>
          <t>Near 52W High Breakout</t>
        </is>
      </c>
      <c r="S281" s="31" t="inlineStr">
        <is>
          <t>Nifty IT</t>
        </is>
      </c>
      <c r="T281" s="32" t="n">
        <v>-9.699999999999999</v>
      </c>
      <c r="U281" s="32" t="n">
        <v>9</v>
      </c>
      <c r="V281" s="32" t="n">
        <v>20.71</v>
      </c>
      <c r="W281" s="32" t="n">
        <v>5.28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Annuity, Lower One Time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Between 0.7 to 1.2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IF(B282=0,"",RANK(B282,$B$2:$B$378,0))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ORCHPHARMA</t>
        </is>
      </c>
      <c r="D282" s="31" t="inlineStr">
        <is>
          <t>Orchid Pharma Ltd</t>
        </is>
      </c>
      <c r="E282" s="31" t="inlineStr">
        <is>
          <t>healthcare</t>
        </is>
      </c>
      <c r="F282" s="31" t="inlineStr">
        <is>
          <t>pharmaceuticals - indian - bulk drugs &amp; formln</t>
        </is>
      </c>
      <c r="G282" s="31" t="inlineStr">
        <is>
          <t>midcap</t>
        </is>
      </c>
      <c r="H282" s="32" t="n">
        <v>5470.31</v>
      </c>
      <c r="I282" s="32" t="n">
        <v>1033.9</v>
      </c>
      <c r="J282" s="32" t="n">
        <v>-2.77</v>
      </c>
      <c r="K282" s="32" t="n">
        <v>55900</v>
      </c>
      <c r="L282" s="31" t="n">
        <v>69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71.36</v>
      </c>
      <c r="P282" s="32" t="n">
        <v>48.4</v>
      </c>
      <c r="Q282" s="32" t="n">
        <v>771.84</v>
      </c>
      <c r="R282" s="31" t="inlineStr">
        <is>
          <t>Near 52W High Breakout</t>
        </is>
      </c>
      <c r="S282" s="31" t="inlineStr">
        <is>
          <t>Nifty Pharma</t>
        </is>
      </c>
      <c r="T282" s="32" t="n">
        <v>20.47</v>
      </c>
      <c r="U282" s="32" t="n">
        <v>38.18</v>
      </c>
      <c r="V282" s="32" t="n">
        <v>14.7</v>
      </c>
      <c r="W282" s="32" t="n">
        <v>17.5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Yes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Annuity, Lower One Time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Above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IF(B283=0,"",RANK(B283,$B$2:$B$378,0))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ASTRAL</t>
        </is>
      </c>
      <c r="D283" s="31" t="inlineStr">
        <is>
          <t>Astral Ltd</t>
        </is>
      </c>
      <c r="E283" s="31" t="inlineStr">
        <is>
          <t>plastic products</t>
        </is>
      </c>
      <c r="F283" s="31" t="inlineStr">
        <is>
          <t>plastics products</t>
        </is>
      </c>
      <c r="G283" s="31" t="inlineStr">
        <is>
          <t>largecap</t>
        </is>
      </c>
      <c r="H283" s="32" t="n">
        <v>38279.96</v>
      </c>
      <c r="I283" s="32" t="n">
        <v>1592</v>
      </c>
      <c r="J283" s="32" t="n">
        <v>8.74</v>
      </c>
      <c r="K283" s="32" t="n">
        <v>24714367</v>
      </c>
      <c r="L283" s="31" t="n">
        <v>27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57.15</v>
      </c>
      <c r="P283" s="32" t="n">
        <v>22.72</v>
      </c>
      <c r="Q283" s="32" t="n">
        <v>1292.25</v>
      </c>
      <c r="R283" s="31" t="inlineStr">
        <is>
          <t>Volume Spike / Accumulation</t>
        </is>
      </c>
      <c r="S283" s="31" t="inlineStr">
        <is>
          <t>Nifty 500</t>
        </is>
      </c>
      <c r="T283" s="32" t="n">
        <v>4.31</v>
      </c>
      <c r="U283" s="32" t="n">
        <v>24.57</v>
      </c>
      <c r="V283" s="32" t="n">
        <v>19.42</v>
      </c>
      <c r="W283" s="32" t="n">
        <v>5.27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1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Between 1.5 to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IF(B284=0,"",RANK(B284,$B$2:$B$378,0))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SHALPAINTS</t>
        </is>
      </c>
      <c r="D284" s="33" t="inlineStr">
        <is>
          <t>Shalimar Paints Limited</t>
        </is>
      </c>
      <c r="E284" s="31" t="inlineStr">
        <is>
          <t>building materials</t>
        </is>
      </c>
      <c r="F284" s="31" t="inlineStr">
        <is>
          <t>paints / varnishes</t>
        </is>
      </c>
      <c r="G284" s="31" t="inlineStr">
        <is>
          <t>smallcap</t>
        </is>
      </c>
      <c r="H284" s="32" t="n">
        <v>702.09</v>
      </c>
      <c r="I284" s="32" t="n">
        <v>87.04000000000001</v>
      </c>
      <c r="J284" s="32" t="n">
        <v>4.99</v>
      </c>
      <c r="K284" s="32" t="n">
        <v>237946</v>
      </c>
      <c r="L284" s="31" t="n">
        <v>75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72.09</v>
      </c>
      <c r="P284" s="32" t="n">
        <v>18.16</v>
      </c>
      <c r="Q284" s="32" t="n">
        <v>63.02</v>
      </c>
      <c r="R284" s="31" t="inlineStr">
        <is>
          <t>Near 52W High Breakout</t>
        </is>
      </c>
      <c r="S284" s="31" t="inlineStr">
        <is>
          <t>Nifty Infra</t>
        </is>
      </c>
      <c r="T284" s="32" t="n">
        <v>3.6</v>
      </c>
      <c r="U284" s="32" t="n">
        <v>2.98</v>
      </c>
      <c r="V284" s="32" t="n">
        <v>-0.6</v>
      </c>
      <c r="W284" s="32" t="n">
        <v>20.08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Negative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IF(B285=0,"",RANK(B285,$B$2:$B$378,0))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RBA</t>
        </is>
      </c>
      <c r="D285" s="31" t="inlineStr">
        <is>
          <t>Restaurant Brands Asia Ltd</t>
        </is>
      </c>
      <c r="E285" s="31" t="inlineStr">
        <is>
          <t>consumer discretionary</t>
        </is>
      </c>
      <c r="F285" s="31" t="inlineStr">
        <is>
          <t>hotels</t>
        </is>
      </c>
      <c r="G285" s="31" t="inlineStr">
        <is>
          <t>midcap</t>
        </is>
      </c>
      <c r="H285" s="32" t="n">
        <v>6594.08</v>
      </c>
      <c r="I285" s="32" t="n">
        <v>98.34999999999999</v>
      </c>
      <c r="J285" s="32" t="n">
        <v>4.83</v>
      </c>
      <c r="K285" s="32" t="n">
        <v>28890605</v>
      </c>
      <c r="L285" s="31" t="n">
        <v>65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75.03</v>
      </c>
      <c r="P285" s="32" t="n">
        <v>28.38</v>
      </c>
      <c r="Q285" s="32" t="n">
        <v>77.92</v>
      </c>
      <c r="R285" s="31" t="inlineStr">
        <is>
          <t>Near 52W High Breakout</t>
        </is>
      </c>
      <c r="S285" s="31" t="inlineStr">
        <is>
          <t>Nifty 50</t>
        </is>
      </c>
      <c r="T285" s="32" t="n">
        <v>-0.96</v>
      </c>
      <c r="U285" s="32" t="n">
        <v>24.83</v>
      </c>
      <c r="V285" s="32" t="n">
        <v>26.03</v>
      </c>
      <c r="W285" s="32" t="n">
        <v>15.55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Above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More than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IF(B286=0,"",RANK(B286,$B$2:$B$378,0))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ORISSAMINE</t>
        </is>
      </c>
      <c r="D286" s="31" t="inlineStr">
        <is>
          <t>The Orissa Minerals Development Company Limited</t>
        </is>
      </c>
      <c r="E286" s="31" t="inlineStr">
        <is>
          <t>metals &amp; mining</t>
        </is>
      </c>
      <c r="F286" s="31" t="inlineStr">
        <is>
          <t>mining / minerals / metals</t>
        </is>
      </c>
      <c r="G286" s="31" t="inlineStr">
        <is>
          <t>smallcap</t>
        </is>
      </c>
      <c r="H286" s="32" t="n">
        <v>2702.88</v>
      </c>
      <c r="I286" s="32" t="n">
        <v>5003.7</v>
      </c>
      <c r="J286" s="32" t="n">
        <v>3.4</v>
      </c>
      <c r="K286" s="32" t="n">
        <v>189359</v>
      </c>
      <c r="L286" s="31" t="inlineStr"/>
      <c r="M286" s="31" t="inlineStr"/>
      <c r="N286" s="32">
        <f>IF(M286="Underperforming",-5,IF(L286&gt;=95,15,IF(L286&gt;=90,10,IF(L286&gt;=80,5,0))))</f>
        <v/>
      </c>
      <c r="O286" s="32" t="n">
        <v>66.75</v>
      </c>
      <c r="P286" s="32" t="n">
        <v>8.73</v>
      </c>
      <c r="Q286" s="32" t="n">
        <v>3851.93</v>
      </c>
      <c r="R286" s="31" t="inlineStr">
        <is>
          <t>Volume Spike / Accumulation</t>
        </is>
      </c>
      <c r="S286" s="31" t="inlineStr">
        <is>
          <t>Nifty Metal</t>
        </is>
      </c>
      <c r="T286" s="32" t="inlineStr"/>
      <c r="U286" s="32" t="inlineStr"/>
      <c r="V286" s="32" t="inlineStr"/>
      <c r="W286" s="32" t="inlineStr"/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Cyclical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Volatile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Less than 1.5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IF(B287=0,"",RANK(B287,$B$2:$B$378,0))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RAJRATAN</t>
        </is>
      </c>
      <c r="D287" s="31" t="inlineStr">
        <is>
          <t>Rajratan Global Wire Ltd</t>
        </is>
      </c>
      <c r="E287" s="31" t="inlineStr">
        <is>
          <t>metals &amp; mining</t>
        </is>
      </c>
      <c r="F287" s="31" t="inlineStr">
        <is>
          <t>steel - medium / small</t>
        </is>
      </c>
      <c r="G287" s="31" t="inlineStr">
        <is>
          <t>smallcap</t>
        </is>
      </c>
      <c r="H287" s="32" t="n">
        <v>2632.98</v>
      </c>
      <c r="I287" s="32" t="n">
        <v>527.25</v>
      </c>
      <c r="J287" s="32" t="n">
        <v>1.69</v>
      </c>
      <c r="K287" s="32" t="n">
        <v>90303</v>
      </c>
      <c r="L287" s="31" t="inlineStr"/>
      <c r="M287" s="31" t="inlineStr"/>
      <c r="N287" s="32">
        <f>IF(M287="Underperforming",-5,IF(L287&gt;=95,15,IF(L287&gt;=90,10,IF(L287&gt;=80,5,0))))</f>
        <v/>
      </c>
      <c r="O287" s="32" t="n">
        <v>67.95999999999999</v>
      </c>
      <c r="P287" s="32" t="n">
        <v>18.35</v>
      </c>
      <c r="Q287" s="32" t="n">
        <v>396.74</v>
      </c>
      <c r="R287" s="31" t="inlineStr">
        <is>
          <t>Near 52W High Breakout</t>
        </is>
      </c>
      <c r="S287" s="31" t="inlineStr">
        <is>
          <t>Nifty Metal</t>
        </is>
      </c>
      <c r="T287" s="32" t="inlineStr"/>
      <c r="U287" s="32" t="inlineStr"/>
      <c r="V287" s="32" t="inlineStr"/>
      <c r="W287" s="32" t="inlineStr"/>
      <c r="X287" s="31" t="inlineStr">
        <is>
          <t>Cyclical in an Upturn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Cyclical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Volatile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Less than 1.5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IF(B288=0,"",RANK(B288,$B$2:$B$378,0))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EPL</t>
        </is>
      </c>
      <c r="D288" s="31" t="inlineStr">
        <is>
          <t>EPL Ltd</t>
        </is>
      </c>
      <c r="E288" s="31" t="inlineStr">
        <is>
          <t>industrials</t>
        </is>
      </c>
      <c r="F288" s="31" t="inlineStr">
        <is>
          <t>packaging</t>
        </is>
      </c>
      <c r="G288" s="31" t="inlineStr">
        <is>
          <t>midcap</t>
        </is>
      </c>
      <c r="H288" s="32" t="n">
        <v>7551.55</v>
      </c>
      <c r="I288" s="32" t="n">
        <v>247.24</v>
      </c>
      <c r="J288" s="32" t="n">
        <v>1.48</v>
      </c>
      <c r="K288" s="32" t="n">
        <v>2611078</v>
      </c>
      <c r="L288" s="31" t="n">
        <v>28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61.75</v>
      </c>
      <c r="P288" s="32" t="n">
        <v>9.93</v>
      </c>
      <c r="Q288" s="32" t="n">
        <v>195.67</v>
      </c>
      <c r="R288" s="31" t="inlineStr">
        <is>
          <t>Volume Spike &amp; Near 52W High Breakout</t>
        </is>
      </c>
      <c r="S288" s="31" t="inlineStr">
        <is>
          <t>Nifty 50</t>
        </is>
      </c>
      <c r="T288" s="32" t="n">
        <v>-0.96</v>
      </c>
      <c r="U288" s="32" t="n">
        <v>9.960000000000001</v>
      </c>
      <c r="V288" s="32" t="n">
        <v>11.02</v>
      </c>
      <c r="W288" s="32" t="n">
        <v>5.32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IF(B289=0,"",RANK(B289,$B$2:$B$378,0))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ETERNAL</t>
        </is>
      </c>
      <c r="D289" s="31" t="inlineStr">
        <is>
          <t>Eternal Ltd</t>
        </is>
      </c>
      <c r="E289" s="31" t="inlineStr">
        <is>
          <t>i.t</t>
        </is>
      </c>
      <c r="F289" s="31" t="inlineStr">
        <is>
          <t>miscellaneous</t>
        </is>
      </c>
      <c r="G289" s="31" t="inlineStr">
        <is>
          <t>largecap</t>
        </is>
      </c>
      <c r="H289" s="32" t="n">
        <v>306881.15</v>
      </c>
      <c r="I289" s="32" t="n">
        <v>318</v>
      </c>
      <c r="J289" s="32" t="n">
        <v>1.26</v>
      </c>
      <c r="K289" s="32" t="n">
        <v>51541644</v>
      </c>
      <c r="L289" s="31" t="n">
        <v>38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65.86</v>
      </c>
      <c r="P289" s="32" t="n">
        <v>18.13</v>
      </c>
      <c r="Q289" s="32" t="n">
        <v>254.71</v>
      </c>
      <c r="R289" s="31" t="inlineStr">
        <is>
          <t>Earnings / Momentum Support</t>
        </is>
      </c>
      <c r="S289" s="31" t="inlineStr">
        <is>
          <t>Nifty IT</t>
        </is>
      </c>
      <c r="T289" s="32" t="n">
        <v>-9.699999999999999</v>
      </c>
      <c r="U289" s="32" t="n">
        <v>-0.13</v>
      </c>
      <c r="V289" s="32" t="n">
        <v>10.6</v>
      </c>
      <c r="W289" s="32" t="n">
        <v>7.51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IF(B290=0,"",RANK(B290,$B$2:$B$378,0))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TBOTEK</t>
        </is>
      </c>
      <c r="D290" s="31" t="inlineStr">
        <is>
          <t>TBO Tek Ltd</t>
        </is>
      </c>
      <c r="E290" s="31" t="inlineStr">
        <is>
          <t>i.t</t>
        </is>
      </c>
      <c r="F290" s="31" t="inlineStr">
        <is>
          <t>travel agencies</t>
        </is>
      </c>
      <c r="G290" s="31" t="inlineStr">
        <is>
          <t>midcap</t>
        </is>
      </c>
      <c r="H290" s="32" t="n">
        <v>17805.14</v>
      </c>
      <c r="I290" s="32" t="n">
        <v>1606.4</v>
      </c>
      <c r="J290" s="32" t="n">
        <v>0.61</v>
      </c>
      <c r="K290" s="32" t="n">
        <v>57906</v>
      </c>
      <c r="L290" s="31" t="n">
        <v>52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63.5</v>
      </c>
      <c r="P290" s="32" t="n">
        <v>19.95</v>
      </c>
      <c r="Q290" s="32" t="n">
        <v>1253.56</v>
      </c>
      <c r="R290" s="31" t="inlineStr">
        <is>
          <t>Earnings / Momentum Support</t>
        </is>
      </c>
      <c r="S290" s="31" t="inlineStr">
        <is>
          <t>Nifty IT</t>
        </is>
      </c>
      <c r="T290" s="32" t="n">
        <v>-9.699999999999999</v>
      </c>
      <c r="U290" s="32" t="n">
        <v>11.14</v>
      </c>
      <c r="V290" s="32" t="n">
        <v>23.08</v>
      </c>
      <c r="W290" s="32" t="n">
        <v>11.14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IF(B291=0,"",RANK(B291,$B$2:$B$378,0))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ETHOSLTD</t>
        </is>
      </c>
      <c r="D291" s="31" t="inlineStr">
        <is>
          <t>Ethos Ltd</t>
        </is>
      </c>
      <c r="E291" s="31" t="inlineStr">
        <is>
          <t>consumer discretionary</t>
        </is>
      </c>
      <c r="F291" s="31" t="inlineStr">
        <is>
          <t>trading</t>
        </is>
      </c>
      <c r="G291" s="31" t="inlineStr">
        <is>
          <t>midcap</t>
        </is>
      </c>
      <c r="H291" s="32" t="n">
        <v>7570.55</v>
      </c>
      <c r="I291" s="32" t="n">
        <v>2805</v>
      </c>
      <c r="J291" s="32" t="n">
        <v>0.53</v>
      </c>
      <c r="K291" s="32" t="n">
        <v>12142</v>
      </c>
      <c r="L291" s="31" t="n">
        <v>26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61.89</v>
      </c>
      <c r="P291" s="32" t="n">
        <v>14.82</v>
      </c>
      <c r="Q291" s="32" t="n">
        <v>2155.13</v>
      </c>
      <c r="R291" s="31" t="inlineStr">
        <is>
          <t>Earnings / Momentum Support</t>
        </is>
      </c>
      <c r="S291" s="31" t="inlineStr">
        <is>
          <t>Nifty 50</t>
        </is>
      </c>
      <c r="T291" s="32" t="n">
        <v>-0.96</v>
      </c>
      <c r="U291" s="32" t="n">
        <v>1.38</v>
      </c>
      <c r="V291" s="32" t="n">
        <v>2.36</v>
      </c>
      <c r="W291" s="32" t="n">
        <v>5.14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IF(B292=0,"",RANK(B292,$B$2:$B$378,0))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NAVINFLUOR</t>
        </is>
      </c>
      <c r="D292" s="31" t="inlineStr">
        <is>
          <t>Navin Fluorine International Limited</t>
        </is>
      </c>
      <c r="E292" s="31" t="inlineStr">
        <is>
          <t>chemicals</t>
        </is>
      </c>
      <c r="F292" s="31" t="inlineStr">
        <is>
          <t>chemicals</t>
        </is>
      </c>
      <c r="G292" s="31" t="inlineStr">
        <is>
          <t>largecap</t>
        </is>
      </c>
      <c r="H292" s="32" t="n">
        <v>41833.07</v>
      </c>
      <c r="I292" s="32" t="n">
        <v>8294</v>
      </c>
      <c r="J292" s="32" t="n">
        <v>-0.75</v>
      </c>
      <c r="K292" s="32" t="n">
        <v>130718</v>
      </c>
      <c r="L292" s="31" t="n">
        <v>63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76.72</v>
      </c>
      <c r="P292" s="32" t="n">
        <v>55.5</v>
      </c>
      <c r="Q292" s="32" t="n">
        <v>6855.01</v>
      </c>
      <c r="R292" s="31" t="inlineStr">
        <is>
          <t>Near 52W High Breakout</t>
        </is>
      </c>
      <c r="S292" s="31" t="inlineStr">
        <is>
          <t>Nifty 50</t>
        </is>
      </c>
      <c r="T292" s="32" t="n">
        <v>-0.96</v>
      </c>
      <c r="U292" s="32" t="n">
        <v>66.31999999999999</v>
      </c>
      <c r="V292" s="32" t="n">
        <v>67.93000000000001</v>
      </c>
      <c r="W292" s="32" t="n">
        <v>14.72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Oligopoly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Shallow Cyclical (2 to 3 Years Growth)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Between 50% to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IF(B293=0,"",RANK(B293,$B$2:$B$378,0))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SOTL</t>
        </is>
      </c>
      <c r="D293" s="31" t="inlineStr">
        <is>
          <t>Savita Oil Technologies Limited</t>
        </is>
      </c>
      <c r="E293" s="31" t="inlineStr">
        <is>
          <t>energy</t>
        </is>
      </c>
      <c r="F293" s="31" t="inlineStr">
        <is>
          <t>petrochemicals</t>
        </is>
      </c>
      <c r="G293" s="31" t="inlineStr">
        <is>
          <t>smallcap</t>
        </is>
      </c>
      <c r="H293" s="32" t="n">
        <v>4799.57</v>
      </c>
      <c r="I293" s="32" t="n">
        <v>681.9</v>
      </c>
      <c r="J293" s="32" t="n">
        <v>-2.01</v>
      </c>
      <c r="K293" s="32" t="n">
        <v>164295</v>
      </c>
      <c r="L293" s="31" t="inlineStr"/>
      <c r="M293" s="31" t="inlineStr"/>
      <c r="N293" s="32">
        <f>IF(M293="Underperforming",-5,IF(L293&gt;=95,15,IF(L293&gt;=90,10,IF(L293&gt;=80,5,0))))</f>
        <v/>
      </c>
      <c r="O293" s="32" t="n">
        <v>64.08</v>
      </c>
      <c r="P293" s="32" t="n">
        <v>50.07</v>
      </c>
      <c r="Q293" s="32" t="n">
        <v>546.38</v>
      </c>
      <c r="R293" s="31" t="inlineStr">
        <is>
          <t>Earnings / Momentum Support</t>
        </is>
      </c>
      <c r="S293" s="31" t="inlineStr">
        <is>
          <t>Nifty Energy</t>
        </is>
      </c>
      <c r="T293" s="32" t="inlineStr"/>
      <c r="U293" s="32" t="inlineStr"/>
      <c r="V293" s="32" t="inlineStr"/>
      <c r="W293" s="32" t="inlineStr"/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Oligopoly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Yes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Volatile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Above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IF(B294=0,"",RANK(B294,$B$2:$B$378,0))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GNA</t>
        </is>
      </c>
      <c r="D294" s="31" t="inlineStr">
        <is>
          <t>Gna Axles Limited</t>
        </is>
      </c>
      <c r="E294" s="31" t="inlineStr">
        <is>
          <t>auto</t>
        </is>
      </c>
      <c r="F294" s="31" t="inlineStr">
        <is>
          <t>auto ancillaries</t>
        </is>
      </c>
      <c r="G294" s="31" t="inlineStr">
        <is>
          <t>smallcap</t>
        </is>
      </c>
      <c r="H294" s="32" t="n">
        <v>2306.89</v>
      </c>
      <c r="I294" s="32" t="n">
        <v>538.65</v>
      </c>
      <c r="J294" s="32" t="n">
        <v>-2.52</v>
      </c>
      <c r="K294" s="32" t="n">
        <v>311904</v>
      </c>
      <c r="L294" s="31" t="inlineStr"/>
      <c r="M294" s="31" t="inlineStr"/>
      <c r="N294" s="32">
        <f>IF(M294="Underperforming",-5,IF(L294&gt;=95,15,IF(L294&gt;=90,10,IF(L294&gt;=80,5,0))))</f>
        <v/>
      </c>
      <c r="O294" s="32" t="n">
        <v>66.39</v>
      </c>
      <c r="P294" s="32" t="n">
        <v>30.61</v>
      </c>
      <c r="Q294" s="32" t="n">
        <v>419.25</v>
      </c>
      <c r="R294" s="31" t="inlineStr">
        <is>
          <t>Earnings / Momentum Support</t>
        </is>
      </c>
      <c r="S294" s="31" t="inlineStr">
        <is>
          <t>Nifty Auto</t>
        </is>
      </c>
      <c r="T294" s="32" t="inlineStr"/>
      <c r="U294" s="32" t="inlineStr"/>
      <c r="V294" s="32" t="inlineStr"/>
      <c r="W294" s="32" t="inlineStr"/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Less than 1.5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IF(B295=0,"",RANK(B295,$B$2:$B$378,0))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RPGLIFE</t>
        </is>
      </c>
      <c r="D295" s="31" t="inlineStr">
        <is>
          <t>Rpg Life Sciences Limited</t>
        </is>
      </c>
      <c r="E295" s="31" t="inlineStr">
        <is>
          <t>healthcare</t>
        </is>
      </c>
      <c r="F295" s="31" t="inlineStr">
        <is>
          <t>pharmaceuticals - indian - bulk drugs &amp; formln</t>
        </is>
      </c>
      <c r="G295" s="31" t="inlineStr">
        <is>
          <t>smallcap</t>
        </is>
      </c>
      <c r="H295" s="32" t="n">
        <v>4355.38</v>
      </c>
      <c r="I295" s="32" t="n">
        <v>2805</v>
      </c>
      <c r="J295" s="32" t="n">
        <v>7.36</v>
      </c>
      <c r="K295" s="32" t="n">
        <v>79875</v>
      </c>
      <c r="L295" s="31" t="n">
        <v>49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66.27</v>
      </c>
      <c r="P295" s="32" t="n">
        <v>31.86</v>
      </c>
      <c r="Q295" s="32" t="n">
        <v>2308.76</v>
      </c>
      <c r="R295" s="31" t="inlineStr">
        <is>
          <t>Near 52W High Breakout</t>
        </is>
      </c>
      <c r="S295" s="31" t="inlineStr">
        <is>
          <t>Nifty Pharma</t>
        </is>
      </c>
      <c r="T295" s="32" t="n">
        <v>20.47</v>
      </c>
      <c r="U295" s="32" t="n">
        <v>26.33</v>
      </c>
      <c r="V295" s="32" t="n">
        <v>4.86</v>
      </c>
      <c r="W295" s="32" t="n">
        <v>10.59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Yes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Annuity, Lower One Time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Blue sky scenario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Between 12 to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IF(B296=0,"",RANK(B296,$B$2:$B$378,0))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WINDLAS</t>
        </is>
      </c>
      <c r="D296" s="33" t="inlineStr">
        <is>
          <t>Windlas Biotech Ltd</t>
        </is>
      </c>
      <c r="E296" s="31" t="inlineStr">
        <is>
          <t>healthcare</t>
        </is>
      </c>
      <c r="F296" s="31" t="inlineStr">
        <is>
          <t>pharmaceuticals - indian - formulations</t>
        </is>
      </c>
      <c r="G296" s="31" t="inlineStr">
        <is>
          <t>smallcap</t>
        </is>
      </c>
      <c r="H296" s="32" t="n">
        <v>1946.2</v>
      </c>
      <c r="I296" s="32" t="n">
        <v>949.5</v>
      </c>
      <c r="J296" s="32" t="n">
        <v>6.13</v>
      </c>
      <c r="K296" s="32" t="n">
        <v>278835</v>
      </c>
      <c r="L296" s="31" t="n">
        <v>19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66.15000000000001</v>
      </c>
      <c r="P296" s="32" t="n">
        <v>14.97</v>
      </c>
      <c r="Q296" s="32" t="n">
        <v>751.65</v>
      </c>
      <c r="R296" s="31" t="inlineStr">
        <is>
          <t>Volume Spike / Accumulation</t>
        </is>
      </c>
      <c r="S296" s="31" t="inlineStr">
        <is>
          <t>Nifty Pharma</t>
        </is>
      </c>
      <c r="T296" s="32" t="n">
        <v>20.47</v>
      </c>
      <c r="U296" s="32" t="n">
        <v>-8.67</v>
      </c>
      <c r="V296" s="32" t="n">
        <v>-24.19</v>
      </c>
      <c r="W296" s="32" t="n">
        <v>3.75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Yes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Annuity, Lower One Time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IF(B297=0,"",RANK(B297,$B$2:$B$378,0))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CONCORDBIO</t>
        </is>
      </c>
      <c r="D297" s="33" t="inlineStr">
        <is>
          <t>Concord Biotech Ltd</t>
        </is>
      </c>
      <c r="E297" s="31" t="inlineStr">
        <is>
          <t>healthcare</t>
        </is>
      </c>
      <c r="F297" s="31" t="inlineStr">
        <is>
          <t>pharmaceuticals - indian - bulk drugs &amp; formln</t>
        </is>
      </c>
      <c r="G297" s="31" t="inlineStr">
        <is>
          <t>midcap</t>
        </is>
      </c>
      <c r="H297" s="32" t="n">
        <v>14948.61</v>
      </c>
      <c r="I297" s="32" t="n">
        <v>1460</v>
      </c>
      <c r="J297" s="32" t="n">
        <v>1.06</v>
      </c>
      <c r="K297" s="32" t="n">
        <v>110289</v>
      </c>
      <c r="L297" s="31" t="n">
        <v>25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59.77</v>
      </c>
      <c r="P297" s="32" t="n">
        <v>14.93</v>
      </c>
      <c r="Q297" s="32" t="n">
        <v>1098.8</v>
      </c>
      <c r="R297" s="31" t="inlineStr">
        <is>
          <t>Earnings / Momentum Support</t>
        </is>
      </c>
      <c r="S297" s="31" t="inlineStr">
        <is>
          <t>Nifty Pharma</t>
        </is>
      </c>
      <c r="T297" s="32" t="n">
        <v>20.47</v>
      </c>
      <c r="U297" s="32" t="n">
        <v>-10.35</v>
      </c>
      <c r="V297" s="32" t="n">
        <v>-25.58</v>
      </c>
      <c r="W297" s="32" t="n">
        <v>4.9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Yes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Annuity, Lower One Time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Between 1.5 to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IF(B298=0,"",RANK(B298,$B$2:$B$378,0))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PERSISTENT</t>
        </is>
      </c>
      <c r="D298" s="31" t="inlineStr">
        <is>
          <t>Persistent Systems Limited</t>
        </is>
      </c>
      <c r="E298" s="31" t="inlineStr">
        <is>
          <t>i.t</t>
        </is>
      </c>
      <c r="F298" s="31" t="inlineStr">
        <is>
          <t>computers - software - large</t>
        </is>
      </c>
      <c r="G298" s="31" t="inlineStr">
        <is>
          <t>largecap</t>
        </is>
      </c>
      <c r="H298" s="32" t="n">
        <v>87330.39999999999</v>
      </c>
      <c r="I298" s="32" t="n">
        <v>5523</v>
      </c>
      <c r="J298" s="32" t="n">
        <v>0.9</v>
      </c>
      <c r="K298" s="32" t="n">
        <v>464966</v>
      </c>
      <c r="L298" s="31" t="n">
        <v>29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57.07</v>
      </c>
      <c r="P298" s="32" t="n">
        <v>9.58</v>
      </c>
      <c r="Q298" s="32" t="n">
        <v>4347.22</v>
      </c>
      <c r="R298" s="31" t="inlineStr">
        <is>
          <t>Earnings / Momentum Support</t>
        </is>
      </c>
      <c r="S298" s="31" t="inlineStr">
        <is>
          <t>Nifty IT</t>
        </is>
      </c>
      <c r="T298" s="32" t="n">
        <v>-9.699999999999999</v>
      </c>
      <c r="U298" s="32" t="n">
        <v>5.16</v>
      </c>
      <c r="V298" s="32" t="n">
        <v>16.46</v>
      </c>
      <c r="W298" s="32" t="n">
        <v>5.41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Annuity, Lower One Time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Between 12 to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IF(B299=0,"",RANK(B299,$B$2:$B$378,0))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INDGN</t>
        </is>
      </c>
      <c r="D299" s="33" t="inlineStr">
        <is>
          <t>Indegene Ltd</t>
        </is>
      </c>
      <c r="E299" s="31" t="inlineStr">
        <is>
          <t>healthcare</t>
        </is>
      </c>
      <c r="F299" s="31" t="inlineStr">
        <is>
          <t>miscellaneous</t>
        </is>
      </c>
      <c r="G299" s="31" t="inlineStr">
        <is>
          <t>midcap</t>
        </is>
      </c>
      <c r="H299" s="32" t="n">
        <v>13676.57</v>
      </c>
      <c r="I299" s="32" t="n">
        <v>569.9</v>
      </c>
      <c r="J299" s="32" t="n">
        <v>0.8</v>
      </c>
      <c r="K299" s="32" t="n">
        <v>336818</v>
      </c>
      <c r="L299" s="31" t="n">
        <v>15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64.73999999999999</v>
      </c>
      <c r="P299" s="32" t="n">
        <v>16.21</v>
      </c>
      <c r="Q299" s="32" t="n">
        <v>468.48</v>
      </c>
      <c r="R299" s="31" t="inlineStr">
        <is>
          <t>Volume Spike &amp; Near 52W High Breakout</t>
        </is>
      </c>
      <c r="S299" s="31" t="inlineStr">
        <is>
          <t>Nifty Pharma</t>
        </is>
      </c>
      <c r="T299" s="32" t="n">
        <v>20.47</v>
      </c>
      <c r="U299" s="32" t="n">
        <v>-0.06</v>
      </c>
      <c r="V299" s="32" t="n">
        <v>-17.04</v>
      </c>
      <c r="W299" s="32" t="n">
        <v>2.53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Yes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Annuity, Lower One Time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IF(B300=0,"",RANK(B300,$B$2:$B$378,0))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AARTIDRUGS</t>
        </is>
      </c>
      <c r="D300" s="33" t="inlineStr">
        <is>
          <t>Aarti Drugs Limited</t>
        </is>
      </c>
      <c r="E300" s="31" t="inlineStr">
        <is>
          <t>healthcare</t>
        </is>
      </c>
      <c r="F300" s="31" t="inlineStr">
        <is>
          <t>pharmaceuticals - indian - bulk drugs</t>
        </is>
      </c>
      <c r="G300" s="31" t="inlineStr">
        <is>
          <t>smallcap</t>
        </is>
      </c>
      <c r="H300" s="32" t="n">
        <v>4009.95</v>
      </c>
      <c r="I300" s="32" t="n">
        <v>429.5</v>
      </c>
      <c r="J300" s="32" t="n">
        <v>-0.46</v>
      </c>
      <c r="K300" s="32" t="n">
        <v>137728</v>
      </c>
      <c r="L300" s="31" t="n">
        <v>11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60.65</v>
      </c>
      <c r="P300" s="32" t="n">
        <v>15.68</v>
      </c>
      <c r="Q300" s="32" t="n">
        <v>345.8</v>
      </c>
      <c r="R300" s="31" t="inlineStr">
        <is>
          <t>Volume Spike / Accumulation</t>
        </is>
      </c>
      <c r="S300" s="31" t="inlineStr">
        <is>
          <t>Nifty Pharma</t>
        </is>
      </c>
      <c r="T300" s="32" t="n">
        <v>20.47</v>
      </c>
      <c r="U300" s="32" t="n">
        <v>-11.64</v>
      </c>
      <c r="V300" s="32" t="n">
        <v>-26.66</v>
      </c>
      <c r="W300" s="32" t="n">
        <v>1.48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Yes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Annuity, Lower One Time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IF(B301=0,"",RANK(B301,$B$2:$B$378,0))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ONEPOINT</t>
        </is>
      </c>
      <c r="D301" s="31" t="inlineStr">
        <is>
          <t>One Point One Solutions Ltd</t>
        </is>
      </c>
      <c r="E301" s="31" t="inlineStr">
        <is>
          <t>i.t</t>
        </is>
      </c>
      <c r="F301" s="31" t="inlineStr">
        <is>
          <t>computers - software - medium / small</t>
        </is>
      </c>
      <c r="G301" s="31" t="inlineStr">
        <is>
          <t>smallcap</t>
        </is>
      </c>
      <c r="H301" s="32" t="n">
        <v>1547.91</v>
      </c>
      <c r="I301" s="32" t="n">
        <v>59.42</v>
      </c>
      <c r="J301" s="32" t="n">
        <v>-0.95</v>
      </c>
      <c r="K301" s="32" t="n">
        <v>2559416</v>
      </c>
      <c r="L301" s="31" t="n">
        <v>26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57.43</v>
      </c>
      <c r="P301" s="32" t="n">
        <v>18.87</v>
      </c>
      <c r="Q301" s="32" t="n">
        <v>47.94</v>
      </c>
      <c r="R301" s="31" t="inlineStr">
        <is>
          <t>Earnings / Momentum Support</t>
        </is>
      </c>
      <c r="S301" s="31" t="inlineStr">
        <is>
          <t>Nifty IT</t>
        </is>
      </c>
      <c r="T301" s="32" t="n">
        <v>-9.699999999999999</v>
      </c>
      <c r="U301" s="32" t="n">
        <v>27.59</v>
      </c>
      <c r="V301" s="32" t="n">
        <v>41.3</v>
      </c>
      <c r="W301" s="32" t="n">
        <v>5.06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Annuity, Lower One Time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Between 12 to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IF(B302=0,"",RANK(B302,$B$2:$B$378,0))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APLLTD</t>
        </is>
      </c>
      <c r="D302" s="33" t="inlineStr">
        <is>
          <t>Alembic Pharmaceuticals Limited</t>
        </is>
      </c>
      <c r="E302" s="31" t="inlineStr">
        <is>
          <t>healthcare</t>
        </is>
      </c>
      <c r="F302" s="31" t="inlineStr">
        <is>
          <t>pharmaceuticals - indian - bulk drugs &amp; formln</t>
        </is>
      </c>
      <c r="G302" s="31" t="inlineStr">
        <is>
          <t>midcap</t>
        </is>
      </c>
      <c r="H302" s="32" t="n">
        <v>16488.7</v>
      </c>
      <c r="I302" s="32" t="n">
        <v>831.2</v>
      </c>
      <c r="J302" s="32" t="n">
        <v>-1.24</v>
      </c>
      <c r="K302" s="32" t="n">
        <v>44236</v>
      </c>
      <c r="L302" s="31" t="n">
        <v>4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59.51</v>
      </c>
      <c r="P302" s="32" t="n">
        <v>14.3</v>
      </c>
      <c r="Q302" s="32" t="n">
        <v>684.76</v>
      </c>
      <c r="R302" s="31" t="inlineStr">
        <is>
          <t>Earnings / Momentum Support</t>
        </is>
      </c>
      <c r="S302" s="31" t="inlineStr">
        <is>
          <t>Nifty Pharma</t>
        </is>
      </c>
      <c r="T302" s="32" t="n">
        <v>20.47</v>
      </c>
      <c r="U302" s="32" t="n">
        <v>-11.85</v>
      </c>
      <c r="V302" s="32" t="n">
        <v>-26.83</v>
      </c>
      <c r="W302" s="32" t="n">
        <v>-0.67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Between 12 to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Between 1.5 to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IF(B303=0,"",RANK(B303,$B$2:$B$378,0))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SYNCOMF</t>
        </is>
      </c>
      <c r="D303" s="33" t="inlineStr">
        <is>
          <t>Syncom Formulations (India) Ltd</t>
        </is>
      </c>
      <c r="E303" s="31" t="inlineStr">
        <is>
          <t>healthcare</t>
        </is>
      </c>
      <c r="F303" s="31" t="inlineStr">
        <is>
          <t>pharmaceuticals - indian - bulk drugs &amp; formln</t>
        </is>
      </c>
      <c r="G303" s="31" t="inlineStr">
        <is>
          <t>smallcap</t>
        </is>
      </c>
      <c r="H303" s="32" t="n">
        <v>1365.82</v>
      </c>
      <c r="I303" s="32" t="n">
        <v>15.2</v>
      </c>
      <c r="J303" s="32" t="n">
        <v>-4.28</v>
      </c>
      <c r="K303" s="32" t="n">
        <v>6177208</v>
      </c>
      <c r="L303" s="31" t="n">
        <v>4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58.71</v>
      </c>
      <c r="P303" s="32" t="n">
        <v>13.73</v>
      </c>
      <c r="Q303" s="32" t="n">
        <v>11.36</v>
      </c>
      <c r="R303" s="31" t="inlineStr">
        <is>
          <t>Volume Spike / Accumulation</t>
        </is>
      </c>
      <c r="S303" s="31" t="inlineStr">
        <is>
          <t>Nifty Pharma</t>
        </is>
      </c>
      <c r="T303" s="32" t="n">
        <v>20.47</v>
      </c>
      <c r="U303" s="32" t="n">
        <v>-12.26</v>
      </c>
      <c r="V303" s="32" t="n">
        <v>-27.17</v>
      </c>
      <c r="W303" s="32" t="n">
        <v>-0.13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Yes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Annuity, Lower One Time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1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Less than 1.5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IF(B304=0,"",RANK(B304,$B$2:$B$378,0))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OBEROIRLTY</t>
        </is>
      </c>
      <c r="D304" s="31" t="inlineStr">
        <is>
          <t>Oberoi Realty Limited</t>
        </is>
      </c>
      <c r="E304" s="31" t="inlineStr">
        <is>
          <t>realty</t>
        </is>
      </c>
      <c r="F304" s="31" t="inlineStr">
        <is>
          <t>construction</t>
        </is>
      </c>
      <c r="G304" s="31" t="inlineStr">
        <is>
          <t>largecap</t>
        </is>
      </c>
      <c r="H304" s="32" t="n">
        <v>65215.7</v>
      </c>
      <c r="I304" s="32" t="n">
        <v>1846</v>
      </c>
      <c r="J304" s="32" t="n">
        <v>2.56</v>
      </c>
      <c r="K304" s="32" t="n">
        <v>1629454</v>
      </c>
      <c r="L304" s="31" t="n">
        <v>21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59.34</v>
      </c>
      <c r="P304" s="32" t="n">
        <v>16.89</v>
      </c>
      <c r="Q304" s="32" t="n">
        <v>1627.96</v>
      </c>
      <c r="R304" s="31" t="inlineStr">
        <is>
          <t>Near 52W High Breakout</t>
        </is>
      </c>
      <c r="S304" s="31" t="inlineStr">
        <is>
          <t>Nifty Realty</t>
        </is>
      </c>
      <c r="T304" s="32" t="n">
        <v>-5.49</v>
      </c>
      <c r="U304" s="32" t="n">
        <v>9.109999999999999</v>
      </c>
      <c r="V304" s="32" t="n">
        <v>15.45</v>
      </c>
      <c r="W304" s="32" t="n">
        <v>4.2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IF(B305=0,"",RANK(B305,$B$2:$B$378,0))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ASIANENE</t>
        </is>
      </c>
      <c r="D305" s="31" t="inlineStr">
        <is>
          <t>Asian Energy Services Ltd</t>
        </is>
      </c>
      <c r="E305" s="31" t="inlineStr">
        <is>
          <t>energy</t>
        </is>
      </c>
      <c r="F305" s="31" t="inlineStr">
        <is>
          <t>oil drilling / allied services</t>
        </is>
      </c>
      <c r="G305" s="31" t="inlineStr">
        <is>
          <t>smallcap</t>
        </is>
      </c>
      <c r="H305" s="32" t="n">
        <v>1953.94</v>
      </c>
      <c r="I305" s="32" t="n">
        <v>410</v>
      </c>
      <c r="J305" s="32" t="n">
        <v>1.04</v>
      </c>
      <c r="K305" s="32" t="n">
        <v>313877</v>
      </c>
      <c r="L305" s="31" t="inlineStr"/>
      <c r="M305" s="31" t="inlineStr"/>
      <c r="N305" s="32">
        <f>IF(M305="Underperforming",-5,IF(L305&gt;=95,15,IF(L305&gt;=90,10,IF(L305&gt;=80,5,0))))</f>
        <v/>
      </c>
      <c r="O305" s="32" t="n">
        <v>66.84999999999999</v>
      </c>
      <c r="P305" s="32" t="n">
        <v>17.31</v>
      </c>
      <c r="Q305" s="32" t="n">
        <v>304.11</v>
      </c>
      <c r="R305" s="31" t="inlineStr">
        <is>
          <t>Near 52W High Breakout</t>
        </is>
      </c>
      <c r="S305" s="31" t="inlineStr">
        <is>
          <t>Nifty Energy</t>
        </is>
      </c>
      <c r="T305" s="32" t="inlineStr"/>
      <c r="U305" s="32" t="inlineStr"/>
      <c r="V305" s="32" t="inlineStr"/>
      <c r="W305" s="32" t="inlineStr"/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Oligopoly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Yes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Cyclical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Yes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Blue sky scenario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Less than 1.5</t>
        </is>
      </c>
      <c r="BU305" s="31">
        <f>IF(BT305="Above 2",0,IF(BT305="Between 1.5 to 2",5,IF(BT305="Less than 1.5",10,0)))</f>
        <v/>
      </c>
      <c r="BV305" s="31" t="inlineStr">
        <is>
          <t>Between 50% to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IF(B306=0,"",RANK(B306,$B$2:$B$378,0))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M&amp;M</t>
        </is>
      </c>
      <c r="D306" s="31" t="inlineStr">
        <is>
          <t>Mahindra &amp; Mahindra Limited</t>
        </is>
      </c>
      <c r="E306" s="31" t="inlineStr">
        <is>
          <t>auto</t>
        </is>
      </c>
      <c r="F306" s="31" t="inlineStr">
        <is>
          <t>automobiles - passenger cars</t>
        </is>
      </c>
      <c r="G306" s="31" t="inlineStr">
        <is>
          <t>largecap</t>
        </is>
      </c>
      <c r="H306" s="32" t="n">
        <v>430273.41</v>
      </c>
      <c r="I306" s="32" t="n">
        <v>3428.2</v>
      </c>
      <c r="J306" s="32" t="n">
        <v>0.72</v>
      </c>
      <c r="K306" s="32" t="n">
        <v>4476998</v>
      </c>
      <c r="L306" s="31" t="inlineStr"/>
      <c r="M306" s="31" t="inlineStr"/>
      <c r="N306" s="32">
        <f>IF(M306="Underperforming",-5,IF(L306&gt;=95,15,IF(L306&gt;=90,10,IF(L306&gt;=80,5,0))))</f>
        <v/>
      </c>
      <c r="O306" s="32" t="n">
        <v>58.72</v>
      </c>
      <c r="P306" s="32" t="n">
        <v>12.53</v>
      </c>
      <c r="Q306" s="32" t="n">
        <v>2980.89</v>
      </c>
      <c r="R306" s="31" t="inlineStr">
        <is>
          <t>Earnings / Momentum Support</t>
        </is>
      </c>
      <c r="S306" s="31" t="inlineStr">
        <is>
          <t>Nifty Auto</t>
        </is>
      </c>
      <c r="T306" s="32" t="inlineStr"/>
      <c r="U306" s="32" t="inlineStr"/>
      <c r="V306" s="32" t="inlineStr"/>
      <c r="W306" s="32" t="inlineStr"/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Less than 1.5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More than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IF(B307=0,"",RANK(B307,$B$2:$B$378,0))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3" t="inlineStr">
        <is>
          <t>SHANTIGOLD</t>
        </is>
      </c>
      <c r="D307" s="33" t="inlineStr">
        <is>
          <t>Shanti Gold International Ltd</t>
        </is>
      </c>
      <c r="E307" s="31" t="inlineStr">
        <is>
          <t>consumer discretionary</t>
        </is>
      </c>
      <c r="F307" s="31" t="inlineStr">
        <is>
          <t>diamond cutting / jewellery</t>
        </is>
      </c>
      <c r="G307" s="31" t="inlineStr">
        <is>
          <t>smallcap</t>
        </is>
      </c>
      <c r="H307" s="32" t="n">
        <v>1642.13</v>
      </c>
      <c r="I307" s="32" t="n">
        <v>230.9</v>
      </c>
      <c r="J307" s="32" t="n">
        <v>0.3</v>
      </c>
      <c r="K307" s="32" t="n">
        <v>2431205</v>
      </c>
      <c r="L307" s="31" t="n">
        <v>10</v>
      </c>
      <c r="M307" s="31" t="inlineStr">
        <is>
          <t>Underperforming</t>
        </is>
      </c>
      <c r="N307" s="32">
        <f>IF(M307="Underperforming",-5,IF(L307&gt;=95,15,IF(L307&gt;=90,10,IF(L307&gt;=80,5,0))))</f>
        <v/>
      </c>
      <c r="O307" s="32" t="n">
        <v>60.61</v>
      </c>
      <c r="P307" s="32" t="n">
        <v>31.33</v>
      </c>
      <c r="Q307" s="32" t="n">
        <v>173.91</v>
      </c>
      <c r="R307" s="31" t="inlineStr">
        <is>
          <t>Earnings / Momentum Support</t>
        </is>
      </c>
      <c r="S307" s="31" t="inlineStr">
        <is>
          <t>Nifty 50</t>
        </is>
      </c>
      <c r="T307" s="32" t="n">
        <v>-0.96</v>
      </c>
      <c r="U307" s="32" t="n">
        <v>-6.31</v>
      </c>
      <c r="V307" s="32" t="n">
        <v>-5.4</v>
      </c>
      <c r="W307" s="32" t="n">
        <v>1.08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Negative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IF(B308=0,"",RANK(B308,$B$2:$B$378,0))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IDEA</t>
        </is>
      </c>
      <c r="D308" s="31" t="inlineStr">
        <is>
          <t>Vodafone Idea Ltd</t>
        </is>
      </c>
      <c r="E308" s="31" t="inlineStr">
        <is>
          <t>telecom-service</t>
        </is>
      </c>
      <c r="F308" s="31" t="inlineStr">
        <is>
          <t>telecommunications - service provider</t>
        </is>
      </c>
      <c r="G308" s="31" t="inlineStr">
        <is>
          <t>largecap</t>
        </is>
      </c>
      <c r="H308" s="32" t="n">
        <v>139654.17</v>
      </c>
      <c r="I308" s="32" t="n">
        <v>13.51</v>
      </c>
      <c r="J308" s="32" t="n">
        <v>0.07000000000000001</v>
      </c>
      <c r="K308" s="32" t="n">
        <v>1090694118</v>
      </c>
      <c r="L308" s="31" t="n">
        <v>76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58.94</v>
      </c>
      <c r="P308" s="32" t="n">
        <v>35.45</v>
      </c>
      <c r="Q308" s="32" t="n">
        <v>12.05</v>
      </c>
      <c r="R308" s="31" t="inlineStr">
        <is>
          <t>Earnings / Momentum Support</t>
        </is>
      </c>
      <c r="S308" s="31" t="inlineStr">
        <is>
          <t>Nifty 50</t>
        </is>
      </c>
      <c r="T308" s="32" t="n">
        <v>-0.96</v>
      </c>
      <c r="U308" s="32" t="n">
        <v>119.67</v>
      </c>
      <c r="V308" s="32" t="n">
        <v>121.79</v>
      </c>
      <c r="W308" s="32" t="n">
        <v>20.89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Oligopoly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Yes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Less than 1.5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IF(B309=0,"",RANK(B309,$B$2:$B$378,0))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EMAMIPAP</t>
        </is>
      </c>
      <c r="D309" s="31" t="inlineStr">
        <is>
          <t>Emami Paper Mills Ltd</t>
        </is>
      </c>
      <c r="E309" s="31" t="inlineStr">
        <is>
          <t>building materials</t>
        </is>
      </c>
      <c r="F309" s="31" t="inlineStr">
        <is>
          <t>paper</t>
        </is>
      </c>
      <c r="G309" s="31" t="inlineStr">
        <is>
          <t>smallcap</t>
        </is>
      </c>
      <c r="H309" s="32" t="n">
        <v>679.71</v>
      </c>
      <c r="I309" s="32" t="n">
        <v>111</v>
      </c>
      <c r="J309" s="32" t="n">
        <v>-0.89</v>
      </c>
      <c r="K309" s="32" t="n">
        <v>21175</v>
      </c>
      <c r="L309" s="31" t="n">
        <v>64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67.83</v>
      </c>
      <c r="P309" s="32" t="n">
        <v>19.79</v>
      </c>
      <c r="Q309" s="32" t="n">
        <v>88.16</v>
      </c>
      <c r="R309" s="31" t="inlineStr">
        <is>
          <t>Earnings / Momentum Support</t>
        </is>
      </c>
      <c r="S309" s="31" t="inlineStr">
        <is>
          <t>Nifty Infra</t>
        </is>
      </c>
      <c r="T309" s="32" t="n">
        <v>3.6</v>
      </c>
      <c r="U309" s="32" t="n">
        <v>14.74</v>
      </c>
      <c r="V309" s="32" t="n">
        <v>10.75</v>
      </c>
      <c r="W309" s="32" t="n">
        <v>15.38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Less than 1.5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More than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IF(B310=0,"",RANK(B310,$B$2:$B$378,0))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RKFORGE</t>
        </is>
      </c>
      <c r="D310" s="31" t="inlineStr">
        <is>
          <t>Ramkrishna Forgings Limited</t>
        </is>
      </c>
      <c r="E310" s="31" t="inlineStr">
        <is>
          <t>industrials</t>
        </is>
      </c>
      <c r="F310" s="31" t="inlineStr">
        <is>
          <t>castings &amp; forgings</t>
        </is>
      </c>
      <c r="G310" s="31" t="inlineStr">
        <is>
          <t>midcap</t>
        </is>
      </c>
      <c r="H310" s="32" t="n">
        <v>13687.34</v>
      </c>
      <c r="I310" s="32" t="n">
        <v>733.3</v>
      </c>
      <c r="J310" s="32" t="n">
        <v>-1.35</v>
      </c>
      <c r="K310" s="32" t="n">
        <v>555589</v>
      </c>
      <c r="L310" s="31" t="n">
        <v>53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72.52</v>
      </c>
      <c r="P310" s="32" t="n">
        <v>12.59</v>
      </c>
      <c r="Q310" s="32" t="n">
        <v>595.97</v>
      </c>
      <c r="R310" s="31" t="inlineStr">
        <is>
          <t>Near 52W High Breakout</t>
        </is>
      </c>
      <c r="S310" s="31" t="inlineStr">
        <is>
          <t>Nifty 50</t>
        </is>
      </c>
      <c r="T310" s="32" t="n">
        <v>-0.96</v>
      </c>
      <c r="U310" s="32" t="n">
        <v>29.95</v>
      </c>
      <c r="V310" s="32" t="n">
        <v>31.2</v>
      </c>
      <c r="W310" s="32" t="n">
        <v>11.46</v>
      </c>
      <c r="X310" s="31" t="inlineStr">
        <is>
          <t>Cyclical in an Upturn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Between 0.7 to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IF(B311=0,"",RANK(B311,$B$2:$B$378,0))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BOSCH-HCIL</t>
        </is>
      </c>
      <c r="D311" s="33" t="inlineStr">
        <is>
          <t>Bosch Home Comfort India Ltd</t>
        </is>
      </c>
      <c r="E311" s="31" t="inlineStr">
        <is>
          <t>consumer discretionary</t>
        </is>
      </c>
      <c r="F311" s="31" t="inlineStr">
        <is>
          <t>air-conditioners</t>
        </is>
      </c>
      <c r="G311" s="31" t="inlineStr">
        <is>
          <t>smallcap</t>
        </is>
      </c>
      <c r="H311" s="32" t="n">
        <v>4613.75</v>
      </c>
      <c r="I311" s="32" t="n">
        <v>1677</v>
      </c>
      <c r="J311" s="32" t="n">
        <v>-2.15</v>
      </c>
      <c r="K311" s="32" t="n">
        <v>28822</v>
      </c>
      <c r="L311" s="31" t="n">
        <v>24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68.31999999999999</v>
      </c>
      <c r="P311" s="32" t="n">
        <v>17.51</v>
      </c>
      <c r="Q311" s="32" t="n">
        <v>1356.14</v>
      </c>
      <c r="R311" s="31" t="inlineStr">
        <is>
          <t>Near 52W High Breakout</t>
        </is>
      </c>
      <c r="S311" s="31" t="inlineStr">
        <is>
          <t>Nifty 50</t>
        </is>
      </c>
      <c r="T311" s="32" t="n">
        <v>-0.96</v>
      </c>
      <c r="U311" s="32" t="n">
        <v>-2.16</v>
      </c>
      <c r="V311" s="32" t="n">
        <v>-1.22</v>
      </c>
      <c r="W311" s="32" t="n">
        <v>4.75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IF(B312=0,"",RANK(B312,$B$2:$B$378,0))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HINDALCO</t>
        </is>
      </c>
      <c r="D312" s="31" t="inlineStr">
        <is>
          <t>Hindalco Industries Limited</t>
        </is>
      </c>
      <c r="E312" s="31" t="inlineStr">
        <is>
          <t>metals &amp; mining</t>
        </is>
      </c>
      <c r="F312" s="31" t="inlineStr">
        <is>
          <t>aluminium and aluminium products</t>
        </is>
      </c>
      <c r="G312" s="31" t="inlineStr">
        <is>
          <t>largecap</t>
        </is>
      </c>
      <c r="H312" s="32" t="n">
        <v>235756.53</v>
      </c>
      <c r="I312" s="32" t="n">
        <v>1046.25</v>
      </c>
      <c r="J312" s="32" t="n">
        <v>-2.99</v>
      </c>
      <c r="K312" s="32" t="n">
        <v>9808044</v>
      </c>
      <c r="L312" s="31" t="inlineStr"/>
      <c r="M312" s="31" t="inlineStr"/>
      <c r="N312" s="32">
        <f>IF(M312="Underperforming",-5,IF(L312&gt;=95,15,IF(L312&gt;=90,10,IF(L312&gt;=80,5,0))))</f>
        <v/>
      </c>
      <c r="O312" s="32" t="n">
        <v>59.41</v>
      </c>
      <c r="P312" s="32" t="n">
        <v>35.12</v>
      </c>
      <c r="Q312" s="32" t="n">
        <v>943.14</v>
      </c>
      <c r="R312" s="31" t="inlineStr">
        <is>
          <t>Earnings / Momentum Support</t>
        </is>
      </c>
      <c r="S312" s="31" t="inlineStr">
        <is>
          <t>Nifty Metal</t>
        </is>
      </c>
      <c r="T312" s="32" t="inlineStr"/>
      <c r="U312" s="32" t="inlineStr"/>
      <c r="V312" s="32" t="inlineStr"/>
      <c r="W312" s="32" t="inlineStr"/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Cyclical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Volatile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Less than 1.5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Between 0.7 to 1.2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IF(B313=0,"",RANK(B313,$B$2:$B$378,0))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GRPLTD</t>
        </is>
      </c>
      <c r="D313" s="33" t="inlineStr">
        <is>
          <t>Grp Limited</t>
        </is>
      </c>
      <c r="E313" s="31" t="inlineStr">
        <is>
          <t>fmcg</t>
        </is>
      </c>
      <c r="F313" s="31" t="inlineStr">
        <is>
          <t>miscellaneous</t>
        </is>
      </c>
      <c r="G313" s="31" t="inlineStr">
        <is>
          <t>smallcap</t>
        </is>
      </c>
      <c r="H313" s="32" t="n">
        <v>1027.15</v>
      </c>
      <c r="I313" s="32" t="n">
        <v>2013</v>
      </c>
      <c r="J313" s="32" t="n">
        <v>1.84</v>
      </c>
      <c r="K313" s="32" t="n">
        <v>1464</v>
      </c>
      <c r="L313" s="31" t="n">
        <v>2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54.52</v>
      </c>
      <c r="P313" s="32" t="n">
        <v>17.26</v>
      </c>
      <c r="Q313" s="32" t="n">
        <v>1576.37</v>
      </c>
      <c r="R313" s="31" t="inlineStr">
        <is>
          <t>Earnings / Momentum Support</t>
        </is>
      </c>
      <c r="S313" s="31" t="inlineStr">
        <is>
          <t>Nifty FMCG</t>
        </is>
      </c>
      <c r="T313" s="32" t="n">
        <v>-10.52</v>
      </c>
      <c r="U313" s="32" t="n">
        <v>-17.62</v>
      </c>
      <c r="V313" s="32" t="n">
        <v>-7.93</v>
      </c>
      <c r="W313" s="32" t="n">
        <v>-1.68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B2C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Annuity, Lower One Time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Between 0.7 to 1.2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IF(B314=0,"",RANK(B314,$B$2:$B$378,0))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IPCALAB</t>
        </is>
      </c>
      <c r="D314" s="31" t="inlineStr">
        <is>
          <t>Ipca Laboratories Limited</t>
        </is>
      </c>
      <c r="E314" s="31" t="inlineStr">
        <is>
          <t>healthcare</t>
        </is>
      </c>
      <c r="F314" s="31" t="inlineStr">
        <is>
          <t>pharmaceuticals - indian - bulk drugs &amp; formln</t>
        </is>
      </c>
      <c r="G314" s="31" t="inlineStr">
        <is>
          <t>largecap</t>
        </is>
      </c>
      <c r="H314" s="32" t="n">
        <v>44357.65</v>
      </c>
      <c r="I314" s="32" t="n">
        <v>1796.3</v>
      </c>
      <c r="J314" s="32" t="n">
        <v>1.68</v>
      </c>
      <c r="K314" s="32" t="n">
        <v>1835516</v>
      </c>
      <c r="L314" s="31" t="n">
        <v>40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61.76</v>
      </c>
      <c r="P314" s="32" t="n">
        <v>37.49</v>
      </c>
      <c r="Q314" s="32" t="n">
        <v>1530.12</v>
      </c>
      <c r="R314" s="31" t="inlineStr">
        <is>
          <t>Volume Spike / Accumulation</t>
        </is>
      </c>
      <c r="S314" s="31" t="inlineStr">
        <is>
          <t>Nifty Pharma</t>
        </is>
      </c>
      <c r="T314" s="32" t="n">
        <v>20.47</v>
      </c>
      <c r="U314" s="32" t="n">
        <v>31.97</v>
      </c>
      <c r="V314" s="32" t="n">
        <v>9.539999999999999</v>
      </c>
      <c r="W314" s="32" t="n">
        <v>8.279999999999999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Yes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Annuity, Lower One Time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20 to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Between 50% to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IF(B315=0,"",RANK(B315,$B$2:$B$378,0))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MPHASIS</t>
        </is>
      </c>
      <c r="D315" s="31" t="inlineStr">
        <is>
          <t>Mphasis Limited</t>
        </is>
      </c>
      <c r="E315" s="31" t="inlineStr">
        <is>
          <t>i.t</t>
        </is>
      </c>
      <c r="F315" s="31" t="inlineStr">
        <is>
          <t>computers - software - large</t>
        </is>
      </c>
      <c r="G315" s="31" t="inlineStr">
        <is>
          <t>largecap</t>
        </is>
      </c>
      <c r="H315" s="32" t="n">
        <v>48290.9</v>
      </c>
      <c r="I315" s="32" t="n">
        <v>2541</v>
      </c>
      <c r="J315" s="32" t="n">
        <v>0.13</v>
      </c>
      <c r="K315" s="32" t="n">
        <v>602164</v>
      </c>
      <c r="L315" s="31" t="n">
        <v>26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59.89</v>
      </c>
      <c r="P315" s="32" t="n">
        <v>9.84</v>
      </c>
      <c r="Q315" s="32" t="n">
        <v>2041</v>
      </c>
      <c r="R315" s="31" t="inlineStr">
        <is>
          <t>Earnings / Momentum Support</t>
        </is>
      </c>
      <c r="S315" s="31" t="inlineStr">
        <is>
          <t>Nifty IT</t>
        </is>
      </c>
      <c r="T315" s="32" t="n">
        <v>-9.699999999999999</v>
      </c>
      <c r="U315" s="32" t="n">
        <v>-4.08</v>
      </c>
      <c r="V315" s="32" t="n">
        <v>6.22</v>
      </c>
      <c r="W315" s="32" t="n">
        <v>5.16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Annuity, Lower One Time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Between 50% to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IF(B316=0,"",RANK(B316,$B$2:$B$378,0))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PRICOLLTD</t>
        </is>
      </c>
      <c r="D316" s="31" t="inlineStr">
        <is>
          <t>Pricol Ltd.</t>
        </is>
      </c>
      <c r="E316" s="31" t="inlineStr">
        <is>
          <t>auto</t>
        </is>
      </c>
      <c r="F316" s="31" t="inlineStr">
        <is>
          <t>auto ancillaries</t>
        </is>
      </c>
      <c r="G316" s="31" t="inlineStr">
        <is>
          <t>midcap</t>
        </is>
      </c>
      <c r="H316" s="32" t="n">
        <v>8984.49</v>
      </c>
      <c r="I316" s="32" t="n">
        <v>765</v>
      </c>
      <c r="J316" s="32" t="n">
        <v>-2.33</v>
      </c>
      <c r="K316" s="32" t="n">
        <v>473599</v>
      </c>
      <c r="L316" s="31" t="inlineStr"/>
      <c r="M316" s="31" t="inlineStr"/>
      <c r="N316" s="32">
        <f>IF(M316="Underperforming",-5,IF(L316&gt;=95,15,IF(L316&gt;=90,10,IF(L316&gt;=80,5,0))))</f>
        <v/>
      </c>
      <c r="O316" s="32" t="n">
        <v>73.38</v>
      </c>
      <c r="P316" s="32" t="n">
        <v>25.97</v>
      </c>
      <c r="Q316" s="32" t="n">
        <v>612.65</v>
      </c>
      <c r="R316" s="31" t="inlineStr">
        <is>
          <t>Near 52W High Breakout</t>
        </is>
      </c>
      <c r="S316" s="31" t="inlineStr">
        <is>
          <t>Nifty Auto</t>
        </is>
      </c>
      <c r="T316" s="32" t="inlineStr"/>
      <c r="U316" s="32" t="inlineStr"/>
      <c r="V316" s="32" t="inlineStr"/>
      <c r="W316" s="32" t="inlineStr"/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Oligopoly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Shallow Cyclical (2 to 3 Years Growth)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Fully One Time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Allocated capital in Non-core Areas</t>
        </is>
      </c>
      <c r="AU316" s="31">
        <f>IF(AT316="Good",10,0)</f>
        <v/>
      </c>
      <c r="AV316" s="31" t="inlineStr">
        <is>
          <t>Yes only for next 1 to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Blue sky scenario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Between 12 to 20%</t>
        </is>
      </c>
      <c r="BO316" s="31">
        <f>IF(BN316="More than 20%",10,IF(BN316="Between 12 to 20%",5,IF(BN316="Less than 12%",0,0)))</f>
        <v/>
      </c>
      <c r="BP316" s="31" t="inlineStr">
        <is>
          <t>Yes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Between 1.5 to 2</t>
        </is>
      </c>
      <c r="BU316" s="31">
        <f>IF(BT316="Above 2",0,IF(BT316="Between 1.5 to 2",5,IF(BT316="Less than 1.5",10,0)))</f>
        <v/>
      </c>
      <c r="BV316" s="31" t="inlineStr">
        <is>
          <t>Between 50% to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IF(B317=0,"",RANK(B317,$B$2:$B$378,0))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GALAXYSURF</t>
        </is>
      </c>
      <c r="D317" s="33" t="inlineStr">
        <is>
          <t>Galaxy Surfactants Ltd</t>
        </is>
      </c>
      <c r="E317" s="31" t="inlineStr">
        <is>
          <t>chemicals</t>
        </is>
      </c>
      <c r="F317" s="31" t="inlineStr">
        <is>
          <t>chemicals</t>
        </is>
      </c>
      <c r="G317" s="31" t="inlineStr">
        <is>
          <t>midcap</t>
        </is>
      </c>
      <c r="H317" s="32" t="n">
        <v>7243.76</v>
      </c>
      <c r="I317" s="32" t="n">
        <v>2090.4</v>
      </c>
      <c r="J317" s="32" t="n">
        <v>3.36</v>
      </c>
      <c r="K317" s="32" t="n">
        <v>23444</v>
      </c>
      <c r="L317" s="31" t="n">
        <v>12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60.78</v>
      </c>
      <c r="P317" s="32" t="n">
        <v>14.46</v>
      </c>
      <c r="Q317" s="32" t="n">
        <v>1711.39</v>
      </c>
      <c r="R317" s="31" t="inlineStr">
        <is>
          <t>Earnings / Momentum Support</t>
        </is>
      </c>
      <c r="S317" s="31" t="inlineStr">
        <is>
          <t>Nifty 50</t>
        </is>
      </c>
      <c r="T317" s="32" t="n">
        <v>-0.96</v>
      </c>
      <c r="U317" s="32" t="n">
        <v>-6.81</v>
      </c>
      <c r="V317" s="32" t="n">
        <v>-5.91</v>
      </c>
      <c r="W317" s="32" t="n">
        <v>2.26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IF(B318=0,"",RANK(B318,$B$2:$B$378,0))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MAHASTEEL</t>
        </is>
      </c>
      <c r="D318" s="31" t="inlineStr">
        <is>
          <t>Mahamaya Steel Industries Limited</t>
        </is>
      </c>
      <c r="E318" s="31" t="inlineStr">
        <is>
          <t>metals &amp; mining</t>
        </is>
      </c>
      <c r="F318" s="31" t="inlineStr">
        <is>
          <t>steel - medium / small</t>
        </is>
      </c>
      <c r="G318" s="31" t="inlineStr">
        <is>
          <t>smallcap</t>
        </is>
      </c>
      <c r="H318" s="32" t="n">
        <v>1708.19</v>
      </c>
      <c r="I318" s="32" t="n">
        <v>1025</v>
      </c>
      <c r="J318" s="32" t="n">
        <v>3.06</v>
      </c>
      <c r="K318" s="32" t="n">
        <v>16399</v>
      </c>
      <c r="L318" s="31" t="inlineStr"/>
      <c r="M318" s="31" t="inlineStr"/>
      <c r="N318" s="32">
        <f>IF(M318="Underperforming",-5,IF(L318&gt;=95,15,IF(L318&gt;=90,10,IF(L318&gt;=80,5,0))))</f>
        <v/>
      </c>
      <c r="O318" s="32" t="n">
        <v>62.41</v>
      </c>
      <c r="P318" s="32" t="n">
        <v>17.47</v>
      </c>
      <c r="Q318" s="32" t="n">
        <v>740.88</v>
      </c>
      <c r="R318" s="31" t="inlineStr">
        <is>
          <t>Near 52W High Breakout</t>
        </is>
      </c>
      <c r="S318" s="31" t="inlineStr">
        <is>
          <t>Nifty Metal</t>
        </is>
      </c>
      <c r="T318" s="32" t="inlineStr"/>
      <c r="U318" s="32" t="inlineStr"/>
      <c r="V318" s="32" t="inlineStr"/>
      <c r="W318" s="32" t="inlineStr"/>
      <c r="X318" s="31" t="inlineStr">
        <is>
          <t>Cyclical in an Upturn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Cyclical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Volatile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Blue sky scenario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Yes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IF(B319=0,"",RANK(B319,$B$2:$B$378,0))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MANALIPETC</t>
        </is>
      </c>
      <c r="D319" s="31" t="inlineStr">
        <is>
          <t>Manali Petrochemicals Limited</t>
        </is>
      </c>
      <c r="E319" s="31" t="inlineStr">
        <is>
          <t>energy</t>
        </is>
      </c>
      <c r="F319" s="31" t="inlineStr">
        <is>
          <t>petrochemicals</t>
        </is>
      </c>
      <c r="G319" s="31" t="inlineStr">
        <is>
          <t>smallcap</t>
        </is>
      </c>
      <c r="H319" s="32" t="n">
        <v>1127.11</v>
      </c>
      <c r="I319" s="32" t="n">
        <v>68.83</v>
      </c>
      <c r="J319" s="32" t="n">
        <v>2.14</v>
      </c>
      <c r="K319" s="32" t="n">
        <v>977060</v>
      </c>
      <c r="L319" s="31" t="inlineStr"/>
      <c r="M319" s="31" t="inlineStr"/>
      <c r="N319" s="32">
        <f>IF(M319="Underperforming",-5,IF(L319&gt;=95,15,IF(L319&gt;=90,10,IF(L319&gt;=80,5,0))))</f>
        <v/>
      </c>
      <c r="O319" s="32" t="n">
        <v>61.99</v>
      </c>
      <c r="P319" s="32" t="n">
        <v>30.16</v>
      </c>
      <c r="Q319" s="32" t="n">
        <v>51.82</v>
      </c>
      <c r="R319" s="31" t="inlineStr">
        <is>
          <t>Earnings / Momentum Support</t>
        </is>
      </c>
      <c r="S319" s="31" t="inlineStr">
        <is>
          <t>Nifty Energy</t>
        </is>
      </c>
      <c r="T319" s="32" t="inlineStr"/>
      <c r="U319" s="32" t="inlineStr"/>
      <c r="V319" s="32" t="inlineStr"/>
      <c r="W319" s="32" t="inlineStr"/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Oligopoly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Yes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Cyclical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Volatile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IF(B320=0,"",RANK(B320,$B$2:$B$378,0))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PTCIL</t>
        </is>
      </c>
      <c r="D320" s="31" t="inlineStr">
        <is>
          <t>PTC Industries Ltd</t>
        </is>
      </c>
      <c r="E320" s="31" t="inlineStr">
        <is>
          <t>industrials</t>
        </is>
      </c>
      <c r="F320" s="31" t="inlineStr">
        <is>
          <t>castings &amp; forgings</t>
        </is>
      </c>
      <c r="G320" s="31" t="inlineStr">
        <is>
          <t>largecap</t>
        </is>
      </c>
      <c r="H320" s="32" t="n">
        <v>28344.91</v>
      </c>
      <c r="I320" s="32" t="n">
        <v>19167</v>
      </c>
      <c r="J320" s="32" t="n">
        <v>1.44</v>
      </c>
      <c r="K320" s="32" t="n">
        <v>7370</v>
      </c>
      <c r="L320" s="31" t="n">
        <v>48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62.37</v>
      </c>
      <c r="P320" s="32" t="n">
        <v>19.6</v>
      </c>
      <c r="Q320" s="32" t="n">
        <v>15428.31</v>
      </c>
      <c r="R320" s="31" t="inlineStr">
        <is>
          <t>Near 52W High Breakout</t>
        </is>
      </c>
      <c r="S320" s="31" t="inlineStr">
        <is>
          <t>Nifty 50</t>
        </is>
      </c>
      <c r="T320" s="32" t="n">
        <v>-0.96</v>
      </c>
      <c r="U320" s="32" t="n">
        <v>39.59</v>
      </c>
      <c r="V320" s="32" t="n">
        <v>40.94</v>
      </c>
      <c r="W320" s="32" t="n">
        <v>10.31</v>
      </c>
      <c r="X320" s="31" t="inlineStr">
        <is>
          <t>Cyclical in an Upturn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Blue sky scenario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Negative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IF(B321=0,"",RANK(B321,$B$2:$B$378,0))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JSWDULUX</t>
        </is>
      </c>
      <c r="D321" s="33" t="inlineStr">
        <is>
          <t>JSW Dulux Ltd</t>
        </is>
      </c>
      <c r="E321" s="31" t="inlineStr">
        <is>
          <t>building materials</t>
        </is>
      </c>
      <c r="F321" s="31" t="inlineStr">
        <is>
          <t>paints / varnishes</t>
        </is>
      </c>
      <c r="G321" s="31" t="inlineStr">
        <is>
          <t>midcap</t>
        </is>
      </c>
      <c r="H321" s="32" t="n">
        <v>14377.08</v>
      </c>
      <c r="I321" s="32" t="n">
        <v>3142</v>
      </c>
      <c r="J321" s="32" t="n">
        <v>1.37</v>
      </c>
      <c r="K321" s="32" t="n">
        <v>9966</v>
      </c>
      <c r="L321" s="31" t="n">
        <v>3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53.88</v>
      </c>
      <c r="P321" s="32" t="n">
        <v>13.47</v>
      </c>
      <c r="Q321" s="32" t="n">
        <v>2688.52</v>
      </c>
      <c r="R321" s="31" t="inlineStr">
        <is>
          <t>Earnings / Momentum Support</t>
        </is>
      </c>
      <c r="S321" s="31" t="inlineStr">
        <is>
          <t>Nifty Infra</t>
        </is>
      </c>
      <c r="T321" s="32" t="n">
        <v>3.6</v>
      </c>
      <c r="U321" s="32" t="n">
        <v>-12.02</v>
      </c>
      <c r="V321" s="32" t="n">
        <v>-15.08</v>
      </c>
      <c r="W321" s="32" t="n">
        <v>-0.78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1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Less than 1.5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IF(B322=0,"",RANK(B322,$B$2:$B$378,0))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UNOMINDA</t>
        </is>
      </c>
      <c r="D322" s="31" t="inlineStr">
        <is>
          <t>Uno Minda Ltd</t>
        </is>
      </c>
      <c r="E322" s="31" t="inlineStr">
        <is>
          <t>auto</t>
        </is>
      </c>
      <c r="F322" s="31" t="inlineStr">
        <is>
          <t>auto ancillaries</t>
        </is>
      </c>
      <c r="G322" s="31" t="inlineStr">
        <is>
          <t>largecap</t>
        </is>
      </c>
      <c r="H322" s="32" t="n">
        <v>73627.07000000001</v>
      </c>
      <c r="I322" s="32" t="n">
        <v>1240</v>
      </c>
      <c r="J322" s="32" t="n">
        <v>0.62</v>
      </c>
      <c r="K322" s="32" t="n">
        <v>1607756</v>
      </c>
      <c r="L322" s="31" t="inlineStr"/>
      <c r="M322" s="31" t="inlineStr"/>
      <c r="N322" s="32">
        <f>IF(M322="Underperforming",-5,IF(L322&gt;=95,15,IF(L322&gt;=90,10,IF(L322&gt;=80,5,0))))</f>
        <v/>
      </c>
      <c r="O322" s="32" t="n">
        <v>58.57</v>
      </c>
      <c r="P322" s="32" t="n">
        <v>18.23</v>
      </c>
      <c r="Q322" s="32" t="n">
        <v>1050.64</v>
      </c>
      <c r="R322" s="31" t="inlineStr">
        <is>
          <t>Earnings / Momentum Support</t>
        </is>
      </c>
      <c r="S322" s="31" t="inlineStr">
        <is>
          <t>Nifty Auto</t>
        </is>
      </c>
      <c r="T322" s="32" t="inlineStr"/>
      <c r="U322" s="32" t="inlineStr"/>
      <c r="V322" s="32" t="inlineStr"/>
      <c r="W322" s="32" t="inlineStr"/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Less than 12%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IF(B323=0,"",RANK(B323,$B$2:$B$378,0))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FOSECOIND</t>
        </is>
      </c>
      <c r="D323" s="31" t="inlineStr">
        <is>
          <t>Foseco India Limited</t>
        </is>
      </c>
      <c r="E323" s="31" t="inlineStr">
        <is>
          <t>chemicals</t>
        </is>
      </c>
      <c r="F323" s="31" t="inlineStr">
        <is>
          <t>chemicals</t>
        </is>
      </c>
      <c r="G323" s="31" t="inlineStr">
        <is>
          <t>smallcap</t>
        </is>
      </c>
      <c r="H323" s="32" t="n">
        <v>4145.87</v>
      </c>
      <c r="I323" s="32" t="n">
        <v>5547</v>
      </c>
      <c r="J323" s="32" t="n">
        <v>0.3</v>
      </c>
      <c r="K323" s="32" t="n">
        <v>6452</v>
      </c>
      <c r="L323" s="31" t="n">
        <v>25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62.56</v>
      </c>
      <c r="P323" s="32" t="n">
        <v>18.26</v>
      </c>
      <c r="Q323" s="32" t="n">
        <v>4405.85</v>
      </c>
      <c r="R323" s="31" t="inlineStr">
        <is>
          <t>Earnings / Momentum Support</t>
        </is>
      </c>
      <c r="S323" s="31" t="inlineStr">
        <is>
          <t>Nifty 50</t>
        </is>
      </c>
      <c r="T323" s="32" t="n">
        <v>-0.96</v>
      </c>
      <c r="U323" s="32" t="n">
        <v>14.01</v>
      </c>
      <c r="V323" s="32" t="n">
        <v>15.11</v>
      </c>
      <c r="W323" s="32" t="n">
        <v>4.98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IF(B324=0,"",RANK(B324,$B$2:$B$378,0))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3" t="inlineStr">
        <is>
          <t>ORIENTELEC</t>
        </is>
      </c>
      <c r="D324" s="33" t="inlineStr">
        <is>
          <t>Orient Electric Ltd</t>
        </is>
      </c>
      <c r="E324" s="31" t="inlineStr">
        <is>
          <t>consumer discretionary</t>
        </is>
      </c>
      <c r="F324" s="31" t="inlineStr">
        <is>
          <t>domestic appliances</t>
        </is>
      </c>
      <c r="G324" s="31" t="inlineStr">
        <is>
          <t>smallcap</t>
        </is>
      </c>
      <c r="H324" s="32" t="n">
        <v>4068.46</v>
      </c>
      <c r="I324" s="32" t="n">
        <v>190.27</v>
      </c>
      <c r="J324" s="32" t="n">
        <v>0.25</v>
      </c>
      <c r="K324" s="32" t="n">
        <v>225481</v>
      </c>
      <c r="L324" s="31" t="n">
        <v>3</v>
      </c>
      <c r="M324" s="31" t="inlineStr">
        <is>
          <t>Underperforming</t>
        </is>
      </c>
      <c r="N324" s="32">
        <f>IF(M324="Underperforming",-5,IF(L324&gt;=95,15,IF(L324&gt;=90,10,IF(L324&gt;=80,5,0))))</f>
        <v/>
      </c>
      <c r="O324" s="32" t="n">
        <v>57.47</v>
      </c>
      <c r="P324" s="32" t="n">
        <v>10.61</v>
      </c>
      <c r="Q324" s="32" t="n">
        <v>151.84</v>
      </c>
      <c r="R324" s="31" t="inlineStr">
        <is>
          <t>Earnings / Momentum Support</t>
        </is>
      </c>
      <c r="S324" s="31" t="inlineStr">
        <is>
          <t>Nifty 50</t>
        </is>
      </c>
      <c r="T324" s="32" t="n">
        <v>-0.96</v>
      </c>
      <c r="U324" s="32" t="n">
        <v>-6.2</v>
      </c>
      <c r="V324" s="32" t="n">
        <v>-5.29</v>
      </c>
      <c r="W324" s="32" t="n">
        <v>-1.02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1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Less than 1.5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IF(B325=0,"",RANK(B325,$B$2:$B$378,0))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SMLMAH</t>
        </is>
      </c>
      <c r="D325" s="31" t="inlineStr">
        <is>
          <t>SML Mahindra Ltd</t>
        </is>
      </c>
      <c r="E325" s="31" t="inlineStr">
        <is>
          <t>auto</t>
        </is>
      </c>
      <c r="F325" s="31" t="inlineStr">
        <is>
          <t>automobiles - lcvs / hcvs</t>
        </is>
      </c>
      <c r="G325" s="31" t="inlineStr">
        <is>
          <t>midcap</t>
        </is>
      </c>
      <c r="H325" s="32" t="n">
        <v>7537.56</v>
      </c>
      <c r="I325" s="32" t="n">
        <v>5172</v>
      </c>
      <c r="J325" s="32" t="n">
        <v>0</v>
      </c>
      <c r="K325" s="32" t="n">
        <v>111181</v>
      </c>
      <c r="L325" s="31" t="inlineStr"/>
      <c r="M325" s="31" t="inlineStr"/>
      <c r="N325" s="32">
        <f>IF(M325="Underperforming",-5,IF(L325&gt;=95,15,IF(L325&gt;=90,10,IF(L325&gt;=80,5,0))))</f>
        <v/>
      </c>
      <c r="O325" s="32" t="n">
        <v>62.6</v>
      </c>
      <c r="P325" s="32" t="n">
        <v>11.52</v>
      </c>
      <c r="Q325" s="32" t="n">
        <v>4072.62</v>
      </c>
      <c r="R325" s="31" t="inlineStr">
        <is>
          <t>Earnings / Momentum Support</t>
        </is>
      </c>
      <c r="S325" s="31" t="inlineStr">
        <is>
          <t>Nifty Auto</t>
        </is>
      </c>
      <c r="T325" s="32" t="inlineStr"/>
      <c r="U325" s="32" t="inlineStr"/>
      <c r="V325" s="32" t="inlineStr"/>
      <c r="W325" s="32" t="inlineStr"/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IF(B326=0,"",RANK(B326,$B$2:$B$378,0))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INDIGOPNTS</t>
        </is>
      </c>
      <c r="D326" s="33" t="inlineStr">
        <is>
          <t>Indigo Paints Ltd</t>
        </is>
      </c>
      <c r="E326" s="31" t="inlineStr">
        <is>
          <t>building materials</t>
        </is>
      </c>
      <c r="F326" s="31" t="inlineStr">
        <is>
          <t>paints / varnishes</t>
        </is>
      </c>
      <c r="G326" s="31" t="inlineStr">
        <is>
          <t>midcap</t>
        </is>
      </c>
      <c r="H326" s="32" t="n">
        <v>5365.9</v>
      </c>
      <c r="I326" s="32" t="n">
        <v>1121</v>
      </c>
      <c r="J326" s="32" t="n">
        <v>-0.1</v>
      </c>
      <c r="K326" s="32" t="n">
        <v>42431</v>
      </c>
      <c r="L326" s="31" t="n">
        <v>37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63.43</v>
      </c>
      <c r="P326" s="32" t="n">
        <v>13.33</v>
      </c>
      <c r="Q326" s="32" t="n">
        <v>907</v>
      </c>
      <c r="R326" s="31" t="inlineStr">
        <is>
          <t>Earnings / Momentum Support</t>
        </is>
      </c>
      <c r="S326" s="31" t="inlineStr">
        <is>
          <t>Nifty Infra</t>
        </is>
      </c>
      <c r="T326" s="32" t="n">
        <v>3.6</v>
      </c>
      <c r="U326" s="32" t="n">
        <v>-0.57</v>
      </c>
      <c r="V326" s="32" t="n">
        <v>-4.03</v>
      </c>
      <c r="W326" s="32" t="n">
        <v>7.45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IF(B327=0,"",RANK(B327,$B$2:$B$378,0))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JSWINFRA</t>
        </is>
      </c>
      <c r="D327" s="31" t="inlineStr">
        <is>
          <t>JSW Infrastructure Ltd</t>
        </is>
      </c>
      <c r="E327" s="31" t="inlineStr">
        <is>
          <t>transportation</t>
        </is>
      </c>
      <c r="F327" s="31" t="inlineStr">
        <is>
          <t>miscellaneous</t>
        </is>
      </c>
      <c r="G327" s="31" t="inlineStr">
        <is>
          <t>largecap</t>
        </is>
      </c>
      <c r="H327" s="32" t="n">
        <v>79651.10000000001</v>
      </c>
      <c r="I327" s="32" t="n">
        <v>341.35</v>
      </c>
      <c r="J327" s="32" t="n">
        <v>-1.51</v>
      </c>
      <c r="K327" s="32" t="n">
        <v>2429621</v>
      </c>
      <c r="L327" s="31" t="n">
        <v>44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65.5</v>
      </c>
      <c r="P327" s="32" t="n">
        <v>38.41</v>
      </c>
      <c r="Q327" s="32" t="n">
        <v>276.09</v>
      </c>
      <c r="R327" s="31" t="inlineStr">
        <is>
          <t>Near 52W High Breakout</t>
        </is>
      </c>
      <c r="S327" s="31" t="inlineStr">
        <is>
          <t>Nifty 50</t>
        </is>
      </c>
      <c r="T327" s="32" t="n">
        <v>-0.96</v>
      </c>
      <c r="U327" s="32" t="n">
        <v>13.05</v>
      </c>
      <c r="V327" s="32" t="n">
        <v>14.14</v>
      </c>
      <c r="W327" s="32" t="n">
        <v>8.9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Yes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20 to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Blue sky scenario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IF(B328=0,"",RANK(B328,$B$2:$B$378,0))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LOKESHMACH</t>
        </is>
      </c>
      <c r="D328" s="31" t="inlineStr">
        <is>
          <t>Lokesh Machines Limited</t>
        </is>
      </c>
      <c r="E328" s="31" t="inlineStr">
        <is>
          <t>industrials</t>
        </is>
      </c>
      <c r="F328" s="31" t="inlineStr">
        <is>
          <t>engineering</t>
        </is>
      </c>
      <c r="G328" s="31" t="inlineStr">
        <is>
          <t>smallcap</t>
        </is>
      </c>
      <c r="H328" s="32" t="n">
        <v>771.61</v>
      </c>
      <c r="I328" s="32" t="n">
        <v>348.5</v>
      </c>
      <c r="J328" s="32" t="n">
        <v>-1.55</v>
      </c>
      <c r="K328" s="32" t="n">
        <v>13629</v>
      </c>
      <c r="L328" s="31" t="n">
        <v>77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76.59</v>
      </c>
      <c r="P328" s="32" t="n">
        <v>45.52</v>
      </c>
      <c r="Q328" s="32" t="n">
        <v>273.22</v>
      </c>
      <c r="R328" s="31" t="inlineStr">
        <is>
          <t>Near 52W High Breakout</t>
        </is>
      </c>
      <c r="S328" s="31" t="inlineStr">
        <is>
          <t>Nifty 50</t>
        </is>
      </c>
      <c r="T328" s="32" t="n">
        <v>-0.96</v>
      </c>
      <c r="U328" s="32" t="n">
        <v>71.13</v>
      </c>
      <c r="V328" s="32" t="n">
        <v>72.78</v>
      </c>
      <c r="W328" s="32" t="n">
        <v>21.32</v>
      </c>
      <c r="X328" s="31" t="inlineStr">
        <is>
          <t>Cyclical in an Upturn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Yes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Above 40</t>
        </is>
      </c>
      <c r="AY328" s="31">
        <f>IF(AX328="Above 40",20,IF(AX328="20 to 40",10,IF(AX328="0 to 20",-5,0)))</f>
        <v/>
      </c>
      <c r="AZ328" s="31" t="inlineStr">
        <is>
          <t>Above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Negative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Between 0.7 to 1.2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IF(B329=0,"",RANK(B329,$B$2:$B$378,0))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DEEPINDS</t>
        </is>
      </c>
      <c r="D329" s="31" t="inlineStr">
        <is>
          <t>Deep Industries Ltd</t>
        </is>
      </c>
      <c r="E329" s="31" t="inlineStr">
        <is>
          <t>energy</t>
        </is>
      </c>
      <c r="F329" s="31" t="inlineStr">
        <is>
          <t>oil drilling / allied services</t>
        </is>
      </c>
      <c r="G329" s="31" t="inlineStr">
        <is>
          <t>smallcap</t>
        </is>
      </c>
      <c r="H329" s="32" t="n">
        <v>4288.32</v>
      </c>
      <c r="I329" s="32" t="n">
        <v>665.9</v>
      </c>
      <c r="J329" s="32" t="n">
        <v>-4.34</v>
      </c>
      <c r="K329" s="32" t="n">
        <v>426391</v>
      </c>
      <c r="L329" s="31" t="inlineStr"/>
      <c r="M329" s="31" t="inlineStr"/>
      <c r="N329" s="32">
        <f>IF(M329="Underperforming",-5,IF(L329&gt;=95,15,IF(L329&gt;=90,10,IF(L329&gt;=80,5,0))))</f>
        <v/>
      </c>
      <c r="O329" s="32" t="n">
        <v>75.14</v>
      </c>
      <c r="P329" s="32" t="n">
        <v>19.5</v>
      </c>
      <c r="Q329" s="32" t="n">
        <v>516.4299999999999</v>
      </c>
      <c r="R329" s="31" t="inlineStr">
        <is>
          <t>Near 52W High Breakout</t>
        </is>
      </c>
      <c r="S329" s="31" t="inlineStr">
        <is>
          <t>Nifty Energy</t>
        </is>
      </c>
      <c r="T329" s="32" t="inlineStr"/>
      <c r="U329" s="32" t="inlineStr"/>
      <c r="V329" s="32" t="inlineStr"/>
      <c r="W329" s="32" t="inlineStr"/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Oligopoly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Yes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Yes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Above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Blue sky scenario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Less than 1.5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IF(B330=0,"",RANK(B330,$B$2:$B$378,0))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PFIZER</t>
        </is>
      </c>
      <c r="D330" s="33" t="inlineStr">
        <is>
          <t>Pfizer Limited</t>
        </is>
      </c>
      <c r="E330" s="31" t="inlineStr">
        <is>
          <t>healthcare</t>
        </is>
      </c>
      <c r="F330" s="31" t="inlineStr">
        <is>
          <t>pharmaceuticals - multinational</t>
        </is>
      </c>
      <c r="G330" s="31" t="inlineStr">
        <is>
          <t>largecap</t>
        </is>
      </c>
      <c r="H330" s="32" t="n">
        <v>22409.53</v>
      </c>
      <c r="I330" s="32" t="n">
        <v>4990.4</v>
      </c>
      <c r="J330" s="32" t="n">
        <v>-0.54</v>
      </c>
      <c r="K330" s="32" t="n">
        <v>16223</v>
      </c>
      <c r="L330" s="31" t="n">
        <v>4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59.72</v>
      </c>
      <c r="P330" s="32" t="n">
        <v>12.76</v>
      </c>
      <c r="Q330" s="32" t="n">
        <v>4272.12</v>
      </c>
      <c r="R330" s="31" t="inlineStr">
        <is>
          <t>Earnings / Momentum Support</t>
        </is>
      </c>
      <c r="S330" s="31" t="inlineStr">
        <is>
          <t>Nifty Pharma</t>
        </is>
      </c>
      <c r="T330" s="32" t="n">
        <v>20.47</v>
      </c>
      <c r="U330" s="32" t="n">
        <v>-4.82</v>
      </c>
      <c r="V330" s="32" t="n">
        <v>-20.99</v>
      </c>
      <c r="W330" s="32" t="n">
        <v>-0.48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Yes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Annuity, Lower One Time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IF(B331=0,"",RANK(B331,$B$2:$B$378,0))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HCG</t>
        </is>
      </c>
      <c r="D331" s="33" t="inlineStr">
        <is>
          <t>Healthcare Global Enterprises Limited</t>
        </is>
      </c>
      <c r="E331" s="31" t="inlineStr">
        <is>
          <t>healthcare</t>
        </is>
      </c>
      <c r="F331" s="31" t="inlineStr">
        <is>
          <t>healthcare</t>
        </is>
      </c>
      <c r="G331" s="31" t="inlineStr">
        <is>
          <t>midcap</t>
        </is>
      </c>
      <c r="H331" s="32" t="n">
        <v>11032.69</v>
      </c>
      <c r="I331" s="32" t="n">
        <v>722.7</v>
      </c>
      <c r="J331" s="32" t="n">
        <v>-1.87</v>
      </c>
      <c r="K331" s="32" t="n">
        <v>161808</v>
      </c>
      <c r="L331" s="31" t="n">
        <v>28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69.62</v>
      </c>
      <c r="P331" s="32" t="n">
        <v>28.26</v>
      </c>
      <c r="Q331" s="32" t="n">
        <v>591.02</v>
      </c>
      <c r="R331" s="31" t="inlineStr">
        <is>
          <t>Earnings / Momentum Support</t>
        </is>
      </c>
      <c r="S331" s="31" t="inlineStr">
        <is>
          <t>Nifty Pharma</t>
        </is>
      </c>
      <c r="T331" s="32" t="n">
        <v>20.47</v>
      </c>
      <c r="U331" s="32" t="n">
        <v>9.119999999999999</v>
      </c>
      <c r="V331" s="32" t="n">
        <v>-9.42</v>
      </c>
      <c r="W331" s="32" t="n">
        <v>5.29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Yes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Annuity, Lower One Time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20 to 40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More than 1.2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IF(B332=0,"",RANK(B332,$B$2:$B$378,0))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TNPETRO</t>
        </is>
      </c>
      <c r="D332" s="31" t="inlineStr">
        <is>
          <t>Tamilnadu Petroproducts Limited</t>
        </is>
      </c>
      <c r="E332" s="31" t="inlineStr">
        <is>
          <t>energy</t>
        </is>
      </c>
      <c r="F332" s="31" t="inlineStr">
        <is>
          <t>petrochemicals</t>
        </is>
      </c>
      <c r="G332" s="31" t="inlineStr">
        <is>
          <t>smallcap</t>
        </is>
      </c>
      <c r="H332" s="32" t="n">
        <v>933.63</v>
      </c>
      <c r="I332" s="32" t="n">
        <v>110.59</v>
      </c>
      <c r="J332" s="32" t="n">
        <v>3.58</v>
      </c>
      <c r="K332" s="32" t="n">
        <v>698449</v>
      </c>
      <c r="L332" s="31" t="inlineStr"/>
      <c r="M332" s="31" t="inlineStr"/>
      <c r="N332" s="32">
        <f>IF(M332="Underperforming",-5,IF(L332&gt;=95,15,IF(L332&gt;=90,10,IF(L332&gt;=80,5,0))))</f>
        <v/>
      </c>
      <c r="O332" s="32" t="n">
        <v>70.06999999999999</v>
      </c>
      <c r="P332" s="32" t="n">
        <v>19.49</v>
      </c>
      <c r="Q332" s="32" t="n">
        <v>85.75</v>
      </c>
      <c r="R332" s="31" t="inlineStr">
        <is>
          <t>Volume Spike / Accumulation</t>
        </is>
      </c>
      <c r="S332" s="31" t="inlineStr">
        <is>
          <t>Nifty Energy</t>
        </is>
      </c>
      <c r="T332" s="32" t="inlineStr"/>
      <c r="U332" s="32" t="inlineStr"/>
      <c r="V332" s="32" t="inlineStr"/>
      <c r="W332" s="32" t="inlineStr"/>
      <c r="X332" s="31" t="inlineStr">
        <is>
          <t>Cyclical in an Upturn</t>
        </is>
      </c>
      <c r="Y332" s="31">
        <f>IF(X332="Growing Industry",10,IF(X332="Cyclical in an Upturn",5,0))</f>
        <v/>
      </c>
      <c r="Z332" s="31" t="inlineStr">
        <is>
          <t>Oligopoly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Yes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Cyclical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Volatile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Yes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More than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IF(B333=0,"",RANK(B333,$B$2:$B$378,0))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NEOGEN</t>
        </is>
      </c>
      <c r="D333" s="31" t="inlineStr">
        <is>
          <t>Neogen Chemicals Ltd</t>
        </is>
      </c>
      <c r="E333" s="31" t="inlineStr">
        <is>
          <t>chemicals</t>
        </is>
      </c>
      <c r="F333" s="31" t="inlineStr">
        <is>
          <t>chemicals</t>
        </is>
      </c>
      <c r="G333" s="31" t="inlineStr">
        <is>
          <t>midcap</t>
        </is>
      </c>
      <c r="H333" s="32" t="n">
        <v>5730.16</v>
      </c>
      <c r="I333" s="32" t="n">
        <v>2138.9</v>
      </c>
      <c r="J333" s="32" t="n">
        <v>3.42</v>
      </c>
      <c r="K333" s="32" t="n">
        <v>130705</v>
      </c>
      <c r="L333" s="31" t="n">
        <v>66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66.28</v>
      </c>
      <c r="P333" s="32" t="n">
        <v>52.27</v>
      </c>
      <c r="Q333" s="32" t="n">
        <v>1608.24</v>
      </c>
      <c r="R333" s="31" t="inlineStr">
        <is>
          <t>Near 52W High Breakout</t>
        </is>
      </c>
      <c r="S333" s="31" t="inlineStr">
        <is>
          <t>Nifty 50</t>
        </is>
      </c>
      <c r="T333" s="32" t="n">
        <v>-0.96</v>
      </c>
      <c r="U333" s="32" t="n">
        <v>53.12</v>
      </c>
      <c r="V333" s="32" t="n">
        <v>54.6</v>
      </c>
      <c r="W333" s="32" t="n">
        <v>15.86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Yes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Above 40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More than 1.2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IF(B334=0,"",RANK(B334,$B$2:$B$378,0))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ESABINDIA</t>
        </is>
      </c>
      <c r="D334" s="31" t="inlineStr">
        <is>
          <t>Esab India Limited</t>
        </is>
      </c>
      <c r="E334" s="31" t="inlineStr">
        <is>
          <t>industrials</t>
        </is>
      </c>
      <c r="F334" s="31" t="inlineStr">
        <is>
          <t>electrodes - welding equipment</t>
        </is>
      </c>
      <c r="G334" s="31" t="inlineStr">
        <is>
          <t>midcap</t>
        </is>
      </c>
      <c r="H334" s="32" t="n">
        <v>8959.51</v>
      </c>
      <c r="I334" s="32" t="n">
        <v>6200</v>
      </c>
      <c r="J334" s="32" t="n">
        <v>2.94</v>
      </c>
      <c r="K334" s="32" t="n">
        <v>28892</v>
      </c>
      <c r="L334" s="31" t="n">
        <v>20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58.03</v>
      </c>
      <c r="P334" s="32" t="n">
        <v>25.21</v>
      </c>
      <c r="Q334" s="32" t="n">
        <v>5860.89</v>
      </c>
      <c r="R334" s="31" t="inlineStr">
        <is>
          <t>Volume Spike / Accumulation</t>
        </is>
      </c>
      <c r="S334" s="31" t="inlineStr">
        <is>
          <t>Nifty 50</t>
        </is>
      </c>
      <c r="T334" s="32" t="n">
        <v>-0.96</v>
      </c>
      <c r="U334" s="32" t="n">
        <v>25.9</v>
      </c>
      <c r="V334" s="32" t="n">
        <v>27.12</v>
      </c>
      <c r="W334" s="32" t="n">
        <v>3.99</v>
      </c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Yes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1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Between 50% to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IF(B335=0,"",RANK(B335,$B$2:$B$378,0))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SANATHAN</t>
        </is>
      </c>
      <c r="D335" s="33" t="inlineStr">
        <is>
          <t>Sanathan Textiles Ltd</t>
        </is>
      </c>
      <c r="E335" s="31" t="inlineStr">
        <is>
          <t>textiles</t>
        </is>
      </c>
      <c r="F335" s="31" t="inlineStr">
        <is>
          <t>textiles - cotton/blended</t>
        </is>
      </c>
      <c r="G335" s="31" t="inlineStr">
        <is>
          <t>smallcap</t>
        </is>
      </c>
      <c r="H335" s="32" t="n">
        <v>4232.02</v>
      </c>
      <c r="I335" s="32" t="n">
        <v>484.8</v>
      </c>
      <c r="J335" s="32" t="n">
        <v>1.88</v>
      </c>
      <c r="K335" s="32" t="n">
        <v>17230</v>
      </c>
      <c r="L335" s="31" t="n">
        <v>12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61.69</v>
      </c>
      <c r="P335" s="32" t="n">
        <v>15.63</v>
      </c>
      <c r="Q335" s="32" t="n">
        <v>374.2</v>
      </c>
      <c r="R335" s="31" t="inlineStr">
        <is>
          <t>Volume Spike / Accumulation</t>
        </is>
      </c>
      <c r="S335" s="31" t="inlineStr">
        <is>
          <t>Nifty 50</t>
        </is>
      </c>
      <c r="T335" s="32" t="n">
        <v>-0.96</v>
      </c>
      <c r="U335" s="32" t="n">
        <v>-1.8</v>
      </c>
      <c r="V335" s="32" t="n">
        <v>-0.85</v>
      </c>
      <c r="W335" s="32" t="n">
        <v>2.02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Yes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Yes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Between 0.7 to 1.2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IF(B336=0,"",RANK(B336,$B$2:$B$378,0))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MAZDOCK</t>
        </is>
      </c>
      <c r="D336" s="33" t="inlineStr">
        <is>
          <t>Mazagon Dock Shipbuilders Ltd</t>
        </is>
      </c>
      <c r="E336" s="31" t="inlineStr">
        <is>
          <t>aerospace &amp; defence</t>
        </is>
      </c>
      <c r="F336" s="31" t="inlineStr">
        <is>
          <t>miscellaneous</t>
        </is>
      </c>
      <c r="G336" s="31" t="inlineStr">
        <is>
          <t>largecap</t>
        </is>
      </c>
      <c r="H336" s="32" t="n">
        <v>103023.25</v>
      </c>
      <c r="I336" s="32" t="n">
        <v>2571</v>
      </c>
      <c r="J336" s="32" t="n">
        <v>0.74</v>
      </c>
      <c r="K336" s="32" t="n">
        <v>1816161</v>
      </c>
      <c r="L336" s="31" t="n">
        <v>5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54.41</v>
      </c>
      <c r="P336" s="32" t="n">
        <v>7.35</v>
      </c>
      <c r="Q336" s="32" t="n">
        <v>2089.06</v>
      </c>
      <c r="R336" s="31" t="inlineStr">
        <is>
          <t>Earnings / Momentum Support</t>
        </is>
      </c>
      <c r="S336" s="31" t="inlineStr">
        <is>
          <t>Nifty 50</t>
        </is>
      </c>
      <c r="T336" s="32" t="n">
        <v>-0.96</v>
      </c>
      <c r="U336" s="32" t="n">
        <v>-4.94</v>
      </c>
      <c r="V336" s="32" t="n">
        <v>-4.02</v>
      </c>
      <c r="W336" s="32" t="n">
        <v>0.01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1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Between 1.5 to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IF(B337=0,"",RANK(B337,$B$2:$B$378,0))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ENGINERSIN</t>
        </is>
      </c>
      <c r="D337" s="31" t="inlineStr">
        <is>
          <t>Engineers India Limited</t>
        </is>
      </c>
      <c r="E337" s="31" t="inlineStr">
        <is>
          <t>realty</t>
        </is>
      </c>
      <c r="F337" s="31" t="inlineStr">
        <is>
          <t>engineering - turnkey services</t>
        </is>
      </c>
      <c r="G337" s="31" t="inlineStr">
        <is>
          <t>midcap</t>
        </is>
      </c>
      <c r="H337" s="32" t="n">
        <v>13657.07</v>
      </c>
      <c r="I337" s="32" t="n">
        <v>240.58</v>
      </c>
      <c r="J337" s="32" t="n">
        <v>0.58</v>
      </c>
      <c r="K337" s="32" t="n">
        <v>1969783</v>
      </c>
      <c r="L337" s="31" t="n">
        <v>17</v>
      </c>
      <c r="M337" s="31" t="inlineStr">
        <is>
          <t>Outperforming</t>
        </is>
      </c>
      <c r="N337" s="32">
        <f>IF(M337="Underperforming",-5,IF(L337&gt;=95,15,IF(L337&gt;=90,10,IF(L337&gt;=80,5,0))))</f>
        <v/>
      </c>
      <c r="O337" s="32" t="n">
        <v>56.05</v>
      </c>
      <c r="P337" s="32" t="n">
        <v>11.41</v>
      </c>
      <c r="Q337" s="32" t="n">
        <v>196.68</v>
      </c>
      <c r="R337" s="31" t="inlineStr">
        <is>
          <t>Earnings / Momentum Support</t>
        </is>
      </c>
      <c r="S337" s="31" t="inlineStr">
        <is>
          <t>Nifty Realty</t>
        </is>
      </c>
      <c r="T337" s="32" t="n">
        <v>-5.49</v>
      </c>
      <c r="U337" s="32" t="n">
        <v>7.26</v>
      </c>
      <c r="V337" s="32" t="n">
        <v>13.5</v>
      </c>
      <c r="W337" s="32" t="n">
        <v>3.31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Less than 50%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IF(B338=0,"",RANK(B338,$B$2:$B$378,0))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BEML</t>
        </is>
      </c>
      <c r="D338" s="33" t="inlineStr">
        <is>
          <t>Beml Limited</t>
        </is>
      </c>
      <c r="E338" s="31" t="inlineStr">
        <is>
          <t>aerospace &amp; defence</t>
        </is>
      </c>
      <c r="F338" s="31" t="inlineStr">
        <is>
          <t>engineering</t>
        </is>
      </c>
      <c r="G338" s="31" t="inlineStr">
        <is>
          <t>midcap</t>
        </is>
      </c>
      <c r="H338" s="32" t="n">
        <v>15844.07</v>
      </c>
      <c r="I338" s="32" t="n">
        <v>1910.6</v>
      </c>
      <c r="J338" s="32" t="n">
        <v>0.53</v>
      </c>
      <c r="K338" s="32" t="n">
        <v>217005</v>
      </c>
      <c r="L338" s="31" t="n">
        <v>8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57.7</v>
      </c>
      <c r="P338" s="32" t="n">
        <v>11.62</v>
      </c>
      <c r="Q338" s="32" t="n">
        <v>1484.22</v>
      </c>
      <c r="R338" s="31" t="inlineStr">
        <is>
          <t>Volume Spike / Accumulation</t>
        </is>
      </c>
      <c r="S338" s="31" t="inlineStr">
        <is>
          <t>Nifty 50</t>
        </is>
      </c>
      <c r="T338" s="32" t="n">
        <v>-0.96</v>
      </c>
      <c r="U338" s="32" t="n">
        <v>-5.45</v>
      </c>
      <c r="V338" s="32" t="n">
        <v>-4.54</v>
      </c>
      <c r="W338" s="32" t="n">
        <v>0.53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Yes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1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IF(B339=0,"",RANK(B339,$B$2:$B$378,0))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MAHSEAMLES</t>
        </is>
      </c>
      <c r="D339" s="31" t="inlineStr">
        <is>
          <t>Maharashtra Seamless Limited</t>
        </is>
      </c>
      <c r="E339" s="31" t="inlineStr">
        <is>
          <t>industrials</t>
        </is>
      </c>
      <c r="F339" s="31" t="inlineStr">
        <is>
          <t>steel - large</t>
        </is>
      </c>
      <c r="G339" s="31" t="inlineStr">
        <is>
          <t>midcap</t>
        </is>
      </c>
      <c r="H339" s="32" t="n">
        <v>7972.96</v>
      </c>
      <c r="I339" s="32" t="n">
        <v>612.45</v>
      </c>
      <c r="J339" s="32" t="n">
        <v>0.41</v>
      </c>
      <c r="K339" s="32" t="n">
        <v>204850</v>
      </c>
      <c r="L339" s="31" t="inlineStr"/>
      <c r="M339" s="31" t="inlineStr"/>
      <c r="N339" s="32">
        <f>IF(M339="Underperforming",-5,IF(L339&gt;=95,15,IF(L339&gt;=90,10,IF(L339&gt;=80,5,0))))</f>
        <v/>
      </c>
      <c r="O339" s="32" t="n">
        <v>54.07</v>
      </c>
      <c r="P339" s="32" t="n">
        <v>19.22</v>
      </c>
      <c r="Q339" s="32" t="n">
        <v>543.3</v>
      </c>
      <c r="R339" s="31" t="inlineStr">
        <is>
          <t>Earnings / Momentum Support</t>
        </is>
      </c>
      <c r="S339" s="31" t="inlineStr">
        <is>
          <t>Nifty Metal</t>
        </is>
      </c>
      <c r="T339" s="32" t="inlineStr"/>
      <c r="U339" s="32" t="inlineStr"/>
      <c r="V339" s="32" t="inlineStr"/>
      <c r="W339" s="32" t="inlineStr"/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1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Between 12 to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Less than 1.5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IF(B340=0,"",RANK(B340,$B$2:$B$378,0))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GRAVITA</t>
        </is>
      </c>
      <c r="D340" s="31" t="inlineStr">
        <is>
          <t>Gravita India Limited</t>
        </is>
      </c>
      <c r="E340" s="31" t="inlineStr">
        <is>
          <t>metals &amp; mining</t>
        </is>
      </c>
      <c r="F340" s="31" t="inlineStr">
        <is>
          <t>mining / minerals / metals</t>
        </is>
      </c>
      <c r="G340" s="31" t="inlineStr">
        <is>
          <t>midcap</t>
        </is>
      </c>
      <c r="H340" s="32" t="n">
        <v>13171.12</v>
      </c>
      <c r="I340" s="32" t="n">
        <v>1819</v>
      </c>
      <c r="J340" s="32" t="n">
        <v>0.21</v>
      </c>
      <c r="K340" s="32" t="n">
        <v>164786</v>
      </c>
      <c r="L340" s="31" t="inlineStr"/>
      <c r="M340" s="31" t="inlineStr"/>
      <c r="N340" s="32">
        <f>IF(M340="Underperforming",-5,IF(L340&gt;=95,15,IF(L340&gt;=90,10,IF(L340&gt;=80,5,0))))</f>
        <v/>
      </c>
      <c r="O340" s="32" t="n">
        <v>56.69</v>
      </c>
      <c r="P340" s="32" t="n">
        <v>15.33</v>
      </c>
      <c r="Q340" s="32" t="n">
        <v>1441.25</v>
      </c>
      <c r="R340" s="31" t="inlineStr">
        <is>
          <t>Near 52W High Breakout</t>
        </is>
      </c>
      <c r="S340" s="31" t="inlineStr">
        <is>
          <t>Nifty Metal</t>
        </is>
      </c>
      <c r="T340" s="32" t="inlineStr"/>
      <c r="U340" s="32" t="inlineStr"/>
      <c r="V340" s="32" t="inlineStr"/>
      <c r="W340" s="32" t="inlineStr"/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Cyclical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Yes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Between 12 to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IF(B341=0,"",RANK(B341,$B$2:$B$378,0))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VGUARD</t>
        </is>
      </c>
      <c r="D341" s="33" t="inlineStr">
        <is>
          <t>V-guard Industries Limited</t>
        </is>
      </c>
      <c r="E341" s="31" t="inlineStr">
        <is>
          <t>industrials</t>
        </is>
      </c>
      <c r="F341" s="31" t="inlineStr">
        <is>
          <t>electric equipment</t>
        </is>
      </c>
      <c r="G341" s="31" t="inlineStr">
        <is>
          <t>midcap</t>
        </is>
      </c>
      <c r="H341" s="32" t="n">
        <v>14168.38</v>
      </c>
      <c r="I341" s="32" t="n">
        <v>331.7</v>
      </c>
      <c r="J341" s="32" t="n">
        <v>-0.02</v>
      </c>
      <c r="K341" s="32" t="n">
        <v>2765777</v>
      </c>
      <c r="L341" s="31" t="n">
        <v>4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57.03</v>
      </c>
      <c r="P341" s="32" t="n">
        <v>18.54</v>
      </c>
      <c r="Q341" s="32" t="n">
        <v>271.76</v>
      </c>
      <c r="R341" s="31" t="inlineStr">
        <is>
          <t>Earnings / Momentum Support</t>
        </is>
      </c>
      <c r="S341" s="31" t="inlineStr">
        <is>
          <t>Nifty 50</t>
        </is>
      </c>
      <c r="T341" s="32" t="n">
        <v>-0.96</v>
      </c>
      <c r="U341" s="32" t="n">
        <v>-7.41</v>
      </c>
      <c r="V341" s="32" t="n">
        <v>-6.52</v>
      </c>
      <c r="W341" s="32" t="n">
        <v>-0.66</v>
      </c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1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Less than 1.5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IF(B342=0,"",RANK(B342,$B$2:$B$378,0))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IKIO</t>
        </is>
      </c>
      <c r="D342" s="31" t="inlineStr">
        <is>
          <t>IKIO Lighting Ltd</t>
        </is>
      </c>
      <c r="E342" s="31" t="inlineStr">
        <is>
          <t>consumer discretionary</t>
        </is>
      </c>
      <c r="F342" s="31" t="inlineStr">
        <is>
          <t>electric equipment</t>
        </is>
      </c>
      <c r="G342" s="31" t="inlineStr">
        <is>
          <t>smallcap</t>
        </is>
      </c>
      <c r="H342" s="32" t="n">
        <v>1573.74</v>
      </c>
      <c r="I342" s="32" t="n">
        <v>209.25</v>
      </c>
      <c r="J342" s="32" t="n">
        <v>-2.63</v>
      </c>
      <c r="K342" s="32" t="n">
        <v>158992</v>
      </c>
      <c r="L342" s="31" t="n">
        <v>51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63.62</v>
      </c>
      <c r="P342" s="32" t="n">
        <v>31.84</v>
      </c>
      <c r="Q342" s="32" t="n">
        <v>158.23</v>
      </c>
      <c r="R342" s="31" t="inlineStr">
        <is>
          <t>Earnings / Momentum Support</t>
        </is>
      </c>
      <c r="S342" s="31" t="inlineStr">
        <is>
          <t>Nifty 50</t>
        </is>
      </c>
      <c r="T342" s="32" t="n">
        <v>-0.96</v>
      </c>
      <c r="U342" s="32" t="n">
        <v>11.06</v>
      </c>
      <c r="V342" s="32" t="n">
        <v>12.13</v>
      </c>
      <c r="W342" s="32" t="n">
        <v>10.99</v>
      </c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Tailwind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20 to 40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Negative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Yes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IF(B343=0,"",RANK(B343,$B$2:$B$378,0))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BALKRISIND</t>
        </is>
      </c>
      <c r="D343" s="31" t="inlineStr">
        <is>
          <t>Balkrishna Industries Limited</t>
        </is>
      </c>
      <c r="E343" s="31" t="inlineStr">
        <is>
          <t>auto</t>
        </is>
      </c>
      <c r="F343" s="31" t="inlineStr">
        <is>
          <t>tyres</t>
        </is>
      </c>
      <c r="G343" s="31" t="inlineStr">
        <is>
          <t>largecap</t>
        </is>
      </c>
      <c r="H343" s="32" t="n">
        <v>48308.03</v>
      </c>
      <c r="I343" s="32" t="n">
        <v>2410</v>
      </c>
      <c r="J343" s="32" t="n">
        <v>-3.48</v>
      </c>
      <c r="K343" s="32" t="n">
        <v>285780</v>
      </c>
      <c r="L343" s="31" t="inlineStr"/>
      <c r="M343" s="31" t="inlineStr"/>
      <c r="N343" s="32">
        <f>IF(M343="Underperforming",-5,IF(L343&gt;=95,15,IF(L343&gt;=90,10,IF(L343&gt;=80,5,0))))</f>
        <v/>
      </c>
      <c r="O343" s="32" t="n">
        <v>55.66</v>
      </c>
      <c r="P343" s="32" t="n">
        <v>14.78</v>
      </c>
      <c r="Q343" s="32" t="n">
        <v>1936.7</v>
      </c>
      <c r="R343" s="31" t="inlineStr">
        <is>
          <t>Earnings / Momentum Support</t>
        </is>
      </c>
      <c r="S343" s="31" t="inlineStr">
        <is>
          <t>Nifty Auto</t>
        </is>
      </c>
      <c r="T343" s="32" t="inlineStr"/>
      <c r="U343" s="32" t="inlineStr"/>
      <c r="V343" s="32" t="inlineStr"/>
      <c r="W343" s="32" t="inlineStr"/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Less than 12%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IF(B344=0,"",RANK(B344,$B$2:$B$378,0))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LINCOLN</t>
        </is>
      </c>
      <c r="D344" s="33" t="inlineStr">
        <is>
          <t>Lincoln Pharmaceuticals Limited</t>
        </is>
      </c>
      <c r="E344" s="31" t="inlineStr">
        <is>
          <t>healthcare</t>
        </is>
      </c>
      <c r="F344" s="31" t="inlineStr">
        <is>
          <t>pharmaceuticals - indian - formulations</t>
        </is>
      </c>
      <c r="G344" s="31" t="inlineStr">
        <is>
          <t>smallcap</t>
        </is>
      </c>
      <c r="H344" s="32" t="n">
        <v>1194.77</v>
      </c>
      <c r="I344" s="32" t="n">
        <v>619.5</v>
      </c>
      <c r="J344" s="32" t="n">
        <v>4.5</v>
      </c>
      <c r="K344" s="32" t="n">
        <v>1060832</v>
      </c>
      <c r="L344" s="31" t="n">
        <v>14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52.97</v>
      </c>
      <c r="P344" s="32" t="n">
        <v>34.43</v>
      </c>
      <c r="Q344" s="32" t="n">
        <v>575.6</v>
      </c>
      <c r="R344" s="31" t="inlineStr">
        <is>
          <t>Volume Spike / Accumulation</t>
        </is>
      </c>
      <c r="S344" s="31" t="inlineStr">
        <is>
          <t>Nifty Pharma</t>
        </is>
      </c>
      <c r="T344" s="32" t="n">
        <v>20.47</v>
      </c>
      <c r="U344" s="32" t="n">
        <v>14.53</v>
      </c>
      <c r="V344" s="32" t="n">
        <v>-4.93</v>
      </c>
      <c r="W344" s="32" t="n">
        <v>2.49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Yes</t>
        </is>
      </c>
      <c r="AC344" s="31">
        <f>IF(AB344="No",5,0)</f>
        <v/>
      </c>
      <c r="AD344" s="31" t="inlineStr">
        <is>
          <t>Headwind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Annuity, Lower One Time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20 to 40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1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IF(B345=0,"",RANK(B345,$B$2:$B$378,0))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SALSTEEL</t>
        </is>
      </c>
      <c r="D345" s="31" t="inlineStr">
        <is>
          <t>SAL Steel</t>
        </is>
      </c>
      <c r="E345" s="31" t="inlineStr">
        <is>
          <t>metals &amp; mining</t>
        </is>
      </c>
      <c r="F345" s="31" t="inlineStr">
        <is>
          <t>steel - sponge iron</t>
        </is>
      </c>
      <c r="G345" s="31" t="inlineStr">
        <is>
          <t>smallcap</t>
        </is>
      </c>
      <c r="H345" s="32" t="n">
        <v>852.53</v>
      </c>
      <c r="I345" s="32" t="n">
        <v>69.34999999999999</v>
      </c>
      <c r="J345" s="32" t="n">
        <v>9.99</v>
      </c>
      <c r="K345" s="32" t="n">
        <v>1402916</v>
      </c>
      <c r="L345" s="31" t="inlineStr"/>
      <c r="M345" s="31" t="inlineStr"/>
      <c r="N345" s="32">
        <f>IF(M345="Underperforming",-5,IF(L345&gt;=95,15,IF(L345&gt;=90,10,IF(L345&gt;=80,5,0))))</f>
        <v/>
      </c>
      <c r="O345" s="32" t="n">
        <v>71.52</v>
      </c>
      <c r="P345" s="32" t="n">
        <v>23.85</v>
      </c>
      <c r="Q345" s="32" t="n">
        <v>48.39</v>
      </c>
      <c r="R345" s="31" t="inlineStr">
        <is>
          <t>Volume Spike &amp; Near 52W High Breakout</t>
        </is>
      </c>
      <c r="S345" s="31" t="inlineStr">
        <is>
          <t>Nifty Metal</t>
        </is>
      </c>
      <c r="T345" s="32" t="inlineStr"/>
      <c r="U345" s="32" t="inlineStr"/>
      <c r="V345" s="32" t="inlineStr"/>
      <c r="W345" s="32" t="inlineStr"/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Cyclical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Yes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20 to 40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Positive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Blue sky scenario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Negative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More than 1.2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IF(B346=0,"",RANK(B346,$B$2:$B$378,0))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RITCO</t>
        </is>
      </c>
      <c r="D346" s="31" t="inlineStr">
        <is>
          <t>Ritco Logistics Ltd</t>
        </is>
      </c>
      <c r="E346" s="31" t="inlineStr">
        <is>
          <t>transportation</t>
        </is>
      </c>
      <c r="F346" s="31" t="inlineStr">
        <is>
          <t>miscellaneous</t>
        </is>
      </c>
      <c r="G346" s="31" t="inlineStr">
        <is>
          <t>smallcap</t>
        </is>
      </c>
      <c r="H346" s="32" t="n">
        <v>865.27</v>
      </c>
      <c r="I346" s="32" t="n">
        <v>301.5</v>
      </c>
      <c r="J346" s="32" t="n">
        <v>-0.15</v>
      </c>
      <c r="K346" s="32" t="n">
        <v>130578</v>
      </c>
      <c r="L346" s="31" t="n">
        <v>23</v>
      </c>
      <c r="M346" s="31" t="inlineStr">
        <is>
          <t>Outperforming</t>
        </is>
      </c>
      <c r="N346" s="32">
        <f>IF(M346="Underperforming",-5,IF(L346&gt;=95,15,IF(L346&gt;=90,10,IF(L346&gt;=80,5,0))))</f>
        <v/>
      </c>
      <c r="O346" s="32" t="n">
        <v>64.79000000000001</v>
      </c>
      <c r="P346" s="32" t="n">
        <v>37.87</v>
      </c>
      <c r="Q346" s="32" t="n">
        <v>229.99</v>
      </c>
      <c r="R346" s="31" t="inlineStr">
        <is>
          <t>Near 52W High Breakout</t>
        </is>
      </c>
      <c r="S346" s="31" t="inlineStr">
        <is>
          <t>Nifty 50</t>
        </is>
      </c>
      <c r="T346" s="32" t="n">
        <v>-0.96</v>
      </c>
      <c r="U346" s="32" t="n">
        <v>9.77</v>
      </c>
      <c r="V346" s="32" t="n">
        <v>10.83</v>
      </c>
      <c r="W346" s="32" t="n">
        <v>4.64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Yes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20 to 40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Less than 12%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Negative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More than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IF(B347=0,"",RANK(B347,$B$2:$B$378,0))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MAMATA</t>
        </is>
      </c>
      <c r="D347" s="31" t="inlineStr">
        <is>
          <t>Mamata Machinery Ltd</t>
        </is>
      </c>
      <c r="E347" s="31" t="inlineStr">
        <is>
          <t>industrials</t>
        </is>
      </c>
      <c r="F347" s="31" t="inlineStr">
        <is>
          <t>engineering</t>
        </is>
      </c>
      <c r="G347" s="31" t="inlineStr">
        <is>
          <t>smallcap</t>
        </is>
      </c>
      <c r="H347" s="32" t="n">
        <v>1046.32</v>
      </c>
      <c r="I347" s="32" t="n">
        <v>425</v>
      </c>
      <c r="J347" s="32" t="n">
        <v>-0.25</v>
      </c>
      <c r="K347" s="32" t="n">
        <v>39341</v>
      </c>
      <c r="L347" s="31" t="n">
        <v>13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55.4</v>
      </c>
      <c r="P347" s="32" t="n">
        <v>6.86</v>
      </c>
      <c r="Q347" s="32" t="n">
        <v>336.41</v>
      </c>
      <c r="R347" s="31" t="inlineStr">
        <is>
          <t>Earnings / Momentum Support</t>
        </is>
      </c>
      <c r="S347" s="31" t="inlineStr">
        <is>
          <t>Nifty 50</t>
        </is>
      </c>
      <c r="T347" s="32" t="n">
        <v>-0.96</v>
      </c>
      <c r="U347" s="32" t="n">
        <v>4.95</v>
      </c>
      <c r="V347" s="32" t="n">
        <v>5.96</v>
      </c>
      <c r="W347" s="32" t="n">
        <v>2.35</v>
      </c>
      <c r="X347" s="31" t="inlineStr">
        <is>
          <t>Cyclical in an Upturn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2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Less than 50%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IF(B348=0,"",RANK(B348,$B$2:$B$378,0))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3" t="inlineStr">
        <is>
          <t>UFLEX</t>
        </is>
      </c>
      <c r="D348" s="33" t="inlineStr">
        <is>
          <t>Uflex Limited</t>
        </is>
      </c>
      <c r="E348" s="31" t="inlineStr">
        <is>
          <t>industrials</t>
        </is>
      </c>
      <c r="F348" s="31" t="inlineStr">
        <is>
          <t>packaging</t>
        </is>
      </c>
      <c r="G348" s="31" t="inlineStr">
        <is>
          <t>smallcap</t>
        </is>
      </c>
      <c r="H348" s="32" t="n">
        <v>3589.27</v>
      </c>
      <c r="I348" s="32" t="n">
        <v>493.8</v>
      </c>
      <c r="J348" s="32" t="n">
        <v>-0.79</v>
      </c>
      <c r="K348" s="32" t="n">
        <v>54071</v>
      </c>
      <c r="L348" s="31" t="n">
        <v>17</v>
      </c>
      <c r="M348" s="31" t="inlineStr">
        <is>
          <t>Underperforming</t>
        </is>
      </c>
      <c r="N348" s="32">
        <f>IF(M348="Underperforming",-5,IF(L348&gt;=95,15,IF(L348&gt;=90,10,IF(L348&gt;=80,5,0))))</f>
        <v/>
      </c>
      <c r="O348" s="32" t="n">
        <v>60.9</v>
      </c>
      <c r="P348" s="32" t="n">
        <v>15.91</v>
      </c>
      <c r="Q348" s="32" t="n">
        <v>389.81</v>
      </c>
      <c r="R348" s="31" t="inlineStr">
        <is>
          <t>Earnings / Momentum Support</t>
        </is>
      </c>
      <c r="S348" s="31" t="inlineStr">
        <is>
          <t>Nifty Infra</t>
        </is>
      </c>
      <c r="T348" s="32" t="n">
        <v>3.6</v>
      </c>
      <c r="U348" s="32" t="n">
        <v>-15.42</v>
      </c>
      <c r="V348" s="32" t="n">
        <v>-18.36</v>
      </c>
      <c r="W348" s="32" t="n">
        <v>3.34</v>
      </c>
      <c r="X348" s="31" t="inlineStr">
        <is>
          <t>Cyclical in an Upturn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2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Between 12 to 20%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Less than 1.5</t>
        </is>
      </c>
      <c r="BU348" s="31">
        <f>IF(BT348="Above 2",0,IF(BT348="Between 1.5 to 2",5,IF(BT348="Less than 1.5",10,0)))</f>
        <v/>
      </c>
      <c r="BV348" s="31" t="inlineStr">
        <is>
          <t>Between 50% to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More than 1.2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IF(B349=0,"",RANK(B349,$B$2:$B$378,0))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3" t="inlineStr">
        <is>
          <t>ARIHANT</t>
        </is>
      </c>
      <c r="D349" s="33" t="inlineStr">
        <is>
          <t>Arihant Foundations &amp; Housing Limited</t>
        </is>
      </c>
      <c r="E349" s="31" t="inlineStr">
        <is>
          <t>realty</t>
        </is>
      </c>
      <c r="F349" s="31" t="inlineStr">
        <is>
          <t>construction</t>
        </is>
      </c>
      <c r="G349" s="31" t="inlineStr">
        <is>
          <t>smallcap</t>
        </is>
      </c>
      <c r="H349" s="32" t="n">
        <v>1115.35</v>
      </c>
      <c r="I349" s="32" t="n">
        <v>1079.5</v>
      </c>
      <c r="J349" s="32" t="n">
        <v>-1.58</v>
      </c>
      <c r="K349" s="32" t="n">
        <v>6176</v>
      </c>
      <c r="L349" s="31" t="n">
        <v>13</v>
      </c>
      <c r="M349" s="31" t="inlineStr">
        <is>
          <t>Underperforming</t>
        </is>
      </c>
      <c r="N349" s="32">
        <f>IF(M349="Underperforming",-5,IF(L349&gt;=95,15,IF(L349&gt;=90,10,IF(L349&gt;=80,5,0))))</f>
        <v/>
      </c>
      <c r="O349" s="32" t="n">
        <v>56.93</v>
      </c>
      <c r="P349" s="32" t="n">
        <v>23.37</v>
      </c>
      <c r="Q349" s="32" t="n">
        <v>738.4</v>
      </c>
      <c r="R349" s="31" t="inlineStr">
        <is>
          <t>Earnings / Momentum Support</t>
        </is>
      </c>
      <c r="S349" s="31" t="inlineStr">
        <is>
          <t>Nifty Realty</t>
        </is>
      </c>
      <c r="T349" s="32" t="n">
        <v>-5.49</v>
      </c>
      <c r="U349" s="32" t="n">
        <v>-6.37</v>
      </c>
      <c r="V349" s="32" t="n">
        <v>-0.93</v>
      </c>
      <c r="W349" s="32" t="n">
        <v>2.44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Headwind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20 to 40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2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More than 1.2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IF(B350=0,"",RANK(B350,$B$2:$B$378,0))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3" t="inlineStr">
        <is>
          <t>SADHNANIQ</t>
        </is>
      </c>
      <c r="D350" s="33" t="inlineStr">
        <is>
          <t>Sadhana Nitro Chem Ltd</t>
        </is>
      </c>
      <c r="E350" s="31" t="inlineStr">
        <is>
          <t>chemicals</t>
        </is>
      </c>
      <c r="F350" s="31" t="inlineStr">
        <is>
          <t>chemicals</t>
        </is>
      </c>
      <c r="G350" s="31" t="inlineStr">
        <is>
          <t>smallcap</t>
        </is>
      </c>
      <c r="H350" s="32" t="n">
        <v>984.28</v>
      </c>
      <c r="I350" s="32" t="n">
        <v>3.26</v>
      </c>
      <c r="J350" s="32" t="n">
        <v>-1.81</v>
      </c>
      <c r="K350" s="32" t="n">
        <v>2917949</v>
      </c>
      <c r="L350" s="31" t="n">
        <v>37</v>
      </c>
      <c r="M350" s="31" t="inlineStr">
        <is>
          <t>Underperforming</t>
        </is>
      </c>
      <c r="N350" s="32">
        <f>IF(M350="Underperforming",-5,IF(L350&gt;=95,15,IF(L350&gt;=90,10,IF(L350&gt;=80,5,0))))</f>
        <v/>
      </c>
      <c r="O350" s="32" t="n">
        <v>47.57</v>
      </c>
      <c r="P350" s="32" t="n">
        <v>13.34</v>
      </c>
      <c r="Q350" s="32" t="n">
        <v>1.84</v>
      </c>
      <c r="R350" s="31" t="inlineStr">
        <is>
          <t>Earnings / Momentum Support</t>
        </is>
      </c>
      <c r="S350" s="31" t="inlineStr">
        <is>
          <t>Nifty 50</t>
        </is>
      </c>
      <c r="T350" s="32" t="n">
        <v>-0.96</v>
      </c>
      <c r="U350" s="32" t="n">
        <v>-49.13</v>
      </c>
      <c r="V350" s="32" t="n">
        <v>-48.63</v>
      </c>
      <c r="W350" s="32" t="n">
        <v>7.44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Below 45</t>
        </is>
      </c>
      <c r="BA350" s="31">
        <f>IF(AZ350="Between 50 to 75",10,IF(AZ350="Above 75",0,0))</f>
        <v/>
      </c>
      <c r="BB350" s="31" t="inlineStr">
        <is>
          <t>Stage 4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Less than 1.5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IF(B351=0,"",RANK(B351,$B$2:$B$378,0))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3" t="inlineStr">
        <is>
          <t>SURAKSHA</t>
        </is>
      </c>
      <c r="D351" s="33" t="inlineStr">
        <is>
          <t>Suraksha Diagnostic Ltd</t>
        </is>
      </c>
      <c r="E351" s="31" t="inlineStr">
        <is>
          <t>healthcare</t>
        </is>
      </c>
      <c r="F351" s="31" t="inlineStr">
        <is>
          <t>healthcare</t>
        </is>
      </c>
      <c r="G351" s="31" t="inlineStr">
        <is>
          <t>smallcap</t>
        </is>
      </c>
      <c r="H351" s="32" t="n">
        <v>1344.99</v>
      </c>
      <c r="I351" s="32" t="n">
        <v>304.45</v>
      </c>
      <c r="J351" s="32" t="n">
        <v>12.61</v>
      </c>
      <c r="K351" s="32" t="n">
        <v>3887175</v>
      </c>
      <c r="L351" s="31" t="n">
        <v>6</v>
      </c>
      <c r="M351" s="31" t="inlineStr">
        <is>
          <t>Underperforming</t>
        </is>
      </c>
      <c r="N351" s="32">
        <f>IF(M351="Underperforming",-5,IF(L351&gt;=95,15,IF(L351&gt;=90,10,IF(L351&gt;=80,5,0))))</f>
        <v/>
      </c>
      <c r="O351" s="32" t="n">
        <v>60.69</v>
      </c>
      <c r="P351" s="32" t="n">
        <v>15.12</v>
      </c>
      <c r="Q351" s="32" t="n">
        <v>243.02</v>
      </c>
      <c r="R351" s="31" t="inlineStr">
        <is>
          <t>Volume Spike &amp; Near 52W High Breakout</t>
        </is>
      </c>
      <c r="S351" s="31" t="inlineStr">
        <is>
          <t>Nifty Pharma</t>
        </is>
      </c>
      <c r="T351" s="32" t="n">
        <v>20.47</v>
      </c>
      <c r="U351" s="32" t="n">
        <v>0.71</v>
      </c>
      <c r="V351" s="32" t="n">
        <v>-16.4</v>
      </c>
      <c r="W351" s="32" t="n">
        <v>0.18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Yes</t>
        </is>
      </c>
      <c r="AC351" s="31">
        <f>IF(AB351="No",5,0)</f>
        <v/>
      </c>
      <c r="AD351" s="31" t="inlineStr">
        <is>
          <t>Tailwind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Yes</t>
        </is>
      </c>
      <c r="AQ351" s="31">
        <f>IF(AP351="Yes",10,0)</f>
        <v/>
      </c>
      <c r="AR351" s="31" t="inlineStr">
        <is>
          <t>Higher Annuity, Lower One Time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1</t>
        </is>
      </c>
      <c r="BC351" s="31">
        <f>IF(BB351="Stage 2",20,IF(BB351="Stage 1",0,IF(BB351="Stage 3",5,IF(BB351="Stage 4",-5,0))))</f>
        <v/>
      </c>
      <c r="BD351" s="31" t="inlineStr">
        <is>
          <t>Positive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Less than 12%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Yes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IF(B352=0,"",RANK(B352,$B$2:$B$378,0))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MUKKA</t>
        </is>
      </c>
      <c r="D352" s="31" t="inlineStr">
        <is>
          <t>Mukka Proteins Ltd</t>
        </is>
      </c>
      <c r="E352" s="31" t="inlineStr">
        <is>
          <t>fmcg</t>
        </is>
      </c>
      <c r="F352" s="31" t="inlineStr">
        <is>
          <t>food - processing - indian</t>
        </is>
      </c>
      <c r="G352" s="31" t="inlineStr">
        <is>
          <t>smallcap</t>
        </is>
      </c>
      <c r="H352" s="32" t="n">
        <v>713.4</v>
      </c>
      <c r="I352" s="32" t="n">
        <v>26.16</v>
      </c>
      <c r="J352" s="32" t="n">
        <v>8.19</v>
      </c>
      <c r="K352" s="32" t="n">
        <v>5342396</v>
      </c>
      <c r="L352" s="31" t="n">
        <v>6</v>
      </c>
      <c r="M352" s="31" t="inlineStr">
        <is>
          <t>Outperforming</t>
        </is>
      </c>
      <c r="N352" s="32">
        <f>IF(M352="Underperforming",-5,IF(L352&gt;=95,15,IF(L352&gt;=90,10,IF(L352&gt;=80,5,0))))</f>
        <v/>
      </c>
      <c r="O352" s="32" t="n">
        <v>62.29</v>
      </c>
      <c r="P352" s="32" t="n">
        <v>8.32</v>
      </c>
      <c r="Q352" s="32" t="n">
        <v>20.04</v>
      </c>
      <c r="R352" s="31" t="inlineStr">
        <is>
          <t>Volume Spike / Accumulation</t>
        </is>
      </c>
      <c r="S352" s="31" t="inlineStr">
        <is>
          <t>Nifty FMCG</t>
        </is>
      </c>
      <c r="T352" s="32" t="n">
        <v>-10.52</v>
      </c>
      <c r="U352" s="32" t="n">
        <v>-10.04</v>
      </c>
      <c r="V352" s="32" t="n">
        <v>0.54</v>
      </c>
      <c r="W352" s="32" t="n">
        <v>0.17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Tailwind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B2C</t>
        </is>
      </c>
      <c r="AO352" s="31">
        <f>IF(AN352="B2C",10,IF(AN352="B2B",5,0))</f>
        <v/>
      </c>
      <c r="AP352" s="31" t="inlineStr">
        <is>
          <t>Yes</t>
        </is>
      </c>
      <c r="AQ352" s="31">
        <f>IF(AP352="Yes",10,0)</f>
        <v/>
      </c>
      <c r="AR352" s="31" t="inlineStr">
        <is>
          <t>Higher Annuity, Lower One Time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1</t>
        </is>
      </c>
      <c r="BC352" s="31">
        <f>IF(BB352="Stage 2",20,IF(BB352="Stage 1",0,IF(BB352="Stage 3",5,IF(BB352="Stage 4",-5,0))))</f>
        <v/>
      </c>
      <c r="BD352" s="31" t="inlineStr">
        <is>
          <t>Positive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More than 20%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No</t>
        </is>
      </c>
      <c r="BS352" s="31">
        <f>IF(BR352="NO",5,0)</f>
        <v/>
      </c>
      <c r="BT352" s="31" t="inlineStr">
        <is>
          <t>Less than 1.5</t>
        </is>
      </c>
      <c r="BU352" s="31">
        <f>IF(BT352="Above 2",0,IF(BT352="Between 1.5 to 2",5,IF(BT352="Less than 1.5",10,0)))</f>
        <v/>
      </c>
      <c r="BV352" s="31" t="inlineStr">
        <is>
          <t>Negative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More than 1.2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IF(B353=0,"",RANK(B353,$B$2:$B$378,0))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BRITANNIA</t>
        </is>
      </c>
      <c r="D353" s="31" t="inlineStr">
        <is>
          <t>Britannia Industries Limited</t>
        </is>
      </c>
      <c r="E353" s="31" t="inlineStr">
        <is>
          <t>fmcg</t>
        </is>
      </c>
      <c r="F353" s="31" t="inlineStr">
        <is>
          <t>food - processing - mnc</t>
        </is>
      </c>
      <c r="G353" s="31" t="inlineStr">
        <is>
          <t>largecap</t>
        </is>
      </c>
      <c r="H353" s="32" t="n">
        <v>134838.07</v>
      </c>
      <c r="I353" s="32" t="n">
        <v>5615</v>
      </c>
      <c r="J353" s="32" t="n">
        <v>-0.54</v>
      </c>
      <c r="K353" s="32" t="n">
        <v>422221</v>
      </c>
      <c r="L353" s="31" t="n">
        <v>8</v>
      </c>
      <c r="M353" s="31" t="inlineStr">
        <is>
          <t>Outperforming</t>
        </is>
      </c>
      <c r="N353" s="32">
        <f>IF(M353="Underperforming",-5,IF(L353&gt;=95,15,IF(L353&gt;=90,10,IF(L353&gt;=80,5,0))))</f>
        <v/>
      </c>
      <c r="O353" s="32" t="n">
        <v>57.46</v>
      </c>
      <c r="P353" s="32" t="n">
        <v>17.04</v>
      </c>
      <c r="Q353" s="32" t="n">
        <v>4922.79</v>
      </c>
      <c r="R353" s="31" t="inlineStr">
        <is>
          <t>Earnings / Momentum Support</t>
        </is>
      </c>
      <c r="S353" s="31" t="inlineStr">
        <is>
          <t>Nifty FMCG</t>
        </is>
      </c>
      <c r="T353" s="32" t="n">
        <v>-10.52</v>
      </c>
      <c r="U353" s="32" t="n">
        <v>3.38</v>
      </c>
      <c r="V353" s="32" t="n">
        <v>15.54</v>
      </c>
      <c r="W353" s="32" t="n">
        <v>0.6899999999999999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Headwind</t>
        </is>
      </c>
      <c r="AE353" s="31">
        <f>IF(AD353="Tailwind",10,0)</f>
        <v/>
      </c>
      <c r="AF353" s="31" t="inlineStr">
        <is>
          <t>Structural (10 Years Consistency)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Stable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B2C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Annuity, Lower One Time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1</t>
        </is>
      </c>
      <c r="BC353" s="31">
        <f>IF(BB353="Stage 2",20,IF(BB353="Stage 1",0,IF(BB353="Stage 3",5,IF(BB353="Stage 4",-5,0))))</f>
        <v/>
      </c>
      <c r="BD353" s="31" t="inlineStr">
        <is>
          <t>Positive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Between 12 to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Yes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IF(B354=0,"",RANK(B354,$B$2:$B$378,0))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3" t="inlineStr">
        <is>
          <t>BIL</t>
        </is>
      </c>
      <c r="D354" s="33" t="inlineStr">
        <is>
          <t>Bhartiya International Limited</t>
        </is>
      </c>
      <c r="E354" s="31" t="inlineStr">
        <is>
          <t>consumer discretionary</t>
        </is>
      </c>
      <c r="F354" s="31" t="inlineStr">
        <is>
          <t>leather / leather products</t>
        </is>
      </c>
      <c r="G354" s="31" t="inlineStr">
        <is>
          <t>smallcap</t>
        </is>
      </c>
      <c r="H354" s="32" t="n">
        <v>1117.22</v>
      </c>
      <c r="I354" s="32" t="n">
        <v>850</v>
      </c>
      <c r="J354" s="32" t="n">
        <v>3.58</v>
      </c>
      <c r="K354" s="32" t="n">
        <v>37467</v>
      </c>
      <c r="L354" s="31" t="n">
        <v>16</v>
      </c>
      <c r="M354" s="31" t="inlineStr">
        <is>
          <t>Underperforming</t>
        </is>
      </c>
      <c r="N354" s="32">
        <f>IF(M354="Underperforming",-5,IF(L354&gt;=95,15,IF(L354&gt;=90,10,IF(L354&gt;=80,5,0))))</f>
        <v/>
      </c>
      <c r="O354" s="32" t="n">
        <v>60.12</v>
      </c>
      <c r="P354" s="32" t="n">
        <v>14.1</v>
      </c>
      <c r="Q354" s="32" t="n">
        <v>596.72</v>
      </c>
      <c r="R354" s="31" t="inlineStr">
        <is>
          <t>Earnings / Momentum Support</t>
        </is>
      </c>
      <c r="S354" s="31" t="inlineStr">
        <is>
          <t>Nifty 50</t>
        </is>
      </c>
      <c r="T354" s="32" t="n">
        <v>-0.96</v>
      </c>
      <c r="U354" s="32" t="n">
        <v>-3</v>
      </c>
      <c r="V354" s="32" t="n">
        <v>-2.06</v>
      </c>
      <c r="W354" s="32" t="n">
        <v>3.05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2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Yes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Less than 50% and Borrowings are increasing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Between 0.7 to 1.2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IF(B355=0,"",RANK(B355,$B$2:$B$378,0))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NSLNISP</t>
        </is>
      </c>
      <c r="D355" s="31" t="inlineStr">
        <is>
          <t>NMDC Steel Ltd</t>
        </is>
      </c>
      <c r="E355" s="31" t="inlineStr">
        <is>
          <t>metals &amp; mining</t>
        </is>
      </c>
      <c r="F355" s="31" t="inlineStr">
        <is>
          <t>steel - large</t>
        </is>
      </c>
      <c r="G355" s="31" t="inlineStr">
        <is>
          <t>midcap</t>
        </is>
      </c>
      <c r="H355" s="32" t="n">
        <v>12938.62</v>
      </c>
      <c r="I355" s="32" t="n">
        <v>45.29</v>
      </c>
      <c r="J355" s="32" t="n">
        <v>2.93</v>
      </c>
      <c r="K355" s="32" t="n">
        <v>5732293</v>
      </c>
      <c r="L355" s="31" t="inlineStr"/>
      <c r="M355" s="31" t="inlineStr"/>
      <c r="N355" s="32">
        <f>IF(M355="Underperforming",-5,IF(L355&gt;=95,15,IF(L355&gt;=90,10,IF(L355&gt;=80,5,0))))</f>
        <v/>
      </c>
      <c r="O355" s="32" t="n">
        <v>55.67</v>
      </c>
      <c r="P355" s="32" t="n">
        <v>28.23</v>
      </c>
      <c r="Q355" s="32" t="n">
        <v>40.69</v>
      </c>
      <c r="R355" s="31" t="inlineStr">
        <is>
          <t>Earnings / Momentum Support</t>
        </is>
      </c>
      <c r="S355" s="31" t="inlineStr">
        <is>
          <t>Nifty Metal</t>
        </is>
      </c>
      <c r="T355" s="32" t="inlineStr"/>
      <c r="U355" s="32" t="inlineStr"/>
      <c r="V355" s="32" t="inlineStr"/>
      <c r="W355" s="32" t="inlineStr"/>
      <c r="X355" s="31" t="inlineStr">
        <is>
          <t>Cyclical in an Upturn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Cyclical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Volatile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20 to 40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1</t>
        </is>
      </c>
      <c r="BC355" s="31">
        <f>IF(BB355="Stage 2",20,IF(BB355="Stage 1",0,IF(BB355="Stage 3",5,IF(BB355="Stage 4",-5,0))))</f>
        <v/>
      </c>
      <c r="BD355" s="31" t="inlineStr">
        <is>
          <t>Positive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More than 20%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Yes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IF(B356=0,"",RANK(B356,$B$2:$B$378,0))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3" t="inlineStr">
        <is>
          <t>INDIGO</t>
        </is>
      </c>
      <c r="D356" s="33" t="inlineStr">
        <is>
          <t>Interglobe Aviation Limited</t>
        </is>
      </c>
      <c r="E356" s="31" t="inlineStr">
        <is>
          <t>transportation</t>
        </is>
      </c>
      <c r="F356" s="31" t="inlineStr">
        <is>
          <t>transport - airlines</t>
        </is>
      </c>
      <c r="G356" s="31" t="inlineStr">
        <is>
          <t>largecap</t>
        </is>
      </c>
      <c r="H356" s="32" t="n">
        <v>204309.82</v>
      </c>
      <c r="I356" s="32" t="n">
        <v>5370</v>
      </c>
      <c r="J356" s="32" t="n">
        <v>0.6899999999999999</v>
      </c>
      <c r="K356" s="32" t="n">
        <v>445325</v>
      </c>
      <c r="L356" s="31" t="n">
        <v>19</v>
      </c>
      <c r="M356" s="31" t="inlineStr">
        <is>
          <t>Underperforming</t>
        </is>
      </c>
      <c r="N356" s="32">
        <f>IF(M356="Underperforming",-5,IF(L356&gt;=95,15,IF(L356&gt;=90,10,IF(L356&gt;=80,5,0))))</f>
        <v/>
      </c>
      <c r="O356" s="32" t="n">
        <v>59.99</v>
      </c>
      <c r="P356" s="32" t="n">
        <v>16.34</v>
      </c>
      <c r="Q356" s="32" t="n">
        <v>4482.79</v>
      </c>
      <c r="R356" s="31" t="inlineStr">
        <is>
          <t>Earnings / Momentum Support</t>
        </is>
      </c>
      <c r="S356" s="31" t="inlineStr">
        <is>
          <t>Nifty 50</t>
        </is>
      </c>
      <c r="T356" s="32" t="n">
        <v>-0.96</v>
      </c>
      <c r="U356" s="32" t="n">
        <v>-10.54</v>
      </c>
      <c r="V356" s="32" t="n">
        <v>-9.67</v>
      </c>
      <c r="W356" s="32" t="n">
        <v>3.66</v>
      </c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Tailwind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2</t>
        </is>
      </c>
      <c r="BC356" s="31">
        <f>IF(BB356="Stage 2",20,IF(BB356="Stage 1",0,IF(BB356="Stage 3",5,IF(BB356="Stage 4",-5,0))))</f>
        <v/>
      </c>
      <c r="BD356" s="31" t="inlineStr">
        <is>
          <t>Positive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Less than 12%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No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More than 1.2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IF(B357=0,"",RANK(B357,$B$2:$B$378,0))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HATSUN</t>
        </is>
      </c>
      <c r="D357" s="31" t="inlineStr">
        <is>
          <t>Hatsun Agro Product Limited</t>
        </is>
      </c>
      <c r="E357" s="31" t="inlineStr">
        <is>
          <t>fmcg</t>
        </is>
      </c>
      <c r="F357" s="31" t="inlineStr">
        <is>
          <t>food - processing - indian</t>
        </is>
      </c>
      <c r="G357" s="31" t="inlineStr">
        <is>
          <t>largecap</t>
        </is>
      </c>
      <c r="H357" s="32" t="n">
        <v>20994.02</v>
      </c>
      <c r="I357" s="32" t="n">
        <v>963.95</v>
      </c>
      <c r="J357" s="32" t="n">
        <v>1.46</v>
      </c>
      <c r="K357" s="32" t="n">
        <v>49134</v>
      </c>
      <c r="L357" s="31" t="n">
        <v>9</v>
      </c>
      <c r="M357" s="31" t="inlineStr">
        <is>
          <t>Outperforming</t>
        </is>
      </c>
      <c r="N357" s="32">
        <f>IF(M357="Underperforming",-5,IF(L357&gt;=95,15,IF(L357&gt;=90,10,IF(L357&gt;=80,5,0))))</f>
        <v/>
      </c>
      <c r="O357" s="32" t="n">
        <v>56.76</v>
      </c>
      <c r="P357" s="32" t="n">
        <v>9.84</v>
      </c>
      <c r="Q357" s="32" t="n">
        <v>805.88</v>
      </c>
      <c r="R357" s="31" t="inlineStr">
        <is>
          <t>Earnings / Momentum Support</t>
        </is>
      </c>
      <c r="S357" s="31" t="inlineStr">
        <is>
          <t>Nifty FMCG</t>
        </is>
      </c>
      <c r="T357" s="32" t="n">
        <v>-10.52</v>
      </c>
      <c r="U357" s="32" t="n">
        <v>5.6</v>
      </c>
      <c r="V357" s="32" t="n">
        <v>18.02</v>
      </c>
      <c r="W357" s="32" t="n">
        <v>0.92</v>
      </c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Tailwind</t>
        </is>
      </c>
      <c r="AE357" s="31">
        <f>IF(AD357="Tailwind",10,0)</f>
        <v/>
      </c>
      <c r="AF357" s="31" t="inlineStr">
        <is>
          <t>Structural (10 Years Consistency)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Stable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B2C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Annuity, Lower One Time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0 to 20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1</t>
        </is>
      </c>
      <c r="BC357" s="31">
        <f>IF(BB357="Stage 2",20,IF(BB357="Stage 1",0,IF(BB357="Stage 3",5,IF(BB357="Stage 4",-5,0))))</f>
        <v/>
      </c>
      <c r="BD357" s="31" t="inlineStr">
        <is>
          <t>Positive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Less than 12%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Yes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Between 0.7 to 1.2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IF(B358=0,"",RANK(B358,$B$2:$B$378,0))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3" t="inlineStr">
        <is>
          <t>SILVERTUC</t>
        </is>
      </c>
      <c r="D358" s="33" t="inlineStr">
        <is>
          <t>Silver Touch Technologies Ltd</t>
        </is>
      </c>
      <c r="E358" s="31" t="inlineStr">
        <is>
          <t>i.t</t>
        </is>
      </c>
      <c r="F358" s="31" t="inlineStr">
        <is>
          <t>computers - software - medium / small</t>
        </is>
      </c>
      <c r="G358" s="31" t="inlineStr">
        <is>
          <t>smallcap</t>
        </is>
      </c>
      <c r="H358" s="32" t="n">
        <v>2618.88</v>
      </c>
      <c r="I358" s="32" t="n">
        <v>206.32</v>
      </c>
      <c r="J358" s="32" t="n">
        <v>0.21</v>
      </c>
      <c r="K358" s="32" t="n">
        <v>344944</v>
      </c>
      <c r="L358" s="31" t="n">
        <v>22</v>
      </c>
      <c r="M358" s="31" t="inlineStr">
        <is>
          <t>Underperforming</t>
        </is>
      </c>
      <c r="N358" s="32">
        <f>IF(M358="Underperforming",-5,IF(L358&gt;=95,15,IF(L358&gt;=90,10,IF(L358&gt;=80,5,0))))</f>
        <v/>
      </c>
      <c r="O358" s="32" t="n">
        <v>45.61</v>
      </c>
      <c r="P358" s="32" t="n">
        <v>17.99</v>
      </c>
      <c r="Q358" s="32" t="n">
        <v>115.48</v>
      </c>
      <c r="R358" s="31" t="inlineStr">
        <is>
          <t>Earnings / Momentum Support</t>
        </is>
      </c>
      <c r="S358" s="31" t="inlineStr">
        <is>
          <t>Nifty IT</t>
        </is>
      </c>
      <c r="T358" s="32" t="n">
        <v>-9.699999999999999</v>
      </c>
      <c r="U358" s="32" t="n">
        <v>-71.55</v>
      </c>
      <c r="V358" s="32" t="n">
        <v>-68.48999999999999</v>
      </c>
      <c r="W358" s="32" t="n">
        <v>4.42</v>
      </c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Annuity, Lower One Time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Below 45</t>
        </is>
      </c>
      <c r="BA358" s="31">
        <f>IF(AZ358="Between 50 to 75",10,IF(AZ358="Above 75",0,0))</f>
        <v/>
      </c>
      <c r="BB358" s="31" t="inlineStr">
        <is>
          <t>Stage 4</t>
        </is>
      </c>
      <c r="BC358" s="31">
        <f>IF(BB358="Stage 2",20,IF(BB358="Stage 1",0,IF(BB358="Stage 3",5,IF(BB358="Stage 4",-5,0))))</f>
        <v/>
      </c>
      <c r="BD358" s="31" t="inlineStr">
        <is>
          <t>Positive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More than 20%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No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IF(B359=0,"",RANK(B359,$B$2:$B$378,0))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3" t="inlineStr">
        <is>
          <t>BDL</t>
        </is>
      </c>
      <c r="D359" s="33" t="inlineStr">
        <is>
          <t>Bharat Dynamics Ltd</t>
        </is>
      </c>
      <c r="E359" s="31" t="inlineStr">
        <is>
          <t>aerospace &amp; defence</t>
        </is>
      </c>
      <c r="F359" s="31" t="inlineStr">
        <is>
          <t>engineering</t>
        </is>
      </c>
      <c r="G359" s="31" t="inlineStr">
        <is>
          <t>largecap</t>
        </is>
      </c>
      <c r="H359" s="32" t="n">
        <v>47931.71</v>
      </c>
      <c r="I359" s="32" t="n">
        <v>1375.5</v>
      </c>
      <c r="J359" s="32" t="n">
        <v>2.65</v>
      </c>
      <c r="K359" s="32" t="n">
        <v>8277712</v>
      </c>
      <c r="L359" s="31" t="n">
        <v>3</v>
      </c>
      <c r="M359" s="31" t="inlineStr">
        <is>
          <t>Underperforming</t>
        </is>
      </c>
      <c r="N359" s="32">
        <f>IF(M359="Underperforming",-5,IF(L359&gt;=95,15,IF(L359&gt;=90,10,IF(L359&gt;=80,5,0))))</f>
        <v/>
      </c>
      <c r="O359" s="32" t="n">
        <v>53.32</v>
      </c>
      <c r="P359" s="32" t="n">
        <v>8.41</v>
      </c>
      <c r="Q359" s="32" t="n">
        <v>1083.1</v>
      </c>
      <c r="R359" s="31" t="inlineStr">
        <is>
          <t>Earnings / Momentum Support</t>
        </is>
      </c>
      <c r="S359" s="31" t="inlineStr">
        <is>
          <t>Nifty 500</t>
        </is>
      </c>
      <c r="T359" s="32" t="n">
        <v>4.31</v>
      </c>
      <c r="U359" s="32" t="n">
        <v>-12.48</v>
      </c>
      <c r="V359" s="32" t="n">
        <v>-16.09</v>
      </c>
      <c r="W359" s="32" t="n">
        <v>-1.24</v>
      </c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Tailwind</t>
        </is>
      </c>
      <c r="AE359" s="31">
        <f>IF(AD359="Tailwind",10,0)</f>
        <v/>
      </c>
      <c r="AF359" s="31" t="inlineStr">
        <is>
          <t>Structural (10 Years Consistency)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Stable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1</t>
        </is>
      </c>
      <c r="BC359" s="31">
        <f>IF(BB359="Stage 2",20,IF(BB359="Stage 1",0,IF(BB359="Stage 3",5,IF(BB359="Stage 4",-5,0))))</f>
        <v/>
      </c>
      <c r="BD359" s="31" t="inlineStr">
        <is>
          <t>Positive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Less than 12%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Yes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IF(B360=0,"",RANK(B360,$B$2:$B$378,0))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OIL</t>
        </is>
      </c>
      <c r="D360" s="31" t="inlineStr">
        <is>
          <t>Oil India Limited</t>
        </is>
      </c>
      <c r="E360" s="31" t="inlineStr">
        <is>
          <t>energy</t>
        </is>
      </c>
      <c r="F360" s="31" t="inlineStr">
        <is>
          <t>oil drilling / allied services</t>
        </is>
      </c>
      <c r="G360" s="31" t="inlineStr">
        <is>
          <t>largecap</t>
        </is>
      </c>
      <c r="H360" s="32" t="n">
        <v>76507.5</v>
      </c>
      <c r="I360" s="32" t="n">
        <v>479.8</v>
      </c>
      <c r="J360" s="32" t="n">
        <v>1.65</v>
      </c>
      <c r="K360" s="32" t="n">
        <v>3904296</v>
      </c>
      <c r="L360" s="31" t="inlineStr"/>
      <c r="M360" s="31" t="inlineStr"/>
      <c r="N360" s="32">
        <f>IF(M360="Underperforming",-5,IF(L360&gt;=95,15,IF(L360&gt;=90,10,IF(L360&gt;=80,5,0))))</f>
        <v/>
      </c>
      <c r="O360" s="32" t="n">
        <v>56.26</v>
      </c>
      <c r="P360" s="32" t="n">
        <v>16.55</v>
      </c>
      <c r="Q360" s="32" t="n">
        <v>428.12</v>
      </c>
      <c r="R360" s="31" t="inlineStr">
        <is>
          <t>Earnings / Momentum Support</t>
        </is>
      </c>
      <c r="S360" s="31" t="inlineStr">
        <is>
          <t>Nifty Energy</t>
        </is>
      </c>
      <c r="T360" s="32" t="inlineStr"/>
      <c r="U360" s="32" t="inlineStr"/>
      <c r="V360" s="32" t="inlineStr"/>
      <c r="W360" s="32" t="inlineStr"/>
      <c r="X360" s="31" t="inlineStr">
        <is>
          <t>Cyclical in an Upturn</t>
        </is>
      </c>
      <c r="Y360" s="31">
        <f>IF(X360="Growing Industry",10,IF(X360="Cyclical in an Upturn",5,0))</f>
        <v/>
      </c>
      <c r="Z360" s="31" t="inlineStr">
        <is>
          <t>Oligopoly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Yes</t>
        </is>
      </c>
      <c r="AC360" s="31">
        <f>IF(AB360="No",5,0)</f>
        <v/>
      </c>
      <c r="AD360" s="31" t="inlineStr">
        <is>
          <t>Tailwind</t>
        </is>
      </c>
      <c r="AE360" s="31">
        <f>IF(AD360="Tailwind",10,0)</f>
        <v/>
      </c>
      <c r="AF360" s="31" t="inlineStr">
        <is>
          <t>Cyclical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Volatile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0 to 20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1</t>
        </is>
      </c>
      <c r="BC360" s="31">
        <f>IF(BB360="Stage 2",20,IF(BB360="Stage 1",0,IF(BB360="Stage 3",5,IF(BB360="Stage 4",-5,0))))</f>
        <v/>
      </c>
      <c r="BD360" s="31" t="inlineStr">
        <is>
          <t>Positive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More than 20%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No</t>
        </is>
      </c>
      <c r="BS360" s="31">
        <f>IF(BR360="NO",5,0)</f>
        <v/>
      </c>
      <c r="BT360" s="31" t="inlineStr">
        <is>
          <t>Less than 1.5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IF(B361=0,"",RANK(B361,$B$2:$B$378,0))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ASHOKLEY</t>
        </is>
      </c>
      <c r="D361" s="31" t="inlineStr">
        <is>
          <t>Ashok Leyland Limited</t>
        </is>
      </c>
      <c r="E361" s="31" t="inlineStr">
        <is>
          <t>auto</t>
        </is>
      </c>
      <c r="F361" s="31" t="inlineStr">
        <is>
          <t>automobiles - lcvs / hcvs</t>
        </is>
      </c>
      <c r="G361" s="31" t="inlineStr">
        <is>
          <t>largecap</t>
        </is>
      </c>
      <c r="H361" s="32" t="n">
        <v>102692.6</v>
      </c>
      <c r="I361" s="32" t="n">
        <v>176.23</v>
      </c>
      <c r="J361" s="32" t="n">
        <v>-0.27</v>
      </c>
      <c r="K361" s="32" t="n">
        <v>55961619</v>
      </c>
      <c r="L361" s="31" t="inlineStr"/>
      <c r="M361" s="31" t="inlineStr"/>
      <c r="N361" s="32">
        <f>IF(M361="Underperforming",-5,IF(L361&gt;=95,15,IF(L361&gt;=90,10,IF(L361&gt;=80,5,0))))</f>
        <v/>
      </c>
      <c r="O361" s="32" t="n">
        <v>57.5</v>
      </c>
      <c r="P361" s="32" t="n">
        <v>15.06</v>
      </c>
      <c r="Q361" s="32" t="n">
        <v>140.79</v>
      </c>
      <c r="R361" s="31" t="inlineStr">
        <is>
          <t>Earnings / Momentum Support</t>
        </is>
      </c>
      <c r="S361" s="31" t="inlineStr">
        <is>
          <t>Nifty Auto</t>
        </is>
      </c>
      <c r="T361" s="32" t="inlineStr"/>
      <c r="U361" s="32" t="inlineStr"/>
      <c r="V361" s="32" t="inlineStr"/>
      <c r="W361" s="32" t="inlineStr"/>
      <c r="X361" s="31" t="inlineStr">
        <is>
          <t>Growing Industry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Headwind</t>
        </is>
      </c>
      <c r="AE361" s="31">
        <f>IF(AD361="Tailwind",10,0)</f>
        <v/>
      </c>
      <c r="AF361" s="31" t="inlineStr">
        <is>
          <t>Structural (10 Years Consistency)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Stable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0 to 20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2</t>
        </is>
      </c>
      <c r="BC361" s="31">
        <f>IF(BB361="Stage 2",20,IF(BB361="Stage 1",0,IF(BB361="Stage 3",5,IF(BB361="Stage 4",-5,0))))</f>
        <v/>
      </c>
      <c r="BD361" s="31" t="inlineStr">
        <is>
          <t>Positive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More than 20%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Less than 1.5</t>
        </is>
      </c>
      <c r="BU361" s="31">
        <f>IF(BT361="Above 2",0,IF(BT361="Between 1.5 to 2",5,IF(BT361="Less than 1.5",10,0)))</f>
        <v/>
      </c>
      <c r="BV361" s="31" t="inlineStr">
        <is>
          <t>Negative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More than 1.2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IF(B362=0,"",RANK(B362,$B$2:$B$378,0))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KOTHARIPET</t>
        </is>
      </c>
      <c r="D362" s="31" t="inlineStr">
        <is>
          <t>Kothari Petrochemicals Limited</t>
        </is>
      </c>
      <c r="E362" s="31" t="inlineStr">
        <is>
          <t>energy</t>
        </is>
      </c>
      <c r="F362" s="31" t="inlineStr">
        <is>
          <t>petrochemicals</t>
        </is>
      </c>
      <c r="G362" s="31" t="inlineStr">
        <is>
          <t>smallcap</t>
        </is>
      </c>
      <c r="H362" s="32" t="n">
        <v>857.1</v>
      </c>
      <c r="I362" s="32" t="n">
        <v>150.05</v>
      </c>
      <c r="J362" s="32" t="n">
        <v>-0.39</v>
      </c>
      <c r="K362" s="32" t="n">
        <v>66457</v>
      </c>
      <c r="L362" s="31" t="inlineStr"/>
      <c r="M362" s="31" t="inlineStr"/>
      <c r="N362" s="32">
        <f>IF(M362="Underperforming",-5,IF(L362&gt;=95,15,IF(L362&gt;=90,10,IF(L362&gt;=80,5,0))))</f>
        <v/>
      </c>
      <c r="O362" s="32" t="n">
        <v>65.65000000000001</v>
      </c>
      <c r="P362" s="32" t="n">
        <v>19.53</v>
      </c>
      <c r="Q362" s="32" t="n">
        <v>113.38</v>
      </c>
      <c r="R362" s="31" t="inlineStr">
        <is>
          <t>Earnings / Momentum Support</t>
        </is>
      </c>
      <c r="S362" s="31" t="inlineStr">
        <is>
          <t>Nifty Energy</t>
        </is>
      </c>
      <c r="T362" s="32" t="inlineStr"/>
      <c r="U362" s="32" t="inlineStr"/>
      <c r="V362" s="32" t="inlineStr"/>
      <c r="W362" s="32" t="inlineStr"/>
      <c r="X362" s="31" t="inlineStr">
        <is>
          <t>Cyclical in an Upturn</t>
        </is>
      </c>
      <c r="Y362" s="31">
        <f>IF(X362="Growing Industry",10,IF(X362="Cyclical in an Upturn",5,0))</f>
        <v/>
      </c>
      <c r="Z362" s="31" t="inlineStr">
        <is>
          <t>Oligopoly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Yes</t>
        </is>
      </c>
      <c r="AC362" s="31">
        <f>IF(AB362="No",5,0)</f>
        <v/>
      </c>
      <c r="AD362" s="31" t="inlineStr">
        <is>
          <t>Tailwind</t>
        </is>
      </c>
      <c r="AE362" s="31">
        <f>IF(AD362="Tailwind",10,0)</f>
        <v/>
      </c>
      <c r="AF362" s="31" t="inlineStr">
        <is>
          <t>Cyclical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Volatile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2</t>
        </is>
      </c>
      <c r="BC362" s="31">
        <f>IF(BB362="Stage 2",20,IF(BB362="Stage 1",0,IF(BB362="Stage 3",5,IF(BB362="Stage 4",-5,0))))</f>
        <v/>
      </c>
      <c r="BD362" s="31" t="inlineStr">
        <is>
          <t>Positive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Less than 12%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No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Above 70%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Less than 0.7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IF(B363=0,"",RANK(B363,$B$2:$B$378,0))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SIRCA</t>
        </is>
      </c>
      <c r="D363" s="31" t="inlineStr">
        <is>
          <t>Sirca Paints India Ltd</t>
        </is>
      </c>
      <c r="E363" s="31" t="inlineStr">
        <is>
          <t>building materials</t>
        </is>
      </c>
      <c r="F363" s="31" t="inlineStr">
        <is>
          <t>paints / varnishes</t>
        </is>
      </c>
      <c r="G363" s="31" t="inlineStr">
        <is>
          <t>smallcap</t>
        </is>
      </c>
      <c r="H363" s="32" t="n">
        <v>2512.23</v>
      </c>
      <c r="I363" s="32" t="n">
        <v>433.4</v>
      </c>
      <c r="J363" s="32" t="n">
        <v>-0.57</v>
      </c>
      <c r="K363" s="32" t="n">
        <v>280457</v>
      </c>
      <c r="L363" s="31" t="n">
        <v>10</v>
      </c>
      <c r="M363" s="31" t="inlineStr">
        <is>
          <t>Outperforming</t>
        </is>
      </c>
      <c r="N363" s="32">
        <f>IF(M363="Underperforming",-5,IF(L363&gt;=95,15,IF(L363&gt;=90,10,IF(L363&gt;=80,5,0))))</f>
        <v/>
      </c>
      <c r="O363" s="32" t="n">
        <v>52.9</v>
      </c>
      <c r="P363" s="32" t="n">
        <v>17.24</v>
      </c>
      <c r="Q363" s="32" t="n">
        <v>370.72</v>
      </c>
      <c r="R363" s="31" t="inlineStr">
        <is>
          <t>Earnings / Momentum Support</t>
        </is>
      </c>
      <c r="S363" s="31" t="inlineStr">
        <is>
          <t>Nifty Infra</t>
        </is>
      </c>
      <c r="T363" s="32" t="n">
        <v>3.6</v>
      </c>
      <c r="U363" s="32" t="n">
        <v>4.7</v>
      </c>
      <c r="V363" s="32" t="n">
        <v>1.06</v>
      </c>
      <c r="W363" s="32" t="n">
        <v>1.31</v>
      </c>
      <c r="X363" s="31" t="inlineStr">
        <is>
          <t>Growing Industry</t>
        </is>
      </c>
      <c r="Y363" s="31">
        <f>IF(X363="Growing Industry",10,IF(X363="Cyclical in an Upturn",5,0))</f>
        <v/>
      </c>
      <c r="Z363" s="31" t="inlineStr">
        <is>
          <t>Too Many Players with High ROCE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Headwind</t>
        </is>
      </c>
      <c r="AE363" s="31">
        <f>IF(AD363="Tailwind",10,0)</f>
        <v/>
      </c>
      <c r="AF363" s="31" t="inlineStr">
        <is>
          <t>Structural (10 Years Consistency)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Stable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0 to 20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1</t>
        </is>
      </c>
      <c r="BC363" s="31">
        <f>IF(BB363="Stage 2",20,IF(BB363="Stage 1",0,IF(BB363="Stage 3",5,IF(BB363="Stage 4",-5,0))))</f>
        <v/>
      </c>
      <c r="BD363" s="31" t="inlineStr">
        <is>
          <t>Positive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Less than 12%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No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Above 70%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IF(B364=0,"",RANK(B364,$B$2:$B$378,0))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CEATLTD</t>
        </is>
      </c>
      <c r="D364" s="31" t="inlineStr">
        <is>
          <t>Ceat Limited</t>
        </is>
      </c>
      <c r="E364" s="31" t="inlineStr">
        <is>
          <t>auto</t>
        </is>
      </c>
      <c r="F364" s="31" t="inlineStr">
        <is>
          <t>tyres</t>
        </is>
      </c>
      <c r="G364" s="31" t="inlineStr">
        <is>
          <t>midcap</t>
        </is>
      </c>
      <c r="H364" s="32" t="n">
        <v>15169.59</v>
      </c>
      <c r="I364" s="32" t="n">
        <v>3696.5</v>
      </c>
      <c r="J364" s="32" t="n">
        <v>-0.71</v>
      </c>
      <c r="K364" s="32" t="n">
        <v>50791</v>
      </c>
      <c r="L364" s="31" t="inlineStr"/>
      <c r="M364" s="31" t="inlineStr"/>
      <c r="N364" s="32">
        <f>IF(M364="Underperforming",-5,IF(L364&gt;=95,15,IF(L364&gt;=90,10,IF(L364&gt;=80,5,0))))</f>
        <v/>
      </c>
      <c r="O364" s="32" t="n">
        <v>55.28</v>
      </c>
      <c r="P364" s="32" t="n">
        <v>7.78</v>
      </c>
      <c r="Q364" s="32" t="n">
        <v>3027.45</v>
      </c>
      <c r="R364" s="31" t="inlineStr">
        <is>
          <t>Earnings / Momentum Support</t>
        </is>
      </c>
      <c r="S364" s="31" t="inlineStr">
        <is>
          <t>Nifty Auto</t>
        </is>
      </c>
      <c r="T364" s="32" t="inlineStr"/>
      <c r="U364" s="32" t="inlineStr"/>
      <c r="V364" s="32" t="inlineStr"/>
      <c r="W364" s="32" t="inlineStr"/>
      <c r="X364" s="31" t="inlineStr">
        <is>
          <t>Growing Industry</t>
        </is>
      </c>
      <c r="Y364" s="31">
        <f>IF(X364="Growing Industry",10,IF(X364="Cyclical in an Upturn",5,0))</f>
        <v/>
      </c>
      <c r="Z364" s="31" t="inlineStr">
        <is>
          <t>Too Many Players with High ROCE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No</t>
        </is>
      </c>
      <c r="AC364" s="31">
        <f>IF(AB364="No",5,0)</f>
        <v/>
      </c>
      <c r="AD364" s="31" t="inlineStr">
        <is>
          <t>Headwind</t>
        </is>
      </c>
      <c r="AE364" s="31">
        <f>IF(AD364="Tailwind",10,0)</f>
        <v/>
      </c>
      <c r="AF364" s="31" t="inlineStr">
        <is>
          <t>Structural (10 Years Consistency)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Stable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No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0 to 20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1</t>
        </is>
      </c>
      <c r="BC364" s="31">
        <f>IF(BB364="Stage 2",20,IF(BB364="Stage 1",0,IF(BB364="Stage 3",5,IF(BB364="Stage 4",-5,0))))</f>
        <v/>
      </c>
      <c r="BD364" s="31" t="inlineStr">
        <is>
          <t>Positive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Less than 12%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No</t>
        </is>
      </c>
      <c r="BS364" s="31">
        <f>IF(BR364="NO",5,0)</f>
        <v/>
      </c>
      <c r="BT364" s="31" t="inlineStr">
        <is>
          <t>Above 2</t>
        </is>
      </c>
      <c r="BU364" s="31">
        <f>IF(BT364="Above 2",0,IF(BT364="Between 1.5 to 2",5,IF(BT364="Less than 1.5",10,0)))</f>
        <v/>
      </c>
      <c r="BV364" s="31" t="inlineStr">
        <is>
          <t>Above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IF(B365=0,"",RANK(B365,$B$2:$B$378,0))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3" t="inlineStr">
        <is>
          <t>GANESHHOU</t>
        </is>
      </c>
      <c r="D365" s="33" t="inlineStr">
        <is>
          <t>Ganesh Housing Ltd</t>
        </is>
      </c>
      <c r="E365" s="31" t="inlineStr">
        <is>
          <t>realty</t>
        </is>
      </c>
      <c r="F365" s="31" t="inlineStr">
        <is>
          <t>construction</t>
        </is>
      </c>
      <c r="G365" s="31" t="inlineStr">
        <is>
          <t>midcap</t>
        </is>
      </c>
      <c r="H365" s="32" t="n">
        <v>6370.36</v>
      </c>
      <c r="I365" s="32" t="n">
        <v>832</v>
      </c>
      <c r="J365" s="32" t="n">
        <v>8.69</v>
      </c>
      <c r="K365" s="32" t="n">
        <v>223000</v>
      </c>
      <c r="L365" s="31" t="n">
        <v>25</v>
      </c>
      <c r="M365" s="31" t="inlineStr">
        <is>
          <t>Underperforming</t>
        </is>
      </c>
      <c r="N365" s="32">
        <f>IF(M365="Underperforming",-5,IF(L365&gt;=95,15,IF(L365&gt;=90,10,IF(L365&gt;=80,5,0))))</f>
        <v/>
      </c>
      <c r="O365" s="32" t="n">
        <v>57.58</v>
      </c>
      <c r="P365" s="32" t="n">
        <v>18.01</v>
      </c>
      <c r="Q365" s="32" t="n">
        <v>664.08</v>
      </c>
      <c r="R365" s="31" t="inlineStr">
        <is>
          <t>Earnings / Momentum Support</t>
        </is>
      </c>
      <c r="S365" s="31" t="inlineStr">
        <is>
          <t>Nifty Realty</t>
        </is>
      </c>
      <c r="T365" s="32" t="n">
        <v>-5.49</v>
      </c>
      <c r="U365" s="32" t="n">
        <v>-7.47</v>
      </c>
      <c r="V365" s="32" t="n">
        <v>-2.1</v>
      </c>
      <c r="W365" s="32" t="n">
        <v>4.76</v>
      </c>
      <c r="X365" s="31" t="inlineStr">
        <is>
          <t>Growing Industry</t>
        </is>
      </c>
      <c r="Y365" s="31">
        <f>IF(X365="Growing Industry",10,IF(X365="Cyclical in an Upturn",5,0))</f>
        <v/>
      </c>
      <c r="Z365" s="31" t="inlineStr">
        <is>
          <t>Too Many Players with High ROCE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Tailwind</t>
        </is>
      </c>
      <c r="AE365" s="31">
        <f>IF(AD365="Tailwind",10,0)</f>
        <v/>
      </c>
      <c r="AF365" s="31" t="inlineStr">
        <is>
          <t>Structural (10 Years Consistency)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Stable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No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0 to 20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2</t>
        </is>
      </c>
      <c r="BC365" s="31">
        <f>IF(BB365="Stage 2",20,IF(BB365="Stage 1",0,IF(BB365="Stage 3",5,IF(BB365="Stage 4",-5,0))))</f>
        <v/>
      </c>
      <c r="BD365" s="31" t="inlineStr">
        <is>
          <t>Negative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Less than 12%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No</t>
        </is>
      </c>
      <c r="BS365" s="31">
        <f>IF(BR365="NO",5,0)</f>
        <v/>
      </c>
      <c r="BT365" s="31" t="inlineStr">
        <is>
          <t>Above 2</t>
        </is>
      </c>
      <c r="BU365" s="31">
        <f>IF(BT365="Above 2",0,IF(BT365="Between 1.5 to 2",5,IF(BT365="Less than 1.5",10,0)))</f>
        <v/>
      </c>
      <c r="BV365" s="31" t="inlineStr">
        <is>
          <t>Above 70%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IF(B366=0,"",RANK(B366,$B$2:$B$378,0))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SARDAEN</t>
        </is>
      </c>
      <c r="D366" s="31" t="inlineStr">
        <is>
          <t>Sarda Energy &amp; Minerals Limited</t>
        </is>
      </c>
      <c r="E366" s="31" t="inlineStr">
        <is>
          <t>metals &amp; mining</t>
        </is>
      </c>
      <c r="F366" s="31" t="inlineStr">
        <is>
          <t>steel - medium / small</t>
        </is>
      </c>
      <c r="G366" s="31" t="inlineStr">
        <is>
          <t>midcap</t>
        </is>
      </c>
      <c r="H366" s="32" t="n">
        <v>17472.83</v>
      </c>
      <c r="I366" s="32" t="n">
        <v>523.3</v>
      </c>
      <c r="J366" s="32" t="n">
        <v>6.92</v>
      </c>
      <c r="K366" s="32" t="n">
        <v>23546092</v>
      </c>
      <c r="L366" s="31" t="inlineStr"/>
      <c r="M366" s="31" t="inlineStr"/>
      <c r="N366" s="32">
        <f>IF(M366="Underperforming",-5,IF(L366&gt;=95,15,IF(L366&gt;=90,10,IF(L366&gt;=80,5,0))))</f>
        <v/>
      </c>
      <c r="O366" s="32" t="n">
        <v>50.09</v>
      </c>
      <c r="P366" s="32" t="n">
        <v>7.5</v>
      </c>
      <c r="Q366" s="32" t="n">
        <v>454.16</v>
      </c>
      <c r="R366" s="31" t="inlineStr">
        <is>
          <t>Volume Spike / Accumulation</t>
        </is>
      </c>
      <c r="S366" s="31" t="inlineStr">
        <is>
          <t>Nifty Metal</t>
        </is>
      </c>
      <c r="T366" s="32" t="inlineStr"/>
      <c r="U366" s="32" t="inlineStr"/>
      <c r="V366" s="32" t="inlineStr"/>
      <c r="W366" s="32" t="inlineStr"/>
      <c r="X366" s="31" t="inlineStr">
        <is>
          <t>Cyclical in an Upturn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Tailwind</t>
        </is>
      </c>
      <c r="AE366" s="31">
        <f>IF(AD366="Tailwind",10,0)</f>
        <v/>
      </c>
      <c r="AF366" s="31" t="inlineStr">
        <is>
          <t>Cyclical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Volatile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Yes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1</t>
        </is>
      </c>
      <c r="BC366" s="31">
        <f>IF(BB366="Stage 2",20,IF(BB366="Stage 1",0,IF(BB366="Stage 3",5,IF(BB366="Stage 4",-5,0))))</f>
        <v/>
      </c>
      <c r="BD366" s="31" t="inlineStr">
        <is>
          <t>Positive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Less than 12%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No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Above 70%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Less than 0.7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IF(B367=0,"",RANK(B367,$B$2:$B$378,0))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LT</t>
        </is>
      </c>
      <c r="D367" s="31" t="inlineStr">
        <is>
          <t>Larsen &amp; Toubro Limited</t>
        </is>
      </c>
      <c r="E367" s="31" t="inlineStr">
        <is>
          <t>realty</t>
        </is>
      </c>
      <c r="F367" s="31" t="inlineStr">
        <is>
          <t>engineering - turnkey services</t>
        </is>
      </c>
      <c r="G367" s="31" t="inlineStr">
        <is>
          <t>largecap</t>
        </is>
      </c>
      <c r="H367" s="32" t="n">
        <v>555436.9</v>
      </c>
      <c r="I367" s="32" t="n">
        <v>4070.7</v>
      </c>
      <c r="J367" s="32" t="n">
        <v>1.26</v>
      </c>
      <c r="K367" s="32" t="n">
        <v>4543956</v>
      </c>
      <c r="L367" s="31" t="n">
        <v>21</v>
      </c>
      <c r="M367" s="31" t="inlineStr">
        <is>
          <t>Outperforming</t>
        </is>
      </c>
      <c r="N367" s="32">
        <f>IF(M367="Underperforming",-5,IF(L367&gt;=95,15,IF(L367&gt;=90,10,IF(L367&gt;=80,5,0))))</f>
        <v/>
      </c>
      <c r="O367" s="32" t="n">
        <v>54.65</v>
      </c>
      <c r="P367" s="32" t="n">
        <v>7.16</v>
      </c>
      <c r="Q367" s="32" t="n">
        <v>3644.74</v>
      </c>
      <c r="R367" s="31" t="inlineStr">
        <is>
          <t>Earnings / Momentum Support</t>
        </is>
      </c>
      <c r="S367" s="31" t="inlineStr">
        <is>
          <t>Nifty Realty</t>
        </is>
      </c>
      <c r="T367" s="32" t="n">
        <v>-5.49</v>
      </c>
      <c r="U367" s="32" t="n">
        <v>19.39</v>
      </c>
      <c r="V367" s="32" t="n">
        <v>26.33</v>
      </c>
      <c r="W367" s="32" t="n">
        <v>4.26</v>
      </c>
      <c r="X367" s="31" t="inlineStr">
        <is>
          <t>Growing Industry</t>
        </is>
      </c>
      <c r="Y367" s="31">
        <f>IF(X367="Growing Industry",10,IF(X367="Cyclical in an Upturn",5,0))</f>
        <v/>
      </c>
      <c r="Z367" s="31" t="inlineStr">
        <is>
          <t>Too Many Players with High ROCE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Headwind</t>
        </is>
      </c>
      <c r="AE367" s="31">
        <f>IF(AD367="Tailwind",10,0)</f>
        <v/>
      </c>
      <c r="AF367" s="31" t="inlineStr">
        <is>
          <t>Structural (10 Years Consistency)</t>
        </is>
      </c>
      <c r="AG367" s="31">
        <f>IF(AF367="Structural (10 Years Consistency)",10,IF(AF367="Shallow Cyclical (2 to 3 years growth)",5,0))</f>
        <v/>
      </c>
      <c r="AH367" s="31" t="inlineStr">
        <is>
          <t>No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Stable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No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Good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0 to 20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1</t>
        </is>
      </c>
      <c r="BC367" s="31">
        <f>IF(BB367="Stage 2",20,IF(BB367="Stage 1",0,IF(BB367="Stage 3",5,IF(BB367="Stage 4",-5,0))))</f>
        <v/>
      </c>
      <c r="BD367" s="31" t="inlineStr">
        <is>
          <t>Positive Trend</t>
        </is>
      </c>
      <c r="BE367" s="31">
        <f>IF(BD367="Positive Trend",20,IF(BD367="Negative Trend",-10,0))</f>
        <v/>
      </c>
      <c r="BF367" s="31" t="inlineStr">
        <is>
          <t>Uptrend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Close to 52 week high or retracement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Between 12 to 20%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No</t>
        </is>
      </c>
      <c r="BS367" s="31">
        <f>IF(BR367="NO",5,0)</f>
        <v/>
      </c>
      <c r="BT367" s="31" t="inlineStr">
        <is>
          <t>Above 2</t>
        </is>
      </c>
      <c r="BU367" s="31">
        <f>IF(BT367="Above 2",0,IF(BT367="Between 1.5 to 2",5,IF(BT367="Less than 1.5",10,0)))</f>
        <v/>
      </c>
      <c r="BV367" s="31" t="inlineStr">
        <is>
          <t>Above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Between 0.7 to 1.2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Less than 15%</t>
        </is>
      </c>
      <c r="CC367" s="31">
        <f>IF(CB367="More than 15%",-10,IF(CB367="Less than 15%",10,0))</f>
        <v/>
      </c>
      <c r="CD367" s="31" t="inlineStr">
        <is>
          <t>No</t>
        </is>
      </c>
      <c r="CE367" s="31">
        <f>IF(CD367="Yes, more than 10%",-10,IF(CD367="No",10,0))</f>
        <v/>
      </c>
    </row>
    <row r="368">
      <c r="A368" s="31">
        <f>IF(B368=0,"",RANK(B368,$B$2:$B$378,0))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STYLEBAAZA</t>
        </is>
      </c>
      <c r="D368" s="31" t="inlineStr">
        <is>
          <t>Baazar Style Retail Ltd</t>
        </is>
      </c>
      <c r="E368" s="31" t="inlineStr">
        <is>
          <t>consumer discretionary</t>
        </is>
      </c>
      <c r="F368" s="31" t="inlineStr">
        <is>
          <t>trading</t>
        </is>
      </c>
      <c r="G368" s="31" t="inlineStr">
        <is>
          <t>smallcap</t>
        </is>
      </c>
      <c r="H368" s="32" t="n">
        <v>2690.37</v>
      </c>
      <c r="I368" s="32" t="n">
        <v>347.9</v>
      </c>
      <c r="J368" s="32" t="n">
        <v>-0.97</v>
      </c>
      <c r="K368" s="32" t="n">
        <v>462390</v>
      </c>
      <c r="L368" s="31" t="n">
        <v>7</v>
      </c>
      <c r="M368" s="31" t="inlineStr">
        <is>
          <t>Outperforming</t>
        </is>
      </c>
      <c r="N368" s="32">
        <f>IF(M368="Underperforming",-5,IF(L368&gt;=95,15,IF(L368&gt;=90,10,IF(L368&gt;=80,5,0))))</f>
        <v/>
      </c>
      <c r="O368" s="32" t="n">
        <v>54.88</v>
      </c>
      <c r="P368" s="32" t="n">
        <v>11.91</v>
      </c>
      <c r="Q368" s="32" t="n">
        <v>267.1</v>
      </c>
      <c r="R368" s="31" t="inlineStr">
        <is>
          <t>Volume Spike / Accumulation</t>
        </is>
      </c>
      <c r="S368" s="31" t="inlineStr">
        <is>
          <t>Nifty 50</t>
        </is>
      </c>
      <c r="T368" s="32" t="n">
        <v>-0.96</v>
      </c>
      <c r="U368" s="32" t="n">
        <v>10.9</v>
      </c>
      <c r="V368" s="32" t="n">
        <v>11.97</v>
      </c>
      <c r="W368" s="32" t="n">
        <v>0.35</v>
      </c>
      <c r="X368" s="31" t="inlineStr">
        <is>
          <t>Growing Industry</t>
        </is>
      </c>
      <c r="Y368" s="31">
        <f>IF(X368="Growing Industry",10,IF(X368="Cyclical in an Upturn",5,0))</f>
        <v/>
      </c>
      <c r="Z368" s="31" t="inlineStr">
        <is>
          <t>Too Many Players with High ROCE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Tailwind</t>
        </is>
      </c>
      <c r="AE368" s="31">
        <f>IF(AD368="Tailwind",10,0)</f>
        <v/>
      </c>
      <c r="AF368" s="31" t="inlineStr">
        <is>
          <t>Structural (10 Years Consistency)</t>
        </is>
      </c>
      <c r="AG368" s="31">
        <f>IF(AF368="Structural (10 Years Consistency)",10,IF(AF368="Shallow Cyclical (2 to 3 years growth)",5,0))</f>
        <v/>
      </c>
      <c r="AH368" s="31" t="inlineStr">
        <is>
          <t>No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Stable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Yes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Good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0 to 20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1</t>
        </is>
      </c>
      <c r="BC368" s="31">
        <f>IF(BB368="Stage 2",20,IF(BB368="Stage 1",0,IF(BB368="Stage 3",5,IF(BB368="Stage 4",-5,0))))</f>
        <v/>
      </c>
      <c r="BD368" s="31" t="inlineStr">
        <is>
          <t>Positive Trend</t>
        </is>
      </c>
      <c r="BE368" s="31">
        <f>IF(BD368="Positive Trend",20,IF(BD368="Negative Trend",-10,0))</f>
        <v/>
      </c>
      <c r="BF368" s="31" t="inlineStr">
        <is>
          <t>Uptrend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Close to 52 week high or retracement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More than 20%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Yes</t>
        </is>
      </c>
      <c r="BS368" s="31">
        <f>IF(BR368="NO",5,0)</f>
        <v/>
      </c>
      <c r="BT368" s="31" t="inlineStr">
        <is>
          <t>Between 1.5 to 2</t>
        </is>
      </c>
      <c r="BU368" s="31">
        <f>IF(BT368="Above 2",0,IF(BT368="Between 1.5 to 2",5,IF(BT368="Less than 1.5",10,0)))</f>
        <v/>
      </c>
      <c r="BV368" s="31" t="inlineStr">
        <is>
          <t>Less than 50% and Borrowings are increasing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More than 1.2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Less than 15%</t>
        </is>
      </c>
      <c r="CC368" s="31">
        <f>IF(CB368="More than 15%",-10,IF(CB368="Less than 15%",10,0))</f>
        <v/>
      </c>
      <c r="CD368" s="31" t="inlineStr">
        <is>
          <t>No</t>
        </is>
      </c>
      <c r="CE368" s="31">
        <f>IF(CD368="Yes, more than 10%",-10,IF(CD368="No",10,0))</f>
        <v/>
      </c>
    </row>
    <row r="369">
      <c r="A369" s="31">
        <f>IF(B369=0,"",RANK(B369,$B$2:$B$378,0))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3" t="inlineStr">
        <is>
          <t>MAXESTATES</t>
        </is>
      </c>
      <c r="D369" s="33" t="inlineStr">
        <is>
          <t>Max Estates Ltd</t>
        </is>
      </c>
      <c r="E369" s="31" t="inlineStr">
        <is>
          <t>realty</t>
        </is>
      </c>
      <c r="F369" s="31" t="inlineStr">
        <is>
          <t>construction</t>
        </is>
      </c>
      <c r="G369" s="31" t="inlineStr">
        <is>
          <t>midcap</t>
        </is>
      </c>
      <c r="H369" s="32" t="n">
        <v>6975.61</v>
      </c>
      <c r="I369" s="32" t="n">
        <v>439.55</v>
      </c>
      <c r="J369" s="32" t="n">
        <v>4.49</v>
      </c>
      <c r="K369" s="32" t="n">
        <v>222318</v>
      </c>
      <c r="L369" s="31" t="n">
        <v>5</v>
      </c>
      <c r="M369" s="31" t="inlineStr">
        <is>
          <t>Underperforming</t>
        </is>
      </c>
      <c r="N369" s="32">
        <f>IF(M369="Underperforming",-5,IF(L369&gt;=95,15,IF(L369&gt;=90,10,IF(L369&gt;=80,5,0))))</f>
        <v/>
      </c>
      <c r="O369" s="32" t="n">
        <v>55.26</v>
      </c>
      <c r="P369" s="32" t="n">
        <v>16.66</v>
      </c>
      <c r="Q369" s="32" t="n">
        <v>345.37</v>
      </c>
      <c r="R369" s="31" t="inlineStr">
        <is>
          <t>Earnings / Momentum Support</t>
        </is>
      </c>
      <c r="S369" s="31" t="inlineStr">
        <is>
          <t>Nifty Realty</t>
        </is>
      </c>
      <c r="T369" s="32" t="n">
        <v>-5.49</v>
      </c>
      <c r="U369" s="32" t="n">
        <v>-14.01</v>
      </c>
      <c r="V369" s="32" t="n">
        <v>-9.01</v>
      </c>
      <c r="W369" s="32" t="n">
        <v>-0.02</v>
      </c>
      <c r="X369" s="31" t="inlineStr">
        <is>
          <t>Growing Industry</t>
        </is>
      </c>
      <c r="Y369" s="31">
        <f>IF(X369="Growing Industry",10,IF(X369="Cyclical in an Upturn",5,0))</f>
        <v/>
      </c>
      <c r="Z369" s="31" t="inlineStr">
        <is>
          <t>Too Many Players with High ROCE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Tailwind</t>
        </is>
      </c>
      <c r="AE369" s="31">
        <f>IF(AD369="Tailwind",10,0)</f>
        <v/>
      </c>
      <c r="AF369" s="31" t="inlineStr">
        <is>
          <t>Structural (10 Years Consistency)</t>
        </is>
      </c>
      <c r="AG369" s="31">
        <f>IF(AF369="Structural (10 Years Consistency)",10,IF(AF369="Shallow Cyclical (2 to 3 years growth)",5,0))</f>
        <v/>
      </c>
      <c r="AH369" s="31" t="inlineStr">
        <is>
          <t>No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Stable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No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Good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0 to 20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1</t>
        </is>
      </c>
      <c r="BC369" s="31">
        <f>IF(BB369="Stage 2",20,IF(BB369="Stage 1",0,IF(BB369="Stage 3",5,IF(BB369="Stage 4",-5,0))))</f>
        <v/>
      </c>
      <c r="BD369" s="31" t="inlineStr">
        <is>
          <t>Positive Trend</t>
        </is>
      </c>
      <c r="BE369" s="31">
        <f>IF(BD369="Positive Trend",20,IF(BD369="Negative Trend",-10,0))</f>
        <v/>
      </c>
      <c r="BF369" s="31" t="inlineStr">
        <is>
          <t>Uptrend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Close to 52 week high or retracement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More than 20%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Yes</t>
        </is>
      </c>
      <c r="BS369" s="31">
        <f>IF(BR369="NO",5,0)</f>
        <v/>
      </c>
      <c r="BT369" s="31" t="inlineStr">
        <is>
          <t>Above 2</t>
        </is>
      </c>
      <c r="BU369" s="31">
        <f>IF(BT369="Above 2",0,IF(BT369="Between 1.5 to 2",5,IF(BT369="Less than 1.5",10,0)))</f>
        <v/>
      </c>
      <c r="BV369" s="31" t="inlineStr">
        <is>
          <t>Negative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Between 0.7 to 1.2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Less than 15%</t>
        </is>
      </c>
      <c r="CC369" s="31">
        <f>IF(CB369="More than 15%",-10,IF(CB369="Less than 15%",10,0))</f>
        <v/>
      </c>
      <c r="CD369" s="31" t="inlineStr">
        <is>
          <t>No</t>
        </is>
      </c>
      <c r="CE369" s="31">
        <f>IF(CD369="Yes, more than 10%",-10,IF(CD369="No",10,0))</f>
        <v/>
      </c>
    </row>
    <row r="370">
      <c r="A370" s="31">
        <f>IF(B370=0,"",RANK(B370,$B$2:$B$378,0))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BEL</t>
        </is>
      </c>
      <c r="D370" s="31" t="inlineStr">
        <is>
          <t>Bharat Electronics Limited</t>
        </is>
      </c>
      <c r="E370" s="31" t="inlineStr">
        <is>
          <t>aerospace &amp; defence</t>
        </is>
      </c>
      <c r="F370" s="31" t="inlineStr">
        <is>
          <t>electronics - components</t>
        </is>
      </c>
      <c r="G370" s="31" t="inlineStr">
        <is>
          <t>largecap</t>
        </is>
      </c>
      <c r="H370" s="32" t="n">
        <v>296667.37</v>
      </c>
      <c r="I370" s="32" t="n">
        <v>410.5</v>
      </c>
      <c r="J370" s="32" t="n">
        <v>1.18</v>
      </c>
      <c r="K370" s="32" t="n">
        <v>27221552</v>
      </c>
      <c r="L370" s="31" t="n">
        <v>9</v>
      </c>
      <c r="M370" s="31" t="inlineStr">
        <is>
          <t>Outperforming</t>
        </is>
      </c>
      <c r="N370" s="32">
        <f>IF(M370="Underperforming",-5,IF(L370&gt;=95,15,IF(L370&gt;=90,10,IF(L370&gt;=80,5,0))))</f>
        <v/>
      </c>
      <c r="O370" s="32" t="n">
        <v>48.92</v>
      </c>
      <c r="P370" s="32" t="n">
        <v>7.86</v>
      </c>
      <c r="Q370" s="32" t="n">
        <v>363.85</v>
      </c>
      <c r="R370" s="31" t="inlineStr">
        <is>
          <t>Earnings / Momentum Support</t>
        </is>
      </c>
      <c r="S370" s="31" t="inlineStr">
        <is>
          <t>Nifty 50</t>
        </is>
      </c>
      <c r="T370" s="32" t="n">
        <v>-0.96</v>
      </c>
      <c r="U370" s="32" t="n">
        <v>7.25</v>
      </c>
      <c r="V370" s="32" t="n">
        <v>8.289999999999999</v>
      </c>
      <c r="W370" s="32" t="n">
        <v>0.93</v>
      </c>
      <c r="X370" s="31" t="inlineStr">
        <is>
          <t>Growing Industry</t>
        </is>
      </c>
      <c r="Y370" s="31">
        <f>IF(X370="Growing Industry",10,IF(X370="Cyclical in an Upturn",5,0))</f>
        <v/>
      </c>
      <c r="Z370" s="31" t="inlineStr">
        <is>
          <t>Too Many Players with High ROCE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No</t>
        </is>
      </c>
      <c r="AC370" s="31">
        <f>IF(AB370="No",5,0)</f>
        <v/>
      </c>
      <c r="AD370" s="31" t="inlineStr">
        <is>
          <t>Headwind</t>
        </is>
      </c>
      <c r="AE370" s="31">
        <f>IF(AD370="Tailwind",10,0)</f>
        <v/>
      </c>
      <c r="AF370" s="31" t="inlineStr">
        <is>
          <t>Structural (10 Years Consistency)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Stable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B2B</t>
        </is>
      </c>
      <c r="AO370" s="31">
        <f>IF(AN370="B2C",10,IF(AN370="B2B",5,0))</f>
        <v/>
      </c>
      <c r="AP370" s="31" t="inlineStr">
        <is>
          <t>No</t>
        </is>
      </c>
      <c r="AQ370" s="31">
        <f>IF(AP370="Yes",10,0)</f>
        <v/>
      </c>
      <c r="AR370" s="31" t="inlineStr">
        <is>
          <t>Higher One Time, Lower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Good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0 to 20</t>
        </is>
      </c>
      <c r="AY370" s="31">
        <f>IF(AX370="Above 40",20,IF(AX370="20 to 40",10,IF(AX370="0 to 20",-5,0)))</f>
        <v/>
      </c>
      <c r="AZ370" s="31" t="inlineStr">
        <is>
          <t>Below 45</t>
        </is>
      </c>
      <c r="BA370" s="31">
        <f>IF(AZ370="Between 50 to 75",10,IF(AZ370="Above 75",0,0))</f>
        <v/>
      </c>
      <c r="BB370" s="31" t="inlineStr">
        <is>
          <t>Stage 4</t>
        </is>
      </c>
      <c r="BC370" s="31">
        <f>IF(BB370="Stage 2",20,IF(BB370="Stage 1",0,IF(BB370="Stage 3",5,IF(BB370="Stage 4",-5,0))))</f>
        <v/>
      </c>
      <c r="BD370" s="31" t="inlineStr">
        <is>
          <t>Positive Trend</t>
        </is>
      </c>
      <c r="BE370" s="31">
        <f>IF(BD370="Positive Trend",20,IF(BD370="Negative Trend",-10,0))</f>
        <v/>
      </c>
      <c r="BF370" s="31" t="inlineStr">
        <is>
          <t>Uptrend</t>
        </is>
      </c>
      <c r="BG370" s="31">
        <f>IF(BF370="Uptrend",10,IF(BF370="Sideways",5,0))</f>
        <v/>
      </c>
      <c r="BH370" s="31" t="inlineStr">
        <is>
          <t>Uptrend</t>
        </is>
      </c>
      <c r="BI370" s="31">
        <f>IF(BH370="Uptrend",10,IF(BH370="Sideways",5,0))</f>
        <v/>
      </c>
      <c r="BJ370" s="31" t="inlineStr">
        <is>
          <t>Close to 52 week high or retracement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Less than 12%</t>
        </is>
      </c>
      <c r="BO370" s="31">
        <f>IF(BN370="More than 20%",10,IF(BN370="Between 12 to 20%",5,IF(BN370="Less than 12%",0,0)))</f>
        <v/>
      </c>
      <c r="BP370" s="31" t="inlineStr">
        <is>
          <t>No</t>
        </is>
      </c>
      <c r="BQ370" s="31">
        <f>IF(BP370="No",10,0)</f>
        <v/>
      </c>
      <c r="BR370" s="31" t="inlineStr">
        <is>
          <t>Yes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Above 70%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Less than 0.7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  <row r="371">
      <c r="A371" s="31">
        <f>IF(B371=0,"",RANK(B371,$B$2:$B$378,0))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1" t="inlineStr">
        <is>
          <t>FLUOROCHEM</t>
        </is>
      </c>
      <c r="D371" s="31" t="inlineStr">
        <is>
          <t>Gujarat Fluorochemicals Ltd</t>
        </is>
      </c>
      <c r="E371" s="31" t="inlineStr">
        <is>
          <t>chemicals</t>
        </is>
      </c>
      <c r="F371" s="31" t="inlineStr">
        <is>
          <t>chemicals</t>
        </is>
      </c>
      <c r="G371" s="31" t="inlineStr">
        <is>
          <t>largecap</t>
        </is>
      </c>
      <c r="H371" s="32" t="n">
        <v>48511.96</v>
      </c>
      <c r="I371" s="32" t="n">
        <v>4714.7</v>
      </c>
      <c r="J371" s="32" t="n">
        <v>3.26</v>
      </c>
      <c r="K371" s="32" t="n">
        <v>1215076</v>
      </c>
      <c r="L371" s="31" t="n">
        <v>58</v>
      </c>
      <c r="M371" s="31" t="inlineStr">
        <is>
          <t>Outperforming</t>
        </is>
      </c>
      <c r="N371" s="32">
        <f>IF(M371="Underperforming",-5,IF(L371&gt;=95,15,IF(L371&gt;=90,10,IF(L371&gt;=80,5,0))))</f>
        <v/>
      </c>
      <c r="O371" s="32" t="n">
        <v>71.98</v>
      </c>
      <c r="P371" s="32" t="n">
        <v>29.99</v>
      </c>
      <c r="Q371" s="32" t="n">
        <v>3851.89</v>
      </c>
      <c r="R371" s="31" t="inlineStr">
        <is>
          <t>Volume Spike &amp; Near 52W High Breakout</t>
        </is>
      </c>
      <c r="S371" s="31" t="inlineStr">
        <is>
          <t>Nifty 50</t>
        </is>
      </c>
      <c r="T371" s="32" t="n">
        <v>-0.96</v>
      </c>
      <c r="U371" s="32" t="n">
        <v>39.21</v>
      </c>
      <c r="V371" s="32" t="n">
        <v>40.55</v>
      </c>
      <c r="W371" s="32" t="n">
        <v>12.75</v>
      </c>
      <c r="X371" s="31" t="inlineStr">
        <is>
          <t>Growing Industry</t>
        </is>
      </c>
      <c r="Y371" s="31">
        <f>IF(X371="Growing Industry",10,IF(X371="Cyclical in an Upturn",5,0))</f>
        <v/>
      </c>
      <c r="Z371" s="31" t="inlineStr">
        <is>
          <t>Oligopoly</t>
        </is>
      </c>
      <c r="AA371" s="31">
        <f>IF(Z371="Monopoly",10,IF(Z371="Oligopoly",5,IF(Z371="Duopoly that cooperate",10,IF(Z371="Duopoly that compete",5,IF(Z371="Too many players with High ROCE",5,0)))))</f>
        <v/>
      </c>
      <c r="AB371" s="31" t="inlineStr">
        <is>
          <t>No</t>
        </is>
      </c>
      <c r="AC371" s="31">
        <f>IF(AB371="No",5,0)</f>
        <v/>
      </c>
      <c r="AD371" s="31" t="inlineStr">
        <is>
          <t>Tailwind</t>
        </is>
      </c>
      <c r="AE371" s="31">
        <f>IF(AD371="Tailwind",10,0)</f>
        <v/>
      </c>
      <c r="AF371" s="31" t="inlineStr">
        <is>
          <t>Shallow Cyclical (2 to 3 Years Growth)</t>
        </is>
      </c>
      <c r="AG371" s="31">
        <f>IF(AF371="Structural (10 Years Consistency)",10,IF(AF371="Shallow Cyclical (2 to 3 years growth)",5,0))</f>
        <v/>
      </c>
      <c r="AH371" s="31" t="inlineStr">
        <is>
          <t>Yes due to Product Mix change or Operating Leverage</t>
        </is>
      </c>
      <c r="AI371" s="31">
        <f>IF(AH371="Yes due to Product Mix change or Operating Leverage",10,IF(AH371="Yes, these are peak margins",-5,IF(AH371="No",5,0)))</f>
        <v/>
      </c>
      <c r="AJ371" s="31" t="inlineStr">
        <is>
          <t>Volatile</t>
        </is>
      </c>
      <c r="AK371" s="31">
        <f>IF(AJ371="Stable",10,0)</f>
        <v/>
      </c>
      <c r="AL371" s="31" t="inlineStr">
        <is>
          <t>Yes</t>
        </is>
      </c>
      <c r="AM371" s="31">
        <f>IF(AL371="Yes",10,0)</f>
        <v/>
      </c>
      <c r="AN371" s="31" t="inlineStr">
        <is>
          <t>B2B</t>
        </is>
      </c>
      <c r="AO371" s="31">
        <f>IF(AN371="B2C",10,IF(AN371="B2B",5,0))</f>
        <v/>
      </c>
      <c r="AP371" s="31" t="inlineStr">
        <is>
          <t>Yes</t>
        </is>
      </c>
      <c r="AQ371" s="31">
        <f>IF(AP371="Yes",10,0)</f>
        <v/>
      </c>
      <c r="AR371" s="31" t="inlineStr">
        <is>
          <t>Higher One Time, Lower Annuity</t>
        </is>
      </c>
      <c r="AS371" s="31">
        <f>IF(AR371="Fully Annuity",10,IF(AR371="Higher Annuity, Lower One Time",5,IF(AR371="Higher One Time, Lower Annuity",3,0)))</f>
        <v/>
      </c>
      <c r="AT371" s="31" t="inlineStr">
        <is>
          <t>Allocated capital in Non-core Areas</t>
        </is>
      </c>
      <c r="AU371" s="31">
        <f>IF(AT371="Good",10,0)</f>
        <v/>
      </c>
      <c r="AV371" s="31" t="inlineStr">
        <is>
          <t>Yes for more than 2 years</t>
        </is>
      </c>
      <c r="AW371" s="31">
        <f>IF(AV371="Yes for more than 2 years",10,IF(AV371="Yes only for next 1 to 2 years",5,0))</f>
        <v/>
      </c>
      <c r="AX371" s="31" t="inlineStr">
        <is>
          <t>Above 40</t>
        </is>
      </c>
      <c r="AY371" s="31">
        <f>IF(AX371="Above 40",20,IF(AX371="20 to 40",10,IF(AX371="0 to 20",-5,0)))</f>
        <v/>
      </c>
      <c r="AZ371" s="31" t="inlineStr">
        <is>
          <t>Between 50 to 75</t>
        </is>
      </c>
      <c r="BA371" s="31">
        <f>IF(AZ371="Between 50 to 75",10,IF(AZ371="Above 75",0,0))</f>
        <v/>
      </c>
      <c r="BB371" s="31" t="inlineStr">
        <is>
          <t>Stage 3</t>
        </is>
      </c>
      <c r="BC371" s="31">
        <f>IF(BB371="Stage 2",20,IF(BB371="Stage 1",0,IF(BB371="Stage 3",5,IF(BB371="Stage 4",-5,0))))</f>
        <v/>
      </c>
      <c r="BD371" s="31" t="inlineStr">
        <is>
          <t>Negative Trend</t>
        </is>
      </c>
      <c r="BE371" s="31">
        <f>IF(BD371="Positive Trend",20,IF(BD371="Negative Trend",-10,0))</f>
        <v/>
      </c>
      <c r="BF371" s="31" t="inlineStr">
        <is>
          <t>Sideways</t>
        </is>
      </c>
      <c r="BG371" s="31">
        <f>IF(BF371="Uptrend",10,IF(BF371="Sideways",5,0))</f>
        <v/>
      </c>
      <c r="BH371" s="31" t="inlineStr">
        <is>
          <t>Uptrend</t>
        </is>
      </c>
      <c r="BI371" s="31">
        <f>IF(BH371="Uptrend",10,IF(BH371="Sideways",5,0))</f>
        <v/>
      </c>
      <c r="BJ371" s="31" t="inlineStr">
        <is>
          <t>Overhead supply in last 2 years in last 2 years</t>
        </is>
      </c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inlineStr">
        <is>
          <t>Yes</t>
        </is>
      </c>
      <c r="BM371" s="31">
        <f>IF(BL371="Yes",10,0)</f>
        <v/>
      </c>
      <c r="BN371" s="31" t="inlineStr">
        <is>
          <t>More than 20%</t>
        </is>
      </c>
      <c r="BO371" s="31">
        <f>IF(BN371="More than 20%",10,IF(BN371="Between 12 to 20%",5,IF(BN371="Less than 12%",0,0)))</f>
        <v/>
      </c>
      <c r="BP371" s="31" t="inlineStr">
        <is>
          <t>No</t>
        </is>
      </c>
      <c r="BQ371" s="31">
        <f>IF(BP371="No",10,0)</f>
        <v/>
      </c>
      <c r="BR371" s="31" t="inlineStr">
        <is>
          <t>No</t>
        </is>
      </c>
      <c r="BS371" s="31">
        <f>IF(BR371="NO",5,0)</f>
        <v/>
      </c>
      <c r="BT371" s="31" t="inlineStr">
        <is>
          <t>Less than 1.5</t>
        </is>
      </c>
      <c r="BU371" s="31">
        <f>IF(BT371="Above 2",0,IF(BT371="Between 1.5 to 2",5,IF(BT371="Less than 1.5",10,0)))</f>
        <v/>
      </c>
      <c r="BV371" s="31" t="inlineStr">
        <is>
          <t>Above 70%</t>
        </is>
      </c>
      <c r="BW371" s="31">
        <f>IF(BV371="Above 70%",10,IF(BV371="Between 50% to 70%",5,IF(BV371="Less than 50%",0,IF(BV371="Negative",-10,IF(BV371="Less than 50% and Borrowings are increasing",-5,0)))))</f>
        <v/>
      </c>
      <c r="BX371" s="31" t="inlineStr">
        <is>
          <t>Less than 0.7</t>
        </is>
      </c>
      <c r="BY371" s="31">
        <f>IF(BX371="More than 1.2",-10,IF(BX371="Between 0.7 to 1.2",0,IF(BX371="Less than 0.7",10,0)))</f>
        <v/>
      </c>
      <c r="BZ371" s="31" t="inlineStr">
        <is>
          <t>No</t>
        </is>
      </c>
      <c r="CA371" s="31">
        <f>IF(BZ371="Yes",-10,0)</f>
        <v/>
      </c>
      <c r="CB371" s="31" t="inlineStr">
        <is>
          <t>More than 15%</t>
        </is>
      </c>
      <c r="CC371" s="31">
        <f>IF(CB371="More than 15%",-10,IF(CB371="Less than 15%",10,0))</f>
        <v/>
      </c>
      <c r="CD371" s="31" t="inlineStr">
        <is>
          <t>Yes Upto 10%</t>
        </is>
      </c>
      <c r="CE371" s="31">
        <f>IF(CD371="Yes, more than 10%",-10,IF(CD371="No",10,0))</f>
        <v/>
      </c>
    </row>
    <row r="372">
      <c r="A372" s="31">
        <f>IF(B372=0,"",RANK(B372,$B$2:$B$378,0))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1" t="inlineStr">
        <is>
          <t>GUJALKALI</t>
        </is>
      </c>
      <c r="D372" s="31" t="inlineStr">
        <is>
          <t>Gujarat Alkalies And Chemicals Limited</t>
        </is>
      </c>
      <c r="E372" s="31" t="inlineStr">
        <is>
          <t>chemicals</t>
        </is>
      </c>
      <c r="F372" s="31" t="inlineStr">
        <is>
          <t>chemicals</t>
        </is>
      </c>
      <c r="G372" s="31" t="inlineStr">
        <is>
          <t>smallcap</t>
        </is>
      </c>
      <c r="H372" s="32" t="n">
        <v>4974.25</v>
      </c>
      <c r="I372" s="32" t="n">
        <v>694.35</v>
      </c>
      <c r="J372" s="32" t="n">
        <v>3.26</v>
      </c>
      <c r="K372" s="32" t="n">
        <v>97835</v>
      </c>
      <c r="L372" s="31" t="n">
        <v>34</v>
      </c>
      <c r="M372" s="31" t="inlineStr">
        <is>
          <t>Outperforming</t>
        </is>
      </c>
      <c r="N372" s="32">
        <f>IF(M372="Underperforming",-5,IF(L372&gt;=95,15,IF(L372&gt;=90,10,IF(L372&gt;=80,5,0))))</f>
        <v/>
      </c>
      <c r="O372" s="32" t="n">
        <v>60.68</v>
      </c>
      <c r="P372" s="32" t="n">
        <v>29.24</v>
      </c>
      <c r="Q372" s="32" t="n">
        <v>529.95</v>
      </c>
      <c r="R372" s="31" t="inlineStr">
        <is>
          <t>Earnings / Momentum Support</t>
        </is>
      </c>
      <c r="S372" s="31" t="inlineStr">
        <is>
          <t>Nifty IT</t>
        </is>
      </c>
      <c r="T372" s="32" t="n">
        <v>-9.699999999999999</v>
      </c>
      <c r="U372" s="32" t="n">
        <v>29.49</v>
      </c>
      <c r="V372" s="32" t="n">
        <v>43.4</v>
      </c>
      <c r="W372" s="32" t="n">
        <v>6.99</v>
      </c>
      <c r="X372" s="31" t="inlineStr">
        <is>
          <t>Growing Industry</t>
        </is>
      </c>
      <c r="Y372" s="31">
        <f>IF(X372="Growing Industry",10,IF(X372="Cyclical in an Upturn",5,0))</f>
        <v/>
      </c>
      <c r="Z372" s="31" t="inlineStr">
        <is>
          <t>Oligopoly</t>
        </is>
      </c>
      <c r="AA372" s="31">
        <f>IF(Z372="Monopoly",10,IF(Z372="Oligopoly",5,IF(Z372="Duopoly that cooperate",10,IF(Z372="Duopoly that compete",5,IF(Z372="Too many players with High ROCE",5,0)))))</f>
        <v/>
      </c>
      <c r="AB372" s="31" t="inlineStr">
        <is>
          <t>No</t>
        </is>
      </c>
      <c r="AC372" s="31">
        <f>IF(AB372="No",5,0)</f>
        <v/>
      </c>
      <c r="AD372" s="31" t="inlineStr">
        <is>
          <t>Tailwind</t>
        </is>
      </c>
      <c r="AE372" s="31">
        <f>IF(AD372="Tailwind",10,0)</f>
        <v/>
      </c>
      <c r="AF372" s="31" t="inlineStr">
        <is>
          <t>Shallow Cyclical (2 to 3 Years Growth)</t>
        </is>
      </c>
      <c r="AG372" s="31">
        <f>IF(AF372="Structural (10 Years Consistency)",10,IF(AF372="Shallow Cyclical (2 to 3 years growth)",5,0))</f>
        <v/>
      </c>
      <c r="AH372" s="31" t="inlineStr">
        <is>
          <t>Yes due to Product Mix change or Operating Leverage</t>
        </is>
      </c>
      <c r="AI372" s="31">
        <f>IF(AH372="Yes due to Product Mix change or Operating Leverage",10,IF(AH372="Yes, these are peak margins",-5,IF(AH372="No",5,0)))</f>
        <v/>
      </c>
      <c r="AJ372" s="31" t="inlineStr">
        <is>
          <t>Volatile</t>
        </is>
      </c>
      <c r="AK372" s="31">
        <f>IF(AJ372="Stable",10,0)</f>
        <v/>
      </c>
      <c r="AL372" s="31" t="inlineStr">
        <is>
          <t>Yes</t>
        </is>
      </c>
      <c r="AM372" s="31">
        <f>IF(AL372="Yes",10,0)</f>
        <v/>
      </c>
      <c r="AN372" s="31" t="inlineStr">
        <is>
          <t>B2B</t>
        </is>
      </c>
      <c r="AO372" s="31">
        <f>IF(AN372="B2C",10,IF(AN372="B2B",5,0))</f>
        <v/>
      </c>
      <c r="AP372" s="31" t="inlineStr">
        <is>
          <t>Yes</t>
        </is>
      </c>
      <c r="AQ372" s="31">
        <f>IF(AP372="Yes",10,0)</f>
        <v/>
      </c>
      <c r="AR372" s="31" t="inlineStr">
        <is>
          <t>Higher One Time, Lower Annuity</t>
        </is>
      </c>
      <c r="AS372" s="31">
        <f>IF(AR372="Fully Annuity",10,IF(AR372="Higher Annuity, Lower One Time",5,IF(AR372="Higher One Time, Lower Annuity",3,0)))</f>
        <v/>
      </c>
      <c r="AT372" s="31" t="inlineStr">
        <is>
          <t>Allocated capital in Non-core Areas</t>
        </is>
      </c>
      <c r="AU372" s="31">
        <f>IF(AT372="Good",10,0)</f>
        <v/>
      </c>
      <c r="AV372" s="31" t="inlineStr">
        <is>
          <t>Yes for more than 2 years</t>
        </is>
      </c>
      <c r="AW372" s="31">
        <f>IF(AV372="Yes for more than 2 years",10,IF(AV372="Yes only for next 1 to 2 years",5,0))</f>
        <v/>
      </c>
      <c r="AX372" s="31" t="inlineStr">
        <is>
          <t>Above 40</t>
        </is>
      </c>
      <c r="AY372" s="31">
        <f>IF(AX372="Above 40",20,IF(AX372="20 to 40",10,IF(AX372="0 to 20",-5,0)))</f>
        <v/>
      </c>
      <c r="AZ372" s="31" t="inlineStr">
        <is>
          <t>Between 50 to 75</t>
        </is>
      </c>
      <c r="BA372" s="31">
        <f>IF(AZ372="Between 50 to 75",10,IF(AZ372="Above 75",0,0))</f>
        <v/>
      </c>
      <c r="BB372" s="31" t="inlineStr">
        <is>
          <t>Stage 3</t>
        </is>
      </c>
      <c r="BC372" s="31">
        <f>IF(BB372="Stage 2",20,IF(BB372="Stage 1",0,IF(BB372="Stage 3",5,IF(BB372="Stage 4",-5,0))))</f>
        <v/>
      </c>
      <c r="BD372" s="31" t="inlineStr">
        <is>
          <t>Negative Trend</t>
        </is>
      </c>
      <c r="BE372" s="31">
        <f>IF(BD372="Positive Trend",20,IF(BD372="Negative Trend",-10,0))</f>
        <v/>
      </c>
      <c r="BF372" s="31" t="inlineStr">
        <is>
          <t>Sideways</t>
        </is>
      </c>
      <c r="BG372" s="31">
        <f>IF(BF372="Uptrend",10,IF(BF372="Sideways",5,0))</f>
        <v/>
      </c>
      <c r="BH372" s="31" t="inlineStr">
        <is>
          <t>Uptrend</t>
        </is>
      </c>
      <c r="BI372" s="31">
        <f>IF(BH372="Uptrend",10,IF(BH372="Sideways",5,0))</f>
        <v/>
      </c>
      <c r="BJ372" s="31" t="inlineStr">
        <is>
          <t>Overhead supply in last 2 years in last 2 years</t>
        </is>
      </c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inlineStr">
        <is>
          <t>Yes</t>
        </is>
      </c>
      <c r="BM372" s="31">
        <f>IF(BL372="Yes",10,0)</f>
        <v/>
      </c>
      <c r="BN372" s="31" t="inlineStr">
        <is>
          <t>More than 20%</t>
        </is>
      </c>
      <c r="BO372" s="31">
        <f>IF(BN372="More than 20%",10,IF(BN372="Between 12 to 20%",5,IF(BN372="Less than 12%",0,0)))</f>
        <v/>
      </c>
      <c r="BP372" s="31" t="inlineStr">
        <is>
          <t>No</t>
        </is>
      </c>
      <c r="BQ372" s="31">
        <f>IF(BP372="No",10,0)</f>
        <v/>
      </c>
      <c r="BR372" s="31" t="inlineStr">
        <is>
          <t>No</t>
        </is>
      </c>
      <c r="BS372" s="31">
        <f>IF(BR372="NO",5,0)</f>
        <v/>
      </c>
      <c r="BT372" s="31" t="inlineStr">
        <is>
          <t>Less than 1.5</t>
        </is>
      </c>
      <c r="BU372" s="31">
        <f>IF(BT372="Above 2",0,IF(BT372="Between 1.5 to 2",5,IF(BT372="Less than 1.5",10,0)))</f>
        <v/>
      </c>
      <c r="BV372" s="31" t="inlineStr">
        <is>
          <t>Above 70%</t>
        </is>
      </c>
      <c r="BW372" s="31">
        <f>IF(BV372="Above 70%",10,IF(BV372="Between 50% to 70%",5,IF(BV372="Less than 50%",0,IF(BV372="Negative",-10,IF(BV372="Less than 50% and Borrowings are increasing",-5,0)))))</f>
        <v/>
      </c>
      <c r="BX372" s="31" t="inlineStr">
        <is>
          <t>Less than 0.7</t>
        </is>
      </c>
      <c r="BY372" s="31">
        <f>IF(BX372="More than 1.2",-10,IF(BX372="Between 0.7 to 1.2",0,IF(BX372="Less than 0.7",10,0)))</f>
        <v/>
      </c>
      <c r="BZ372" s="31" t="inlineStr">
        <is>
          <t>No</t>
        </is>
      </c>
      <c r="CA372" s="31">
        <f>IF(BZ372="Yes",-10,0)</f>
        <v/>
      </c>
      <c r="CB372" s="31" t="inlineStr">
        <is>
          <t>More than 15%</t>
        </is>
      </c>
      <c r="CC372" s="31">
        <f>IF(CB372="More than 15%",-10,IF(CB372="Less than 15%",10,0))</f>
        <v/>
      </c>
      <c r="CD372" s="31" t="inlineStr">
        <is>
          <t>Yes Upto 10%</t>
        </is>
      </c>
      <c r="CE372" s="31">
        <f>IF(CD372="Yes, more than 10%",-10,IF(CD372="No",10,0))</f>
        <v/>
      </c>
    </row>
    <row r="373">
      <c r="A373" s="31">
        <f>IF(B373=0,"",RANK(B373,$B$2:$B$378,0))</f>
        <v/>
      </c>
      <c r="B373" s="32">
        <f>SUM(N373,Y373,AA373,AC373,AE373,AG373,AI373,AK373,AM373,AO373,AQ373,AS373,AU373,AW373,AY373,BA373,BC373,BE373,BG373,BI373,BK373,BM373,BO373,BQ373,BS373,BU373,BW373,BY373,CA373,CC373,CE373)</f>
        <v/>
      </c>
      <c r="C373" s="31" t="inlineStr">
        <is>
          <t>GAEL</t>
        </is>
      </c>
      <c r="D373" s="31" t="inlineStr">
        <is>
          <t>Gujarat Ambuja Exports Limited</t>
        </is>
      </c>
      <c r="E373" s="31" t="inlineStr">
        <is>
          <t>fmcg</t>
        </is>
      </c>
      <c r="F373" s="31" t="inlineStr">
        <is>
          <t>miscellaneous</t>
        </is>
      </c>
      <c r="G373" s="31" t="inlineStr">
        <is>
          <t>midcap</t>
        </is>
      </c>
      <c r="H373" s="32" t="n">
        <v>7745.57</v>
      </c>
      <c r="I373" s="32" t="n">
        <v>170.18</v>
      </c>
      <c r="J373" s="32" t="n">
        <v>2.91</v>
      </c>
      <c r="K373" s="32" t="n">
        <v>564493</v>
      </c>
      <c r="L373" s="31" t="n">
        <v>59</v>
      </c>
      <c r="M373" s="31" t="inlineStr">
        <is>
          <t>Outperforming</t>
        </is>
      </c>
      <c r="N373" s="32">
        <f>IF(M373="Underperforming",-5,IF(L373&gt;=95,15,IF(L373&gt;=90,10,IF(L373&gt;=80,5,0))))</f>
        <v/>
      </c>
      <c r="O373" s="32" t="n">
        <v>62.14</v>
      </c>
      <c r="P373" s="32" t="n">
        <v>36.54</v>
      </c>
      <c r="Q373" s="32" t="n">
        <v>135.62</v>
      </c>
      <c r="R373" s="31" t="inlineStr">
        <is>
          <t>Near 52W High Breakout</t>
        </is>
      </c>
      <c r="S373" s="31" t="inlineStr">
        <is>
          <t>Nifty FMCG</t>
        </is>
      </c>
      <c r="T373" s="32" t="n">
        <v>-10.52</v>
      </c>
      <c r="U373" s="32" t="n">
        <v>61.71</v>
      </c>
      <c r="V373" s="32" t="n">
        <v>80.72</v>
      </c>
      <c r="W373" s="32" t="n">
        <v>13.11</v>
      </c>
      <c r="X373" s="31" t="inlineStr">
        <is>
          <t>Growing Industry</t>
        </is>
      </c>
      <c r="Y373" s="31">
        <f>IF(X373="Growing Industry",10,IF(X373="Cyclical in an Upturn",5,0))</f>
        <v/>
      </c>
      <c r="Z373" s="31" t="inlineStr">
        <is>
          <t>Oligopoly</t>
        </is>
      </c>
      <c r="AA373" s="31">
        <f>IF(Z373="Monopoly",10,IF(Z373="Oligopoly",5,IF(Z373="Duopoly that cooperate",10,IF(Z373="Duopoly that compete",5,IF(Z373="Too many players with High ROCE",5,0)))))</f>
        <v/>
      </c>
      <c r="AB373" s="31" t="inlineStr">
        <is>
          <t>No</t>
        </is>
      </c>
      <c r="AC373" s="31">
        <f>IF(AB373="No",5,0)</f>
        <v/>
      </c>
      <c r="AD373" s="31" t="inlineStr">
        <is>
          <t>Tailwind</t>
        </is>
      </c>
      <c r="AE373" s="31">
        <f>IF(AD373="Tailwind",10,0)</f>
        <v/>
      </c>
      <c r="AF373" s="31" t="inlineStr">
        <is>
          <t>Shallow Cyclical (2 to 3 Years Growth)</t>
        </is>
      </c>
      <c r="AG373" s="31">
        <f>IF(AF373="Structural (10 Years Consistency)",10,IF(AF373="Shallow Cyclical (2 to 3 years growth)",5,0))</f>
        <v/>
      </c>
      <c r="AH373" s="31" t="inlineStr">
        <is>
          <t>Yes due to Product Mix change or Operating Leverage</t>
        </is>
      </c>
      <c r="AI373" s="31">
        <f>IF(AH373="Yes due to Product Mix change or Operating Leverage",10,IF(AH373="Yes, these are peak margins",-5,IF(AH373="No",5,0)))</f>
        <v/>
      </c>
      <c r="AJ373" s="31" t="inlineStr">
        <is>
          <t>Volatile</t>
        </is>
      </c>
      <c r="AK373" s="31">
        <f>IF(AJ373="Stable",10,0)</f>
        <v/>
      </c>
      <c r="AL373" s="31" t="inlineStr">
        <is>
          <t>Yes</t>
        </is>
      </c>
      <c r="AM373" s="31">
        <f>IF(AL373="Yes",10,0)</f>
        <v/>
      </c>
      <c r="AN373" s="31" t="inlineStr">
        <is>
          <t>B2B</t>
        </is>
      </c>
      <c r="AO373" s="31">
        <f>IF(AN373="B2C",10,IF(AN373="B2B",5,0))</f>
        <v/>
      </c>
      <c r="AP373" s="31" t="inlineStr">
        <is>
          <t>Yes</t>
        </is>
      </c>
      <c r="AQ373" s="31">
        <f>IF(AP373="Yes",10,0)</f>
        <v/>
      </c>
      <c r="AR373" s="31" t="inlineStr">
        <is>
          <t>Higher One Time, Lower Annuity</t>
        </is>
      </c>
      <c r="AS373" s="31">
        <f>IF(AR373="Fully Annuity",10,IF(AR373="Higher Annuity, Lower One Time",5,IF(AR373="Higher One Time, Lower Annuity",3,0)))</f>
        <v/>
      </c>
      <c r="AT373" s="31" t="inlineStr">
        <is>
          <t>Allocated capital in Non-core Areas</t>
        </is>
      </c>
      <c r="AU373" s="31">
        <f>IF(AT373="Good",10,0)</f>
        <v/>
      </c>
      <c r="AV373" s="31" t="inlineStr">
        <is>
          <t>Yes for more than 2 years</t>
        </is>
      </c>
      <c r="AW373" s="31">
        <f>IF(AV373="Yes for more than 2 years",10,IF(AV373="Yes only for next 1 to 2 years",5,0))</f>
        <v/>
      </c>
      <c r="AX373" s="31" t="inlineStr">
        <is>
          <t>Above 40</t>
        </is>
      </c>
      <c r="AY373" s="31">
        <f>IF(AX373="Above 40",20,IF(AX373="20 to 40",10,IF(AX373="0 to 20",-5,0)))</f>
        <v/>
      </c>
      <c r="AZ373" s="31" t="inlineStr">
        <is>
          <t>Between 50 to 75</t>
        </is>
      </c>
      <c r="BA373" s="31">
        <f>IF(AZ373="Between 50 to 75",10,IF(AZ373="Above 75",0,0))</f>
        <v/>
      </c>
      <c r="BB373" s="31" t="inlineStr">
        <is>
          <t>Stage 3</t>
        </is>
      </c>
      <c r="BC373" s="31">
        <f>IF(BB373="Stage 2",20,IF(BB373="Stage 1",0,IF(BB373="Stage 3",5,IF(BB373="Stage 4",-5,0))))</f>
        <v/>
      </c>
      <c r="BD373" s="31" t="inlineStr">
        <is>
          <t>Negative Trend</t>
        </is>
      </c>
      <c r="BE373" s="31">
        <f>IF(BD373="Positive Trend",20,IF(BD373="Negative Trend",-10,0))</f>
        <v/>
      </c>
      <c r="BF373" s="31" t="inlineStr">
        <is>
          <t>Sideways</t>
        </is>
      </c>
      <c r="BG373" s="31">
        <f>IF(BF373="Uptrend",10,IF(BF373="Sideways",5,0))</f>
        <v/>
      </c>
      <c r="BH373" s="31" t="inlineStr">
        <is>
          <t>Uptrend</t>
        </is>
      </c>
      <c r="BI373" s="31">
        <f>IF(BH373="Uptrend",10,IF(BH373="Sideways",5,0))</f>
        <v/>
      </c>
      <c r="BJ373" s="31" t="inlineStr">
        <is>
          <t>Overhead supply in last 2 years in last 2 years</t>
        </is>
      </c>
      <c r="BK373" s="31">
        <f>IF(BJ373="Overhead supply in last 2 years in last 2 years",-5,IF(BJ373="Close to 52 week high or retracement",5,IF(BJ373="Blue sky scenario",10,IF(BJ373="Long term Downtrend",-10,0))))</f>
        <v/>
      </c>
      <c r="BL373" s="31" t="inlineStr">
        <is>
          <t>Yes</t>
        </is>
      </c>
      <c r="BM373" s="31">
        <f>IF(BL373="Yes",10,0)</f>
        <v/>
      </c>
      <c r="BN373" s="31" t="inlineStr">
        <is>
          <t>More than 20%</t>
        </is>
      </c>
      <c r="BO373" s="31">
        <f>IF(BN373="More than 20%",10,IF(BN373="Between 12 to 20%",5,IF(BN373="Less than 12%",0,0)))</f>
        <v/>
      </c>
      <c r="BP373" s="31" t="inlineStr">
        <is>
          <t>No</t>
        </is>
      </c>
      <c r="BQ373" s="31">
        <f>IF(BP373="No",10,0)</f>
        <v/>
      </c>
      <c r="BR373" s="31" t="inlineStr">
        <is>
          <t>No</t>
        </is>
      </c>
      <c r="BS373" s="31">
        <f>IF(BR373="NO",5,0)</f>
        <v/>
      </c>
      <c r="BT373" s="31" t="inlineStr">
        <is>
          <t>Less than 1.5</t>
        </is>
      </c>
      <c r="BU373" s="31">
        <f>IF(BT373="Above 2",0,IF(BT373="Between 1.5 to 2",5,IF(BT373="Less than 1.5",10,0)))</f>
        <v/>
      </c>
      <c r="BV373" s="31" t="inlineStr">
        <is>
          <t>Above 70%</t>
        </is>
      </c>
      <c r="BW373" s="31">
        <f>IF(BV373="Above 70%",10,IF(BV373="Between 50% to 70%",5,IF(BV373="Less than 50%",0,IF(BV373="Negative",-10,IF(BV373="Less than 50% and Borrowings are increasing",-5,0)))))</f>
        <v/>
      </c>
      <c r="BX373" s="31" t="inlineStr">
        <is>
          <t>Less than 0.7</t>
        </is>
      </c>
      <c r="BY373" s="31">
        <f>IF(BX373="More than 1.2",-10,IF(BX373="Between 0.7 to 1.2",0,IF(BX373="Less than 0.7",10,0)))</f>
        <v/>
      </c>
      <c r="BZ373" s="31" t="inlineStr">
        <is>
          <t>No</t>
        </is>
      </c>
      <c r="CA373" s="31">
        <f>IF(BZ373="Yes",-10,0)</f>
        <v/>
      </c>
      <c r="CB373" s="31" t="inlineStr">
        <is>
          <t>More than 15%</t>
        </is>
      </c>
      <c r="CC373" s="31">
        <f>IF(CB373="More than 15%",-10,IF(CB373="Less than 15%",10,0))</f>
        <v/>
      </c>
      <c r="CD373" s="31" t="inlineStr">
        <is>
          <t>Yes Upto 10%</t>
        </is>
      </c>
      <c r="CE373" s="31">
        <f>IF(CD373="Yes, more than 10%",-10,IF(CD373="No",10,0))</f>
        <v/>
      </c>
    </row>
    <row r="374">
      <c r="A374" s="31">
        <f>IF(B374=0,"",RANK(B374,$B$2:$B$378,0))</f>
        <v/>
      </c>
      <c r="B374" s="32">
        <f>SUM(N374,Y374,AA374,AC374,AE374,AG374,AI374,AK374,AM374,AO374,AQ374,AS374,AU374,AW374,AY374,BA374,BC374,BE374,BG374,BI374,BK374,BM374,BO374,BQ374,BS374,BU374,BW374,BY374,CA374,CC374,CE374)</f>
        <v/>
      </c>
      <c r="C374" s="31" t="inlineStr">
        <is>
          <t>GIPCL</t>
        </is>
      </c>
      <c r="D374" s="31" t="inlineStr">
        <is>
          <t>Gujarat Industries Power Company Limited</t>
        </is>
      </c>
      <c r="E374" s="31" t="inlineStr">
        <is>
          <t>power &amp; utilities</t>
        </is>
      </c>
      <c r="F374" s="31" t="inlineStr">
        <is>
          <t>power generation and supply</t>
        </is>
      </c>
      <c r="G374" s="31" t="inlineStr">
        <is>
          <t>smallcap</t>
        </is>
      </c>
      <c r="H374" s="32" t="n">
        <v>2555.48</v>
      </c>
      <c r="I374" s="32" t="n">
        <v>175.97</v>
      </c>
      <c r="J374" s="32" t="n">
        <v>1.1</v>
      </c>
      <c r="K374" s="32" t="n">
        <v>678748</v>
      </c>
      <c r="L374" s="31" t="n">
        <v>21</v>
      </c>
      <c r="M374" s="31" t="inlineStr">
        <is>
          <t>Outperforming</t>
        </is>
      </c>
      <c r="N374" s="32">
        <f>IF(M374="Underperforming",-5,IF(L374&gt;=95,15,IF(L374&gt;=90,10,IF(L374&gt;=80,5,0))))</f>
        <v/>
      </c>
      <c r="O374" s="32" t="n">
        <v>62.1</v>
      </c>
      <c r="P374" s="32" t="n">
        <v>11.82</v>
      </c>
      <c r="Q374" s="32" t="n">
        <v>141.23</v>
      </c>
      <c r="R374" s="31" t="inlineStr">
        <is>
          <t>Volume Spike / Accumulation</t>
        </is>
      </c>
      <c r="S374" s="31" t="inlineStr">
        <is>
          <t>Nifty IT</t>
        </is>
      </c>
      <c r="T374" s="32" t="n">
        <v>-9.699999999999999</v>
      </c>
      <c r="U374" s="32" t="n">
        <v>-2.89</v>
      </c>
      <c r="V374" s="32" t="n">
        <v>7.54</v>
      </c>
      <c r="W374" s="32" t="n">
        <v>4.16</v>
      </c>
      <c r="X374" s="31" t="inlineStr">
        <is>
          <t>Growing Industry</t>
        </is>
      </c>
      <c r="Y374" s="31">
        <f>IF(X374="Growing Industry",10,IF(X374="Cyclical in an Upturn",5,0))</f>
        <v/>
      </c>
      <c r="Z374" s="31" t="inlineStr">
        <is>
          <t>Oligopoly</t>
        </is>
      </c>
      <c r="AA374" s="31">
        <f>IF(Z374="Monopoly",10,IF(Z374="Oligopoly",5,IF(Z374="Duopoly that cooperate",10,IF(Z374="Duopoly that compete",5,IF(Z374="Too many players with High ROCE",5,0)))))</f>
        <v/>
      </c>
      <c r="AB374" s="31" t="inlineStr">
        <is>
          <t>No</t>
        </is>
      </c>
      <c r="AC374" s="31">
        <f>IF(AB374="No",5,0)</f>
        <v/>
      </c>
      <c r="AD374" s="31" t="inlineStr">
        <is>
          <t>Tailwind</t>
        </is>
      </c>
      <c r="AE374" s="31">
        <f>IF(AD374="Tailwind",10,0)</f>
        <v/>
      </c>
      <c r="AF374" s="31" t="inlineStr">
        <is>
          <t>Shallow Cyclical (2 to 3 Years Growth)</t>
        </is>
      </c>
      <c r="AG374" s="31">
        <f>IF(AF374="Structural (10 Years Consistency)",10,IF(AF374="Shallow Cyclical (2 to 3 years growth)",5,0))</f>
        <v/>
      </c>
      <c r="AH374" s="31" t="inlineStr">
        <is>
          <t>Yes due to Product Mix change or Operating Leverage</t>
        </is>
      </c>
      <c r="AI374" s="31">
        <f>IF(AH374="Yes due to Product Mix change or Operating Leverage",10,IF(AH374="Yes, these are peak margins",-5,IF(AH374="No",5,0)))</f>
        <v/>
      </c>
      <c r="AJ374" s="31" t="inlineStr">
        <is>
          <t>Volatile</t>
        </is>
      </c>
      <c r="AK374" s="31">
        <f>IF(AJ374="Stable",10,0)</f>
        <v/>
      </c>
      <c r="AL374" s="31" t="inlineStr">
        <is>
          <t>Yes</t>
        </is>
      </c>
      <c r="AM374" s="31">
        <f>IF(AL374="Yes",10,0)</f>
        <v/>
      </c>
      <c r="AN374" s="31" t="inlineStr">
        <is>
          <t>B2B</t>
        </is>
      </c>
      <c r="AO374" s="31">
        <f>IF(AN374="B2C",10,IF(AN374="B2B",5,0))</f>
        <v/>
      </c>
      <c r="AP374" s="31" t="inlineStr">
        <is>
          <t>Yes</t>
        </is>
      </c>
      <c r="AQ374" s="31">
        <f>IF(AP374="Yes",10,0)</f>
        <v/>
      </c>
      <c r="AR374" s="31" t="inlineStr">
        <is>
          <t>Higher One Time, Lower Annuity</t>
        </is>
      </c>
      <c r="AS374" s="31">
        <f>IF(AR374="Fully Annuity",10,IF(AR374="Higher Annuity, Lower One Time",5,IF(AR374="Higher One Time, Lower Annuity",3,0)))</f>
        <v/>
      </c>
      <c r="AT374" s="31" t="inlineStr">
        <is>
          <t>Allocated capital in Non-core Areas</t>
        </is>
      </c>
      <c r="AU374" s="31">
        <f>IF(AT374="Good",10,0)</f>
        <v/>
      </c>
      <c r="AV374" s="31" t="inlineStr">
        <is>
          <t>Yes for more than 2 years</t>
        </is>
      </c>
      <c r="AW374" s="31">
        <f>IF(AV374="Yes for more than 2 years",10,IF(AV374="Yes only for next 1 to 2 years",5,0))</f>
        <v/>
      </c>
      <c r="AX374" s="31" t="inlineStr">
        <is>
          <t>Above 40</t>
        </is>
      </c>
      <c r="AY374" s="31">
        <f>IF(AX374="Above 40",20,IF(AX374="20 to 40",10,IF(AX374="0 to 20",-5,0)))</f>
        <v/>
      </c>
      <c r="AZ374" s="31" t="inlineStr">
        <is>
          <t>Between 50 to 75</t>
        </is>
      </c>
      <c r="BA374" s="31">
        <f>IF(AZ374="Between 50 to 75",10,IF(AZ374="Above 75",0,0))</f>
        <v/>
      </c>
      <c r="BB374" s="31" t="inlineStr">
        <is>
          <t>Stage 3</t>
        </is>
      </c>
      <c r="BC374" s="31">
        <f>IF(BB374="Stage 2",20,IF(BB374="Stage 1",0,IF(BB374="Stage 3",5,IF(BB374="Stage 4",-5,0))))</f>
        <v/>
      </c>
      <c r="BD374" s="31" t="inlineStr">
        <is>
          <t>Negative Trend</t>
        </is>
      </c>
      <c r="BE374" s="31">
        <f>IF(BD374="Positive Trend",20,IF(BD374="Negative Trend",-10,0))</f>
        <v/>
      </c>
      <c r="BF374" s="31" t="inlineStr">
        <is>
          <t>Sideways</t>
        </is>
      </c>
      <c r="BG374" s="31">
        <f>IF(BF374="Uptrend",10,IF(BF374="Sideways",5,0))</f>
        <v/>
      </c>
      <c r="BH374" s="31" t="inlineStr">
        <is>
          <t>Uptrend</t>
        </is>
      </c>
      <c r="BI374" s="31">
        <f>IF(BH374="Uptrend",10,IF(BH374="Sideways",5,0))</f>
        <v/>
      </c>
      <c r="BJ374" s="31" t="inlineStr">
        <is>
          <t>Overhead supply in last 2 years in last 2 years</t>
        </is>
      </c>
      <c r="BK374" s="31">
        <f>IF(BJ374="Overhead supply in last 2 years in last 2 years",-5,IF(BJ374="Close to 52 week high or retracement",5,IF(BJ374="Blue sky scenario",10,IF(BJ374="Long term Downtrend",-10,0))))</f>
        <v/>
      </c>
      <c r="BL374" s="31" t="inlineStr">
        <is>
          <t>Yes</t>
        </is>
      </c>
      <c r="BM374" s="31">
        <f>IF(BL374="Yes",10,0)</f>
        <v/>
      </c>
      <c r="BN374" s="31" t="inlineStr">
        <is>
          <t>More than 20%</t>
        </is>
      </c>
      <c r="BO374" s="31">
        <f>IF(BN374="More than 20%",10,IF(BN374="Between 12 to 20%",5,IF(BN374="Less than 12%",0,0)))</f>
        <v/>
      </c>
      <c r="BP374" s="31" t="inlineStr">
        <is>
          <t>No</t>
        </is>
      </c>
      <c r="BQ374" s="31">
        <f>IF(BP374="No",10,0)</f>
        <v/>
      </c>
      <c r="BR374" s="31" t="inlineStr">
        <is>
          <t>No</t>
        </is>
      </c>
      <c r="BS374" s="31">
        <f>IF(BR374="NO",5,0)</f>
        <v/>
      </c>
      <c r="BT374" s="31" t="inlineStr">
        <is>
          <t>Less than 1.5</t>
        </is>
      </c>
      <c r="BU374" s="31">
        <f>IF(BT374="Above 2",0,IF(BT374="Between 1.5 to 2",5,IF(BT374="Less than 1.5",10,0)))</f>
        <v/>
      </c>
      <c r="BV374" s="31" t="inlineStr">
        <is>
          <t>Above 70%</t>
        </is>
      </c>
      <c r="BW374" s="31">
        <f>IF(BV374="Above 70%",10,IF(BV374="Between 50% to 70%",5,IF(BV374="Less than 50%",0,IF(BV374="Negative",-10,IF(BV374="Less than 50% and Borrowings are increasing",-5,0)))))</f>
        <v/>
      </c>
      <c r="BX374" s="31" t="inlineStr">
        <is>
          <t>Less than 0.7</t>
        </is>
      </c>
      <c r="BY374" s="31">
        <f>IF(BX374="More than 1.2",-10,IF(BX374="Between 0.7 to 1.2",0,IF(BX374="Less than 0.7",10,0)))</f>
        <v/>
      </c>
      <c r="BZ374" s="31" t="inlineStr">
        <is>
          <t>No</t>
        </is>
      </c>
      <c r="CA374" s="31">
        <f>IF(BZ374="Yes",-10,0)</f>
        <v/>
      </c>
      <c r="CB374" s="31" t="inlineStr">
        <is>
          <t>More than 15%</t>
        </is>
      </c>
      <c r="CC374" s="31">
        <f>IF(CB374="More than 15%",-10,IF(CB374="Less than 15%",10,0))</f>
        <v/>
      </c>
      <c r="CD374" s="31" t="inlineStr">
        <is>
          <t>Yes Upto 10%</t>
        </is>
      </c>
      <c r="CE374" s="31">
        <f>IF(CD374="Yes, more than 10%",-10,IF(CD374="No",10,0))</f>
        <v/>
      </c>
    </row>
    <row r="375">
      <c r="A375" s="31">
        <f>IF(B375=0,"",RANK(B375,$B$2:$B$378,0))</f>
        <v/>
      </c>
      <c r="B375" s="32">
        <f>SUM(N375,Y375,AA375,AC375,AE375,AG375,AI375,AK375,AM375,AO375,AQ375,AS375,AU375,AW375,AY375,BA375,BC375,BE375,BG375,BI375,BK375,BM375,BO375,BQ375,BS375,BU375,BW375,BY375,CA375,CC375,CE375)</f>
        <v/>
      </c>
      <c r="C375" s="31" t="inlineStr">
        <is>
          <t>GNFC</t>
        </is>
      </c>
      <c r="D375" s="31" t="inlineStr">
        <is>
          <t>Gujarat Narmada Valley Fertilizers And Chemicals Limited</t>
        </is>
      </c>
      <c r="E375" s="31" t="inlineStr">
        <is>
          <t>chemicals</t>
        </is>
      </c>
      <c r="F375" s="31" t="inlineStr">
        <is>
          <t>chemicals</t>
        </is>
      </c>
      <c r="G375" s="31" t="inlineStr">
        <is>
          <t>midcap</t>
        </is>
      </c>
      <c r="H375" s="32" t="n">
        <v>8058.23</v>
      </c>
      <c r="I375" s="32" t="n">
        <v>550.4</v>
      </c>
      <c r="J375" s="32" t="n">
        <v>-0.12</v>
      </c>
      <c r="K375" s="32" t="n">
        <v>336850</v>
      </c>
      <c r="L375" s="31" t="n">
        <v>21</v>
      </c>
      <c r="M375" s="31" t="inlineStr">
        <is>
          <t>Outperforming</t>
        </is>
      </c>
      <c r="N375" s="32">
        <f>IF(M375="Underperforming",-5,IF(L375&gt;=95,15,IF(L375&gt;=90,10,IF(L375&gt;=80,5,0))))</f>
        <v/>
      </c>
      <c r="O375" s="32" t="n">
        <v>62.29</v>
      </c>
      <c r="P375" s="32" t="n">
        <v>32.51</v>
      </c>
      <c r="Q375" s="32" t="n">
        <v>461.29</v>
      </c>
      <c r="R375" s="31" t="inlineStr">
        <is>
          <t>Near 52W High Breakout</t>
        </is>
      </c>
      <c r="S375" s="31" t="inlineStr">
        <is>
          <t>Nifty 50</t>
        </is>
      </c>
      <c r="T375" s="32" t="n">
        <v>-0.96</v>
      </c>
      <c r="U375" s="32" t="n">
        <v>13.53</v>
      </c>
      <c r="V375" s="32" t="n">
        <v>14.63</v>
      </c>
      <c r="W375" s="32" t="n">
        <v>4.16</v>
      </c>
      <c r="X375" s="31" t="inlineStr">
        <is>
          <t>Growing Industry</t>
        </is>
      </c>
      <c r="Y375" s="31">
        <f>IF(X375="Growing Industry",10,IF(X375="Cyclical in an Upturn",5,0))</f>
        <v/>
      </c>
      <c r="Z375" s="31" t="inlineStr">
        <is>
          <t>Oligopoly</t>
        </is>
      </c>
      <c r="AA375" s="31">
        <f>IF(Z375="Monopoly",10,IF(Z375="Oligopoly",5,IF(Z375="Duopoly that cooperate",10,IF(Z375="Duopoly that compete",5,IF(Z375="Too many players with High ROCE",5,0)))))</f>
        <v/>
      </c>
      <c r="AB375" s="31" t="inlineStr">
        <is>
          <t>No</t>
        </is>
      </c>
      <c r="AC375" s="31">
        <f>IF(AB375="No",5,0)</f>
        <v/>
      </c>
      <c r="AD375" s="31" t="inlineStr">
        <is>
          <t>Tailwind</t>
        </is>
      </c>
      <c r="AE375" s="31">
        <f>IF(AD375="Tailwind",10,0)</f>
        <v/>
      </c>
      <c r="AF375" s="31" t="inlineStr">
        <is>
          <t>Shallow Cyclical (2 to 3 Years Growth)</t>
        </is>
      </c>
      <c r="AG375" s="31">
        <f>IF(AF375="Structural (10 Years Consistency)",10,IF(AF375="Shallow Cyclical (2 to 3 years growth)",5,0))</f>
        <v/>
      </c>
      <c r="AH375" s="31" t="inlineStr">
        <is>
          <t>Yes due to Product Mix change or Operating Leverage</t>
        </is>
      </c>
      <c r="AI375" s="31">
        <f>IF(AH375="Yes due to Product Mix change or Operating Leverage",10,IF(AH375="Yes, these are peak margins",-5,IF(AH375="No",5,0)))</f>
        <v/>
      </c>
      <c r="AJ375" s="31" t="inlineStr">
        <is>
          <t>Volatile</t>
        </is>
      </c>
      <c r="AK375" s="31">
        <f>IF(AJ375="Stable",10,0)</f>
        <v/>
      </c>
      <c r="AL375" s="31" t="inlineStr">
        <is>
          <t>Yes</t>
        </is>
      </c>
      <c r="AM375" s="31">
        <f>IF(AL375="Yes",10,0)</f>
        <v/>
      </c>
      <c r="AN375" s="31" t="inlineStr">
        <is>
          <t>B2B</t>
        </is>
      </c>
      <c r="AO375" s="31">
        <f>IF(AN375="B2C",10,IF(AN375="B2B",5,0))</f>
        <v/>
      </c>
      <c r="AP375" s="31" t="inlineStr">
        <is>
          <t>Yes</t>
        </is>
      </c>
      <c r="AQ375" s="31">
        <f>IF(AP375="Yes",10,0)</f>
        <v/>
      </c>
      <c r="AR375" s="31" t="inlineStr">
        <is>
          <t>Higher One Time, Lower Annuity</t>
        </is>
      </c>
      <c r="AS375" s="31">
        <f>IF(AR375="Fully Annuity",10,IF(AR375="Higher Annuity, Lower One Time",5,IF(AR375="Higher One Time, Lower Annuity",3,0)))</f>
        <v/>
      </c>
      <c r="AT375" s="31" t="inlineStr">
        <is>
          <t>Allocated capital in Non-core Areas</t>
        </is>
      </c>
      <c r="AU375" s="31">
        <f>IF(AT375="Good",10,0)</f>
        <v/>
      </c>
      <c r="AV375" s="31" t="inlineStr">
        <is>
          <t>Yes for more than 2 years</t>
        </is>
      </c>
      <c r="AW375" s="31">
        <f>IF(AV375="Yes for more than 2 years",10,IF(AV375="Yes only for next 1 to 2 years",5,0))</f>
        <v/>
      </c>
      <c r="AX375" s="31" t="inlineStr">
        <is>
          <t>Above 40</t>
        </is>
      </c>
      <c r="AY375" s="31">
        <f>IF(AX375="Above 40",20,IF(AX375="20 to 40",10,IF(AX375="0 to 20",-5,0)))</f>
        <v/>
      </c>
      <c r="AZ375" s="31" t="inlineStr">
        <is>
          <t>Between 50 to 75</t>
        </is>
      </c>
      <c r="BA375" s="31">
        <f>IF(AZ375="Between 50 to 75",10,IF(AZ375="Above 75",0,0))</f>
        <v/>
      </c>
      <c r="BB375" s="31" t="inlineStr">
        <is>
          <t>Stage 3</t>
        </is>
      </c>
      <c r="BC375" s="31">
        <f>IF(BB375="Stage 2",20,IF(BB375="Stage 1",0,IF(BB375="Stage 3",5,IF(BB375="Stage 4",-5,0))))</f>
        <v/>
      </c>
      <c r="BD375" s="31" t="inlineStr">
        <is>
          <t>Negative Trend</t>
        </is>
      </c>
      <c r="BE375" s="31">
        <f>IF(BD375="Positive Trend",20,IF(BD375="Negative Trend",-10,0))</f>
        <v/>
      </c>
      <c r="BF375" s="31" t="inlineStr">
        <is>
          <t>Sideways</t>
        </is>
      </c>
      <c r="BG375" s="31">
        <f>IF(BF375="Uptrend",10,IF(BF375="Sideways",5,0))</f>
        <v/>
      </c>
      <c r="BH375" s="31" t="inlineStr">
        <is>
          <t>Uptrend</t>
        </is>
      </c>
      <c r="BI375" s="31">
        <f>IF(BH375="Uptrend",10,IF(BH375="Sideways",5,0))</f>
        <v/>
      </c>
      <c r="BJ375" s="31" t="inlineStr">
        <is>
          <t>Overhead supply in last 2 years in last 2 years</t>
        </is>
      </c>
      <c r="BK375" s="31">
        <f>IF(BJ375="Overhead supply in last 2 years in last 2 years",-5,IF(BJ375="Close to 52 week high or retracement",5,IF(BJ375="Blue sky scenario",10,IF(BJ375="Long term Downtrend",-10,0))))</f>
        <v/>
      </c>
      <c r="BL375" s="31" t="inlineStr">
        <is>
          <t>Yes</t>
        </is>
      </c>
      <c r="BM375" s="31">
        <f>IF(BL375="Yes",10,0)</f>
        <v/>
      </c>
      <c r="BN375" s="31" t="inlineStr">
        <is>
          <t>More than 20%</t>
        </is>
      </c>
      <c r="BO375" s="31">
        <f>IF(BN375="More than 20%",10,IF(BN375="Between 12 to 20%",5,IF(BN375="Less than 12%",0,0)))</f>
        <v/>
      </c>
      <c r="BP375" s="31" t="inlineStr">
        <is>
          <t>No</t>
        </is>
      </c>
      <c r="BQ375" s="31">
        <f>IF(BP375="No",10,0)</f>
        <v/>
      </c>
      <c r="BR375" s="31" t="inlineStr">
        <is>
          <t>No</t>
        </is>
      </c>
      <c r="BS375" s="31">
        <f>IF(BR375="NO",5,0)</f>
        <v/>
      </c>
      <c r="BT375" s="31" t="inlineStr">
        <is>
          <t>Less than 1.5</t>
        </is>
      </c>
      <c r="BU375" s="31">
        <f>IF(BT375="Above 2",0,IF(BT375="Between 1.5 to 2",5,IF(BT375="Less than 1.5",10,0)))</f>
        <v/>
      </c>
      <c r="BV375" s="31" t="inlineStr">
        <is>
          <t>Above 70%</t>
        </is>
      </c>
      <c r="BW375" s="31">
        <f>IF(BV375="Above 70%",10,IF(BV375="Between 50% to 70%",5,IF(BV375="Less than 50%",0,IF(BV375="Negative",-10,IF(BV375="Less than 50% and Borrowings are increasing",-5,0)))))</f>
        <v/>
      </c>
      <c r="BX375" s="31" t="inlineStr">
        <is>
          <t>Less than 0.7</t>
        </is>
      </c>
      <c r="BY375" s="31">
        <f>IF(BX375="More than 1.2",-10,IF(BX375="Between 0.7 to 1.2",0,IF(BX375="Less than 0.7",10,0)))</f>
        <v/>
      </c>
      <c r="BZ375" s="31" t="inlineStr">
        <is>
          <t>No</t>
        </is>
      </c>
      <c r="CA375" s="31">
        <f>IF(BZ375="Yes",-10,0)</f>
        <v/>
      </c>
      <c r="CB375" s="31" t="inlineStr">
        <is>
          <t>More than 15%</t>
        </is>
      </c>
      <c r="CC375" s="31">
        <f>IF(CB375="More than 15%",-10,IF(CB375="Less than 15%",10,0))</f>
        <v/>
      </c>
      <c r="CD375" s="31" t="inlineStr">
        <is>
          <t>Yes Upto 10%</t>
        </is>
      </c>
      <c r="CE375" s="31">
        <f>IF(CD375="Yes, more than 10%",-10,IF(CD375="No",10,0))</f>
        <v/>
      </c>
    </row>
    <row r="376">
      <c r="A376" s="31">
        <f>IF(B376=0,"",RANK(B376,$B$2:$B$378,0))</f>
        <v/>
      </c>
      <c r="B376" s="32">
        <f>SUM(N376,Y376,AA376,AC376,AE376,AG376,AI376,AK376,AM376,AO376,AQ376,AS376,AU376,AW376,AY376,BA376,BC376,BE376,BG376,BI376,BK376,BM376,BO376,BQ376,BS376,BU376,BW376,BY376,CA376,CC376,CE376)</f>
        <v/>
      </c>
      <c r="C376" s="31" t="inlineStr">
        <is>
          <t>POLICYBZR</t>
        </is>
      </c>
      <c r="D376" s="31" t="inlineStr">
        <is>
          <t>PB Fintech Ltd</t>
        </is>
      </c>
      <c r="E376" s="31" t="inlineStr">
        <is>
          <t>i.t</t>
        </is>
      </c>
      <c r="F376" s="31" t="inlineStr">
        <is>
          <t>miscellaneous</t>
        </is>
      </c>
      <c r="G376" s="31" t="inlineStr">
        <is>
          <t>largecap</t>
        </is>
      </c>
      <c r="H376" s="32" t="n">
        <v>80185.02</v>
      </c>
      <c r="I376" s="32" t="n">
        <v>1744</v>
      </c>
      <c r="J376" s="32" t="n">
        <v>0.29</v>
      </c>
      <c r="K376" s="32" t="n">
        <v>2224000</v>
      </c>
      <c r="L376" s="31" t="n">
        <v>5</v>
      </c>
      <c r="M376" s="31" t="inlineStr">
        <is>
          <t>Outperforming</t>
        </is>
      </c>
      <c r="N376" s="32">
        <f>IF(M376="Underperforming",-5,IF(L376&gt;=95,15,IF(L376&gt;=90,10,IF(L376&gt;=80,5,0))))</f>
        <v/>
      </c>
      <c r="O376" s="32" t="n">
        <v>58.67</v>
      </c>
      <c r="P376" s="32" t="n">
        <v>7.12</v>
      </c>
      <c r="Q376" s="32" t="n">
        <v>1444.66</v>
      </c>
      <c r="R376" s="31" t="inlineStr">
        <is>
          <t>Earnings / Momentum Support</t>
        </is>
      </c>
      <c r="S376" s="31" t="inlineStr">
        <is>
          <t>Nifty IT</t>
        </is>
      </c>
      <c r="T376" s="32" t="n">
        <v>-9.699999999999999</v>
      </c>
      <c r="U376" s="32" t="n">
        <v>-4.92</v>
      </c>
      <c r="V376" s="32" t="n">
        <v>5.3</v>
      </c>
      <c r="W376" s="32" t="n">
        <v>-0.03</v>
      </c>
      <c r="X376" s="31" t="inlineStr">
        <is>
          <t>Growing Industry</t>
        </is>
      </c>
      <c r="Y376" s="31">
        <f>IF(X376="Growing Industry",10,IF(X376="Cyclical in an Upturn",5,0))</f>
        <v/>
      </c>
      <c r="Z376" s="31" t="inlineStr">
        <is>
          <t>Monopoly</t>
        </is>
      </c>
      <c r="AA376" s="31">
        <f>IF(Z376="Monopoly",10,IF(Z376="Oligopoly",5,IF(Z376="Duopoly that cooperate",10,IF(Z376="Duopoly that compete",5,IF(Z376="Too many players with High ROCE",5,0)))))</f>
        <v/>
      </c>
      <c r="AB376" s="31" t="inlineStr">
        <is>
          <t>Yes</t>
        </is>
      </c>
      <c r="AC376" s="31">
        <f>IF(AB376="No",5,0)</f>
        <v/>
      </c>
      <c r="AD376" s="31" t="inlineStr">
        <is>
          <t>Tailwind</t>
        </is>
      </c>
      <c r="AE376" s="31">
        <f>IF(AD376="Tailwind",10,0)</f>
        <v/>
      </c>
      <c r="AF376" s="31" t="inlineStr">
        <is>
          <t>Structural (10 Years Consistency)</t>
        </is>
      </c>
      <c r="AG376" s="31">
        <f>IF(AF376="Structural (10 Years Consistency)",10,IF(AF376="Shallow Cyclical (2 to 3 years growth)",5,0))</f>
        <v/>
      </c>
      <c r="AH376" s="31" t="inlineStr">
        <is>
          <t>No</t>
        </is>
      </c>
      <c r="AI376" s="31">
        <f>IF(AH376="Yes due to Product Mix change or Operating Leverage",10,IF(AH376="Yes, these are peak margins",-5,IF(AH376="No",5,0)))</f>
        <v/>
      </c>
      <c r="AJ376" s="31" t="inlineStr">
        <is>
          <t>Volatile</t>
        </is>
      </c>
      <c r="AK376" s="31">
        <f>IF(AJ376="Stable",10,0)</f>
        <v/>
      </c>
      <c r="AL376" s="31" t="inlineStr">
        <is>
          <t>Yes</t>
        </is>
      </c>
      <c r="AM376" s="31">
        <f>IF(AL376="Yes",10,0)</f>
        <v/>
      </c>
      <c r="AN376" s="31" t="inlineStr">
        <is>
          <t>B2C</t>
        </is>
      </c>
      <c r="AO376" s="31">
        <f>IF(AN376="B2C",10,IF(AN376="B2B",5,0))</f>
        <v/>
      </c>
      <c r="AP376" s="31" t="inlineStr">
        <is>
          <t>Yes</t>
        </is>
      </c>
      <c r="AQ376" s="31">
        <f>IF(AP376="Yes",10,0)</f>
        <v/>
      </c>
      <c r="AR376" s="31" t="inlineStr">
        <is>
          <t>Fully Annuity</t>
        </is>
      </c>
      <c r="AS376" s="31">
        <f>IF(AR376="Fully Annuity",10,IF(AR376="Higher Annuity, Lower One Time",5,IF(AR376="Higher One Time, Lower Annuity",3,0)))</f>
        <v/>
      </c>
      <c r="AT376" s="31" t="inlineStr">
        <is>
          <t>Allocated capital in Non-core Areas</t>
        </is>
      </c>
      <c r="AU376" s="31">
        <f>IF(AT376="Good",10,0)</f>
        <v/>
      </c>
      <c r="AV376" s="31" t="inlineStr">
        <is>
          <t>Yes for more than 2 years</t>
        </is>
      </c>
      <c r="AW376" s="31">
        <f>IF(AV376="Yes for more than 2 years",10,IF(AV376="Yes only for next 1 to 2 years",5,0))</f>
        <v/>
      </c>
      <c r="AX376" s="31" t="inlineStr">
        <is>
          <t>20 to 40</t>
        </is>
      </c>
      <c r="AY376" s="31">
        <f>IF(AX376="Above 40",20,IF(AX376="20 to 40",10,IF(AX376="0 to 20",-5,0)))</f>
        <v/>
      </c>
      <c r="AZ376" s="31" t="inlineStr">
        <is>
          <t>Below 45</t>
        </is>
      </c>
      <c r="BA376" s="31">
        <f>IF(AZ376="Between 50 to 75",10,IF(AZ376="Above 75",0,0))</f>
        <v/>
      </c>
      <c r="BB376" s="31" t="inlineStr">
        <is>
          <t>Stage 1</t>
        </is>
      </c>
      <c r="BC376" s="31">
        <f>IF(BB376="Stage 2",20,IF(BB376="Stage 1",0,IF(BB376="Stage 3",5,IF(BB376="Stage 4",-5,0))))</f>
        <v/>
      </c>
      <c r="BD376" s="31" t="inlineStr">
        <is>
          <t>Positive Trend</t>
        </is>
      </c>
      <c r="BE376" s="31">
        <f>IF(BD376="Positive Trend",20,IF(BD376="Negative Trend",-10,0))</f>
        <v/>
      </c>
      <c r="BF376" s="31" t="inlineStr">
        <is>
          <t>Downtrend</t>
        </is>
      </c>
      <c r="BG376" s="31">
        <f>IF(BF376="Uptrend",10,IF(BF376="Sideways",5,0))</f>
        <v/>
      </c>
      <c r="BH376" s="31" t="inlineStr">
        <is>
          <t>Downtrend</t>
        </is>
      </c>
      <c r="BI376" s="31">
        <f>IF(BH376="Uptrend",10,IF(BH376="Sideways",5,0))</f>
        <v/>
      </c>
      <c r="BJ376" s="31" t="inlineStr">
        <is>
          <t>Overhead supply in last 2 years in last 2 years</t>
        </is>
      </c>
      <c r="BK376" s="31">
        <f>IF(BJ376="Overhead supply in last 2 years in last 2 years",-5,IF(BJ376="Close to 52 week high or retracement",5,IF(BJ376="Blue sky scenario",10,IF(BJ376="Long term Downtrend",-10,0))))</f>
        <v/>
      </c>
      <c r="BL376" s="31" t="inlineStr">
        <is>
          <t>Yes</t>
        </is>
      </c>
      <c r="BM376" s="31">
        <f>IF(BL376="Yes",10,0)</f>
        <v/>
      </c>
      <c r="BN376" s="31" t="inlineStr">
        <is>
          <t>Less than 12%</t>
        </is>
      </c>
      <c r="BO376" s="31">
        <f>IF(BN376="More than 20%",10,IF(BN376="Between 12 to 20%",5,IF(BN376="Less than 12%",0,0)))</f>
        <v/>
      </c>
      <c r="BP376" s="31" t="inlineStr">
        <is>
          <t>Yes</t>
        </is>
      </c>
      <c r="BQ376" s="31">
        <f>IF(BP376="No",10,0)</f>
        <v/>
      </c>
      <c r="BR376" s="31" t="inlineStr">
        <is>
          <t>Yes</t>
        </is>
      </c>
      <c r="BS376" s="31">
        <f>IF(BR376="NO",5,0)</f>
        <v/>
      </c>
      <c r="BT376" s="31" t="inlineStr">
        <is>
          <t>Above 2</t>
        </is>
      </c>
      <c r="BU376" s="31">
        <f>IF(BT376="Above 2",0,IF(BT376="Between 1.5 to 2",5,IF(BT376="Less than 1.5",10,0)))</f>
        <v/>
      </c>
      <c r="BV376" s="31" t="inlineStr">
        <is>
          <t>Above 70%</t>
        </is>
      </c>
      <c r="BW376" s="31">
        <f>IF(BV376="Above 70%",10,IF(BV376="Between 50% to 70%",5,IF(BV376="Less than 50%",0,IF(BV376="Negative",-10,IF(BV376="Less than 50% and Borrowings are increasing",-5,0)))))</f>
        <v/>
      </c>
      <c r="BX376" s="31" t="inlineStr">
        <is>
          <t>Less than 0.7</t>
        </is>
      </c>
      <c r="BY376" s="31">
        <f>IF(BX376="More than 1.2",-10,IF(BX376="Between 0.7 to 1.2",0,IF(BX376="Less than 0.7",10,0)))</f>
        <v/>
      </c>
      <c r="BZ376" s="31" t="inlineStr">
        <is>
          <t>No</t>
        </is>
      </c>
      <c r="CA376" s="31">
        <f>IF(BZ376="Yes",-10,0)</f>
        <v/>
      </c>
      <c r="CB376" s="31" t="inlineStr">
        <is>
          <t>Less than 15%</t>
        </is>
      </c>
      <c r="CC376" s="31">
        <f>IF(CB376="More than 15%",-10,IF(CB376="Less than 15%",10,0))</f>
        <v/>
      </c>
      <c r="CD376" s="31" t="inlineStr">
        <is>
          <t>No</t>
        </is>
      </c>
      <c r="CE376" s="31">
        <f>IF(CD376="Yes, more than 10%",-10,IF(CD376="No",10,0))</f>
        <v/>
      </c>
    </row>
    <row r="377">
      <c r="A377" s="31">
        <f>IF(B377=0,"",RANK(B377,$B$2:$B$378,0))</f>
        <v/>
      </c>
      <c r="B377" s="32">
        <f>SUM(N377,Y377,AA377,AC377,AE377,AG377,AI377,AK377,AM377,AO377,AQ377,AS377,AU377,AW377,AY377,BA377,BC377,BE377,BG377,BI377,BK377,BM377,BO377,BQ377,BS377,BU377,BW377,BY377,CA377,CC377,CE377)</f>
        <v/>
      </c>
      <c r="C377" s="31" t="inlineStr">
        <is>
          <t>MRPL</t>
        </is>
      </c>
      <c r="D377" s="31" t="inlineStr">
        <is>
          <t>Mangalore Refinery And Petrochemicals Limited</t>
        </is>
      </c>
      <c r="E377" s="31" t="inlineStr">
        <is>
          <t>energy</t>
        </is>
      </c>
      <c r="F377" s="31" t="inlineStr">
        <is>
          <t>refineries</t>
        </is>
      </c>
      <c r="G377" s="31" t="inlineStr">
        <is>
          <t>largecap</t>
        </is>
      </c>
      <c r="H377" s="32" t="n">
        <v>31746.57</v>
      </c>
      <c r="I377" s="32" t="n">
        <v>174.38</v>
      </c>
      <c r="J377" s="32" t="n">
        <v>-0.57</v>
      </c>
      <c r="K377" s="32" t="n">
        <v>4155716</v>
      </c>
      <c r="L377" s="31" t="inlineStr"/>
      <c r="M377" s="31" t="inlineStr"/>
      <c r="N377" s="32">
        <f>IF(M377="Underperforming",-5,IF(L377&gt;=95,15,IF(L377&gt;=90,10,IF(L377&gt;=80,5,0))))</f>
        <v/>
      </c>
      <c r="O377" s="32" t="n">
        <v>55.68</v>
      </c>
      <c r="P377" s="32" t="n">
        <v>15.12</v>
      </c>
      <c r="Q377" s="32" t="n">
        <v>125.63</v>
      </c>
      <c r="R377" s="31" t="inlineStr">
        <is>
          <t>Earnings / Momentum Support</t>
        </is>
      </c>
      <c r="S377" s="31" t="inlineStr">
        <is>
          <t>Nifty Energy</t>
        </is>
      </c>
      <c r="T377" s="32" t="inlineStr"/>
      <c r="U377" s="32" t="inlineStr"/>
      <c r="V377" s="32" t="inlineStr"/>
      <c r="W377" s="32" t="inlineStr"/>
      <c r="X377" s="31" t="inlineStr">
        <is>
          <t>Cyclical in an Upturn</t>
        </is>
      </c>
      <c r="Y377" s="31">
        <f>IF(X377="Growing Industry",10,IF(X377="Cyclical in an Upturn",5,0))</f>
        <v/>
      </c>
      <c r="Z377" s="31" t="inlineStr">
        <is>
          <t>Oligopoly</t>
        </is>
      </c>
      <c r="AA377" s="31">
        <f>IF(Z377="Monopoly",10,IF(Z377="Oligopoly",5,IF(Z377="Duopoly that cooperate",10,IF(Z377="Duopoly that compete",5,IF(Z377="Too many players with High ROCE",5,0)))))</f>
        <v/>
      </c>
      <c r="AB377" s="31" t="inlineStr">
        <is>
          <t>Yes</t>
        </is>
      </c>
      <c r="AC377" s="31">
        <f>IF(AB377="No",5,0)</f>
        <v/>
      </c>
      <c r="AD377" s="31" t="inlineStr">
        <is>
          <t>Headwind</t>
        </is>
      </c>
      <c r="AE377" s="31">
        <f>IF(AD377="Tailwind",10,0)</f>
        <v/>
      </c>
      <c r="AF377" s="31" t="inlineStr">
        <is>
          <t>Cyclical</t>
        </is>
      </c>
      <c r="AG377" s="31">
        <f>IF(AF377="Structural (10 Years Consistency)",10,IF(AF377="Shallow Cyclical (2 to 3 years growth)",5,0))</f>
        <v/>
      </c>
      <c r="AH377" s="31" t="inlineStr">
        <is>
          <t>No</t>
        </is>
      </c>
      <c r="AI377" s="31">
        <f>IF(AH377="Yes due to Product Mix change or Operating Leverage",10,IF(AH377="Yes, these are peak margins",-5,IF(AH377="No",5,0)))</f>
        <v/>
      </c>
      <c r="AJ377" s="31" t="inlineStr">
        <is>
          <t>Volatile</t>
        </is>
      </c>
      <c r="AK377" s="31">
        <f>IF(AJ377="Stable",10,0)</f>
        <v/>
      </c>
      <c r="AL377" s="31" t="inlineStr">
        <is>
          <t>Yes</t>
        </is>
      </c>
      <c r="AM377" s="31">
        <f>IF(AL377="Yes",10,0)</f>
        <v/>
      </c>
      <c r="AN377" s="31" t="inlineStr">
        <is>
          <t>B2B</t>
        </is>
      </c>
      <c r="AO377" s="31">
        <f>IF(AN377="B2C",10,IF(AN377="B2B",5,0))</f>
        <v/>
      </c>
      <c r="AP377" s="31" t="inlineStr">
        <is>
          <t>No</t>
        </is>
      </c>
      <c r="AQ377" s="31">
        <f>IF(AP377="Yes",10,0)</f>
        <v/>
      </c>
      <c r="AR377" s="31" t="inlineStr">
        <is>
          <t>Higher One Time, Lower Annuity</t>
        </is>
      </c>
      <c r="AS377" s="31">
        <f>IF(AR377="Fully Annuity",10,IF(AR377="Higher Annuity, Lower One Time",5,IF(AR377="Higher One Time, Lower Annuity",3,0)))</f>
        <v/>
      </c>
      <c r="AT377" s="31" t="inlineStr">
        <is>
          <t>Good</t>
        </is>
      </c>
      <c r="AU377" s="31">
        <f>IF(AT377="Good",10,0)</f>
        <v/>
      </c>
      <c r="AV377" s="31" t="inlineStr">
        <is>
          <t>Yes for more than 2 years</t>
        </is>
      </c>
      <c r="AW377" s="31">
        <f>IF(AV377="Yes for more than 2 years",10,IF(AV377="Yes only for next 1 to 2 years",5,0))</f>
        <v/>
      </c>
      <c r="AX377" s="31" t="inlineStr">
        <is>
          <t>0 to 20</t>
        </is>
      </c>
      <c r="AY377" s="31">
        <f>IF(AX377="Above 40",20,IF(AX377="20 to 40",10,IF(AX377="0 to 20",-5,0)))</f>
        <v/>
      </c>
      <c r="AZ377" s="31" t="inlineStr">
        <is>
          <t>Between 50 to 75</t>
        </is>
      </c>
      <c r="BA377" s="31">
        <f>IF(AZ377="Between 50 to 75",10,IF(AZ377="Above 75",0,0))</f>
        <v/>
      </c>
      <c r="BB377" s="31" t="inlineStr">
        <is>
          <t>Stage 2</t>
        </is>
      </c>
      <c r="BC377" s="31">
        <f>IF(BB377="Stage 2",20,IF(BB377="Stage 1",0,IF(BB377="Stage 3",5,IF(BB377="Stage 4",-5,0))))</f>
        <v/>
      </c>
      <c r="BD377" s="31" t="inlineStr">
        <is>
          <t>Negative Trend</t>
        </is>
      </c>
      <c r="BE377" s="31">
        <f>IF(BD377="Positive Trend",20,IF(BD377="Negative Trend",-10,0))</f>
        <v/>
      </c>
      <c r="BF377" s="31" t="inlineStr">
        <is>
          <t>Uptrend</t>
        </is>
      </c>
      <c r="BG377" s="31">
        <f>IF(BF377="Uptrend",10,IF(BF377="Sideways",5,0))</f>
        <v/>
      </c>
      <c r="BH377" s="31" t="inlineStr">
        <is>
          <t>Uptrend</t>
        </is>
      </c>
      <c r="BI377" s="31">
        <f>IF(BH377="Uptrend",10,IF(BH377="Sideways",5,0))</f>
        <v/>
      </c>
      <c r="BJ377" s="31" t="inlineStr">
        <is>
          <t>Close to 52 week high or retracement</t>
        </is>
      </c>
      <c r="BK377" s="31">
        <f>IF(BJ377="Overhead supply in last 2 years in last 2 years",-5,IF(BJ377="Close to 52 week high or retracement",5,IF(BJ377="Blue sky scenario",10,IF(BJ377="Long term Downtrend",-10,0))))</f>
        <v/>
      </c>
      <c r="BL377" s="31" t="inlineStr">
        <is>
          <t>Yes</t>
        </is>
      </c>
      <c r="BM377" s="31">
        <f>IF(BL377="Yes",10,0)</f>
        <v/>
      </c>
      <c r="BN377" s="31" t="inlineStr">
        <is>
          <t>More than 20%</t>
        </is>
      </c>
      <c r="BO377" s="31">
        <f>IF(BN377="More than 20%",10,IF(BN377="Between 12 to 20%",5,IF(BN377="Less than 12%",0,0)))</f>
        <v/>
      </c>
      <c r="BP377" s="31" t="inlineStr">
        <is>
          <t>No</t>
        </is>
      </c>
      <c r="BQ377" s="31">
        <f>IF(BP377="No",10,0)</f>
        <v/>
      </c>
      <c r="BR377" s="31" t="inlineStr">
        <is>
          <t>No</t>
        </is>
      </c>
      <c r="BS377" s="31">
        <f>IF(BR377="NO",5,0)</f>
        <v/>
      </c>
      <c r="BT377" s="31" t="inlineStr">
        <is>
          <t>Above 2</t>
        </is>
      </c>
      <c r="BU377" s="31">
        <f>IF(BT377="Above 2",0,IF(BT377="Between 1.5 to 2",5,IF(BT377="Less than 1.5",10,0)))</f>
        <v/>
      </c>
      <c r="BV377" s="31" t="inlineStr">
        <is>
          <t>Above 70%</t>
        </is>
      </c>
      <c r="BW377" s="31">
        <f>IF(BV377="Above 70%",10,IF(BV377="Between 50% to 70%",5,IF(BV377="Less than 50%",0,IF(BV377="Negative",-10,IF(BV377="Less than 50% and Borrowings are increasing",-5,0)))))</f>
        <v/>
      </c>
      <c r="BX377" s="31" t="inlineStr">
        <is>
          <t>Between 0.7 to 1.2</t>
        </is>
      </c>
      <c r="BY377" s="31">
        <f>IF(BX377="More than 1.2",-10,IF(BX377="Between 0.7 to 1.2",0,IF(BX377="Less than 0.7",10,0)))</f>
        <v/>
      </c>
      <c r="BZ377" s="31" t="inlineStr">
        <is>
          <t>No</t>
        </is>
      </c>
      <c r="CA377" s="31">
        <f>IF(BZ377="Yes",-10,0)</f>
        <v/>
      </c>
      <c r="CB377" s="31" t="inlineStr">
        <is>
          <t>Less than 15%</t>
        </is>
      </c>
      <c r="CC377" s="31">
        <f>IF(CB377="More than 15%",-10,IF(CB377="Less than 15%",10,0))</f>
        <v/>
      </c>
      <c r="CD377" s="31" t="inlineStr">
        <is>
          <t>No</t>
        </is>
      </c>
      <c r="CE377" s="31">
        <f>IF(CD377="Yes, more than 10%",-10,IF(CD377="No",10,0))</f>
        <v/>
      </c>
    </row>
    <row r="378">
      <c r="A378" s="31">
        <f>IF(B378=0,"",RANK(B378,$B$2:$B$378,0))</f>
        <v/>
      </c>
      <c r="B378" s="32">
        <f>SUM(N378,Y378,AA378,AC378,AE378,AG378,AI378,AK378,AM378,AO378,AQ378,AS378,AU378,AW378,AY378,BA378,BC378,BE378,BG378,BI378,BK378,BM378,BO378,BQ378,BS378,BU378,BW378,BY378,CA378,CC378,CE378)</f>
        <v/>
      </c>
      <c r="C378" s="31" t="inlineStr">
        <is>
          <t>JSL</t>
        </is>
      </c>
      <c r="D378" s="31" t="inlineStr">
        <is>
          <t>Jindal Stainless Limited</t>
        </is>
      </c>
      <c r="E378" s="31" t="inlineStr">
        <is>
          <t>metals &amp; mining</t>
        </is>
      </c>
      <c r="F378" s="31" t="inlineStr">
        <is>
          <t>steel - large</t>
        </is>
      </c>
      <c r="G378" s="31" t="inlineStr">
        <is>
          <t>largecap</t>
        </is>
      </c>
      <c r="H378" s="32" t="n">
        <v>59778.66</v>
      </c>
      <c r="I378" s="32" t="n">
        <v>736.4</v>
      </c>
      <c r="J378" s="32" t="n">
        <v>-0.2</v>
      </c>
      <c r="K378" s="32" t="n">
        <v>179094</v>
      </c>
      <c r="L378" s="31" t="inlineStr"/>
      <c r="M378" s="31" t="inlineStr"/>
      <c r="N378" s="32">
        <f>IF(M378="Underperforming",-5,IF(L378&gt;=95,15,IF(L378&gt;=90,10,IF(L378&gt;=80,5,0))))</f>
        <v/>
      </c>
      <c r="O378" s="32" t="n">
        <v>50.95</v>
      </c>
      <c r="P378" s="32" t="n">
        <v>10.75</v>
      </c>
      <c r="Q378" s="32" t="n">
        <v>622.39</v>
      </c>
      <c r="R378" s="31" t="inlineStr">
        <is>
          <t>Earnings / Momentum Support</t>
        </is>
      </c>
      <c r="S378" s="31" t="inlineStr">
        <is>
          <t>Nifty Metal</t>
        </is>
      </c>
      <c r="T378" s="32" t="inlineStr"/>
      <c r="U378" s="32" t="inlineStr"/>
      <c r="V378" s="32" t="inlineStr"/>
      <c r="W378" s="32" t="inlineStr"/>
      <c r="X378" s="31" t="inlineStr">
        <is>
          <t>Cyclical in an Upturn</t>
        </is>
      </c>
      <c r="Y378" s="31">
        <f>IF(X378="Growing Industry",10,IF(X378="Cyclical in an Upturn",5,0))</f>
        <v/>
      </c>
      <c r="Z378" s="31" t="inlineStr">
        <is>
          <t>Too Many Players with High ROCE</t>
        </is>
      </c>
      <c r="AA378" s="31">
        <f>IF(Z378="Monopoly",10,IF(Z378="Oligopoly",5,IF(Z378="Duopoly that cooperate",10,IF(Z378="Duopoly that compete",5,IF(Z378="Too many players with High ROCE",5,0)))))</f>
        <v/>
      </c>
      <c r="AB378" s="31" t="inlineStr">
        <is>
          <t>No</t>
        </is>
      </c>
      <c r="AC378" s="31">
        <f>IF(AB378="No",5,0)</f>
        <v/>
      </c>
      <c r="AD378" s="31" t="inlineStr">
        <is>
          <t>Headwind</t>
        </is>
      </c>
      <c r="AE378" s="31">
        <f>IF(AD378="Tailwind",10,0)</f>
        <v/>
      </c>
      <c r="AF378" s="31" t="inlineStr">
        <is>
          <t>Cyclical</t>
        </is>
      </c>
      <c r="AG378" s="31">
        <f>IF(AF378="Structural (10 Years Consistency)",10,IF(AF378="Shallow Cyclical (2 to 3 years growth)",5,0))</f>
        <v/>
      </c>
      <c r="AH378" s="31" t="inlineStr">
        <is>
          <t>No</t>
        </is>
      </c>
      <c r="AI378" s="31">
        <f>IF(AH378="Yes due to Product Mix change or Operating Leverage",10,IF(AH378="Yes, these are peak margins",-5,IF(AH378="No",5,0)))</f>
        <v/>
      </c>
      <c r="AJ378" s="31" t="inlineStr">
        <is>
          <t>Volatile</t>
        </is>
      </c>
      <c r="AK378" s="31">
        <f>IF(AJ378="Stable",10,0)</f>
        <v/>
      </c>
      <c r="AL378" s="31" t="inlineStr">
        <is>
          <t>Yes</t>
        </is>
      </c>
      <c r="AM378" s="31">
        <f>IF(AL378="Yes",10,0)</f>
        <v/>
      </c>
      <c r="AN378" s="31" t="inlineStr">
        <is>
          <t>B2B</t>
        </is>
      </c>
      <c r="AO378" s="31">
        <f>IF(AN378="B2C",10,IF(AN378="B2B",5,0))</f>
        <v/>
      </c>
      <c r="AP378" s="31" t="inlineStr">
        <is>
          <t>No</t>
        </is>
      </c>
      <c r="AQ378" s="31">
        <f>IF(AP378="Yes",10,0)</f>
        <v/>
      </c>
      <c r="AR378" s="31" t="inlineStr">
        <is>
          <t>Higher One Time, Lower Annuity</t>
        </is>
      </c>
      <c r="AS378" s="31">
        <f>IF(AR378="Fully Annuity",10,IF(AR378="Higher Annuity, Lower One Time",5,IF(AR378="Higher One Time, Lower Annuity",3,0)))</f>
        <v/>
      </c>
      <c r="AT378" s="31" t="inlineStr">
        <is>
          <t>Good</t>
        </is>
      </c>
      <c r="AU378" s="31">
        <f>IF(AT378="Good",10,0)</f>
        <v/>
      </c>
      <c r="AV378" s="31" t="inlineStr">
        <is>
          <t>Yes for more than 2 years</t>
        </is>
      </c>
      <c r="AW378" s="31">
        <f>IF(AV378="Yes for more than 2 years",10,IF(AV378="Yes only for next 1 to 2 years",5,0))</f>
        <v/>
      </c>
      <c r="AX378" s="31" t="inlineStr">
        <is>
          <t>0 to 20</t>
        </is>
      </c>
      <c r="AY378" s="31">
        <f>IF(AX378="Above 40",20,IF(AX378="20 to 40",10,IF(AX378="0 to 20",-5,0)))</f>
        <v/>
      </c>
      <c r="AZ378" s="31" t="inlineStr">
        <is>
          <t>Between 50 to 75</t>
        </is>
      </c>
      <c r="BA378" s="31">
        <f>IF(AZ378="Between 50 to 75",10,IF(AZ378="Above 75",0,0))</f>
        <v/>
      </c>
      <c r="BB378" s="31" t="inlineStr">
        <is>
          <t>Stage 1</t>
        </is>
      </c>
      <c r="BC378" s="31">
        <f>IF(BB378="Stage 2",20,IF(BB378="Stage 1",0,IF(BB378="Stage 3",5,IF(BB378="Stage 4",-5,0))))</f>
        <v/>
      </c>
      <c r="BD378" s="31" t="inlineStr">
        <is>
          <t>Negative Trend</t>
        </is>
      </c>
      <c r="BE378" s="31">
        <f>IF(BD378="Positive Trend",20,IF(BD378="Negative Trend",-10,0))</f>
        <v/>
      </c>
      <c r="BF378" s="31" t="inlineStr">
        <is>
          <t>Uptrend</t>
        </is>
      </c>
      <c r="BG378" s="31">
        <f>IF(BF378="Uptrend",10,IF(BF378="Sideways",5,0))</f>
        <v/>
      </c>
      <c r="BH378" s="31" t="inlineStr">
        <is>
          <t>Uptrend</t>
        </is>
      </c>
      <c r="BI378" s="31">
        <f>IF(BH378="Uptrend",10,IF(BH378="Sideways",5,0))</f>
        <v/>
      </c>
      <c r="BJ378" s="31" t="inlineStr">
        <is>
          <t>Close to 52 week high or retracement</t>
        </is>
      </c>
      <c r="BK378" s="31">
        <f>IF(BJ378="Overhead supply in last 2 years in last 2 years",-5,IF(BJ378="Close to 52 week high or retracement",5,IF(BJ378="Blue sky scenario",10,IF(BJ378="Long term Downtrend",-10,0))))</f>
        <v/>
      </c>
      <c r="BL378" s="31" t="inlineStr">
        <is>
          <t>Yes</t>
        </is>
      </c>
      <c r="BM378" s="31">
        <f>IF(BL378="Yes",10,0)</f>
        <v/>
      </c>
      <c r="BN378" s="31" t="inlineStr">
        <is>
          <t>Less than 12%</t>
        </is>
      </c>
      <c r="BO378" s="31">
        <f>IF(BN378="More than 20%",10,IF(BN378="Between 12 to 20%",5,IF(BN378="Less than 12%",0,0)))</f>
        <v/>
      </c>
      <c r="BP378" s="31" t="inlineStr">
        <is>
          <t>No</t>
        </is>
      </c>
      <c r="BQ378" s="31">
        <f>IF(BP378="No",10,0)</f>
        <v/>
      </c>
      <c r="BR378" s="31" t="inlineStr">
        <is>
          <t>No</t>
        </is>
      </c>
      <c r="BS378" s="31">
        <f>IF(BR378="NO",5,0)</f>
        <v/>
      </c>
      <c r="BT378" s="31" t="inlineStr">
        <is>
          <t>Above 2</t>
        </is>
      </c>
      <c r="BU378" s="31">
        <f>IF(BT378="Above 2",0,IF(BT378="Between 1.5 to 2",5,IF(BT378="Less than 1.5",10,0)))</f>
        <v/>
      </c>
      <c r="BV378" s="31" t="inlineStr">
        <is>
          <t>Above 70%</t>
        </is>
      </c>
      <c r="BW378" s="31">
        <f>IF(BV378="Above 70%",10,IF(BV378="Between 50% to 70%",5,IF(BV378="Less than 50%",0,IF(BV378="Negative",-10,IF(BV378="Less than 50% and Borrowings are increasing",-5,0)))))</f>
        <v/>
      </c>
      <c r="BX378" s="31" t="inlineStr">
        <is>
          <t>Less than 0.7</t>
        </is>
      </c>
      <c r="BY378" s="31">
        <f>IF(BX378="More than 1.2",-10,IF(BX378="Between 0.7 to 1.2",0,IF(BX378="Less than 0.7",10,0)))</f>
        <v/>
      </c>
      <c r="BZ378" s="31" t="inlineStr">
        <is>
          <t>No</t>
        </is>
      </c>
      <c r="CA378" s="31">
        <f>IF(BZ378="Yes",-10,0)</f>
        <v/>
      </c>
      <c r="CB378" s="31" t="inlineStr">
        <is>
          <t>Less than 15%</t>
        </is>
      </c>
      <c r="CC378" s="31">
        <f>IF(CB378="More than 15%",-10,IF(CB378="Less than 15%",10,0))</f>
        <v/>
      </c>
      <c r="CD378" s="31" t="inlineStr">
        <is>
          <t>No</t>
        </is>
      </c>
      <c r="CE378" s="31">
        <f>IF(CD378="Yes, more than 10%",-10,IF(CD378="No",10,0))</f>
        <v/>
      </c>
    </row>
  </sheetData>
  <autoFilter ref="A1:CE378"/>
  <conditionalFormatting sqref="B2:B37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8">
    <cfRule type="cellIs" priority="36" operator="equal" dxfId="3" stopIfTrue="1">
      <formula>"Underperforming"</formula>
    </cfRule>
  </conditionalFormatting>
  <conditionalFormatting sqref="N2:N378">
    <cfRule type="cellIs" priority="37" operator="equal" dxfId="3" stopIfTrue="1">
      <formula>-5</formula>
    </cfRule>
  </conditionalFormatting>
  <conditionalFormatting sqref="Q2:Q378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8" showDropDown="0" showInputMessage="0" showErrorMessage="0" allowBlank="1" type="list">
      <formula1>"Growing Industry,Stagnant Industry,Cyclical in an Upturn"</formula1>
    </dataValidation>
    <dataValidation sqref="Z2:Z37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8" showDropDown="0" showInputMessage="0" showErrorMessage="0" allowBlank="1" type="list">
      <formula1>"Yes,No"</formula1>
    </dataValidation>
    <dataValidation sqref="AD2:AD378" showDropDown="0" showInputMessage="0" showErrorMessage="0" allowBlank="1" type="list">
      <formula1>"Tailwind,Headwind"</formula1>
    </dataValidation>
    <dataValidation sqref="AF2:AF378" showDropDown="0" showInputMessage="0" showErrorMessage="0" allowBlank="1" type="list">
      <formula1>"Structural (10 Years Consistency),Shallow Cyclical (2 to 3 Years Growth),Cyclical"</formula1>
    </dataValidation>
    <dataValidation sqref="AH2:AH378" showDropDown="0" showInputMessage="0" showErrorMessage="0" allowBlank="1" type="list">
      <formula1>"Yes due to Product Mix change or Operating Leverage,Yes, these are peak margins,No"</formula1>
    </dataValidation>
    <dataValidation sqref="AJ2:AJ378" showDropDown="0" showInputMessage="0" showErrorMessage="0" allowBlank="1" type="list">
      <formula1>"Stable,Volatile"</formula1>
    </dataValidation>
    <dataValidation sqref="AL2:AL378" showDropDown="0" showInputMessage="0" showErrorMessage="0" allowBlank="1" type="list">
      <formula1>"Yes,No"</formula1>
    </dataValidation>
    <dataValidation sqref="AN2:AN378" showDropDown="0" showInputMessage="0" showErrorMessage="0" allowBlank="1" type="list">
      <formula1>"B2C,B2B,B2G"</formula1>
    </dataValidation>
    <dataValidation sqref="AP2:AP378" showDropDown="0" showInputMessage="0" showErrorMessage="0" allowBlank="1" type="list">
      <formula1>"Yes,No"</formula1>
    </dataValidation>
    <dataValidation sqref="AR2:AR378" showDropDown="0" showInputMessage="0" showErrorMessage="0" allowBlank="1" type="list">
      <formula1>"Fully Annuity,Higher Annuity, Lower One time,Higher One Time, Lower Annuity,Fully One Time"</formula1>
    </dataValidation>
    <dataValidation sqref="AT2:AT378" showDropDown="0" showInputMessage="0" showErrorMessage="0" allowBlank="1" type="list">
      <formula1>"Good,Allocated capital in Non-core Areas"</formula1>
    </dataValidation>
    <dataValidation sqref="AV2:AV378" showDropDown="0" showInputMessage="0" showErrorMessage="0" allowBlank="1" type="list">
      <formula1>"Yes for more than 2 years,Yes only for next 1 to 2 years,No"</formula1>
    </dataValidation>
    <dataValidation sqref="AX2:AX378" showDropDown="0" showInputMessage="0" showErrorMessage="0" allowBlank="1" type="list">
      <formula1>"Above 40,20 to 40,0 to 20"</formula1>
    </dataValidation>
    <dataValidation sqref="AZ2:AZ378" showDropDown="0" showInputMessage="0" showErrorMessage="0" allowBlank="1" type="list">
      <formula1>"Between 50 to 75,Above 75,Below 45"</formula1>
    </dataValidation>
    <dataValidation sqref="BB2:BB378" showDropDown="0" showInputMessage="0" showErrorMessage="0" allowBlank="1" type="list">
      <formula1>"Stage 1,Stage 2,Stage 3,Stage 4"</formula1>
    </dataValidation>
    <dataValidation sqref="BD2:BD378" showDropDown="0" showInputMessage="0" showErrorMessage="0" allowBlank="1" type="list">
      <formula1>"Positive Trend,Negative Trend"</formula1>
    </dataValidation>
    <dataValidation sqref="BF2:BF378" showDropDown="0" showInputMessage="0" showErrorMessage="0" allowBlank="1" type="list">
      <formula1>"Uptrend,Sideways,Downtrend"</formula1>
    </dataValidation>
    <dataValidation sqref="BH2:BH378" showDropDown="0" showInputMessage="0" showErrorMessage="0" allowBlank="1" type="list">
      <formula1>"Uptrend,Sideways,Downtrend"</formula1>
    </dataValidation>
    <dataValidation sqref="BJ2:BJ37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8" showDropDown="0" showInputMessage="0" showErrorMessage="0" allowBlank="1" type="list">
      <formula1>"Yes,No"</formula1>
    </dataValidation>
    <dataValidation sqref="BN2:BN378" showDropDown="0" showInputMessage="0" showErrorMessage="0" allowBlank="1" type="list">
      <formula1>"More than 20%,Between 12 to 20%,Less than 12%"</formula1>
    </dataValidation>
    <dataValidation sqref="BP2:BP378" showDropDown="0" showInputMessage="0" showErrorMessage="0" allowBlank="1" type="list">
      <formula1>"Yes,No"</formula1>
    </dataValidation>
    <dataValidation sqref="BR2:BR378" showDropDown="0" showInputMessage="0" showErrorMessage="0" allowBlank="1" type="list">
      <formula1>"Yes,No"</formula1>
    </dataValidation>
    <dataValidation sqref="BT2:BT378" showDropDown="0" showInputMessage="0" showErrorMessage="0" allowBlank="1" type="list">
      <formula1>"Above 2,Between 1.5 to 2,Less than 1.5"</formula1>
    </dataValidation>
    <dataValidation sqref="BV2:BV378" showDropDown="0" showInputMessage="0" showErrorMessage="0" allowBlank="1" type="list">
      <formula1>"Above 70%,Between 50% to 70%,Less than 50%,Less than 50% and Borrowings are increasing,Negative"</formula1>
    </dataValidation>
    <dataValidation sqref="BX2:BX378" showDropDown="0" showInputMessage="0" showErrorMessage="0" allowBlank="1" type="list">
      <formula1>"More than 1.2,Between 0.7 to 1.2,Less than 0.7"</formula1>
    </dataValidation>
    <dataValidation sqref="BZ2:BZ378" showDropDown="0" showInputMessage="0" showErrorMessage="0" allowBlank="1" type="list">
      <formula1>"Yes,No"</formula1>
    </dataValidation>
    <dataValidation sqref="CB2:CB378" showDropDown="0" showInputMessage="0" showErrorMessage="0" allowBlank="1" type="list">
      <formula1>"More than 15%,Less than 15%"</formula1>
    </dataValidation>
    <dataValidation sqref="CD2:CD37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IF(B2=0,"",RANK(B2,$B$2:$B$42,0))</f>
        <v/>
      </c>
      <c r="B2" s="32">
        <f>SUM(N2,Y2,AA2,AC2,AE2,AG2,AI2,AK2,AM2,AO2,AQ2,AS2,AU2,AW2,AY2,BA2,BC2,BE2,BG2,BI2,BK2,BM2,BO2,BQ2,BS2,BU2,BW2,BY2,CA2)</f>
        <v/>
      </c>
      <c r="C2" s="31" t="inlineStr">
        <is>
          <t>RANEHOLDIN</t>
        </is>
      </c>
      <c r="D2" s="31" t="inlineStr">
        <is>
          <t>Rane Holdings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2536.02</v>
      </c>
      <c r="I2" s="32" t="n">
        <v>1789</v>
      </c>
      <c r="J2" s="32" t="n">
        <v>-0.7</v>
      </c>
      <c r="K2" s="32" t="n">
        <v>93353</v>
      </c>
      <c r="L2" s="31" t="n">
        <v>48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71.31999999999999</v>
      </c>
      <c r="P2" s="32" t="n">
        <v>45.19</v>
      </c>
      <c r="Q2" s="32" t="n">
        <v>1383.47</v>
      </c>
      <c r="R2" s="31" t="inlineStr">
        <is>
          <t>Near 52W High Breakout</t>
        </is>
      </c>
      <c r="S2" s="31" t="inlineStr">
        <is>
          <t>Nifty Bank</t>
        </is>
      </c>
      <c r="T2" s="32" t="n">
        <v>4.14</v>
      </c>
      <c r="U2" s="32" t="n">
        <v>23.32</v>
      </c>
      <c r="V2" s="32" t="n">
        <v>18.42</v>
      </c>
      <c r="W2" s="32" t="n">
        <v>10.18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IF(B3=0,"",RANK(B3,$B$2:$B$42,0))</f>
        <v/>
      </c>
      <c r="B3" s="32">
        <f>SUM(N3,Y3,AA3,AC3,AE3,AG3,AI3,AK3,AM3,AO3,AQ3,AS3,AU3,AW3,AY3,BA3,BC3,BE3,BG3,BI3,BK3,BM3,BO3,BQ3,BS3,BU3,BW3,BY3,CA3)</f>
        <v/>
      </c>
      <c r="C3" s="31" t="inlineStr">
        <is>
          <t>JSFB</t>
        </is>
      </c>
      <c r="D3" s="31" t="inlineStr">
        <is>
          <t>Jana Small Finance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5547.26</v>
      </c>
      <c r="I3" s="32" t="n">
        <v>571.15</v>
      </c>
      <c r="J3" s="32" t="n">
        <v>4.54</v>
      </c>
      <c r="K3" s="32" t="n">
        <v>1193623</v>
      </c>
      <c r="L3" s="31" t="n">
        <v>42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68.02</v>
      </c>
      <c r="P3" s="32" t="n">
        <v>36.99</v>
      </c>
      <c r="Q3" s="32" t="n">
        <v>440.64</v>
      </c>
      <c r="R3" s="31" t="inlineStr">
        <is>
          <t>Near 52W High Breakout</t>
        </is>
      </c>
      <c r="S3" s="31" t="inlineStr">
        <is>
          <t>Nifty Bank</t>
        </is>
      </c>
      <c r="T3" s="32" t="n">
        <v>4.14</v>
      </c>
      <c r="U3" s="32" t="n">
        <v>23.79</v>
      </c>
      <c r="V3" s="32" t="n">
        <v>18.86</v>
      </c>
      <c r="W3" s="32" t="n">
        <v>8.68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IF(B4=0,"",RANK(B4,$B$2:$B$42,0))</f>
        <v/>
      </c>
      <c r="B4" s="32">
        <f>SUM(N4,Y4,AA4,AC4,AE4,AG4,AI4,AK4,AM4,AO4,AQ4,AS4,AU4,AW4,AY4,BA4,BC4,BE4,BG4,BI4,BK4,BM4,BO4,BQ4,BS4,BU4,BW4,BY4,CA4)</f>
        <v/>
      </c>
      <c r="C4" s="31" t="inlineStr">
        <is>
          <t>IIFL</t>
        </is>
      </c>
      <c r="D4" s="31" t="inlineStr">
        <is>
          <t>IIFL Finance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largecap</t>
        </is>
      </c>
      <c r="H4" s="32" t="n">
        <v>26338.25</v>
      </c>
      <c r="I4" s="32" t="n">
        <v>635.95</v>
      </c>
      <c r="J4" s="32" t="n">
        <v>1.63</v>
      </c>
      <c r="K4" s="32" t="n">
        <v>2076609</v>
      </c>
      <c r="L4" s="31" t="n">
        <v>67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71.79000000000001</v>
      </c>
      <c r="P4" s="32" t="n">
        <v>20.11</v>
      </c>
      <c r="Q4" s="32" t="n">
        <v>512.42</v>
      </c>
      <c r="R4" s="31" t="inlineStr">
        <is>
          <t>Near 52W High Breakout</t>
        </is>
      </c>
      <c r="S4" s="31" t="inlineStr">
        <is>
          <t>Nifty Bank</t>
        </is>
      </c>
      <c r="T4" s="32" t="n">
        <v>4.14</v>
      </c>
      <c r="U4" s="32" t="n">
        <v>45.04</v>
      </c>
      <c r="V4" s="32" t="n">
        <v>39.27</v>
      </c>
      <c r="W4" s="32" t="n">
        <v>16.51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IF(B5=0,"",RANK(B5,$B$2:$B$42,0))</f>
        <v/>
      </c>
      <c r="B5" s="32">
        <f>SUM(N5,Y5,AA5,AC5,AE5,AG5,AI5,AK5,AM5,AO5,AQ5,AS5,AU5,AW5,AY5,BA5,BC5,BE5,BG5,BI5,BK5,BM5,BO5,BQ5,BS5,BU5,BW5,BY5,CA5)</f>
        <v/>
      </c>
      <c r="C5" s="31" t="inlineStr">
        <is>
          <t>M&amp;MFIN</t>
        </is>
      </c>
      <c r="D5" s="31" t="inlineStr">
        <is>
          <t>Mahindra &amp; Mahindra Financial Services Limited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largecap</t>
        </is>
      </c>
      <c r="H5" s="32" t="n">
        <v>55432.05</v>
      </c>
      <c r="I5" s="32" t="n">
        <v>396.15</v>
      </c>
      <c r="J5" s="32" t="n">
        <v>0.08</v>
      </c>
      <c r="K5" s="32" t="n">
        <v>2668434</v>
      </c>
      <c r="L5" s="31" t="n">
        <v>66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65.91</v>
      </c>
      <c r="P5" s="32" t="n">
        <v>22.17</v>
      </c>
      <c r="Q5" s="32" t="n">
        <v>323.57</v>
      </c>
      <c r="R5" s="31" t="inlineStr">
        <is>
          <t>Near 52W High Breakout</t>
        </is>
      </c>
      <c r="S5" s="31" t="inlineStr">
        <is>
          <t>Nifty Bank</t>
        </is>
      </c>
      <c r="T5" s="32" t="n">
        <v>4.14</v>
      </c>
      <c r="U5" s="32" t="n">
        <v>58.89</v>
      </c>
      <c r="V5" s="32" t="n">
        <v>52.56</v>
      </c>
      <c r="W5" s="32" t="n">
        <v>15.96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IF(B6=0,"",RANK(B6,$B$2:$B$42,0))</f>
        <v/>
      </c>
      <c r="B6" s="32">
        <f>SUM(N6,Y6,AA6,AC6,AE6,AG6,AI6,AK6,AM6,AO6,AQ6,AS6,AU6,AW6,AY6,BA6,BC6,BE6,BG6,BI6,BK6,BM6,BO6,BQ6,BS6,BU6,BW6,BY6,CA6)</f>
        <v/>
      </c>
      <c r="C6" s="31" t="inlineStr">
        <is>
          <t>KTKBANK</t>
        </is>
      </c>
      <c r="D6" s="31" t="inlineStr">
        <is>
          <t>The Karnataka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11453.89</v>
      </c>
      <c r="I6" s="32" t="n">
        <v>312.75</v>
      </c>
      <c r="J6" s="32" t="n">
        <v>-0.3</v>
      </c>
      <c r="K6" s="32" t="n">
        <v>1144961</v>
      </c>
      <c r="L6" s="31" t="n">
        <v>74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75.20999999999999</v>
      </c>
      <c r="P6" s="32" t="n">
        <v>45.49</v>
      </c>
      <c r="Q6" s="32" t="n">
        <v>258.25</v>
      </c>
      <c r="R6" s="31" t="inlineStr">
        <is>
          <t>Near 52W High Breakout</t>
        </is>
      </c>
      <c r="S6" s="31" t="inlineStr">
        <is>
          <t>Nifty Bank</t>
        </is>
      </c>
      <c r="T6" s="32" t="n">
        <v>4.14</v>
      </c>
      <c r="U6" s="32" t="n">
        <v>89.3</v>
      </c>
      <c r="V6" s="32" t="n">
        <v>81.76000000000001</v>
      </c>
      <c r="W6" s="32" t="n">
        <v>19.48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IF(B7=0,"",RANK(B7,$B$2:$B$42,0))</f>
        <v/>
      </c>
      <c r="B7" s="32">
        <f>SUM(N7,Y7,AA7,AC7,AE7,AG7,AI7,AK7,AM7,AO7,AQ7,AS7,AU7,AW7,AY7,BA7,BC7,BE7,BG7,BI7,BK7,BM7,BO7,BQ7,BS7,BU7,BW7,BY7,CA7)</f>
        <v/>
      </c>
      <c r="C7" s="31" t="inlineStr">
        <is>
          <t>RBLBANK</t>
        </is>
      </c>
      <c r="D7" s="31" t="inlineStr">
        <is>
          <t>Rbl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60347.31</v>
      </c>
      <c r="I7" s="32" t="n">
        <v>387.25</v>
      </c>
      <c r="J7" s="32" t="n">
        <v>-0.65</v>
      </c>
      <c r="K7" s="32" t="n">
        <v>2232497</v>
      </c>
      <c r="L7" s="31" t="n">
        <v>57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64.22</v>
      </c>
      <c r="P7" s="32" t="n">
        <v>36.9</v>
      </c>
      <c r="Q7" s="32" t="n">
        <v>329.52</v>
      </c>
      <c r="R7" s="31" t="inlineStr">
        <is>
          <t>Near 52W High Breakout</t>
        </is>
      </c>
      <c r="S7" s="31" t="inlineStr">
        <is>
          <t>Nifty Bank</t>
        </is>
      </c>
      <c r="T7" s="32" t="n">
        <v>4.14</v>
      </c>
      <c r="U7" s="32" t="n">
        <v>54.32</v>
      </c>
      <c r="V7" s="32" t="n">
        <v>48.18</v>
      </c>
      <c r="W7" s="32" t="n">
        <v>12.46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IF(B8=0,"",RANK(B8,$B$2:$B$42,0))</f>
        <v/>
      </c>
      <c r="B8" s="32">
        <f>SUM(N8,Y8,AA8,AC8,AE8,AG8,AI8,AK8,AM8,AO8,AQ8,AS8,AU8,AW8,AY8,BA8,BC8,BE8,BG8,BI8,BK8,BM8,BO8,BQ8,BS8,BU8,BW8,BY8,CA8)</f>
        <v/>
      </c>
      <c r="C8" s="31" t="inlineStr">
        <is>
          <t>KARURVYSYA</t>
        </is>
      </c>
      <c r="D8" s="31" t="inlineStr">
        <is>
          <t>Karur Vysya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largecap</t>
        </is>
      </c>
      <c r="H8" s="32" t="n">
        <v>32306.07</v>
      </c>
      <c r="I8" s="32" t="n">
        <v>335.95</v>
      </c>
      <c r="J8" s="32" t="n">
        <v>-0.84</v>
      </c>
      <c r="K8" s="32" t="n">
        <v>1147979</v>
      </c>
      <c r="L8" s="31" t="n">
        <v>58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66.81</v>
      </c>
      <c r="P8" s="32" t="n">
        <v>20.01</v>
      </c>
      <c r="Q8" s="32" t="n">
        <v>283.8</v>
      </c>
      <c r="R8" s="31" t="inlineStr">
        <is>
          <t>Near 52W High Breakout</t>
        </is>
      </c>
      <c r="S8" s="31" t="inlineStr">
        <is>
          <t>Nifty Bank</t>
        </is>
      </c>
      <c r="T8" s="32" t="n">
        <v>4.14</v>
      </c>
      <c r="U8" s="32" t="n">
        <v>57.99</v>
      </c>
      <c r="V8" s="32" t="n">
        <v>51.7</v>
      </c>
      <c r="W8" s="32" t="n">
        <v>12.83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IF(B9=0,"",RANK(B9,$B$2:$B$42,0))</f>
        <v/>
      </c>
      <c r="B9" s="32">
        <f>SUM(N9,Y9,AA9,AC9,AE9,AG9,AI9,AK9,AM9,AO9,AQ9,AS9,AU9,AW9,AY9,BA9,BC9,BE9,BG9,BI9,BK9,BM9,BO9,BQ9,BS9,BU9,BW9,BY9,CA9)</f>
        <v/>
      </c>
      <c r="C9" s="31" t="inlineStr">
        <is>
          <t>UJJIVANSFB</t>
        </is>
      </c>
      <c r="D9" s="31" t="inlineStr">
        <is>
          <t>Ujjivan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13644.02</v>
      </c>
      <c r="I9" s="32" t="n">
        <v>71.19</v>
      </c>
      <c r="J9" s="32" t="n">
        <v>-1.64</v>
      </c>
      <c r="K9" s="32" t="n">
        <v>7792350</v>
      </c>
      <c r="L9" s="31" t="n">
        <v>70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67.03</v>
      </c>
      <c r="P9" s="32" t="n">
        <v>35.92</v>
      </c>
      <c r="Q9" s="32" t="n">
        <v>57.06</v>
      </c>
      <c r="R9" s="31" t="inlineStr">
        <is>
          <t>Near 52W High Breakout</t>
        </is>
      </c>
      <c r="S9" s="31" t="inlineStr">
        <is>
          <t>Nifty Bank</t>
        </is>
      </c>
      <c r="T9" s="32" t="n">
        <v>4.14</v>
      </c>
      <c r="U9" s="32" t="n">
        <v>70.84</v>
      </c>
      <c r="V9" s="32" t="n">
        <v>64.04000000000001</v>
      </c>
      <c r="W9" s="32" t="n">
        <v>17.75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IF(B10=0,"",RANK(B10,$B$2:$B$42,0))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TFCILTD</t>
        </is>
      </c>
      <c r="D10" s="31" t="inlineStr">
        <is>
          <t>Tourism Finance Corporation Of India Limited</t>
        </is>
      </c>
      <c r="E10" s="31" t="inlineStr">
        <is>
          <t>financials</t>
        </is>
      </c>
      <c r="F10" s="31" t="inlineStr">
        <is>
          <t>finance - term-lending institutions</t>
        </is>
      </c>
      <c r="G10" s="31" t="inlineStr">
        <is>
          <t>midcap</t>
        </is>
      </c>
      <c r="H10" s="32" t="n">
        <v>5352.02</v>
      </c>
      <c r="I10" s="32" t="n">
        <v>115.31</v>
      </c>
      <c r="J10" s="32" t="n">
        <v>0.16</v>
      </c>
      <c r="K10" s="32" t="n">
        <v>12274010</v>
      </c>
      <c r="L10" s="31" t="n">
        <v>81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77.14</v>
      </c>
      <c r="P10" s="32" t="n">
        <v>51.34</v>
      </c>
      <c r="Q10" s="32" t="n">
        <v>93.06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4.14</v>
      </c>
      <c r="U10" s="32" t="n">
        <v>86.53</v>
      </c>
      <c r="V10" s="32" t="n">
        <v>79.09999999999999</v>
      </c>
      <c r="W10" s="32" t="n">
        <v>25.17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Above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IF(B11=0,"",RANK(B11,$B$2:$B$42,0))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MUFIN</t>
        </is>
      </c>
      <c r="D11" s="31" t="inlineStr">
        <is>
          <t>Mufin Green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2694.61</v>
      </c>
      <c r="I11" s="32" t="n">
        <v>136.47</v>
      </c>
      <c r="J11" s="32" t="n">
        <v>0.79</v>
      </c>
      <c r="K11" s="32" t="n">
        <v>1162110</v>
      </c>
      <c r="L11" s="31" t="n">
        <v>58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64.45</v>
      </c>
      <c r="P11" s="32" t="n">
        <v>34.13</v>
      </c>
      <c r="Q11" s="32" t="n">
        <v>111.69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4.14</v>
      </c>
      <c r="U11" s="32" t="n">
        <v>46.93</v>
      </c>
      <c r="V11" s="32" t="n">
        <v>41.08</v>
      </c>
      <c r="W11" s="32" t="n">
        <v>12.63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IF(B12=0,"",RANK(B12,$B$2:$B$42,0))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AUBANK</t>
        </is>
      </c>
      <c r="D12" s="31" t="inlineStr">
        <is>
          <t>AU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80207.41</v>
      </c>
      <c r="I12" s="32" t="n">
        <v>1098</v>
      </c>
      <c r="J12" s="32" t="n">
        <v>0.6</v>
      </c>
      <c r="K12" s="32" t="n">
        <v>3255108</v>
      </c>
      <c r="L12" s="31" t="n">
        <v>48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62.68</v>
      </c>
      <c r="P12" s="32" t="n">
        <v>23.92</v>
      </c>
      <c r="Q12" s="32" t="n">
        <v>914.8200000000001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4.14</v>
      </c>
      <c r="U12" s="32" t="n">
        <v>46.43</v>
      </c>
      <c r="V12" s="32" t="n">
        <v>40.6</v>
      </c>
      <c r="W12" s="32" t="n">
        <v>10.37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IF(B13=0,"",RANK(B13,$B$2:$B$42,0))</f>
        <v/>
      </c>
      <c r="B13" s="32">
        <f>SUM(N13,Y13,AA13,AC13,AE13,AG13,AI13,AK13,AM13,AO13,AQ13,AS13,AU13,AW13,AY13,BA13,BC13,BE13,BG13,BI13,BK13,BM13,BO13,BQ13,BS13,BU13,BW13,BY13,CA13)</f>
        <v/>
      </c>
      <c r="C13" s="33" t="inlineStr">
        <is>
          <t>GEECEE</t>
        </is>
      </c>
      <c r="D13" s="33" t="inlineStr">
        <is>
          <t>Geecee Ventures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805.3099999999999</v>
      </c>
      <c r="I13" s="32" t="n">
        <v>373.5</v>
      </c>
      <c r="J13" s="32" t="n">
        <v>-1.19</v>
      </c>
      <c r="K13" s="32" t="n">
        <v>2454</v>
      </c>
      <c r="L13" s="31" t="n">
        <v>32</v>
      </c>
      <c r="M13" s="31" t="inlineStr">
        <is>
          <t>Underperforming</t>
        </is>
      </c>
      <c r="N13" s="32">
        <f>IF(M13="Underperforming",-5,IF(L13&gt;=95,15,IF(L13&gt;=90,10,IF(L13&gt;=80,5,0))))</f>
        <v/>
      </c>
      <c r="O13" s="32" t="n">
        <v>63.37</v>
      </c>
      <c r="P13" s="32" t="n">
        <v>31.69</v>
      </c>
      <c r="Q13" s="32" t="n">
        <v>287.89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4.14</v>
      </c>
      <c r="U13" s="32" t="n">
        <v>3.36</v>
      </c>
      <c r="V13" s="32" t="n">
        <v>-0.76</v>
      </c>
      <c r="W13" s="32" t="n">
        <v>6.43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IF(B14=0,"",RANK(B14,$B$2:$B$42,0))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IDFCFIRSTB</t>
        </is>
      </c>
      <c r="D14" s="31" t="inlineStr">
        <is>
          <t>IDFC First Bank Ltd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72596.38</v>
      </c>
      <c r="I14" s="32" t="n">
        <v>86.55</v>
      </c>
      <c r="J14" s="32" t="n">
        <v>0.87</v>
      </c>
      <c r="K14" s="32" t="n">
        <v>29952128</v>
      </c>
      <c r="L14" s="31" t="n">
        <v>53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69.3</v>
      </c>
      <c r="P14" s="32" t="n">
        <v>22.84</v>
      </c>
      <c r="Q14" s="32" t="n">
        <v>74.13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4.14</v>
      </c>
      <c r="U14" s="32" t="n">
        <v>26.22</v>
      </c>
      <c r="V14" s="32" t="n">
        <v>21.2</v>
      </c>
      <c r="W14" s="32" t="n">
        <v>11.59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IF(B15=0,"",RANK(B15,$B$2:$B$42,0))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PNBHOUSING</t>
        </is>
      </c>
      <c r="D15" s="31" t="inlineStr">
        <is>
          <t>Pnb Housing Finance Limited</t>
        </is>
      </c>
      <c r="E15" s="31" t="inlineStr">
        <is>
          <t>financials</t>
        </is>
      </c>
      <c r="F15" s="31" t="inlineStr">
        <is>
          <t>finance - housing</t>
        </is>
      </c>
      <c r="G15" s="31" t="inlineStr">
        <is>
          <t>largecap</t>
        </is>
      </c>
      <c r="H15" s="32" t="n">
        <v>29761.98</v>
      </c>
      <c r="I15" s="32" t="n">
        <v>1164.8</v>
      </c>
      <c r="J15" s="32" t="n">
        <v>0.62</v>
      </c>
      <c r="K15" s="32" t="n">
        <v>1092121</v>
      </c>
      <c r="L15" s="31" t="n">
        <v>54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68.70999999999999</v>
      </c>
      <c r="P15" s="32" t="n">
        <v>33.02</v>
      </c>
      <c r="Q15" s="32" t="n">
        <v>963.66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4.14</v>
      </c>
      <c r="U15" s="32" t="n">
        <v>53.05</v>
      </c>
      <c r="V15" s="32" t="n">
        <v>46.96</v>
      </c>
      <c r="W15" s="32" t="n">
        <v>11.63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IF(B16=0,"",RANK(B16,$B$2:$B$42,0))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ESAFSFB</t>
        </is>
      </c>
      <c r="D16" s="31" t="inlineStr">
        <is>
          <t>ESAF Small Finance Bank Ltd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smallcap</t>
        </is>
      </c>
      <c r="H16" s="32" t="n">
        <v>1985.9</v>
      </c>
      <c r="I16" s="32" t="n">
        <v>39.56</v>
      </c>
      <c r="J16" s="32" t="n">
        <v>-0.68</v>
      </c>
      <c r="K16" s="32" t="n">
        <v>499095</v>
      </c>
      <c r="L16" s="31" t="n">
        <v>61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66.44</v>
      </c>
      <c r="P16" s="32" t="n">
        <v>32.08</v>
      </c>
      <c r="Q16" s="32" t="n">
        <v>31.29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4.14</v>
      </c>
      <c r="U16" s="32" t="n">
        <v>33.93</v>
      </c>
      <c r="V16" s="32" t="n">
        <v>28.6</v>
      </c>
      <c r="W16" s="32" t="n">
        <v>14.17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IF(B17=0,"",RANK(B17,$B$2:$B$42,0))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IFCI</t>
        </is>
      </c>
      <c r="D17" s="31" t="inlineStr">
        <is>
          <t>Ifci Limited</t>
        </is>
      </c>
      <c r="E17" s="31" t="inlineStr">
        <is>
          <t>financials</t>
        </is>
      </c>
      <c r="F17" s="31" t="inlineStr">
        <is>
          <t>finance - term-lending institutions</t>
        </is>
      </c>
      <c r="G17" s="31" t="inlineStr">
        <is>
          <t>largecap</t>
        </is>
      </c>
      <c r="H17" s="32" t="n">
        <v>20395.96</v>
      </c>
      <c r="I17" s="32" t="n">
        <v>76.66</v>
      </c>
      <c r="J17" s="32" t="n">
        <v>4.29</v>
      </c>
      <c r="K17" s="32" t="n">
        <v>40726842</v>
      </c>
      <c r="L17" s="31" t="n">
        <v>57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58.5</v>
      </c>
      <c r="P17" s="32" t="n">
        <v>42.1</v>
      </c>
      <c r="Q17" s="32" t="n">
        <v>63.89</v>
      </c>
      <c r="R17" s="31" t="inlineStr">
        <is>
          <t>Earnings / Momentum Support</t>
        </is>
      </c>
      <c r="S17" s="31" t="inlineStr">
        <is>
          <t>Nifty Bank</t>
        </is>
      </c>
      <c r="T17" s="32" t="n">
        <v>4.14</v>
      </c>
      <c r="U17" s="32" t="n">
        <v>45.19</v>
      </c>
      <c r="V17" s="32" t="n">
        <v>39.41</v>
      </c>
      <c r="W17" s="32" t="n">
        <v>12.29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Above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IF(B18=0,"",RANK(B18,$B$2:$B$42,0))</f>
        <v/>
      </c>
      <c r="B18" s="32">
        <f>SUM(N18,Y18,AA18,AC18,AE18,AG18,AI18,AK18,AM18,AO18,AQ18,AS18,AU18,AW18,AY18,BA18,BC18,BE18,BG18,BI18,BK18,BM18,BO18,BQ18,BS18,BU18,BW18,BY18,CA18)</f>
        <v/>
      </c>
      <c r="C18" s="33" t="inlineStr">
        <is>
          <t>AFSL</t>
        </is>
      </c>
      <c r="D18" s="33" t="inlineStr">
        <is>
          <t>Abans Financial Services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1071.4</v>
      </c>
      <c r="I18" s="32" t="n">
        <v>212.1</v>
      </c>
      <c r="J18" s="32" t="n">
        <v>-0.8</v>
      </c>
      <c r="K18" s="32" t="n">
        <v>13089</v>
      </c>
      <c r="L18" s="31" t="n">
        <v>7</v>
      </c>
      <c r="M18" s="31" t="inlineStr">
        <is>
          <t>Underperforming</t>
        </is>
      </c>
      <c r="N18" s="32">
        <f>IF(M18="Underperforming",-5,IF(L18&gt;=95,15,IF(L18&gt;=90,10,IF(L18&gt;=80,5,0))))</f>
        <v/>
      </c>
      <c r="O18" s="32" t="n">
        <v>69.45</v>
      </c>
      <c r="P18" s="32" t="n">
        <v>65.47</v>
      </c>
      <c r="Q18" s="32" t="n">
        <v>194.49</v>
      </c>
      <c r="R18" s="31" t="inlineStr">
        <is>
          <t>Volume Spike &amp; Near 52W High Breakout</t>
        </is>
      </c>
      <c r="S18" s="31" t="inlineStr">
        <is>
          <t>Nifty Bank</t>
        </is>
      </c>
      <c r="T18" s="32" t="n">
        <v>4.14</v>
      </c>
      <c r="U18" s="32" t="n">
        <v>-3.64</v>
      </c>
      <c r="V18" s="32" t="n">
        <v>-7.47</v>
      </c>
      <c r="W18" s="32" t="n">
        <v>0.41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Above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1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IF(B19=0,"",RANK(B19,$B$2:$B$42,0))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POONAWALLA</t>
        </is>
      </c>
      <c r="D19" s="31" t="inlineStr">
        <is>
          <t>Poonawalla Fincorp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42897.9</v>
      </c>
      <c r="I19" s="32" t="n">
        <v>502.7</v>
      </c>
      <c r="J19" s="32" t="n">
        <v>3.84</v>
      </c>
      <c r="K19" s="32" t="n">
        <v>2427517</v>
      </c>
      <c r="L19" s="31" t="n">
        <v>33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64.03</v>
      </c>
      <c r="P19" s="32" t="n">
        <v>15.68</v>
      </c>
      <c r="Q19" s="32" t="n">
        <v>404.14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4.14</v>
      </c>
      <c r="U19" s="32" t="n">
        <v>10.3</v>
      </c>
      <c r="V19" s="32" t="n">
        <v>5.91</v>
      </c>
      <c r="W19" s="32" t="n">
        <v>6.83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0 to 20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IF(B20=0,"",RANK(B20,$B$2:$B$42,0))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SHRIRAMFIN</t>
        </is>
      </c>
      <c r="D20" s="31" t="inlineStr">
        <is>
          <t>Shriram Finance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265855.88</v>
      </c>
      <c r="I20" s="32" t="n">
        <v>1132.3</v>
      </c>
      <c r="J20" s="32" t="n">
        <v>1.35</v>
      </c>
      <c r="K20" s="32" t="n">
        <v>7399467</v>
      </c>
      <c r="L20" s="31" t="n">
        <v>73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65.83</v>
      </c>
      <c r="P20" s="32" t="n">
        <v>15.47</v>
      </c>
      <c r="Q20" s="32" t="n">
        <v>923.4299999999999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4.14</v>
      </c>
      <c r="U20" s="32" t="n">
        <v>85.84999999999999</v>
      </c>
      <c r="V20" s="32" t="n">
        <v>78.45</v>
      </c>
      <c r="W20" s="32" t="n">
        <v>18.92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IF(B21=0,"",RANK(B21,$B$2:$B$42,0))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ANANDRATHI</t>
        </is>
      </c>
      <c r="D21" s="31" t="inlineStr">
        <is>
          <t>Anand Rathi Wealth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35831.71</v>
      </c>
      <c r="I21" s="32" t="n">
        <v>2202.8</v>
      </c>
      <c r="J21" s="32" t="n">
        <v>0.63</v>
      </c>
      <c r="K21" s="32" t="n">
        <v>222246</v>
      </c>
      <c r="L21" s="31" t="n">
        <v>64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75.91</v>
      </c>
      <c r="P21" s="32" t="n">
        <v>51.51</v>
      </c>
      <c r="Q21" s="32" t="n">
        <v>1882.85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4.14</v>
      </c>
      <c r="U21" s="32" t="n">
        <v>62.88</v>
      </c>
      <c r="V21" s="32" t="n">
        <v>56.4</v>
      </c>
      <c r="W21" s="32" t="n">
        <v>15.24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Above 40</t>
        </is>
      </c>
      <c r="BM21" s="31">
        <f>IF(BL21="Above 40",20,IF(BL21="20 to 40",10,IF(BL21="0 to 20",-5,0)))</f>
        <v/>
      </c>
      <c r="BN21" s="31" t="inlineStr">
        <is>
          <t>Above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IF(B22=0,"",RANK(B22,$B$2:$B$42,0))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EDELWEISS</t>
        </is>
      </c>
      <c r="D22" s="31" t="inlineStr">
        <is>
          <t>Edelweiss Financial Services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midcap</t>
        </is>
      </c>
      <c r="H22" s="32" t="n">
        <v>11271.3</v>
      </c>
      <c r="I22" s="32" t="n">
        <v>124.88</v>
      </c>
      <c r="J22" s="32" t="n">
        <v>5.03</v>
      </c>
      <c r="K22" s="32" t="n">
        <v>10071054</v>
      </c>
      <c r="L22" s="31" t="n">
        <v>40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57.97</v>
      </c>
      <c r="P22" s="32" t="n">
        <v>9.43</v>
      </c>
      <c r="Q22" s="32" t="n">
        <v>94.5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4.14</v>
      </c>
      <c r="U22" s="32" t="n">
        <v>31.42</v>
      </c>
      <c r="V22" s="32" t="n">
        <v>26.19</v>
      </c>
      <c r="W22" s="32" t="n">
        <v>8.109999999999999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IF(B23=0,"",RANK(B23,$B$2:$B$42,0))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PRUDENT</t>
        </is>
      </c>
      <c r="D23" s="31" t="inlineStr">
        <is>
          <t>Prudent Corporate Advisory Services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midcap</t>
        </is>
      </c>
      <c r="H23" s="32" t="n">
        <v>14084.07</v>
      </c>
      <c r="I23" s="32" t="n">
        <v>3325</v>
      </c>
      <c r="J23" s="32" t="n">
        <v>-1.17</v>
      </c>
      <c r="K23" s="32" t="n">
        <v>429351</v>
      </c>
      <c r="L23" s="31" t="n">
        <v>41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68.3</v>
      </c>
      <c r="P23" s="32" t="n">
        <v>28.66</v>
      </c>
      <c r="Q23" s="32" t="n">
        <v>2711.46</v>
      </c>
      <c r="R23" s="31" t="inlineStr">
        <is>
          <t>Volume Spike &amp; Near 52W High Breakout</t>
        </is>
      </c>
      <c r="S23" s="31" t="inlineStr">
        <is>
          <t>Nifty Bank</t>
        </is>
      </c>
      <c r="T23" s="32" t="n">
        <v>4.14</v>
      </c>
      <c r="U23" s="32" t="n">
        <v>24.64</v>
      </c>
      <c r="V23" s="32" t="n">
        <v>19.68</v>
      </c>
      <c r="W23" s="32" t="n">
        <v>8.289999999999999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above 5x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IF(B24=0,"",RANK(B24,$B$2:$B$42,0))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5PAISA</t>
        </is>
      </c>
      <c r="D24" s="31" t="inlineStr">
        <is>
          <t>5Paisa Capital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1769.1</v>
      </c>
      <c r="I24" s="32" t="n">
        <v>391.65</v>
      </c>
      <c r="J24" s="32" t="n">
        <v>1.19</v>
      </c>
      <c r="K24" s="32" t="n">
        <v>54890</v>
      </c>
      <c r="L24" s="31" t="n">
        <v>42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61.62</v>
      </c>
      <c r="P24" s="32" t="n">
        <v>16.49</v>
      </c>
      <c r="Q24" s="32" t="n">
        <v>296.03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4.14</v>
      </c>
      <c r="U24" s="32" t="n">
        <v>7.71</v>
      </c>
      <c r="V24" s="32" t="n">
        <v>3.43</v>
      </c>
      <c r="W24" s="32" t="n">
        <v>8.630000000000001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IF(B25=0,"",RANK(B25,$B$2:$B$42,0))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INDUSINDBK</t>
        </is>
      </c>
      <c r="D25" s="31" t="inlineStr">
        <is>
          <t>Indusind Bank Limited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78606.7</v>
      </c>
      <c r="I25" s="32" t="n">
        <v>1024.7</v>
      </c>
      <c r="J25" s="32" t="n">
        <v>0.71</v>
      </c>
      <c r="K25" s="32" t="n">
        <v>1317697</v>
      </c>
      <c r="L25" s="31" t="n">
        <v>46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63.74</v>
      </c>
      <c r="P25" s="32" t="n">
        <v>27.71</v>
      </c>
      <c r="Q25" s="32" t="n">
        <v>875.11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4.14</v>
      </c>
      <c r="U25" s="32" t="n">
        <v>33.34</v>
      </c>
      <c r="V25" s="32" t="n">
        <v>28.03</v>
      </c>
      <c r="W25" s="32" t="n">
        <v>9.33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IF(B26=0,"",RANK(B26,$B$2:$B$42,0))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NIACL</t>
        </is>
      </c>
      <c r="D26" s="33" t="inlineStr">
        <is>
          <t>New India Assurance Company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29560.18</v>
      </c>
      <c r="I26" s="32" t="n">
        <v>180.65</v>
      </c>
      <c r="J26" s="32" t="n">
        <v>-0.24</v>
      </c>
      <c r="K26" s="32" t="n">
        <v>799952</v>
      </c>
      <c r="L26" s="31" t="n">
        <v>14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57.74</v>
      </c>
      <c r="P26" s="32" t="n">
        <v>24.13</v>
      </c>
      <c r="Q26" s="32" t="n">
        <v>154.44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4.14</v>
      </c>
      <c r="U26" s="32" t="n">
        <v>-0.32</v>
      </c>
      <c r="V26" s="32" t="n">
        <v>-4.29</v>
      </c>
      <c r="W26" s="32" t="n">
        <v>2.5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IF(B27=0,"",RANK(B27,$B$2:$B$42,0))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CHOLAFIN</t>
        </is>
      </c>
      <c r="D27" s="31" t="inlineStr">
        <is>
          <t>Cholamandalam Investment And Finance Company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163219.18</v>
      </c>
      <c r="I27" s="32" t="n">
        <v>1927.9</v>
      </c>
      <c r="J27" s="32" t="n">
        <v>0.54</v>
      </c>
      <c r="K27" s="32" t="n">
        <v>1700809</v>
      </c>
      <c r="L27" s="31" t="n">
        <v>53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65.48</v>
      </c>
      <c r="P27" s="32" t="n">
        <v>17.25</v>
      </c>
      <c r="Q27" s="32" t="n">
        <v>1587.77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4.14</v>
      </c>
      <c r="U27" s="32" t="n">
        <v>32.01</v>
      </c>
      <c r="V27" s="32" t="n">
        <v>26.76</v>
      </c>
      <c r="W27" s="32" t="n">
        <v>11.38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above 5x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IF(B28=0,"",RANK(B28,$B$2:$B$42,0))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MCX</t>
        </is>
      </c>
      <c r="D28" s="31" t="inlineStr">
        <is>
          <t>Multi Commodity Exchange Of India Limited</t>
        </is>
      </c>
      <c r="E28" s="31" t="inlineStr">
        <is>
          <t>financials</t>
        </is>
      </c>
      <c r="F28" s="31" t="inlineStr">
        <is>
          <t>miscellaneous</t>
        </is>
      </c>
      <c r="G28" s="31" t="inlineStr">
        <is>
          <t>largecap</t>
        </is>
      </c>
      <c r="H28" s="32" t="n">
        <v>73820.14</v>
      </c>
      <c r="I28" s="32" t="n">
        <v>2970</v>
      </c>
      <c r="J28" s="32" t="n">
        <v>0</v>
      </c>
      <c r="K28" s="32" t="n">
        <v>5679221</v>
      </c>
      <c r="L28" s="31" t="n">
        <v>55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60.92</v>
      </c>
      <c r="P28" s="32" t="n">
        <v>26.79</v>
      </c>
      <c r="Q28" s="32" t="n">
        <v>2728.82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4.14</v>
      </c>
      <c r="U28" s="32" t="n">
        <v>82.23999999999999</v>
      </c>
      <c r="V28" s="32" t="n">
        <v>74.98999999999999</v>
      </c>
      <c r="W28" s="32" t="n">
        <v>11.95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above 5x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IF(B29=0,"",RANK(B29,$B$2:$B$42,0))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INDIANB</t>
        </is>
      </c>
      <c r="D29" s="31" t="inlineStr">
        <is>
          <t>Indian Bank Ltd</t>
        </is>
      </c>
      <c r="E29" s="31" t="inlineStr">
        <is>
          <t>bank</t>
        </is>
      </c>
      <c r="F29" s="31" t="inlineStr">
        <is>
          <t>banks - public sector</t>
        </is>
      </c>
      <c r="G29" s="31" t="inlineStr">
        <is>
          <t>largecap</t>
        </is>
      </c>
      <c r="H29" s="32" t="n">
        <v>117940.17</v>
      </c>
      <c r="I29" s="32" t="n">
        <v>897</v>
      </c>
      <c r="J29" s="32" t="n">
        <v>0</v>
      </c>
      <c r="K29" s="32" t="n">
        <v>1659108</v>
      </c>
      <c r="L29" s="31" t="n">
        <v>47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57.26</v>
      </c>
      <c r="P29" s="32" t="n">
        <v>8.140000000000001</v>
      </c>
      <c r="Q29" s="32" t="n">
        <v>730.65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4.14</v>
      </c>
      <c r="U29" s="32" t="n">
        <v>37.09</v>
      </c>
      <c r="V29" s="32" t="n">
        <v>31.64</v>
      </c>
      <c r="W29" s="32" t="n">
        <v>9.550000000000001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IF(B30=0,"",RANK(B30,$B$2:$B$42,0))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CARERATING</t>
        </is>
      </c>
      <c r="D30" s="31" t="inlineStr">
        <is>
          <t>CARE Ratings Ltd</t>
        </is>
      </c>
      <c r="E30" s="31" t="inlineStr">
        <is>
          <t>financials</t>
        </is>
      </c>
      <c r="F30" s="31" t="inlineStr">
        <is>
          <t>miscellaneous</t>
        </is>
      </c>
      <c r="G30" s="31" t="inlineStr">
        <is>
          <t>midcap</t>
        </is>
      </c>
      <c r="H30" s="32" t="n">
        <v>5076</v>
      </c>
      <c r="I30" s="32" t="n">
        <v>1732</v>
      </c>
      <c r="J30" s="32" t="n">
        <v>2.63</v>
      </c>
      <c r="K30" s="32" t="n">
        <v>33451</v>
      </c>
      <c r="L30" s="31" t="n">
        <v>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58.45</v>
      </c>
      <c r="P30" s="32" t="n">
        <v>19.45</v>
      </c>
      <c r="Q30" s="32" t="n">
        <v>1469.9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4.14</v>
      </c>
      <c r="U30" s="32" t="n">
        <v>7.6</v>
      </c>
      <c r="V30" s="32" t="n">
        <v>3.32</v>
      </c>
      <c r="W30" s="32" t="n">
        <v>0.97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above 5x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IF(B31=0,"",RANK(B31,$B$2:$B$42,0))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360ONE</t>
        </is>
      </c>
      <c r="D31" s="31" t="inlineStr">
        <is>
          <t>360 ONE WAM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47500.81</v>
      </c>
      <c r="I31" s="32" t="n">
        <v>1183</v>
      </c>
      <c r="J31" s="32" t="n">
        <v>1.89</v>
      </c>
      <c r="K31" s="32" t="n">
        <v>770015</v>
      </c>
      <c r="L31" s="31" t="n">
        <v>23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59.17</v>
      </c>
      <c r="P31" s="32" t="n">
        <v>14.6</v>
      </c>
      <c r="Q31" s="32" t="n">
        <v>967.9299999999999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4.14</v>
      </c>
      <c r="U31" s="32" t="n">
        <v>15.16</v>
      </c>
      <c r="V31" s="32" t="n">
        <v>10.58</v>
      </c>
      <c r="W31" s="32" t="n">
        <v>4.56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IF(B32=0,"",RANK(B32,$B$2:$B$42,0))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PRIMESECU</t>
        </is>
      </c>
      <c r="D32" s="31" t="inlineStr">
        <is>
          <t>Prime Securities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smallcap</t>
        </is>
      </c>
      <c r="H32" s="32" t="n">
        <v>1002.77</v>
      </c>
      <c r="I32" s="32" t="n">
        <v>291.9</v>
      </c>
      <c r="J32" s="32" t="n">
        <v>0.22</v>
      </c>
      <c r="K32" s="32" t="n">
        <v>249579</v>
      </c>
      <c r="L32" s="31" t="n">
        <v>15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52.52</v>
      </c>
      <c r="P32" s="32" t="n">
        <v>26.97</v>
      </c>
      <c r="Q32" s="32" t="n">
        <v>233.81</v>
      </c>
      <c r="R32" s="31" t="inlineStr">
        <is>
          <t>Volume Spike / Accumulation</t>
        </is>
      </c>
      <c r="S32" s="31" t="inlineStr">
        <is>
          <t>Nifty Bank</t>
        </is>
      </c>
      <c r="T32" s="32" t="n">
        <v>4.14</v>
      </c>
      <c r="U32" s="32" t="n">
        <v>6.11</v>
      </c>
      <c r="V32" s="32" t="n">
        <v>1.88</v>
      </c>
      <c r="W32" s="32" t="n">
        <v>2.51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1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IF(B33=0,"",RANK(B33,$B$2:$B$42,0))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ARMANFIN</t>
        </is>
      </c>
      <c r="D33" s="31" t="inlineStr">
        <is>
          <t>Arman Financial Services Limited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smallcap</t>
        </is>
      </c>
      <c r="H33" s="32" t="n">
        <v>2105.9</v>
      </c>
      <c r="I33" s="32" t="n">
        <v>2013.4</v>
      </c>
      <c r="J33" s="32" t="n">
        <v>0.12</v>
      </c>
      <c r="K33" s="32" t="n">
        <v>307772</v>
      </c>
      <c r="L33" s="31" t="n">
        <v>51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65.78</v>
      </c>
      <c r="P33" s="32" t="n">
        <v>23.18</v>
      </c>
      <c r="Q33" s="32" t="n">
        <v>1544.11</v>
      </c>
      <c r="R33" s="31" t="inlineStr">
        <is>
          <t>Volume Spike &amp; Near 52W High Breakout</t>
        </is>
      </c>
      <c r="S33" s="31" t="inlineStr">
        <is>
          <t>Nifty Bank</t>
        </is>
      </c>
      <c r="T33" s="32" t="n">
        <v>4.14</v>
      </c>
      <c r="U33" s="32" t="n">
        <v>46.75</v>
      </c>
      <c r="V33" s="32" t="n">
        <v>40.91</v>
      </c>
      <c r="W33" s="32" t="n">
        <v>11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Cyclical in an Uptick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Not Applicable</t>
        </is>
      </c>
      <c r="AK33" s="31">
        <f>IF(AJ33="Yes",10,0)</f>
        <v/>
      </c>
      <c r="AL33" s="31" t="inlineStr">
        <is>
          <t>Yes</t>
        </is>
      </c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Not Applicable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Sideways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IF(B34=0,"",RANK(B34,$B$2:$B$42,0))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SBIN</t>
        </is>
      </c>
      <c r="D34" s="31" t="inlineStr">
        <is>
          <t>State Bank Of India Ltd</t>
        </is>
      </c>
      <c r="E34" s="31" t="inlineStr">
        <is>
          <t>bank</t>
        </is>
      </c>
      <c r="F34" s="31" t="inlineStr">
        <is>
          <t>banks - public sector</t>
        </is>
      </c>
      <c r="G34" s="31" t="inlineStr">
        <is>
          <t>largecap</t>
        </is>
      </c>
      <c r="H34" s="32" t="n">
        <v>983983.83</v>
      </c>
      <c r="I34" s="32" t="n">
        <v>1083</v>
      </c>
      <c r="J34" s="32" t="n">
        <v>0.09</v>
      </c>
      <c r="K34" s="32" t="n">
        <v>18318702</v>
      </c>
      <c r="L34" s="31" t="n">
        <v>47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59.23</v>
      </c>
      <c r="P34" s="32" t="n">
        <v>10.69</v>
      </c>
      <c r="Q34" s="32" t="n">
        <v>945.48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4.14</v>
      </c>
      <c r="U34" s="32" t="n">
        <v>33.39</v>
      </c>
      <c r="V34" s="32" t="n">
        <v>28.08</v>
      </c>
      <c r="W34" s="32" t="n">
        <v>9.52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IF(B35=0,"",RANK(B35,$B$2:$B$42,0))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UNIONBANK</t>
        </is>
      </c>
      <c r="D35" s="31" t="inlineStr">
        <is>
          <t>Union Bank Of India Ltd</t>
        </is>
      </c>
      <c r="E35" s="31" t="inlineStr">
        <is>
          <t>bank</t>
        </is>
      </c>
      <c r="F35" s="31" t="inlineStr">
        <is>
          <t>banks - public sector</t>
        </is>
      </c>
      <c r="G35" s="31" t="inlineStr">
        <is>
          <t>largecap</t>
        </is>
      </c>
      <c r="H35" s="32" t="n">
        <v>139313.3</v>
      </c>
      <c r="I35" s="32" t="n">
        <v>186.5</v>
      </c>
      <c r="J35" s="32" t="n">
        <v>-0.27</v>
      </c>
      <c r="K35" s="32" t="n">
        <v>14787638</v>
      </c>
      <c r="L35" s="31" t="n">
        <v>54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64.92</v>
      </c>
      <c r="P35" s="32" t="n">
        <v>17.03</v>
      </c>
      <c r="Q35" s="32" t="n">
        <v>153.6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4.14</v>
      </c>
      <c r="U35" s="32" t="n">
        <v>42.4</v>
      </c>
      <c r="V35" s="32" t="n">
        <v>36.73</v>
      </c>
      <c r="W35" s="32" t="n">
        <v>11.61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IF(B36=0,"",RANK(B36,$B$2:$B$42,0))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PNB</t>
        </is>
      </c>
      <c r="D36" s="31" t="inlineStr">
        <is>
          <t>Punjab National Bank Ltd</t>
        </is>
      </c>
      <c r="E36" s="31" t="inlineStr">
        <is>
          <t>bank</t>
        </is>
      </c>
      <c r="F36" s="31" t="inlineStr">
        <is>
          <t>banks - public sector</t>
        </is>
      </c>
      <c r="G36" s="31" t="inlineStr">
        <is>
          <t>largecap</t>
        </is>
      </c>
      <c r="H36" s="32" t="n">
        <v>131054.03</v>
      </c>
      <c r="I36" s="32" t="n">
        <v>117.59</v>
      </c>
      <c r="J36" s="32" t="n">
        <v>-1.17</v>
      </c>
      <c r="K36" s="32" t="n">
        <v>19597895</v>
      </c>
      <c r="L36" s="31" t="n">
        <v>35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61.24</v>
      </c>
      <c r="P36" s="32" t="n">
        <v>10.13</v>
      </c>
      <c r="Q36" s="32" t="n">
        <v>100.65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4.14</v>
      </c>
      <c r="U36" s="32" t="n">
        <v>13.86</v>
      </c>
      <c r="V36" s="32" t="n">
        <v>9.33</v>
      </c>
      <c r="W36" s="32" t="n">
        <v>7.05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IF(B37=0,"",RANK(B37,$B$2:$B$42,0))</f>
        <v/>
      </c>
      <c r="B37" s="32">
        <f>SUM(N37,Y37,AA37,AC37,AE37,AG37,AI37,AK37,AM37,AO37,AQ37,AS37,AU37,AW37,AY37,BA37,BC37,BE37,BG37,BI37,BK37,BM37,BO37,BQ37,BS37,BU37,BW37,BY37,CA37)</f>
        <v/>
      </c>
      <c r="C37" s="33" t="inlineStr">
        <is>
          <t>AIIL</t>
        </is>
      </c>
      <c r="D37" s="33" t="inlineStr">
        <is>
          <t>Authum Investment &amp; Infrastructure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48698.84</v>
      </c>
      <c r="I37" s="32" t="n">
        <v>575</v>
      </c>
      <c r="J37" s="32" t="n">
        <v>3.64</v>
      </c>
      <c r="K37" s="32" t="n">
        <v>249548</v>
      </c>
      <c r="L37" s="31" t="n">
        <v>17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57.73</v>
      </c>
      <c r="P37" s="32" t="n">
        <v>15.48</v>
      </c>
      <c r="Q37" s="32" t="n">
        <v>439.65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4.14</v>
      </c>
      <c r="U37" s="32" t="n">
        <v>-0.08</v>
      </c>
      <c r="V37" s="32" t="n">
        <v>-4.05</v>
      </c>
      <c r="W37" s="32" t="n">
        <v>3.29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IF(B38=0,"",RANK(B38,$B$2:$B$42,0))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CANBK</t>
        </is>
      </c>
      <c r="D38" s="31" t="inlineStr">
        <is>
          <t>Canara Bank Ltd</t>
        </is>
      </c>
      <c r="E38" s="31" t="inlineStr">
        <is>
          <t>bank</t>
        </is>
      </c>
      <c r="F38" s="31" t="inlineStr">
        <is>
          <t>banks - public sector</t>
        </is>
      </c>
      <c r="G38" s="31" t="inlineStr">
        <is>
          <t>largecap</t>
        </is>
      </c>
      <c r="H38" s="32" t="n">
        <v>118190.59</v>
      </c>
      <c r="I38" s="32" t="n">
        <v>131.8</v>
      </c>
      <c r="J38" s="32" t="n">
        <v>-0.15</v>
      </c>
      <c r="K38" s="32" t="n">
        <v>23069209</v>
      </c>
      <c r="L38" s="31" t="n">
        <v>33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51.8</v>
      </c>
      <c r="P38" s="32" t="n">
        <v>11.22</v>
      </c>
      <c r="Q38" s="32" t="n">
        <v>109.96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4.14</v>
      </c>
      <c r="U38" s="32" t="n">
        <v>24.61</v>
      </c>
      <c r="V38" s="32" t="n">
        <v>19.65</v>
      </c>
      <c r="W38" s="32" t="n">
        <v>6.74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more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1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IF(B39=0,"",RANK(B39,$B$2:$B$42,0))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BANKINDIA</t>
        </is>
      </c>
      <c r="D39" s="31" t="inlineStr">
        <is>
          <t>Bank Of India Ltd</t>
        </is>
      </c>
      <c r="E39" s="31" t="inlineStr">
        <is>
          <t>bank</t>
        </is>
      </c>
      <c r="F39" s="31" t="inlineStr">
        <is>
          <t>banks - public sector</t>
        </is>
      </c>
      <c r="G39" s="31" t="inlineStr">
        <is>
          <t>largecap</t>
        </is>
      </c>
      <c r="H39" s="32" t="n">
        <v>65057.62</v>
      </c>
      <c r="I39" s="32" t="n">
        <v>144.87</v>
      </c>
      <c r="J39" s="32" t="n">
        <v>-0.43</v>
      </c>
      <c r="K39" s="32" t="n">
        <v>5170625</v>
      </c>
      <c r="L39" s="31" t="n">
        <v>38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53.27</v>
      </c>
      <c r="P39" s="32" t="n">
        <v>7.63</v>
      </c>
      <c r="Q39" s="32" t="n">
        <v>120.56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4.14</v>
      </c>
      <c r="U39" s="32" t="n">
        <v>32.17</v>
      </c>
      <c r="V39" s="32" t="n">
        <v>26.91</v>
      </c>
      <c r="W39" s="32" t="n">
        <v>7.62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less than 2.5x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1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IF(B40=0,"",RANK(B40,$B$2:$B$42,0))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GEOJITFSL</t>
        </is>
      </c>
      <c r="D40" s="31" t="inlineStr">
        <is>
          <t>Geojit Financial Services Ltd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smallcap</t>
        </is>
      </c>
      <c r="H40" s="32" t="n">
        <v>2143.1</v>
      </c>
      <c r="I40" s="32" t="n">
        <v>80</v>
      </c>
      <c r="J40" s="32" t="n">
        <v>2.96</v>
      </c>
      <c r="K40" s="32" t="n">
        <v>824733</v>
      </c>
      <c r="L40" s="31" t="n">
        <v>23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61.74</v>
      </c>
      <c r="P40" s="32" t="n">
        <v>13.48</v>
      </c>
      <c r="Q40" s="32" t="n">
        <v>63.75</v>
      </c>
      <c r="R40" s="31" t="inlineStr">
        <is>
          <t>Near 52W High Breakout</t>
        </is>
      </c>
      <c r="S40" s="31" t="inlineStr">
        <is>
          <t>Nifty Bank</t>
        </is>
      </c>
      <c r="T40" s="32" t="n">
        <v>4.14</v>
      </c>
      <c r="U40" s="32" t="n">
        <v>12.35</v>
      </c>
      <c r="V40" s="32" t="n">
        <v>7.88</v>
      </c>
      <c r="W40" s="32" t="n">
        <v>4.59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less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IF(B41=0,"",RANK(B41,$B$2:$B$42,0))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BAJAJFINSV</t>
        </is>
      </c>
      <c r="D41" s="31" t="inlineStr">
        <is>
          <t>Bajaj Finserv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largecap</t>
        </is>
      </c>
      <c r="H41" s="32" t="n">
        <v>325231.76</v>
      </c>
      <c r="I41" s="32" t="n">
        <v>2025</v>
      </c>
      <c r="J41" s="32" t="n">
        <v>0.22</v>
      </c>
      <c r="K41" s="32" t="n">
        <v>1739368</v>
      </c>
      <c r="L41" s="31" t="n">
        <v>26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60.64</v>
      </c>
      <c r="P41" s="32" t="n">
        <v>16.84</v>
      </c>
      <c r="Q41" s="32" t="n">
        <v>1735.84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4.14</v>
      </c>
      <c r="U41" s="32" t="n">
        <v>5.28</v>
      </c>
      <c r="V41" s="32" t="n">
        <v>1.09</v>
      </c>
      <c r="W41" s="32" t="n">
        <v>5.04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between 2.5x to 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IF(B42=0,"",RANK(B42,$B$2:$B$42,0))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SMCGLOBAL</t>
        </is>
      </c>
      <c r="D42" s="31" t="inlineStr">
        <is>
          <t>SMC Global Securities Ltd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smallcap</t>
        </is>
      </c>
      <c r="H42" s="32" t="n">
        <v>1663.05</v>
      </c>
      <c r="I42" s="32" t="n">
        <v>79.40000000000001</v>
      </c>
      <c r="J42" s="32" t="n">
        <v>0.46</v>
      </c>
      <c r="K42" s="32" t="n">
        <v>238702</v>
      </c>
      <c r="L42" s="31" t="n">
        <v>42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57.88</v>
      </c>
      <c r="P42" s="32" t="n">
        <v>18.31</v>
      </c>
      <c r="Q42" s="32" t="n">
        <v>62.32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4.14</v>
      </c>
      <c r="U42" s="32" t="n">
        <v>16.27</v>
      </c>
      <c r="V42" s="32" t="n">
        <v>11.65</v>
      </c>
      <c r="W42" s="32" t="n">
        <v>8.609999999999999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</sheetData>
  <autoFilter ref="A1:CA42"/>
  <conditionalFormatting sqref="B2:B4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2">
    <cfRule type="cellIs" priority="34" operator="equal" dxfId="3" stopIfTrue="1">
      <formula>"Underperforming"</formula>
    </cfRule>
  </conditionalFormatting>
  <conditionalFormatting sqref="N2:N42">
    <cfRule type="cellIs" priority="35" operator="equal" dxfId="3" stopIfTrue="1">
      <formula>-5</formula>
    </cfRule>
  </conditionalFormatting>
  <conditionalFormatting sqref="Q2:Q42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2" showDropDown="0" showInputMessage="0" showErrorMessage="0" allowBlank="1" type="list">
      <formula1>"Growing Industry,Stagnant Industry,Cyclical in an Upturn"</formula1>
    </dataValidation>
    <dataValidation sqref="Z2:Z42" showDropDown="0" showInputMessage="0" showErrorMessage="0" allowBlank="1" type="list">
      <formula1>"Fragmented with Low ROE,Fragmented with High ROE,Highly Cyclical"</formula1>
    </dataValidation>
    <dataValidation sqref="AB2:AB42" showDropDown="0" showInputMessage="0" showErrorMessage="0" allowBlank="1" type="list">
      <formula1>"Yes,No"</formula1>
    </dataValidation>
    <dataValidation sqref="AD2:AD42" showDropDown="0" showInputMessage="0" showErrorMessage="0" allowBlank="1" type="list">
      <formula1>"Tailwind,Headwind"</formula1>
    </dataValidation>
    <dataValidation sqref="AF2:AF4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2" showDropDown="0" showInputMessage="0" showErrorMessage="0" allowBlank="1" type="list">
      <formula1>"Yes,No"</formula1>
    </dataValidation>
    <dataValidation sqref="AJ2:AJ42" showDropDown="0" showInputMessage="0" showErrorMessage="0" allowBlank="1" type="list">
      <formula1>"Yes,No,Not Applicable"</formula1>
    </dataValidation>
    <dataValidation sqref="AL2:AL42" showDropDown="0" showInputMessage="0" showErrorMessage="0" allowBlank="1" type="list">
      <formula1>"Yes,No"</formula1>
    </dataValidation>
    <dataValidation sqref="AN2:AN42" showDropDown="0" showInputMessage="0" showErrorMessage="0" allowBlank="1" type="list">
      <formula1>"Yes,No"</formula1>
    </dataValidation>
    <dataValidation sqref="AP2:AP42" showDropDown="0" showInputMessage="0" showErrorMessage="0" allowBlank="1" type="list">
      <formula1>"Yes,No"</formula1>
    </dataValidation>
    <dataValidation sqref="AR2:AR42" showDropDown="0" showInputMessage="0" showErrorMessage="0" allowBlank="1" type="list">
      <formula1>"Yes,No"</formula1>
    </dataValidation>
    <dataValidation sqref="AT2:AT42" showDropDown="0" showInputMessage="0" showErrorMessage="0" allowBlank="1" type="list">
      <formula1>"No,Yes"</formula1>
    </dataValidation>
    <dataValidation sqref="AV2:AV42" showDropDown="0" showInputMessage="0" showErrorMessage="0" allowBlank="1" type="list">
      <formula1>"No,Yes"</formula1>
    </dataValidation>
    <dataValidation sqref="AX2:AX42" showDropDown="0" showInputMessage="0" showErrorMessage="0" allowBlank="1" type="list">
      <formula1>"No,Yes CEO Resignation,Yes CEO Retirement"</formula1>
    </dataValidation>
    <dataValidation sqref="AZ2:AZ42" showDropDown="0" showInputMessage="0" showErrorMessage="0" allowBlank="1" type="list">
      <formula1>"No,Yes"</formula1>
    </dataValidation>
    <dataValidation sqref="BB2:BB42" showDropDown="0" showInputMessage="0" showErrorMessage="0" allowBlank="1" type="list">
      <formula1>"No,Yes"</formula1>
    </dataValidation>
    <dataValidation sqref="BD2:BD42" showDropDown="0" showInputMessage="0" showErrorMessage="0" allowBlank="1" type="list">
      <formula1>"Yes,No"</formula1>
    </dataValidation>
    <dataValidation sqref="BF2:BF42" showDropDown="0" showInputMessage="0" showErrorMessage="0" allowBlank="1" type="list">
      <formula1>"Yes,No"</formula1>
    </dataValidation>
    <dataValidation sqref="BH2:BH42" showDropDown="0" showInputMessage="0" showErrorMessage="0" allowBlank="1" type="list">
      <formula1>"Yes,No"</formula1>
    </dataValidation>
    <dataValidation sqref="BJ2:BJ4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2" showDropDown="0" showInputMessage="0" showErrorMessage="0" allowBlank="1" type="list">
      <formula1>"Above 40,20 to 40,0 to 20"</formula1>
    </dataValidation>
    <dataValidation sqref="BN2:BN42" showDropDown="0" showInputMessage="0" showErrorMessage="0" allowBlank="1" type="list">
      <formula1>"Between 50 to 75,Above 75,Below 45"</formula1>
    </dataValidation>
    <dataValidation sqref="BP2:BP42" showDropDown="0" showInputMessage="0" showErrorMessage="0" allowBlank="1" type="list">
      <formula1>"Stage 1,Stage 2,Stage 3,Stage 4"</formula1>
    </dataValidation>
    <dataValidation sqref="BR2:BR42" showDropDown="0" showInputMessage="0" showErrorMessage="0" allowBlank="1" type="list">
      <formula1>"Positive Trend,Negative Trend"</formula1>
    </dataValidation>
    <dataValidation sqref="BT2:BT42" showDropDown="0" showInputMessage="0" showErrorMessage="0" allowBlank="1" type="list">
      <formula1>"Uptrend,Sideways,Downtrend"</formula1>
    </dataValidation>
    <dataValidation sqref="BV2:BV42" showDropDown="0" showInputMessage="0" showErrorMessage="0" allowBlank="1" type="list">
      <formula1>"Uptrend,Sideways,Downtrend"</formula1>
    </dataValidation>
    <dataValidation sqref="BX2:BX4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IF(B2=0,"",RANK(B2,$B$2:$B$21,0))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169</v>
      </c>
      <c r="H2" s="31" t="inlineStr">
        <is>
          <t>CUPID</t>
        </is>
      </c>
      <c r="I2" s="31" t="inlineStr">
        <is>
          <t>Cupid Limited</t>
        </is>
      </c>
      <c r="J2" s="31" t="inlineStr">
        <is>
          <t>fmcg</t>
        </is>
      </c>
      <c r="K2" s="31" t="inlineStr">
        <is>
          <t>personal care - indian</t>
        </is>
      </c>
      <c r="L2" s="31" t="inlineStr">
        <is>
          <t>largecap</t>
        </is>
      </c>
      <c r="M2" s="32" t="n">
        <v>37200.04</v>
      </c>
      <c r="N2" s="32" t="n">
        <v>294.86</v>
      </c>
      <c r="O2" s="32" t="n">
        <v>1.72</v>
      </c>
      <c r="P2" s="32" t="n">
        <v>46358975</v>
      </c>
      <c r="Q2" s="31" t="n">
        <v>99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93.48999999999999</v>
      </c>
      <c r="U2" s="32" t="n">
        <v>71.06</v>
      </c>
      <c r="V2" s="32" t="n">
        <v>237.38</v>
      </c>
      <c r="W2" s="31" t="inlineStr">
        <is>
          <t>Near 52W High Breakout</t>
        </is>
      </c>
      <c r="X2" s="31" t="inlineStr">
        <is>
          <t>Nifty FMCG</t>
        </is>
      </c>
      <c r="Y2" s="32" t="n">
        <v>-10.52</v>
      </c>
      <c r="Z2" s="32" t="n">
        <v>896.75</v>
      </c>
      <c r="AA2" s="32" t="n">
        <v>1013.96</v>
      </c>
      <c r="AB2" s="32" t="n">
        <v>98.34999999999999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Yes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IF(B3=0,"",RANK(B3,$B$2:$B$21,0))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138.4</v>
      </c>
      <c r="E3" s="32" t="inlineStr">
        <is>
          <t>5%</t>
        </is>
      </c>
      <c r="F3" s="32" t="n">
        <v>50000</v>
      </c>
      <c r="G3" s="32" t="n">
        <v>13</v>
      </c>
      <c r="H3" s="31" t="inlineStr">
        <is>
          <t>AJANTPHARM</t>
        </is>
      </c>
      <c r="I3" s="31" t="inlineStr">
        <is>
          <t>Ajanta Pharma Limited</t>
        </is>
      </c>
      <c r="J3" s="31" t="inlineStr">
        <is>
          <t>healthcare</t>
        </is>
      </c>
      <c r="K3" s="31" t="inlineStr">
        <is>
          <t>pharmaceuticals - indian - formulations</t>
        </is>
      </c>
      <c r="L3" s="31" t="inlineStr">
        <is>
          <t>largecap</t>
        </is>
      </c>
      <c r="M3" s="32" t="n">
        <v>43814.92</v>
      </c>
      <c r="N3" s="32" t="n">
        <v>3616</v>
      </c>
      <c r="O3" s="32" t="n">
        <v>2.12</v>
      </c>
      <c r="P3" s="32" t="n">
        <v>136792</v>
      </c>
      <c r="Q3" s="31" t="n">
        <v>47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73.83</v>
      </c>
      <c r="U3" s="32" t="n">
        <v>45.72</v>
      </c>
      <c r="V3" s="32" t="n">
        <v>3031.34</v>
      </c>
      <c r="W3" s="31" t="inlineStr">
        <is>
          <t>Near 52W High Breakout</t>
        </is>
      </c>
      <c r="X3" s="31" t="inlineStr">
        <is>
          <t>Nifty Pharma</t>
        </is>
      </c>
      <c r="Y3" s="32" t="n">
        <v>20.47</v>
      </c>
      <c r="Z3" s="32" t="n">
        <v>37.33</v>
      </c>
      <c r="AA3" s="32" t="n">
        <v>14</v>
      </c>
      <c r="AB3" s="32" t="n">
        <v>9.83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IF(B4=0,"",RANK(B4,$B$2:$B$21,0))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140</v>
      </c>
      <c r="E4" s="32" t="inlineStr">
        <is>
          <t>5%</t>
        </is>
      </c>
      <c r="F4" s="32" t="n">
        <v>50000</v>
      </c>
      <c r="G4" s="32" t="n">
        <v>10</v>
      </c>
      <c r="H4" s="31" t="inlineStr">
        <is>
          <t>RADICO</t>
        </is>
      </c>
      <c r="I4" s="31" t="inlineStr">
        <is>
          <t>Radico Khaitan Limited</t>
        </is>
      </c>
      <c r="J4" s="31" t="inlineStr">
        <is>
          <t>fmcg</t>
        </is>
      </c>
      <c r="K4" s="31" t="inlineStr">
        <is>
          <t>breweries &amp; distilleries</t>
        </is>
      </c>
      <c r="L4" s="31" t="inlineStr">
        <is>
          <t>largecap</t>
        </is>
      </c>
      <c r="M4" s="32" t="n">
        <v>60871.8</v>
      </c>
      <c r="N4" s="32" t="n">
        <v>4675.2</v>
      </c>
      <c r="O4" s="32" t="n">
        <v>3.14</v>
      </c>
      <c r="P4" s="32" t="n">
        <v>787239</v>
      </c>
      <c r="Q4" s="31" t="n">
        <v>79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87.20999999999999</v>
      </c>
      <c r="U4" s="32" t="n">
        <v>62.97</v>
      </c>
      <c r="V4" s="32" t="n">
        <v>4011.47</v>
      </c>
      <c r="W4" s="31" t="inlineStr">
        <is>
          <t>Near 52W High Breakout</t>
        </is>
      </c>
      <c r="X4" s="31" t="inlineStr">
        <is>
          <t>Nifty FMCG</t>
        </is>
      </c>
      <c r="Y4" s="32" t="n">
        <v>-10.52</v>
      </c>
      <c r="Z4" s="32" t="n">
        <v>73.40000000000001</v>
      </c>
      <c r="AA4" s="32" t="n">
        <v>93.8</v>
      </c>
      <c r="AB4" s="32" t="n">
        <v>22.56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B2C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IF(B5=0,"",RANK(B5,$B$2:$B$21,0))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140</v>
      </c>
      <c r="E5" s="32" t="inlineStr">
        <is>
          <t>5%</t>
        </is>
      </c>
      <c r="F5" s="32" t="n">
        <v>50000</v>
      </c>
      <c r="G5" s="32" t="n">
        <v>326</v>
      </c>
      <c r="H5" s="31" t="inlineStr">
        <is>
          <t>UNIVASTU</t>
        </is>
      </c>
      <c r="I5" s="31" t="inlineStr">
        <is>
          <t>Univastu India Ltd</t>
        </is>
      </c>
      <c r="J5" s="31" t="inlineStr">
        <is>
          <t>realty</t>
        </is>
      </c>
      <c r="K5" s="31" t="inlineStr">
        <is>
          <t>construction</t>
        </is>
      </c>
      <c r="L5" s="31" t="inlineStr">
        <is>
          <t>smallcap</t>
        </is>
      </c>
      <c r="M5" s="32" t="n">
        <v>524.6</v>
      </c>
      <c r="N5" s="32" t="n">
        <v>153.04</v>
      </c>
      <c r="O5" s="32" t="n">
        <v>4.99</v>
      </c>
      <c r="P5" s="32" t="n">
        <v>167225</v>
      </c>
      <c r="Q5" s="31" t="n">
        <v>95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86.41</v>
      </c>
      <c r="U5" s="32" t="n">
        <v>67.67</v>
      </c>
      <c r="V5" s="32" t="n">
        <v>117.2</v>
      </c>
      <c r="W5" s="31" t="inlineStr">
        <is>
          <t>Near 52W High Breakout</t>
        </is>
      </c>
      <c r="X5" s="31" t="inlineStr">
        <is>
          <t>Nifty Realty</t>
        </is>
      </c>
      <c r="Y5" s="32" t="n">
        <v>-5.49</v>
      </c>
      <c r="Z5" s="32" t="n">
        <v>70.29000000000001</v>
      </c>
      <c r="AA5" s="32" t="n">
        <v>80.18000000000001</v>
      </c>
      <c r="AB5" s="32" t="n">
        <v>44.43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IF(B6=0,"",RANK(B6,$B$2:$B$21,0))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139.4</v>
      </c>
      <c r="E6" s="32" t="inlineStr">
        <is>
          <t>5%</t>
        </is>
      </c>
      <c r="F6" s="32" t="n">
        <v>50000</v>
      </c>
      <c r="G6" s="32" t="n">
        <v>60</v>
      </c>
      <c r="H6" s="31" t="inlineStr">
        <is>
          <t>UNIPARTS</t>
        </is>
      </c>
      <c r="I6" s="31" t="inlineStr">
        <is>
          <t>Uniparts India Ltd</t>
        </is>
      </c>
      <c r="J6" s="31" t="inlineStr">
        <is>
          <t>industrials</t>
        </is>
      </c>
      <c r="K6" s="31" t="inlineStr">
        <is>
          <t>engineering</t>
        </is>
      </c>
      <c r="L6" s="31" t="inlineStr">
        <is>
          <t>smallcap</t>
        </is>
      </c>
      <c r="M6" s="32" t="n">
        <v>3639.44</v>
      </c>
      <c r="N6" s="32" t="n">
        <v>824.3</v>
      </c>
      <c r="O6" s="32" t="n">
        <v>1.32</v>
      </c>
      <c r="P6" s="32" t="n">
        <v>91263</v>
      </c>
      <c r="Q6" s="31" t="n">
        <v>87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79.92</v>
      </c>
      <c r="U6" s="32" t="n">
        <v>61.7</v>
      </c>
      <c r="V6" s="32" t="n">
        <v>662.13</v>
      </c>
      <c r="W6" s="31" t="inlineStr">
        <is>
          <t>Near 52W High Breakout</t>
        </is>
      </c>
      <c r="X6" s="31" t="inlineStr">
        <is>
          <t>Nifty 50</t>
        </is>
      </c>
      <c r="Y6" s="32" t="n">
        <v>-0.96</v>
      </c>
      <c r="Z6" s="32" t="n">
        <v>120.99</v>
      </c>
      <c r="AA6" s="32" t="n">
        <v>123.12</v>
      </c>
      <c r="AB6" s="32" t="n">
        <v>29.85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IF(B7=0,"",RANK(B7,$B$2:$B$21,0))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138.4</v>
      </c>
      <c r="E7" s="32" t="inlineStr">
        <is>
          <t>5%</t>
        </is>
      </c>
      <c r="F7" s="32" t="n">
        <v>50000</v>
      </c>
      <c r="G7" s="32" t="n">
        <v>219</v>
      </c>
      <c r="H7" s="31" t="inlineStr">
        <is>
          <t>HFCL</t>
        </is>
      </c>
      <c r="I7" s="31" t="inlineStr">
        <is>
          <t>HFCL Ltd</t>
        </is>
      </c>
      <c r="J7" s="31" t="inlineStr">
        <is>
          <t>telecom</t>
        </is>
      </c>
      <c r="K7" s="31" t="inlineStr">
        <is>
          <t>cables - telephone</t>
        </is>
      </c>
      <c r="L7" s="31" t="inlineStr">
        <is>
          <t>largecap</t>
        </is>
      </c>
      <c r="M7" s="32" t="n">
        <v>32791.63</v>
      </c>
      <c r="N7" s="32" t="n">
        <v>227.36</v>
      </c>
      <c r="O7" s="32" t="n">
        <v>2.64</v>
      </c>
      <c r="P7" s="32" t="n">
        <v>23585794</v>
      </c>
      <c r="Q7" s="31" t="n">
        <v>98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77.19</v>
      </c>
      <c r="U7" s="32" t="n">
        <v>66.39</v>
      </c>
      <c r="V7" s="32" t="n">
        <v>168.7</v>
      </c>
      <c r="W7" s="31" t="inlineStr">
        <is>
          <t>Near 52W High Breakout</t>
        </is>
      </c>
      <c r="X7" s="31" t="inlineStr">
        <is>
          <t>Nifty Infra</t>
        </is>
      </c>
      <c r="Y7" s="32" t="n">
        <v>3.6</v>
      </c>
      <c r="Z7" s="32" t="n">
        <v>199.82</v>
      </c>
      <c r="AA7" s="32" t="n">
        <v>189.4</v>
      </c>
      <c r="AB7" s="32" t="n">
        <v>59.77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Oligopoly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IF(B8=0,"",RANK(B8,$B$2:$B$21,0))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138.9</v>
      </c>
      <c r="E8" s="32" t="inlineStr">
        <is>
          <t>5%</t>
        </is>
      </c>
      <c r="F8" s="32" t="n">
        <v>50000</v>
      </c>
      <c r="G8" s="32" t="n">
        <v>9</v>
      </c>
      <c r="H8" s="31" t="inlineStr">
        <is>
          <t>NETWEB</t>
        </is>
      </c>
      <c r="I8" s="31" t="inlineStr">
        <is>
          <t>Netweb Technologies India Ltd</t>
        </is>
      </c>
      <c r="J8" s="31" t="inlineStr">
        <is>
          <t>i.t</t>
        </is>
      </c>
      <c r="K8" s="31" t="inlineStr">
        <is>
          <t>computers - hardware</t>
        </is>
      </c>
      <c r="L8" s="31" t="inlineStr">
        <is>
          <t>largecap</t>
        </is>
      </c>
      <c r="M8" s="32" t="n">
        <v>27672.04</v>
      </c>
      <c r="N8" s="32" t="n">
        <v>5181</v>
      </c>
      <c r="O8" s="32" t="n">
        <v>7.1</v>
      </c>
      <c r="P8" s="32" t="n">
        <v>3457670</v>
      </c>
      <c r="Q8" s="31" t="n">
        <v>87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65.72</v>
      </c>
      <c r="U8" s="32" t="n">
        <v>39.48</v>
      </c>
      <c r="V8" s="32" t="n">
        <v>3838.56</v>
      </c>
      <c r="W8" s="31" t="inlineStr">
        <is>
          <t>Near 52W High Breakout</t>
        </is>
      </c>
      <c r="X8" s="31" t="inlineStr">
        <is>
          <t>Nifty IT</t>
        </is>
      </c>
      <c r="Y8" s="32" t="n">
        <v>-9.699999999999999</v>
      </c>
      <c r="Z8" s="32" t="n">
        <v>144.26</v>
      </c>
      <c r="AA8" s="32" t="n">
        <v>170.5</v>
      </c>
      <c r="AB8" s="32" t="n">
        <v>29.21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IF(B9=0,"",RANK(B9,$B$2:$B$21,0))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139.3</v>
      </c>
      <c r="E9" s="32" t="inlineStr">
        <is>
          <t>5%</t>
        </is>
      </c>
      <c r="F9" s="32" t="n">
        <v>50000</v>
      </c>
      <c r="G9" s="32" t="n">
        <v>16</v>
      </c>
      <c r="H9" s="31" t="inlineStr">
        <is>
          <t>GLAND</t>
        </is>
      </c>
      <c r="I9" s="31" t="inlineStr">
        <is>
          <t>Gland Pharma Ltd</t>
        </is>
      </c>
      <c r="J9" s="31" t="inlineStr">
        <is>
          <t>healthcare</t>
        </is>
      </c>
      <c r="K9" s="31" t="inlineStr">
        <is>
          <t>pharmaceuticals - indian - formulations</t>
        </is>
      </c>
      <c r="L9" s="31" t="inlineStr">
        <is>
          <t>largecap</t>
        </is>
      </c>
      <c r="M9" s="32" t="n">
        <v>48240.81</v>
      </c>
      <c r="N9" s="32" t="n">
        <v>2967.6</v>
      </c>
      <c r="O9" s="32" t="n">
        <v>2.64</v>
      </c>
      <c r="P9" s="32" t="n">
        <v>793051</v>
      </c>
      <c r="Q9" s="31" t="n">
        <v>79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79.86</v>
      </c>
      <c r="U9" s="32" t="n">
        <v>58.86</v>
      </c>
      <c r="V9" s="32" t="n">
        <v>2437.57</v>
      </c>
      <c r="W9" s="31" t="inlineStr">
        <is>
          <t>Volume Spike &amp; Near 52W High Breakout</t>
        </is>
      </c>
      <c r="X9" s="31" t="inlineStr">
        <is>
          <t>Nifty Pharma</t>
        </is>
      </c>
      <c r="Y9" s="32" t="n">
        <v>20.47</v>
      </c>
      <c r="Z9" s="32" t="n">
        <v>51.33</v>
      </c>
      <c r="AA9" s="32" t="n">
        <v>25.62</v>
      </c>
      <c r="AB9" s="32" t="n">
        <v>22.98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Between 50% to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IF(B10=0,"",RANK(B10,$B$2:$B$21,0))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139.9</v>
      </c>
      <c r="E10" s="32" t="inlineStr">
        <is>
          <t>5%</t>
        </is>
      </c>
      <c r="F10" s="32" t="n">
        <v>50000</v>
      </c>
      <c r="G10" s="32" t="n">
        <v>26</v>
      </c>
      <c r="H10" s="31" t="inlineStr">
        <is>
          <t>WELCORP</t>
        </is>
      </c>
      <c r="I10" s="31" t="inlineStr">
        <is>
          <t>Welspun Corp Limited</t>
        </is>
      </c>
      <c r="J10" s="31" t="inlineStr">
        <is>
          <t>industrials</t>
        </is>
      </c>
      <c r="K10" s="31" t="inlineStr">
        <is>
          <t>steel - large</t>
        </is>
      </c>
      <c r="L10" s="31" t="inlineStr">
        <is>
          <t>largecap</t>
        </is>
      </c>
      <c r="M10" s="32" t="n">
        <v>48455.7</v>
      </c>
      <c r="N10" s="32" t="n">
        <v>1885</v>
      </c>
      <c r="O10" s="32" t="n">
        <v>0.93</v>
      </c>
      <c r="P10" s="32" t="n">
        <v>484980</v>
      </c>
      <c r="Q10" s="31" t="inlineStr"/>
      <c r="R10" s="31" t="inlineStr"/>
      <c r="S10" s="32">
        <f>IF(R10="Underperforming",-5,IF(Q10&gt;=95,15,IF(Q10&gt;=90,10,IF(Q10&gt;=80,5,0))))</f>
        <v/>
      </c>
      <c r="T10" s="32" t="n">
        <v>89.01000000000001</v>
      </c>
      <c r="U10" s="32" t="n">
        <v>70.76000000000001</v>
      </c>
      <c r="V10" s="32" t="n">
        <v>1572.11</v>
      </c>
      <c r="W10" s="31" t="inlineStr">
        <is>
          <t>Near 52W High Breakout</t>
        </is>
      </c>
      <c r="X10" s="31" t="inlineStr">
        <is>
          <t>Nifty Metal</t>
        </is>
      </c>
      <c r="Y10" s="32" t="inlineStr"/>
      <c r="Z10" s="32" t="inlineStr"/>
      <c r="AA10" s="32" t="inlineStr"/>
      <c r="AB10" s="32" t="inlineStr"/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IF(B11=0,"",RANK(B11,$B$2:$B$21,0))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139.1</v>
      </c>
      <c r="E11" s="32" t="inlineStr">
        <is>
          <t>5%</t>
        </is>
      </c>
      <c r="F11" s="32" t="n">
        <v>50000</v>
      </c>
      <c r="G11" s="32" t="n">
        <v>18</v>
      </c>
      <c r="H11" s="31" t="inlineStr">
        <is>
          <t>AZAD</t>
        </is>
      </c>
      <c r="I11" s="31" t="inlineStr">
        <is>
          <t>Azad Engineering Ltd</t>
        </is>
      </c>
      <c r="J11" s="31" t="inlineStr">
        <is>
          <t>aerospace &amp; defence</t>
        </is>
      </c>
      <c r="K11" s="31" t="inlineStr">
        <is>
          <t>engineering</t>
        </is>
      </c>
      <c r="L11" s="31" t="inlineStr">
        <is>
          <t>midcap</t>
        </is>
      </c>
      <c r="M11" s="32" t="n">
        <v>15965.25</v>
      </c>
      <c r="N11" s="32" t="n">
        <v>2665.1</v>
      </c>
      <c r="O11" s="32" t="n">
        <v>7.49</v>
      </c>
      <c r="P11" s="32" t="n">
        <v>1826213</v>
      </c>
      <c r="Q11" s="31" t="n">
        <v>70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67.59999999999999</v>
      </c>
      <c r="U11" s="32" t="n">
        <v>31.6</v>
      </c>
      <c r="V11" s="32" t="n">
        <v>2019.66</v>
      </c>
      <c r="W11" s="31" t="inlineStr">
        <is>
          <t>Near 52W High Breakout</t>
        </is>
      </c>
      <c r="X11" s="31" t="inlineStr">
        <is>
          <t>Nifty 50</t>
        </is>
      </c>
      <c r="Y11" s="32" t="n">
        <v>-0.96</v>
      </c>
      <c r="Z11" s="32" t="n">
        <v>71.84999999999999</v>
      </c>
      <c r="AA11" s="32" t="n">
        <v>73.51000000000001</v>
      </c>
      <c r="AB11" s="32" t="n">
        <v>17.77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IF(B12=0,"",RANK(B12,$B$2:$B$21,0))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139.2</v>
      </c>
      <c r="E12" s="32" t="inlineStr">
        <is>
          <t>5%</t>
        </is>
      </c>
      <c r="F12" s="32" t="n">
        <v>50000</v>
      </c>
      <c r="G12" s="32" t="n">
        <v>8</v>
      </c>
      <c r="H12" s="31" t="inlineStr">
        <is>
          <t>KEI</t>
        </is>
      </c>
      <c r="I12" s="31" t="inlineStr">
        <is>
          <t>Kei Industries Limited</t>
        </is>
      </c>
      <c r="J12" s="31" t="inlineStr">
        <is>
          <t>industrials</t>
        </is>
      </c>
      <c r="K12" s="31" t="inlineStr">
        <is>
          <t>cables - power</t>
        </is>
      </c>
      <c r="L12" s="31" t="inlineStr">
        <is>
          <t>largecap</t>
        </is>
      </c>
      <c r="M12" s="32" t="n">
        <v>53966.54</v>
      </c>
      <c r="N12" s="32" t="n">
        <v>5789</v>
      </c>
      <c r="O12" s="32" t="n">
        <v>0.61</v>
      </c>
      <c r="P12" s="32" t="n">
        <v>843333</v>
      </c>
      <c r="Q12" s="31" t="inlineStr"/>
      <c r="R12" s="31" t="inlineStr"/>
      <c r="S12" s="32">
        <f>IF(R12="Underperforming",-5,IF(Q12&gt;=95,15,IF(Q12&gt;=90,10,IF(Q12&gt;=80,5,0))))</f>
        <v/>
      </c>
      <c r="T12" s="32" t="n">
        <v>66.75</v>
      </c>
      <c r="U12" s="32" t="n">
        <v>25.72</v>
      </c>
      <c r="V12" s="32" t="n">
        <v>4668.58</v>
      </c>
      <c r="W12" s="31" t="inlineStr">
        <is>
          <t>Near 52W High Breakout</t>
        </is>
      </c>
      <c r="X12" s="31" t="inlineStr">
        <is>
          <t>Nifty Energy</t>
        </is>
      </c>
      <c r="Y12" s="32" t="inlineStr"/>
      <c r="Z12" s="32" t="inlineStr"/>
      <c r="AA12" s="32" t="inlineStr"/>
      <c r="AB12" s="32" t="inlineStr"/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Fully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Yes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Yes, More Than 10%</t>
        </is>
      </c>
      <c r="CJ12" s="31">
        <f>IF(CI12="Yes, more than 10%",-10,IF(CI12="No",10,0))</f>
        <v/>
      </c>
    </row>
    <row r="13">
      <c r="A13" s="31">
        <f>IF(B13=0,"",RANK(B13,$B$2:$B$21,0))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138.8</v>
      </c>
      <c r="E13" s="32" t="inlineStr">
        <is>
          <t>5%</t>
        </is>
      </c>
      <c r="F13" s="32" t="n">
        <v>50000</v>
      </c>
      <c r="G13" s="32" t="n">
        <v>2</v>
      </c>
      <c r="H13" s="31" t="inlineStr">
        <is>
          <t>NEULANDLAB</t>
        </is>
      </c>
      <c r="I13" s="31" t="inlineStr">
        <is>
          <t>Neuland Laboratories Limited</t>
        </is>
      </c>
      <c r="J13" s="31" t="inlineStr">
        <is>
          <t>healthcare</t>
        </is>
      </c>
      <c r="K13" s="31" t="inlineStr">
        <is>
          <t>pharmaceuticals - indian - bulk drugs</t>
        </is>
      </c>
      <c r="L13" s="31" t="inlineStr">
        <is>
          <t>largecap</t>
        </is>
      </c>
      <c r="M13" s="32" t="n">
        <v>29451.01</v>
      </c>
      <c r="N13" s="32" t="n">
        <v>23207</v>
      </c>
      <c r="O13" s="32" t="n">
        <v>3.1</v>
      </c>
      <c r="P13" s="32" t="n">
        <v>96590</v>
      </c>
      <c r="Q13" s="31" t="n">
        <v>79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77.34</v>
      </c>
      <c r="U13" s="32" t="n">
        <v>52.39</v>
      </c>
      <c r="V13" s="32" t="n">
        <v>18701.39</v>
      </c>
      <c r="W13" s="31" t="inlineStr">
        <is>
          <t>Near 52W High Breakout</t>
        </is>
      </c>
      <c r="X13" s="31" t="inlineStr">
        <is>
          <t>Nifty Pharma</t>
        </is>
      </c>
      <c r="Y13" s="32" t="n">
        <v>20.47</v>
      </c>
      <c r="Z13" s="32" t="n">
        <v>75.09999999999999</v>
      </c>
      <c r="AA13" s="32" t="n">
        <v>45.35</v>
      </c>
      <c r="AB13" s="32" t="n">
        <v>22.73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IF(B14=0,"",RANK(B14,$B$2:$B$21,0))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139.5</v>
      </c>
      <c r="E14" s="32" t="inlineStr">
        <is>
          <t>5%</t>
        </is>
      </c>
      <c r="F14" s="32" t="n">
        <v>50000</v>
      </c>
      <c r="G14" s="32" t="n">
        <v>17</v>
      </c>
      <c r="H14" s="31" t="inlineStr">
        <is>
          <t>RRKABEL</t>
        </is>
      </c>
      <c r="I14" s="31" t="inlineStr">
        <is>
          <t>R R Kabel Ltd</t>
        </is>
      </c>
      <c r="J14" s="31" t="inlineStr">
        <is>
          <t>industrials</t>
        </is>
      </c>
      <c r="K14" s="31" t="inlineStr">
        <is>
          <t>cables - power</t>
        </is>
      </c>
      <c r="L14" s="31" t="inlineStr">
        <is>
          <t>largecap</t>
        </is>
      </c>
      <c r="M14" s="32" t="n">
        <v>31814.32</v>
      </c>
      <c r="N14" s="32" t="n">
        <v>2834.2</v>
      </c>
      <c r="O14" s="32" t="n">
        <v>1.6</v>
      </c>
      <c r="P14" s="32" t="n">
        <v>174863</v>
      </c>
      <c r="Q14" s="31" t="inlineStr"/>
      <c r="R14" s="31" t="inlineStr"/>
      <c r="S14" s="32">
        <f>IF(R14="Underperforming",-5,IF(Q14&gt;=95,15,IF(Q14&gt;=90,10,IF(Q14&gt;=80,5,0))))</f>
        <v/>
      </c>
      <c r="T14" s="32" t="n">
        <v>78.18000000000001</v>
      </c>
      <c r="U14" s="32" t="n">
        <v>67.23999999999999</v>
      </c>
      <c r="V14" s="32" t="n">
        <v>2275.52</v>
      </c>
      <c r="W14" s="31" t="inlineStr">
        <is>
          <t>Near 52W High Breakout</t>
        </is>
      </c>
      <c r="X14" s="31" t="inlineStr">
        <is>
          <t>Nifty Energy</t>
        </is>
      </c>
      <c r="Y14" s="32" t="inlineStr"/>
      <c r="Z14" s="32" t="inlineStr"/>
      <c r="AA14" s="32" t="inlineStr"/>
      <c r="AB14" s="32" t="inlineStr"/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IF(B15=0,"",RANK(B15,$B$2:$B$21,0))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139.5</v>
      </c>
      <c r="E15" s="32" t="inlineStr">
        <is>
          <t>5%</t>
        </is>
      </c>
      <c r="F15" s="32" t="n">
        <v>50000</v>
      </c>
      <c r="G15" s="32" t="n">
        <v>35</v>
      </c>
      <c r="H15" s="31" t="inlineStr">
        <is>
          <t>KRN</t>
        </is>
      </c>
      <c r="I15" s="31" t="inlineStr">
        <is>
          <t>KRN Heat Exchanger and Refrigeration Ltd</t>
        </is>
      </c>
      <c r="J15" s="31" t="inlineStr">
        <is>
          <t>industrials</t>
        </is>
      </c>
      <c r="K15" s="31" t="inlineStr">
        <is>
          <t>engineering</t>
        </is>
      </c>
      <c r="L15" s="31" t="inlineStr">
        <is>
          <t>midcap</t>
        </is>
      </c>
      <c r="M15" s="32" t="n">
        <v>8429.09</v>
      </c>
      <c r="N15" s="32" t="n">
        <v>1398.4</v>
      </c>
      <c r="O15" s="32" t="n">
        <v>4.99</v>
      </c>
      <c r="P15" s="32" t="n">
        <v>58664</v>
      </c>
      <c r="Q15" s="31" t="n">
        <v>68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68.08</v>
      </c>
      <c r="U15" s="32" t="n">
        <v>28.68</v>
      </c>
      <c r="V15" s="32" t="n">
        <v>1017.8</v>
      </c>
      <c r="W15" s="31" t="inlineStr">
        <is>
          <t>Near 52W High Breakout</t>
        </is>
      </c>
      <c r="X15" s="31" t="inlineStr">
        <is>
          <t>Nifty 50</t>
        </is>
      </c>
      <c r="Y15" s="32" t="n">
        <v>-0.96</v>
      </c>
      <c r="Z15" s="32" t="n">
        <v>63.94</v>
      </c>
      <c r="AA15" s="32" t="n">
        <v>65.52</v>
      </c>
      <c r="AB15" s="32" t="n">
        <v>17.18</v>
      </c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IF(B16=0,"",RANK(B16,$B$2:$B$21,0))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138.7</v>
      </c>
      <c r="E16" s="32" t="inlineStr">
        <is>
          <t>5%</t>
        </is>
      </c>
      <c r="F16" s="32" t="n">
        <v>50000</v>
      </c>
      <c r="G16" s="32" t="n">
        <v>106</v>
      </c>
      <c r="H16" s="31" t="inlineStr">
        <is>
          <t>PRECWIRE</t>
        </is>
      </c>
      <c r="I16" s="31" t="inlineStr">
        <is>
          <t>Precision Wires India Limited</t>
        </is>
      </c>
      <c r="J16" s="31" t="inlineStr">
        <is>
          <t>metals &amp; mining</t>
        </is>
      </c>
      <c r="K16" s="31" t="inlineStr">
        <is>
          <t>mining / minerals / metals</t>
        </is>
      </c>
      <c r="L16" s="31" t="inlineStr">
        <is>
          <t>midcap</t>
        </is>
      </c>
      <c r="M16" s="32" t="n">
        <v>7571.91</v>
      </c>
      <c r="N16" s="32" t="n">
        <v>468.65</v>
      </c>
      <c r="O16" s="32" t="n">
        <v>10.98</v>
      </c>
      <c r="P16" s="32" t="n">
        <v>6856446</v>
      </c>
      <c r="Q16" s="31" t="inlineStr"/>
      <c r="R16" s="31" t="inlineStr"/>
      <c r="S16" s="32">
        <f>IF(R16="Underperforming",-5,IF(Q16&gt;=95,15,IF(Q16&gt;=90,10,IF(Q16&gt;=80,5,0))))</f>
        <v/>
      </c>
      <c r="T16" s="32" t="n">
        <v>67.39</v>
      </c>
      <c r="U16" s="32" t="n">
        <v>43.67</v>
      </c>
      <c r="V16" s="32" t="n">
        <v>343.95</v>
      </c>
      <c r="W16" s="31" t="inlineStr">
        <is>
          <t>Volume Spike &amp; Near 52W High Breakout</t>
        </is>
      </c>
      <c r="X16" s="31" t="inlineStr">
        <is>
          <t>Nifty Metal</t>
        </is>
      </c>
      <c r="Y16" s="32" t="inlineStr"/>
      <c r="Z16" s="32" t="inlineStr"/>
      <c r="AA16" s="32" t="inlineStr"/>
      <c r="AB16" s="32" t="inlineStr"/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Cyclical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Volatile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Less than 1.5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IF(B17=0,"",RANK(B17,$B$2:$B$21,0))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</v>
      </c>
      <c r="E17" s="32" t="inlineStr">
        <is>
          <t>5%</t>
        </is>
      </c>
      <c r="F17" s="32" t="n">
        <v>50000</v>
      </c>
      <c r="G17" s="32" t="n">
        <v>25</v>
      </c>
      <c r="H17" s="33" t="inlineStr">
        <is>
          <t>LALPATHLAB</t>
        </is>
      </c>
      <c r="I17" s="33" t="inlineStr">
        <is>
          <t>Dr. Lal Path Labs Ltd.</t>
        </is>
      </c>
      <c r="J17" s="31" t="inlineStr">
        <is>
          <t>healthcare</t>
        </is>
      </c>
      <c r="K17" s="31" t="inlineStr">
        <is>
          <t>healthcare</t>
        </is>
      </c>
      <c r="L17" s="31" t="inlineStr">
        <is>
          <t>largecap</t>
        </is>
      </c>
      <c r="M17" s="32" t="n">
        <v>32687.69</v>
      </c>
      <c r="N17" s="32" t="n">
        <v>1965</v>
      </c>
      <c r="O17" s="32" t="n">
        <v>0.6</v>
      </c>
      <c r="P17" s="32" t="n">
        <v>205127</v>
      </c>
      <c r="Q17" s="31" t="n">
        <v>44</v>
      </c>
      <c r="R17" s="31" t="inlineStr">
        <is>
          <t>Underperforming</t>
        </is>
      </c>
      <c r="S17" s="32">
        <f>IF(R17="Underperforming",-5,IF(Q17&gt;=95,15,IF(Q17&gt;=90,10,IF(Q17&gt;=80,5,0))))</f>
        <v/>
      </c>
      <c r="T17" s="32" t="n">
        <v>76.06999999999999</v>
      </c>
      <c r="U17" s="32" t="n">
        <v>41.93</v>
      </c>
      <c r="V17" s="32" t="n">
        <v>1644.44</v>
      </c>
      <c r="W17" s="31" t="inlineStr">
        <is>
          <t>Near 52W High Breakout</t>
        </is>
      </c>
      <c r="X17" s="31" t="inlineStr">
        <is>
          <t>Nifty Pharma</t>
        </is>
      </c>
      <c r="Y17" s="32" t="n">
        <v>20.47</v>
      </c>
      <c r="Z17" s="32" t="n">
        <v>18.75</v>
      </c>
      <c r="AA17" s="32" t="n">
        <v>-1.43</v>
      </c>
      <c r="AB17" s="32" t="n">
        <v>8.960000000000001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IF(B18=0,"",RANK(B18,$B$2:$B$21,0))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</v>
      </c>
      <c r="E18" s="32" t="inlineStr">
        <is>
          <t>5%</t>
        </is>
      </c>
      <c r="F18" s="32" t="n">
        <v>50000</v>
      </c>
      <c r="G18" s="32" t="n">
        <v>18</v>
      </c>
      <c r="H18" s="31" t="inlineStr">
        <is>
          <t>KMEW</t>
        </is>
      </c>
      <c r="I18" s="31" t="inlineStr">
        <is>
          <t>Knowledge Marine &amp; Engineering Works Ltd</t>
        </is>
      </c>
      <c r="J18" s="31" t="inlineStr">
        <is>
          <t>transportation</t>
        </is>
      </c>
      <c r="K18" s="31" t="inlineStr">
        <is>
          <t>miscellaneous</t>
        </is>
      </c>
      <c r="L18" s="31" t="inlineStr">
        <is>
          <t>midcap</t>
        </is>
      </c>
      <c r="M18" s="32" t="n">
        <v>6407.05</v>
      </c>
      <c r="N18" s="32" t="n">
        <v>2709.8</v>
      </c>
      <c r="O18" s="32" t="n">
        <v>4.23</v>
      </c>
      <c r="P18" s="32" t="n">
        <v>76044</v>
      </c>
      <c r="Q18" s="31" t="n">
        <v>91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76.89</v>
      </c>
      <c r="U18" s="32" t="n">
        <v>50.34</v>
      </c>
      <c r="V18" s="32" t="n">
        <v>2003.55</v>
      </c>
      <c r="W18" s="31" t="inlineStr">
        <is>
          <t>Near 52W High Breakout</t>
        </is>
      </c>
      <c r="X18" s="31" t="inlineStr">
        <is>
          <t>Nifty 50</t>
        </is>
      </c>
      <c r="Y18" s="32" t="n">
        <v>-0.96</v>
      </c>
      <c r="Z18" s="32" t="n">
        <v>224.7</v>
      </c>
      <c r="AA18" s="32" t="n">
        <v>227.84</v>
      </c>
      <c r="AB18" s="32" t="n">
        <v>35.5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Negative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IF(B19=0,"",RANK(B19,$B$2:$B$21,0))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138.9</v>
      </c>
      <c r="E19" s="32" t="inlineStr">
        <is>
          <t>5%</t>
        </is>
      </c>
      <c r="F19" s="32" t="n">
        <v>50000</v>
      </c>
      <c r="G19" s="32" t="n">
        <v>1</v>
      </c>
      <c r="H19" s="31" t="inlineStr">
        <is>
          <t>BOSCHLTD</t>
        </is>
      </c>
      <c r="I19" s="31" t="inlineStr">
        <is>
          <t>Bosch Limited</t>
        </is>
      </c>
      <c r="J19" s="31" t="inlineStr">
        <is>
          <t>auto</t>
        </is>
      </c>
      <c r="K19" s="31" t="inlineStr">
        <is>
          <t>auto ancillaries</t>
        </is>
      </c>
      <c r="L19" s="31" t="inlineStr">
        <is>
          <t>largecap</t>
        </is>
      </c>
      <c r="M19" s="32" t="n">
        <v>133278.13</v>
      </c>
      <c r="N19" s="32" t="n">
        <v>46750</v>
      </c>
      <c r="O19" s="32" t="n">
        <v>0.58</v>
      </c>
      <c r="P19" s="32" t="n">
        <v>97235</v>
      </c>
      <c r="Q19" s="31" t="inlineStr"/>
      <c r="R19" s="31" t="inlineStr"/>
      <c r="S19" s="32">
        <f>IF(R19="Underperforming",-5,IF(Q19&gt;=95,15,IF(Q19&gt;=90,10,IF(Q19&gt;=80,5,0))))</f>
        <v/>
      </c>
      <c r="T19" s="32" t="n">
        <v>72.89</v>
      </c>
      <c r="U19" s="32" t="n">
        <v>31.19</v>
      </c>
      <c r="V19" s="32" t="n">
        <v>39449.04</v>
      </c>
      <c r="W19" s="31" t="inlineStr">
        <is>
          <t>Volume Spike &amp; Near 52W High Breakout</t>
        </is>
      </c>
      <c r="X19" s="31" t="inlineStr">
        <is>
          <t>Nifty Auto</t>
        </is>
      </c>
      <c r="Y19" s="32" t="inlineStr"/>
      <c r="Z19" s="32" t="inlineStr"/>
      <c r="AA19" s="32" t="inlineStr"/>
      <c r="AB19" s="32" t="inlineStr"/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IF(B20=0,"",RANK(B20,$B$2:$B$21,0))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140</v>
      </c>
      <c r="E20" s="32" t="inlineStr">
        <is>
          <t>5%</t>
        </is>
      </c>
      <c r="F20" s="32" t="n">
        <v>50000</v>
      </c>
      <c r="G20" s="32" t="n">
        <v>30</v>
      </c>
      <c r="H20" s="31" t="inlineStr">
        <is>
          <t>PAYTM</t>
        </is>
      </c>
      <c r="I20" s="31" t="inlineStr">
        <is>
          <t>One 97 Communications Ltd</t>
        </is>
      </c>
      <c r="J20" s="31" t="inlineStr">
        <is>
          <t>i.t</t>
        </is>
      </c>
      <c r="K20" s="31" t="inlineStr">
        <is>
          <t>miscellaneous</t>
        </is>
      </c>
      <c r="L20" s="31" t="inlineStr">
        <is>
          <t>largecap</t>
        </is>
      </c>
      <c r="M20" s="32" t="n">
        <v>102050.51</v>
      </c>
      <c r="N20" s="32" t="n">
        <v>1649.5</v>
      </c>
      <c r="O20" s="32" t="n">
        <v>2.45</v>
      </c>
      <c r="P20" s="32" t="n">
        <v>6117382</v>
      </c>
      <c r="Q20" s="31" t="n">
        <v>71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74.86</v>
      </c>
      <c r="U20" s="32" t="n">
        <v>18.56</v>
      </c>
      <c r="V20" s="32" t="n">
        <v>1325.11</v>
      </c>
      <c r="W20" s="31" t="inlineStr">
        <is>
          <t>Volume Spike &amp; Near 52W High Breakout</t>
        </is>
      </c>
      <c r="X20" s="31" t="inlineStr">
        <is>
          <t>Nifty IT</t>
        </is>
      </c>
      <c r="Y20" s="32" t="n">
        <v>-9.699999999999999</v>
      </c>
      <c r="Z20" s="32" t="n">
        <v>43.27</v>
      </c>
      <c r="AA20" s="32" t="n">
        <v>58.67</v>
      </c>
      <c r="AB20" s="32" t="n">
        <v>18.32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IF(B21=0,"",RANK(B21,$B$2:$B$21,0))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138.6</v>
      </c>
      <c r="E21" s="32" t="inlineStr">
        <is>
          <t>5%</t>
        </is>
      </c>
      <c r="F21" s="32" t="n">
        <v>50000</v>
      </c>
      <c r="G21" s="32" t="n">
        <v>192</v>
      </c>
      <c r="H21" s="31" t="inlineStr">
        <is>
          <t>KANPRPLA</t>
        </is>
      </c>
      <c r="I21" s="31" t="inlineStr">
        <is>
          <t>Kanpur Plastipack Ltd</t>
        </is>
      </c>
      <c r="J21" s="31" t="inlineStr">
        <is>
          <t>industrials</t>
        </is>
      </c>
      <c r="K21" s="31" t="inlineStr">
        <is>
          <t>packaging</t>
        </is>
      </c>
      <c r="L21" s="31" t="inlineStr">
        <is>
          <t>smallcap</t>
        </is>
      </c>
      <c r="M21" s="32" t="n">
        <v>528.55</v>
      </c>
      <c r="N21" s="32" t="n">
        <v>260.38</v>
      </c>
      <c r="O21" s="32" t="n">
        <v>12.02</v>
      </c>
      <c r="P21" s="32" t="n">
        <v>918762</v>
      </c>
      <c r="Q21" s="31" t="n">
        <v>51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70.59</v>
      </c>
      <c r="U21" s="32" t="n">
        <v>15.81</v>
      </c>
      <c r="V21" s="32" t="n">
        <v>184.05</v>
      </c>
      <c r="W21" s="31" t="inlineStr">
        <is>
          <t>Volume Spike &amp; Near 52W High Breakout</t>
        </is>
      </c>
      <c r="X21" s="31" t="inlineStr">
        <is>
          <t>Nifty 50</t>
        </is>
      </c>
      <c r="Y21" s="32" t="n">
        <v>-0.96</v>
      </c>
      <c r="Z21" s="32" t="n">
        <v>21.8</v>
      </c>
      <c r="AA21" s="32" t="n">
        <v>22.98</v>
      </c>
      <c r="AB21" s="32" t="n">
        <v>10.97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0 to 20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IF(B2=0,"",RANK(B2,$B$2:$B$3,0))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139.3</v>
      </c>
      <c r="E2" s="32" t="inlineStr">
        <is>
          <t>5%</t>
        </is>
      </c>
      <c r="F2" s="32" t="n">
        <v>50000</v>
      </c>
      <c r="G2" s="32" t="n">
        <v>45</v>
      </c>
      <c r="H2" s="31" t="inlineStr">
        <is>
          <t>AUBANK</t>
        </is>
      </c>
      <c r="I2" s="31" t="inlineStr">
        <is>
          <t>AU Small Finance Bank Ltd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80207.41</v>
      </c>
      <c r="N2" s="32" t="n">
        <v>1098</v>
      </c>
      <c r="O2" s="32" t="n">
        <v>0.6</v>
      </c>
      <c r="P2" s="32" t="n">
        <v>3255108</v>
      </c>
      <c r="Q2" s="31" t="n">
        <v>48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62.68</v>
      </c>
      <c r="U2" s="32" t="n">
        <v>23.92</v>
      </c>
      <c r="V2" s="32" t="n">
        <v>914.8200000000001</v>
      </c>
      <c r="W2" s="31" t="inlineStr">
        <is>
          <t>Near 52W High Breakout</t>
        </is>
      </c>
      <c r="X2" s="31" t="inlineStr">
        <is>
          <t>Nifty Bank</t>
        </is>
      </c>
      <c r="Y2" s="32" t="n">
        <v>4.14</v>
      </c>
      <c r="Z2" s="32" t="n">
        <v>46.43</v>
      </c>
      <c r="AA2" s="32" t="n">
        <v>40.6</v>
      </c>
      <c r="AB2" s="32" t="n">
        <v>10.37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IF(B3=0,"",RANK(B3,$B$2:$B$3,0))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138.6</v>
      </c>
      <c r="E3" s="32" t="inlineStr">
        <is>
          <t>5%</t>
        </is>
      </c>
      <c r="F3" s="32" t="n">
        <v>50000</v>
      </c>
      <c r="G3" s="32" t="n">
        <v>22</v>
      </c>
      <c r="H3" s="31" t="inlineStr">
        <is>
          <t>ANANDRATHI</t>
        </is>
      </c>
      <c r="I3" s="31" t="inlineStr">
        <is>
          <t>Anand Rathi Wealth Ltd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largecap</t>
        </is>
      </c>
      <c r="M3" s="32" t="n">
        <v>35831.71</v>
      </c>
      <c r="N3" s="32" t="n">
        <v>2202.8</v>
      </c>
      <c r="O3" s="32" t="n">
        <v>0.63</v>
      </c>
      <c r="P3" s="32" t="n">
        <v>222246</v>
      </c>
      <c r="Q3" s="31" t="n">
        <v>64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75.91</v>
      </c>
      <c r="U3" s="32" t="n">
        <v>51.51</v>
      </c>
      <c r="V3" s="32" t="n">
        <v>1882.85</v>
      </c>
      <c r="W3" s="31" t="inlineStr">
        <is>
          <t>Near 52W High Breakout</t>
        </is>
      </c>
      <c r="X3" s="31" t="inlineStr">
        <is>
          <t>Nifty Bank</t>
        </is>
      </c>
      <c r="Y3" s="32" t="n">
        <v>4.14</v>
      </c>
      <c r="Z3" s="32" t="n">
        <v>62.88</v>
      </c>
      <c r="AA3" s="32" t="n">
        <v>56.4</v>
      </c>
      <c r="AB3" s="32" t="n">
        <v>15.24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above 5x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Above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5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IF(B2=0,"",RANK(B2,$B$2:$B$98,0))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PIXTRANS</t>
        </is>
      </c>
      <c r="D2" s="31" t="inlineStr">
        <is>
          <t>Pix Transmission Ltd</t>
        </is>
      </c>
      <c r="E2" s="31" t="inlineStr">
        <is>
          <t>fmcg</t>
        </is>
      </c>
      <c r="F2" s="31" t="inlineStr">
        <is>
          <t>Rubber Processing/Rubber Products</t>
        </is>
      </c>
      <c r="G2" s="31" t="inlineStr">
        <is>
          <t>smallcap</t>
        </is>
      </c>
      <c r="H2" s="32" t="n">
        <v>2618.63</v>
      </c>
      <c r="I2" s="32" t="n">
        <v>1921.9</v>
      </c>
      <c r="J2" s="32" t="n">
        <v>-1.29</v>
      </c>
      <c r="K2" s="32" t="n">
        <v>0</v>
      </c>
      <c r="L2" s="31" t="n">
        <v>56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71.04000000000001</v>
      </c>
      <c r="P2" s="32" t="n">
        <v>45.06</v>
      </c>
      <c r="Q2" s="32" t="n">
        <v>1517.35</v>
      </c>
      <c r="R2" s="31" t="inlineStr">
        <is>
          <t>Volume Spike &amp; Near 52W High Breakout</t>
        </is>
      </c>
      <c r="S2" s="31" t="inlineStr">
        <is>
          <t>Nifty FMCG</t>
        </is>
      </c>
      <c r="T2" s="32" t="n">
        <v>-10.52</v>
      </c>
      <c r="U2" s="32" t="n">
        <v>28.34</v>
      </c>
      <c r="V2" s="32" t="n">
        <v>43.43</v>
      </c>
      <c r="W2" s="32" t="n">
        <v>12.18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IF(B3=0,"",RANK(B3,$B$2:$B$98,0))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RPTECH</t>
        </is>
      </c>
      <c r="D3" s="31" t="inlineStr">
        <is>
          <t>Rashi Peripherals Ltd</t>
        </is>
      </c>
      <c r="E3" s="31" t="inlineStr">
        <is>
          <t>services</t>
        </is>
      </c>
      <c r="F3" s="31" t="inlineStr">
        <is>
          <t>Trading</t>
        </is>
      </c>
      <c r="G3" s="31" t="inlineStr">
        <is>
          <t>midcap</t>
        </is>
      </c>
      <c r="H3" s="32" t="n">
        <v>5819.14</v>
      </c>
      <c r="I3" s="32" t="n">
        <v>876.3</v>
      </c>
      <c r="J3" s="32" t="n">
        <v>2.5</v>
      </c>
      <c r="K3" s="32" t="n">
        <v>0</v>
      </c>
      <c r="L3" s="31" t="n">
        <v>94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79.02</v>
      </c>
      <c r="P3" s="32" t="n">
        <v>79.11</v>
      </c>
      <c r="Q3" s="32" t="n">
        <v>690.61</v>
      </c>
      <c r="R3" s="31" t="inlineStr">
        <is>
          <t>Near 52W High Breakout</t>
        </is>
      </c>
      <c r="S3" s="31" t="inlineStr">
        <is>
          <t>Nifty 50</t>
        </is>
      </c>
      <c r="T3" s="32" t="n">
        <v>-0.96</v>
      </c>
      <c r="U3" s="32" t="n">
        <v>207.66</v>
      </c>
      <c r="V3" s="32" t="n">
        <v>210.63</v>
      </c>
      <c r="W3" s="32" t="n">
        <v>41.96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24</t>
        </is>
      </c>
      <c r="CG3" s="31">
        <f>IF(CF3&gt;20,10,IF(CF3&gt;=10,5,2))</f>
        <v/>
      </c>
    </row>
    <row r="4">
      <c r="A4" s="31">
        <f>IF(B4=0,"",RANK(B4,$B$2:$B$98,0))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SYRMA</t>
        </is>
      </c>
      <c r="D4" s="31" t="inlineStr">
        <is>
          <t>Syrma SGS Technology Ltd</t>
        </is>
      </c>
      <c r="E4" s="31" t="inlineStr">
        <is>
          <t>consumer discretionary</t>
        </is>
      </c>
      <c r="F4" s="31" t="inlineStr">
        <is>
          <t>Consumer Electronics - EMS</t>
        </is>
      </c>
      <c r="G4" s="31" t="inlineStr">
        <is>
          <t>largecap</t>
        </is>
      </c>
      <c r="H4" s="32" t="n">
        <v>28482.99</v>
      </c>
      <c r="I4" s="32" t="n">
        <v>1477.1</v>
      </c>
      <c r="J4" s="32" t="n">
        <v>0.26</v>
      </c>
      <c r="K4" s="32" t="n">
        <v>0</v>
      </c>
      <c r="L4" s="31" t="n">
        <v>83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69.48</v>
      </c>
      <c r="P4" s="32" t="n">
        <v>60.06</v>
      </c>
      <c r="Q4" s="32" t="n">
        <v>1130.39</v>
      </c>
      <c r="R4" s="31" t="inlineStr">
        <is>
          <t>Near 52W High Breakout</t>
        </is>
      </c>
      <c r="S4" s="31" t="inlineStr">
        <is>
          <t>Nifty 50</t>
        </is>
      </c>
      <c r="T4" s="32" t="n">
        <v>-0.96</v>
      </c>
      <c r="U4" s="32" t="n">
        <v>112.29</v>
      </c>
      <c r="V4" s="32" t="n">
        <v>114.34</v>
      </c>
      <c r="W4" s="32" t="n">
        <v>26.55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21</t>
        </is>
      </c>
      <c r="CG4" s="31">
        <f>IF(CF4&gt;20,10,IF(CF4&gt;=10,5,2))</f>
        <v/>
      </c>
    </row>
    <row r="5">
      <c r="A5" s="31">
        <f>IF(B5=0,"",RANK(B5,$B$2:$B$98,0))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CUPID</t>
        </is>
      </c>
      <c r="D5" s="31" t="inlineStr">
        <is>
          <t>Cupid Ltd</t>
        </is>
      </c>
      <c r="E5" s="31" t="inlineStr">
        <is>
          <t>fmcg</t>
        </is>
      </c>
      <c r="F5" s="31" t="inlineStr">
        <is>
          <t>Contraceptives/Protectives</t>
        </is>
      </c>
      <c r="G5" s="31" t="inlineStr">
        <is>
          <t>largecap</t>
        </is>
      </c>
      <c r="H5" s="32" t="n">
        <v>39664.8</v>
      </c>
      <c r="I5" s="32" t="n">
        <v>294.98</v>
      </c>
      <c r="J5" s="32" t="n">
        <v>1.76</v>
      </c>
      <c r="K5" s="32" t="n">
        <v>0</v>
      </c>
      <c r="L5" s="31" t="n">
        <v>99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93.48999999999999</v>
      </c>
      <c r="P5" s="32" t="n">
        <v>71.06</v>
      </c>
      <c r="Q5" s="32" t="n">
        <v>237.38</v>
      </c>
      <c r="R5" s="31" t="inlineStr">
        <is>
          <t>Near 52W High Breakout</t>
        </is>
      </c>
      <c r="S5" s="31" t="inlineStr">
        <is>
          <t>Nifty FMCG</t>
        </is>
      </c>
      <c r="T5" s="32" t="n">
        <v>-10.52</v>
      </c>
      <c r="U5" s="32" t="n">
        <v>896.75</v>
      </c>
      <c r="V5" s="32" t="n">
        <v>1013.96</v>
      </c>
      <c r="W5" s="32" t="n">
        <v>98.34999999999999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24</t>
        </is>
      </c>
      <c r="CG5" s="31">
        <f>IF(CF5&gt;20,10,IF(CF5&gt;=10,5,2))</f>
        <v/>
      </c>
    </row>
    <row r="6">
      <c r="A6" s="31">
        <f>IF(B6=0,"",RANK(B6,$B$2:$B$98,0))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SENORES</t>
        </is>
      </c>
      <c r="D6" s="34" t="inlineStr">
        <is>
          <t>Senores Pharmaceuticals Ltd</t>
        </is>
      </c>
      <c r="E6" s="31" t="inlineStr">
        <is>
          <t>healthcare</t>
        </is>
      </c>
      <c r="F6" s="31" t="inlineStr">
        <is>
          <t>Pharma - API</t>
        </is>
      </c>
      <c r="G6" s="31" t="inlineStr">
        <is>
          <t>midcap</t>
        </is>
      </c>
      <c r="H6" s="32" t="n">
        <v>6832.97</v>
      </c>
      <c r="I6" s="32" t="n">
        <v>1483.7</v>
      </c>
      <c r="J6" s="32" t="n">
        <v>-0.58</v>
      </c>
      <c r="K6" s="32" t="n">
        <v>0</v>
      </c>
      <c r="L6" s="31" t="n">
        <v>83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74</v>
      </c>
      <c r="P6" s="32" t="n">
        <v>62.04</v>
      </c>
      <c r="Q6" s="32" t="n">
        <v>1145.16</v>
      </c>
      <c r="R6" s="31" t="inlineStr">
        <is>
          <t>Near 52W High Breakout</t>
        </is>
      </c>
      <c r="S6" s="31" t="inlineStr">
        <is>
          <t>Nifty Pharma</t>
        </is>
      </c>
      <c r="T6" s="32" t="n">
        <v>20.47</v>
      </c>
      <c r="U6" s="32" t="n">
        <v>120.87</v>
      </c>
      <c r="V6" s="32" t="n">
        <v>83.33</v>
      </c>
      <c r="W6" s="32" t="n">
        <v>26.8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20</t>
        </is>
      </c>
      <c r="CG6" s="31">
        <f>IF(CF6&gt;20,10,IF(CF6&gt;=10,5,2))</f>
        <v/>
      </c>
    </row>
    <row r="7">
      <c r="A7" s="31">
        <f>IF(B7=0,"",RANK(B7,$B$2:$B$98,0))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PGIL</t>
        </is>
      </c>
      <c r="D7" s="31" t="inlineStr">
        <is>
          <t>Pearl Global Industries Ltd</t>
        </is>
      </c>
      <c r="E7" s="31" t="inlineStr">
        <is>
          <t>consumer discretionary</t>
        </is>
      </c>
      <c r="F7" s="31" t="inlineStr">
        <is>
          <t>Textiles - Readymade Apparel</t>
        </is>
      </c>
      <c r="G7" s="31" t="inlineStr">
        <is>
          <t>midcap</t>
        </is>
      </c>
      <c r="H7" s="32" t="n">
        <v>11293.59</v>
      </c>
      <c r="I7" s="32" t="n">
        <v>2445</v>
      </c>
      <c r="J7" s="32" t="n">
        <v>-1.43</v>
      </c>
      <c r="K7" s="32" t="n">
        <v>0</v>
      </c>
      <c r="L7" s="31" t="n">
        <v>82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75.77</v>
      </c>
      <c r="P7" s="32" t="n">
        <v>53.75</v>
      </c>
      <c r="Q7" s="32" t="n">
        <v>1919.32</v>
      </c>
      <c r="R7" s="31" t="inlineStr">
        <is>
          <t>Near 52W High Breakout</t>
        </is>
      </c>
      <c r="S7" s="31" t="inlineStr">
        <is>
          <t>Nifty 50</t>
        </is>
      </c>
      <c r="T7" s="32" t="n">
        <v>-0.96</v>
      </c>
      <c r="U7" s="32" t="n">
        <v>97.88</v>
      </c>
      <c r="V7" s="32" t="n">
        <v>99.79000000000001</v>
      </c>
      <c r="W7" s="32" t="n">
        <v>26.1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28</t>
        </is>
      </c>
      <c r="CG7" s="31">
        <f>IF(CF7&gt;20,10,IF(CF7&gt;=10,5,2))</f>
        <v/>
      </c>
    </row>
    <row r="8">
      <c r="A8" s="31">
        <f>IF(B8=0,"",RANK(B8,$B$2:$B$98,0))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AXISOL</t>
        </is>
      </c>
      <c r="D8" s="31" t="inlineStr">
        <is>
          <t>Axis Solutions Ltd</t>
        </is>
      </c>
      <c r="E8" s="31" t="inlineStr">
        <is>
          <t>Industrials</t>
        </is>
      </c>
      <c r="F8" s="31" t="inlineStr">
        <is>
          <t>Engineering - Light - General</t>
        </is>
      </c>
      <c r="G8" s="31" t="inlineStr">
        <is>
          <t>smallcap</t>
        </is>
      </c>
      <c r="H8" s="32" t="n">
        <v>2545.67</v>
      </c>
      <c r="I8" s="32" t="n">
        <v>538.65</v>
      </c>
      <c r="J8" s="32" t="n">
        <v>4.98</v>
      </c>
      <c r="K8" s="32" t="n">
        <v>0</v>
      </c>
      <c r="L8" s="31" t="n">
        <v>99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88.36</v>
      </c>
      <c r="P8" s="32" t="n">
        <v>64.78</v>
      </c>
      <c r="Q8" s="32" t="n">
        <v>444.34</v>
      </c>
      <c r="R8" s="31" t="inlineStr">
        <is>
          <t>Volume Spike &amp; Near 52W High Breakout</t>
        </is>
      </c>
      <c r="S8" s="31" t="inlineStr">
        <is>
          <t>Nifty 50</t>
        </is>
      </c>
      <c r="T8" s="32" t="n">
        <v>-0.96</v>
      </c>
      <c r="U8" s="32" t="n">
        <v>2379.54</v>
      </c>
      <c r="V8" s="32" t="n">
        <v>2403.47</v>
      </c>
      <c r="W8" s="32" t="n">
        <v>124.13</v>
      </c>
      <c r="X8" s="31" t="inlineStr">
        <is>
          <t>Cyclical in an Upturn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23</t>
        </is>
      </c>
      <c r="CG8" s="31">
        <f>IF(CF8&gt;20,10,IF(CF8&gt;=10,5,2))</f>
        <v/>
      </c>
    </row>
    <row r="9">
      <c r="A9" s="31">
        <f>IF(B9=0,"",RANK(B9,$B$2:$B$98,0))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TAALTECH</t>
        </is>
      </c>
      <c r="D9" s="31" t="inlineStr">
        <is>
          <t>TAAL Tech Ltd</t>
        </is>
      </c>
      <c r="E9" s="31" t="inlineStr">
        <is>
          <t>Industrials</t>
        </is>
      </c>
      <c r="F9" s="31" t="inlineStr">
        <is>
          <t>Air Transport Service</t>
        </is>
      </c>
      <c r="G9" s="31" t="inlineStr">
        <is>
          <t>smallcap</t>
        </is>
      </c>
      <c r="H9" s="32" t="n">
        <v>1335.56</v>
      </c>
      <c r="I9" s="32" t="n">
        <v>4285.65</v>
      </c>
      <c r="J9" s="32" t="n">
        <v>2.9</v>
      </c>
      <c r="K9" s="32" t="n">
        <v>0</v>
      </c>
      <c r="L9" s="31" t="n">
        <v>75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68.08</v>
      </c>
      <c r="P9" s="32" t="n">
        <v>44.29</v>
      </c>
      <c r="Q9" s="32" t="n">
        <v>3353.35</v>
      </c>
      <c r="R9" s="31" t="inlineStr">
        <is>
          <t>Near 52W High Breakout</t>
        </is>
      </c>
      <c r="S9" s="31" t="inlineStr">
        <is>
          <t>Nifty 50</t>
        </is>
      </c>
      <c r="T9" s="32" t="n">
        <v>-0.96</v>
      </c>
      <c r="U9" s="32" t="n">
        <v>39.82</v>
      </c>
      <c r="V9" s="32" t="n">
        <v>41.17</v>
      </c>
      <c r="W9" s="32" t="n">
        <v>19.81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IF(B10=0,"",RANK(B10,$B$2:$B$98,0))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REDINGTON</t>
        </is>
      </c>
      <c r="D10" s="31" t="inlineStr">
        <is>
          <t>Redington Ltd</t>
        </is>
      </c>
      <c r="E10" s="31" t="inlineStr">
        <is>
          <t>services</t>
        </is>
      </c>
      <c r="F10" s="31" t="inlineStr">
        <is>
          <t>Computer - Hardware</t>
        </is>
      </c>
      <c r="G10" s="31" t="inlineStr">
        <is>
          <t>largecap</t>
        </is>
      </c>
      <c r="H10" s="32" t="n">
        <v>27088.48</v>
      </c>
      <c r="I10" s="32" t="n">
        <v>346.5</v>
      </c>
      <c r="J10" s="32" t="n">
        <v>2.09</v>
      </c>
      <c r="K10" s="32" t="n">
        <v>0</v>
      </c>
      <c r="L10" s="31" t="n">
        <v>80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69.81</v>
      </c>
      <c r="P10" s="32" t="n">
        <v>31.67</v>
      </c>
      <c r="Q10" s="32" t="n">
        <v>274.15</v>
      </c>
      <c r="R10" s="31" t="inlineStr">
        <is>
          <t>Near 52W High Breakout</t>
        </is>
      </c>
      <c r="S10" s="31" t="inlineStr">
        <is>
          <t>Nifty 50</t>
        </is>
      </c>
      <c r="T10" s="32" t="n">
        <v>-0.96</v>
      </c>
      <c r="U10" s="32" t="n">
        <v>49.13</v>
      </c>
      <c r="V10" s="32" t="n">
        <v>50.57</v>
      </c>
      <c r="W10" s="32" t="n">
        <v>23.45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IF(B11=0,"",RANK(B11,$B$2:$B$98,0))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RPEL</t>
        </is>
      </c>
      <c r="D11" s="34" t="inlineStr">
        <is>
          <t>Raghav Productivity Enhancers Ltd</t>
        </is>
      </c>
      <c r="E11" s="31" t="inlineStr">
        <is>
          <t>building materials</t>
        </is>
      </c>
      <c r="F11" s="31" t="inlineStr">
        <is>
          <t>Steel Products</t>
        </is>
      </c>
      <c r="G11" s="31" t="inlineStr">
        <is>
          <t>midcap</t>
        </is>
      </c>
      <c r="H11" s="32" t="n">
        <v>6419.89</v>
      </c>
      <c r="I11" s="32" t="n">
        <v>1398</v>
      </c>
      <c r="J11" s="32" t="n">
        <v>8.43</v>
      </c>
      <c r="K11" s="32" t="n">
        <v>0</v>
      </c>
      <c r="L11" s="31" t="n">
        <v>95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75.11</v>
      </c>
      <c r="P11" s="32" t="n">
        <v>52.38</v>
      </c>
      <c r="Q11" s="32" t="n">
        <v>1089.47</v>
      </c>
      <c r="R11" s="31" t="inlineStr">
        <is>
          <t>Near 52W High Breakout</t>
        </is>
      </c>
      <c r="S11" s="31" t="inlineStr">
        <is>
          <t>Nifty Infra</t>
        </is>
      </c>
      <c r="T11" s="32" t="n">
        <v>3.6</v>
      </c>
      <c r="U11" s="32" t="n">
        <v>110.33</v>
      </c>
      <c r="V11" s="32" t="n">
        <v>103.02</v>
      </c>
      <c r="W11" s="32" t="n">
        <v>42.43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Between 1.5 to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20</t>
        </is>
      </c>
      <c r="CG11" s="31">
        <f>IF(CF11&gt;20,10,IF(CF11&gt;=10,5,2))</f>
        <v/>
      </c>
    </row>
    <row r="12">
      <c r="A12" s="31">
        <f>IF(B12=0,"",RANK(B12,$B$2:$B$98,0))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SANGHVIMOV</t>
        </is>
      </c>
      <c r="D12" s="31" t="inlineStr">
        <is>
          <t>Sanghvi Movers Ltd</t>
        </is>
      </c>
      <c r="E12" s="31" t="inlineStr">
        <is>
          <t>miscellaneous</t>
        </is>
      </c>
      <c r="F12" s="31" t="inlineStr">
        <is>
          <t>Capital Goods - EPC/Cranes</t>
        </is>
      </c>
      <c r="G12" s="31" t="inlineStr">
        <is>
          <t>smallcap</t>
        </is>
      </c>
      <c r="H12" s="32" t="n">
        <v>4311.48</v>
      </c>
      <c r="I12" s="32" t="n">
        <v>498</v>
      </c>
      <c r="J12" s="32" t="n">
        <v>-0.49</v>
      </c>
      <c r="K12" s="32" t="n">
        <v>0</v>
      </c>
      <c r="L12" s="31" t="n">
        <v>80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66.91</v>
      </c>
      <c r="P12" s="32" t="n">
        <v>37.5</v>
      </c>
      <c r="Q12" s="32" t="n">
        <v>361.84</v>
      </c>
      <c r="R12" s="31" t="inlineStr">
        <is>
          <t>Near 52W High Breakout</t>
        </is>
      </c>
      <c r="S12" s="31" t="inlineStr">
        <is>
          <t>Nifty 50</t>
        </is>
      </c>
      <c r="T12" s="32" t="n">
        <v>-0.96</v>
      </c>
      <c r="U12" s="32" t="n">
        <v>52.35</v>
      </c>
      <c r="V12" s="32" t="n">
        <v>53.82</v>
      </c>
      <c r="W12" s="32" t="n">
        <v>24.87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19</t>
        </is>
      </c>
      <c r="CG12" s="31">
        <f>IF(CF12&gt;20,10,IF(CF12&gt;=10,5,2))</f>
        <v/>
      </c>
    </row>
    <row r="13">
      <c r="A13" s="31">
        <f>IF(B13=0,"",RANK(B13,$B$2:$B$98,0))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UNIPARTS</t>
        </is>
      </c>
      <c r="D13" s="31" t="inlineStr">
        <is>
          <t>Uniparts India Ltd</t>
        </is>
      </c>
      <c r="E13" s="31" t="inlineStr">
        <is>
          <t>industrials</t>
        </is>
      </c>
      <c r="F13" s="31" t="inlineStr">
        <is>
          <t>Castings, Forgings &amp; Fastners</t>
        </is>
      </c>
      <c r="G13" s="31" t="inlineStr">
        <is>
          <t>smallcap</t>
        </is>
      </c>
      <c r="H13" s="32" t="n">
        <v>3723.08</v>
      </c>
      <c r="I13" s="32" t="n">
        <v>824.4</v>
      </c>
      <c r="J13" s="32" t="n">
        <v>1.33</v>
      </c>
      <c r="K13" s="32" t="n">
        <v>0</v>
      </c>
      <c r="L13" s="31" t="n">
        <v>87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79.92</v>
      </c>
      <c r="P13" s="32" t="n">
        <v>61.7</v>
      </c>
      <c r="Q13" s="32" t="n">
        <v>662.13</v>
      </c>
      <c r="R13" s="31" t="inlineStr">
        <is>
          <t>Near 52W High Breakout</t>
        </is>
      </c>
      <c r="S13" s="31" t="inlineStr">
        <is>
          <t>Nifty 50</t>
        </is>
      </c>
      <c r="T13" s="32" t="n">
        <v>-0.96</v>
      </c>
      <c r="U13" s="32" t="n">
        <v>120.99</v>
      </c>
      <c r="V13" s="32" t="n">
        <v>123.12</v>
      </c>
      <c r="W13" s="32" t="n">
        <v>29.85</v>
      </c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26</t>
        </is>
      </c>
      <c r="CG13" s="31">
        <f>IF(CF13&gt;20,10,IF(CF13&gt;=10,5,2))</f>
        <v/>
      </c>
    </row>
    <row r="14">
      <c r="A14" s="31">
        <f>IF(B14=0,"",RANK(B14,$B$2:$B$98,0))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SJS</t>
        </is>
      </c>
      <c r="D14" s="31" t="inlineStr">
        <is>
          <t>S J S Enterprises Ltd</t>
        </is>
      </c>
      <c r="E14" s="31" t="inlineStr">
        <is>
          <t>auto</t>
        </is>
      </c>
      <c r="F14" s="31" t="inlineStr">
        <is>
          <t>Auto Ancillaries - Diversified</t>
        </is>
      </c>
      <c r="G14" s="31" t="inlineStr">
        <is>
          <t>midcap</t>
        </is>
      </c>
      <c r="H14" s="32" t="n">
        <v>7702.41</v>
      </c>
      <c r="I14" s="32" t="n">
        <v>2405</v>
      </c>
      <c r="J14" s="32" t="n">
        <v>-1.3</v>
      </c>
      <c r="K14" s="32" t="n">
        <v>0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68.95</v>
      </c>
      <c r="P14" s="32" t="n">
        <v>43.58</v>
      </c>
      <c r="Q14" s="32" t="n">
        <v>1963.75</v>
      </c>
      <c r="R14" s="31" t="inlineStr">
        <is>
          <t>Near 52W High Breakout</t>
        </is>
      </c>
      <c r="S14" s="31" t="inlineStr">
        <is>
          <t>Nifty Auto</t>
        </is>
      </c>
      <c r="T14" s="32" t="inlineStr"/>
      <c r="U14" s="32" t="inlineStr"/>
      <c r="V14" s="32" t="inlineStr"/>
      <c r="W14" s="32" t="inlineStr"/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23</t>
        </is>
      </c>
      <c r="CG14" s="31">
        <f>IF(CF14&gt;20,10,IF(CF14&gt;=10,5,2))</f>
        <v/>
      </c>
    </row>
    <row r="15">
      <c r="A15" s="31">
        <f>IF(B15=0,"",RANK(B15,$B$2:$B$98,0))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4" t="inlineStr">
        <is>
          <t>GOLDIAM</t>
        </is>
      </c>
      <c r="D15" s="34" t="inlineStr">
        <is>
          <t>Goldiam International Ltd</t>
        </is>
      </c>
      <c r="E15" s="31" t="inlineStr">
        <is>
          <t>Consumer Cyclical</t>
        </is>
      </c>
      <c r="F15" s="31" t="inlineStr">
        <is>
          <t>Lab Grown Diamonds</t>
        </is>
      </c>
      <c r="G15" s="31" t="inlineStr">
        <is>
          <t>midcap</t>
        </is>
      </c>
      <c r="H15" s="32" t="n">
        <v>5456.94</v>
      </c>
      <c r="I15" s="32" t="n">
        <v>362.45</v>
      </c>
      <c r="J15" s="32" t="n">
        <v>-2.79</v>
      </c>
      <c r="K15" s="32" t="n">
        <v>0</v>
      </c>
      <c r="L15" s="31" t="n">
        <v>56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59.81</v>
      </c>
      <c r="P15" s="32" t="n">
        <v>41.63</v>
      </c>
      <c r="Q15" s="32" t="n">
        <v>266.98</v>
      </c>
      <c r="R15" s="31" t="inlineStr">
        <is>
          <t>Near 52W High Breakout</t>
        </is>
      </c>
      <c r="S15" s="31" t="inlineStr">
        <is>
          <t>Nifty 50</t>
        </is>
      </c>
      <c r="T15" s="32" t="n">
        <v>-0.96</v>
      </c>
      <c r="U15" s="32" t="n">
        <v>34.98</v>
      </c>
      <c r="V15" s="32" t="n">
        <v>36.28</v>
      </c>
      <c r="W15" s="32" t="n">
        <v>12.26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21</t>
        </is>
      </c>
      <c r="CG15" s="31">
        <f>IF(CF15&gt;20,10,IF(CF15&gt;=10,5,2))</f>
        <v/>
      </c>
    </row>
    <row r="16">
      <c r="A16" s="31">
        <f>IF(B16=0,"",RANK(B16,$B$2:$B$98,0))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KDDL</t>
        </is>
      </c>
      <c r="D16" s="31" t="inlineStr">
        <is>
          <t>KDDL Ltd</t>
        </is>
      </c>
      <c r="E16" s="31" t="inlineStr">
        <is>
          <t>consumer discretionary</t>
        </is>
      </c>
      <c r="F16" s="31" t="inlineStr">
        <is>
          <t>Watches</t>
        </is>
      </c>
      <c r="G16" s="31" t="inlineStr">
        <is>
          <t>smallcap</t>
        </is>
      </c>
      <c r="H16" s="32" t="n">
        <v>4858.34</v>
      </c>
      <c r="I16" s="32" t="n">
        <v>3950.1</v>
      </c>
      <c r="J16" s="32" t="n">
        <v>2.58</v>
      </c>
      <c r="K16" s="32" t="n">
        <v>0</v>
      </c>
      <c r="L16" s="31" t="n">
        <v>84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77.76000000000001</v>
      </c>
      <c r="P16" s="32" t="n">
        <v>40.73</v>
      </c>
      <c r="Q16" s="32" t="n">
        <v>3046.52</v>
      </c>
      <c r="R16" s="31" t="inlineStr">
        <is>
          <t>Near 52W High Breakout</t>
        </is>
      </c>
      <c r="S16" s="31" t="inlineStr">
        <is>
          <t>Nifty 50</t>
        </is>
      </c>
      <c r="T16" s="32" t="n">
        <v>-0.96</v>
      </c>
      <c r="U16" s="32" t="n">
        <v>53.52</v>
      </c>
      <c r="V16" s="32" t="n">
        <v>55</v>
      </c>
      <c r="W16" s="32" t="n">
        <v>27.62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20</t>
        </is>
      </c>
      <c r="CG16" s="31">
        <f>IF(CF16&gt;20,10,IF(CF16&gt;=10,5,2))</f>
        <v/>
      </c>
    </row>
    <row r="17">
      <c r="A17" s="31">
        <f>IF(B17=0,"",RANK(B17,$B$2:$B$98,0))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E2E</t>
        </is>
      </c>
      <c r="D17" s="31" t="inlineStr">
        <is>
          <t>E2E Networks Ltd</t>
        </is>
      </c>
      <c r="E17" s="31" t="inlineStr">
        <is>
          <t>i.t</t>
        </is>
      </c>
      <c r="F17" s="31" t="inlineStr">
        <is>
          <t>Data Centre</t>
        </is>
      </c>
      <c r="G17" s="31" t="inlineStr">
        <is>
          <t>midcap</t>
        </is>
      </c>
      <c r="H17" s="32" t="n">
        <v>13012.26</v>
      </c>
      <c r="I17" s="32" t="n">
        <v>633</v>
      </c>
      <c r="J17" s="32" t="n">
        <v>0.25</v>
      </c>
      <c r="K17" s="32" t="n">
        <v>0</v>
      </c>
      <c r="L17" s="31" t="n">
        <v>97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75.97</v>
      </c>
      <c r="P17" s="32" t="n">
        <v>48.27</v>
      </c>
      <c r="Q17" s="32" t="n">
        <v>445.83</v>
      </c>
      <c r="R17" s="31" t="inlineStr">
        <is>
          <t>Near 52W High Breakout</t>
        </is>
      </c>
      <c r="S17" s="31" t="inlineStr">
        <is>
          <t>Nifty IT</t>
        </is>
      </c>
      <c r="T17" s="32" t="n">
        <v>-9.699999999999999</v>
      </c>
      <c r="U17" s="32" t="n">
        <v>207.71</v>
      </c>
      <c r="V17" s="32" t="n">
        <v>240.77</v>
      </c>
      <c r="W17" s="32" t="n">
        <v>51.01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IF(B18=0,"",RANK(B18,$B$2:$B$98,0))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AETHER</t>
        </is>
      </c>
      <c r="D18" s="31" t="inlineStr">
        <is>
          <t>Aether Industries Ltd</t>
        </is>
      </c>
      <c r="E18" s="31" t="inlineStr">
        <is>
          <t>chemicals</t>
        </is>
      </c>
      <c r="F18" s="31" t="inlineStr">
        <is>
          <t>Speciality Chemicals</t>
        </is>
      </c>
      <c r="G18" s="31" t="inlineStr">
        <is>
          <t>largecap</t>
        </is>
      </c>
      <c r="H18" s="32" t="n">
        <v>20984.34</v>
      </c>
      <c r="I18" s="32" t="n">
        <v>1581</v>
      </c>
      <c r="J18" s="32" t="n">
        <v>-1.97</v>
      </c>
      <c r="K18" s="32" t="n">
        <v>0</v>
      </c>
      <c r="L18" s="31" t="n">
        <v>81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73.68000000000001</v>
      </c>
      <c r="P18" s="32" t="n">
        <v>46.24</v>
      </c>
      <c r="Q18" s="32" t="n">
        <v>1261.55</v>
      </c>
      <c r="R18" s="31" t="inlineStr">
        <is>
          <t>Near 52W High Breakout</t>
        </is>
      </c>
      <c r="S18" s="31" t="inlineStr">
        <is>
          <t>Nifty 50</t>
        </is>
      </c>
      <c r="T18" s="32" t="n">
        <v>-0.96</v>
      </c>
      <c r="U18" s="32" t="n">
        <v>113.08</v>
      </c>
      <c r="V18" s="32" t="n">
        <v>115.14</v>
      </c>
      <c r="W18" s="32" t="n">
        <v>25.53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20</t>
        </is>
      </c>
      <c r="CG18" s="31">
        <f>IF(CF18&gt;20,10,IF(CF18&gt;=10,5,2))</f>
        <v/>
      </c>
    </row>
    <row r="19">
      <c r="A19" s="31">
        <f>IF(B19=0,"",RANK(B19,$B$2:$B$98,0))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CENTENKA</t>
        </is>
      </c>
      <c r="D19" s="31" t="inlineStr">
        <is>
          <t>Century Enka Ltd</t>
        </is>
      </c>
      <c r="E19" s="31" t="inlineStr">
        <is>
          <t>Consumer Cyclical</t>
        </is>
      </c>
      <c r="F19" s="31" t="inlineStr">
        <is>
          <t>Textiles - Manmade Fibre - PFY/PSF</t>
        </is>
      </c>
      <c r="G19" s="31" t="inlineStr">
        <is>
          <t>smallcap</t>
        </is>
      </c>
      <c r="H19" s="32" t="n">
        <v>1273.67</v>
      </c>
      <c r="I19" s="32" t="n">
        <v>582.9</v>
      </c>
      <c r="J19" s="32" t="n">
        <v>-3.51</v>
      </c>
      <c r="K19" s="32" t="n">
        <v>0</v>
      </c>
      <c r="L19" s="31" t="n">
        <v>56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66.52</v>
      </c>
      <c r="P19" s="32" t="n">
        <v>63.43</v>
      </c>
      <c r="Q19" s="32" t="n">
        <v>460.88</v>
      </c>
      <c r="R19" s="31" t="inlineStr">
        <is>
          <t>Near 52W High Breakout</t>
        </is>
      </c>
      <c r="S19" s="31" t="inlineStr">
        <is>
          <t>Nifty 50</t>
        </is>
      </c>
      <c r="T19" s="32" t="n">
        <v>-0.96</v>
      </c>
      <c r="U19" s="32" t="n">
        <v>18.91</v>
      </c>
      <c r="V19" s="32" t="n">
        <v>20.05</v>
      </c>
      <c r="W19" s="32" t="n">
        <v>11.96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19</t>
        </is>
      </c>
      <c r="CG19" s="31">
        <f>IF(CF19&gt;20,10,IF(CF19&gt;=10,5,2))</f>
        <v/>
      </c>
    </row>
    <row r="20">
      <c r="A20" s="31">
        <f>IF(B20=0,"",RANK(B20,$B$2:$B$98,0))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VADILALIND</t>
        </is>
      </c>
      <c r="D20" s="31" t="inlineStr">
        <is>
          <t>Vadilal Industries Ltd</t>
        </is>
      </c>
      <c r="E20" s="31" t="inlineStr">
        <is>
          <t>fmcg</t>
        </is>
      </c>
      <c r="F20" s="31" t="inlineStr">
        <is>
          <t>FMCG - Dairy Products</t>
        </is>
      </c>
      <c r="G20" s="31" t="inlineStr">
        <is>
          <t>midcap</t>
        </is>
      </c>
      <c r="H20" s="32" t="n">
        <v>5619.45</v>
      </c>
      <c r="I20" s="32" t="n">
        <v>7818</v>
      </c>
      <c r="J20" s="32" t="n">
        <v>7.89</v>
      </c>
      <c r="K20" s="32" t="n">
        <v>0</v>
      </c>
      <c r="L20" s="31" t="n">
        <v>83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79.59999999999999</v>
      </c>
      <c r="P20" s="32" t="n">
        <v>41.4</v>
      </c>
      <c r="Q20" s="32" t="n">
        <v>6210.24</v>
      </c>
      <c r="R20" s="31" t="inlineStr">
        <is>
          <t>Volume Spike &amp; Near 52W High Breakout</t>
        </is>
      </c>
      <c r="S20" s="31" t="inlineStr">
        <is>
          <t>Nifty FMCG</t>
        </is>
      </c>
      <c r="T20" s="32" t="n">
        <v>-10.52</v>
      </c>
      <c r="U20" s="32" t="n">
        <v>42.24</v>
      </c>
      <c r="V20" s="32" t="n">
        <v>58.96</v>
      </c>
      <c r="W20" s="32" t="n">
        <v>26.87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29</t>
        </is>
      </c>
      <c r="CG20" s="31">
        <f>IF(CF20&gt;20,10,IF(CF20&gt;=10,5,2))</f>
        <v/>
      </c>
    </row>
    <row r="21">
      <c r="A21" s="31">
        <f>IF(B21=0,"",RANK(B21,$B$2:$B$98,0))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KPL</t>
        </is>
      </c>
      <c r="D21" s="31" t="inlineStr">
        <is>
          <t>Kwality Pharmaceuticals Ltd</t>
        </is>
      </c>
      <c r="E21" s="31" t="inlineStr">
        <is>
          <t>Healthcare</t>
        </is>
      </c>
      <c r="F21" s="31" t="inlineStr">
        <is>
          <t>Pharma - Formulators</t>
        </is>
      </c>
      <c r="G21" s="31" t="inlineStr">
        <is>
          <t>smallcap</t>
        </is>
      </c>
      <c r="H21" s="32" t="n">
        <v>3457.35</v>
      </c>
      <c r="I21" s="32" t="n">
        <v>3332</v>
      </c>
      <c r="J21" s="32" t="n">
        <v>0.4</v>
      </c>
      <c r="K21" s="32" t="n">
        <v>0</v>
      </c>
      <c r="L21" s="31" t="n">
        <v>96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79.20999999999999</v>
      </c>
      <c r="P21" s="32" t="n">
        <v>66.29000000000001</v>
      </c>
      <c r="Q21" s="32" t="n">
        <v>2458.84</v>
      </c>
      <c r="R21" s="31" t="inlineStr">
        <is>
          <t>Volume Spike &amp; Near 52W High Breakout</t>
        </is>
      </c>
      <c r="S21" s="31" t="inlineStr">
        <is>
          <t>Nifty Pharma</t>
        </is>
      </c>
      <c r="T21" s="32" t="n">
        <v>20.47</v>
      </c>
      <c r="U21" s="32" t="n">
        <v>211.23</v>
      </c>
      <c r="V21" s="32" t="n">
        <v>158.35</v>
      </c>
      <c r="W21" s="32" t="n">
        <v>49.24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28</t>
        </is>
      </c>
      <c r="CG21" s="31">
        <f>IF(CF21&gt;20,10,IF(CF21&gt;=10,5,2))</f>
        <v/>
      </c>
    </row>
    <row r="22">
      <c r="A22" s="31">
        <f>IF(B22=0,"",RANK(B22,$B$2:$B$98,0))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INDSWFTLAB</t>
        </is>
      </c>
      <c r="D22" s="34" t="inlineStr">
        <is>
          <t>Ind-Swift Laboratories Ltd</t>
        </is>
      </c>
      <c r="E22" s="31" t="inlineStr">
        <is>
          <t>healthcare</t>
        </is>
      </c>
      <c r="F22" s="31" t="inlineStr">
        <is>
          <t>Pharma - API</t>
        </is>
      </c>
      <c r="G22" s="31" t="inlineStr">
        <is>
          <t>smallcap</t>
        </is>
      </c>
      <c r="H22" s="32" t="n">
        <v>2578.41</v>
      </c>
      <c r="I22" s="32" t="n">
        <v>296.5</v>
      </c>
      <c r="J22" s="32" t="n">
        <v>-1.17</v>
      </c>
      <c r="K22" s="32" t="n">
        <v>0</v>
      </c>
      <c r="L22" s="31" t="n">
        <v>97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83.41</v>
      </c>
      <c r="P22" s="32" t="n">
        <v>60.53</v>
      </c>
      <c r="Q22" s="32" t="n">
        <v>222.64</v>
      </c>
      <c r="R22" s="31" t="inlineStr">
        <is>
          <t>Volume Spike &amp; Near 52W High Breakout</t>
        </is>
      </c>
      <c r="S22" s="31" t="inlineStr">
        <is>
          <t>Nifty Pharma</t>
        </is>
      </c>
      <c r="T22" s="32" t="n">
        <v>20.47</v>
      </c>
      <c r="U22" s="32" t="n">
        <v>192.42</v>
      </c>
      <c r="V22" s="32" t="n">
        <v>142.73</v>
      </c>
      <c r="W22" s="32" t="n">
        <v>54.98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27</t>
        </is>
      </c>
      <c r="CG22" s="31">
        <f>IF(CF22&gt;20,10,IF(CF22&gt;=10,5,2))</f>
        <v/>
      </c>
    </row>
    <row r="23">
      <c r="A23" s="31">
        <f>IF(B23=0,"",RANK(B23,$B$2:$B$98,0))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SAKAR</t>
        </is>
      </c>
      <c r="D23" s="31" t="inlineStr">
        <is>
          <t>Sakar Healthcare Ltd</t>
        </is>
      </c>
      <c r="E23" s="31" t="inlineStr">
        <is>
          <t>healthcare</t>
        </is>
      </c>
      <c r="F23" s="31" t="inlineStr">
        <is>
          <t>Hospitals</t>
        </is>
      </c>
      <c r="G23" s="31" t="inlineStr">
        <is>
          <t>smallcap</t>
        </is>
      </c>
      <c r="H23" s="32" t="n">
        <v>2032.53</v>
      </c>
      <c r="I23" s="32" t="n">
        <v>913.5</v>
      </c>
      <c r="J23" s="32" t="n">
        <v>-2.38</v>
      </c>
      <c r="K23" s="32" t="n">
        <v>0</v>
      </c>
      <c r="L23" s="31" t="n">
        <v>88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70.65000000000001</v>
      </c>
      <c r="P23" s="32" t="n">
        <v>55.96</v>
      </c>
      <c r="Q23" s="32" t="n">
        <v>659.05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20.47</v>
      </c>
      <c r="U23" s="32" t="n">
        <v>181.99</v>
      </c>
      <c r="V23" s="32" t="n">
        <v>134.07</v>
      </c>
      <c r="W23" s="32" t="n">
        <v>30.79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21</t>
        </is>
      </c>
      <c r="CG23" s="31">
        <f>IF(CF23&gt;20,10,IF(CF23&gt;=10,5,2))</f>
        <v/>
      </c>
    </row>
    <row r="24">
      <c r="A24" s="31">
        <f>IF(B24=0,"",RANK(B24,$B$2:$B$98,0))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4" t="inlineStr">
        <is>
          <t>CNL</t>
        </is>
      </c>
      <c r="D24" s="34" t="inlineStr">
        <is>
          <t>Creative Newtech Ltd</t>
        </is>
      </c>
      <c r="E24" s="31" t="inlineStr">
        <is>
          <t>Technology</t>
        </is>
      </c>
      <c r="F24" s="31" t="inlineStr">
        <is>
          <t>E-Commerce - Platform - Utility</t>
        </is>
      </c>
      <c r="G24" s="31" t="inlineStr">
        <is>
          <t>smallcap</t>
        </is>
      </c>
      <c r="H24" s="32" t="n">
        <v>1835.04</v>
      </c>
      <c r="I24" s="32" t="n">
        <v>1222</v>
      </c>
      <c r="J24" s="32" t="n">
        <v>1.22</v>
      </c>
      <c r="K24" s="32" t="n">
        <v>0</v>
      </c>
      <c r="L24" s="31" t="n">
        <v>92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88.33</v>
      </c>
      <c r="P24" s="32" t="n">
        <v>49.22</v>
      </c>
      <c r="Q24" s="32" t="n">
        <v>944.7</v>
      </c>
      <c r="R24" s="31" t="inlineStr">
        <is>
          <t>Near 52W High Breakout</t>
        </is>
      </c>
      <c r="S24" s="31" t="inlineStr">
        <is>
          <t>Nifty 50</t>
        </is>
      </c>
      <c r="T24" s="32" t="n">
        <v>-0.96</v>
      </c>
      <c r="U24" s="32" t="n">
        <v>97.17</v>
      </c>
      <c r="V24" s="32" t="n">
        <v>99.08</v>
      </c>
      <c r="W24" s="32" t="n">
        <v>37.69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Oligopoly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Between 0.7 to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19</t>
        </is>
      </c>
      <c r="CG24" s="31">
        <f>IF(CF24&gt;20,10,IF(CF24&gt;=10,5,2))</f>
        <v/>
      </c>
    </row>
    <row r="25">
      <c r="A25" s="31">
        <f>IF(B25=0,"",RANK(B25,$B$2:$B$98,0))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HFCL</t>
        </is>
      </c>
      <c r="D25" s="31" t="inlineStr">
        <is>
          <t>HFCL Ltd</t>
        </is>
      </c>
      <c r="E25" s="31" t="inlineStr">
        <is>
          <t>telecom</t>
        </is>
      </c>
      <c r="F25" s="31" t="inlineStr">
        <is>
          <t>Telecom Services</t>
        </is>
      </c>
      <c r="G25" s="31" t="inlineStr">
        <is>
          <t>largecap</t>
        </is>
      </c>
      <c r="H25" s="32" t="n">
        <v>34668.15</v>
      </c>
      <c r="I25" s="32" t="n">
        <v>226.5</v>
      </c>
      <c r="J25" s="32" t="n">
        <v>2.25</v>
      </c>
      <c r="K25" s="32" t="n">
        <v>0</v>
      </c>
      <c r="L25" s="31" t="n">
        <v>98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77.19</v>
      </c>
      <c r="P25" s="32" t="n">
        <v>66.39</v>
      </c>
      <c r="Q25" s="32" t="n">
        <v>168.7</v>
      </c>
      <c r="R25" s="31" t="inlineStr">
        <is>
          <t>Near 52W High Breakout</t>
        </is>
      </c>
      <c r="S25" s="31" t="inlineStr">
        <is>
          <t>Nifty Infra</t>
        </is>
      </c>
      <c r="T25" s="32" t="n">
        <v>3.6</v>
      </c>
      <c r="U25" s="32" t="n">
        <v>199.82</v>
      </c>
      <c r="V25" s="32" t="n">
        <v>189.4</v>
      </c>
      <c r="W25" s="32" t="n">
        <v>59.77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Oligopoly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25</t>
        </is>
      </c>
      <c r="CG25" s="31">
        <f>IF(CF25&gt;20,10,IF(CF25&gt;=10,5,2))</f>
        <v/>
      </c>
    </row>
    <row r="26">
      <c r="A26" s="31">
        <f>IF(B26=0,"",RANK(B26,$B$2:$B$98,0))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TDPOWERSYS</t>
        </is>
      </c>
      <c r="D26" s="34" t="inlineStr">
        <is>
          <t>TD Power Systems Ltd</t>
        </is>
      </c>
      <c r="E26" s="31" t="inlineStr">
        <is>
          <t>industrials</t>
        </is>
      </c>
      <c r="F26" s="31" t="inlineStr">
        <is>
          <t>Capital Goods - Gensets/Turbines</t>
        </is>
      </c>
      <c r="G26" s="31" t="inlineStr">
        <is>
          <t>largecap</t>
        </is>
      </c>
      <c r="H26" s="32" t="n">
        <v>22898.4</v>
      </c>
      <c r="I26" s="32" t="n">
        <v>1465.7</v>
      </c>
      <c r="J26" s="32" t="n">
        <v>-0.97</v>
      </c>
      <c r="K26" s="32" t="n">
        <v>0</v>
      </c>
      <c r="L26" s="31" t="n">
        <v>86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71.84999999999999</v>
      </c>
      <c r="P26" s="32" t="n">
        <v>32.5</v>
      </c>
      <c r="Q26" s="32" t="n">
        <v>1065.65</v>
      </c>
      <c r="R26" s="31" t="inlineStr">
        <is>
          <t>Volume Spike &amp; Near 52W High Breakout</t>
        </is>
      </c>
      <c r="S26" s="31" t="inlineStr">
        <is>
          <t>Nifty 50</t>
        </is>
      </c>
      <c r="T26" s="32" t="n">
        <v>-0.96</v>
      </c>
      <c r="U26" s="32" t="n">
        <v>191.98</v>
      </c>
      <c r="V26" s="32" t="n">
        <v>194.8</v>
      </c>
      <c r="W26" s="32" t="n">
        <v>28.85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23</t>
        </is>
      </c>
      <c r="CG26" s="31">
        <f>IF(CF26&gt;20,10,IF(CF26&gt;=10,5,2))</f>
        <v/>
      </c>
    </row>
    <row r="27">
      <c r="A27" s="31">
        <f>IF(B27=0,"",RANK(B27,$B$2:$B$98,0))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4" t="inlineStr">
        <is>
          <t>HAPPYFORGE</t>
        </is>
      </c>
      <c r="D27" s="34" t="inlineStr">
        <is>
          <t>Happy Forgings Ltd</t>
        </is>
      </c>
      <c r="E27" s="31" t="inlineStr">
        <is>
          <t>industrials</t>
        </is>
      </c>
      <c r="F27" s="31" t="inlineStr">
        <is>
          <t>Castings, Forgings &amp; Fastners</t>
        </is>
      </c>
      <c r="G27" s="31" t="inlineStr">
        <is>
          <t>midcap</t>
        </is>
      </c>
      <c r="H27" s="32" t="n">
        <v>19140.01</v>
      </c>
      <c r="I27" s="32" t="n">
        <v>2028</v>
      </c>
      <c r="J27" s="32" t="n">
        <v>0.26</v>
      </c>
      <c r="K27" s="32" t="n">
        <v>0</v>
      </c>
      <c r="L27" s="31" t="n">
        <v>82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84.45</v>
      </c>
      <c r="P27" s="32" t="n">
        <v>53</v>
      </c>
      <c r="Q27" s="32" t="n">
        <v>1638.44</v>
      </c>
      <c r="R27" s="31" t="inlineStr">
        <is>
          <t>Near 52W High Breakout</t>
        </is>
      </c>
      <c r="S27" s="31" t="inlineStr">
        <is>
          <t>Nifty 50</t>
        </is>
      </c>
      <c r="T27" s="32" t="n">
        <v>-0.96</v>
      </c>
      <c r="U27" s="32" t="n">
        <v>112.76</v>
      </c>
      <c r="V27" s="32" t="n">
        <v>114.82</v>
      </c>
      <c r="W27" s="32" t="n">
        <v>26.39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20</t>
        </is>
      </c>
      <c r="CG27" s="31">
        <f>IF(CF27&gt;20,10,IF(CF27&gt;=10,5,2))</f>
        <v/>
      </c>
    </row>
    <row r="28">
      <c r="A28" s="31">
        <f>IF(B28=0,"",RANK(B28,$B$2:$B$98,0))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MARKSANS</t>
        </is>
      </c>
      <c r="D28" s="34" t="inlineStr">
        <is>
          <t>Marksans Pharma Ltd</t>
        </is>
      </c>
      <c r="E28" s="31" t="inlineStr">
        <is>
          <t>healthcare</t>
        </is>
      </c>
      <c r="F28" s="31" t="inlineStr">
        <is>
          <t>Pharma - Formulators</t>
        </is>
      </c>
      <c r="G28" s="31" t="inlineStr">
        <is>
          <t>midcap</t>
        </is>
      </c>
      <c r="H28" s="32" t="n">
        <v>13730.86</v>
      </c>
      <c r="I28" s="32" t="n">
        <v>303</v>
      </c>
      <c r="J28" s="32" t="n">
        <v>-3.07</v>
      </c>
      <c r="K28" s="32" t="n">
        <v>0</v>
      </c>
      <c r="L28" s="31" t="n">
        <v>78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73.83</v>
      </c>
      <c r="P28" s="32" t="n">
        <v>54.52</v>
      </c>
      <c r="Q28" s="32" t="n">
        <v>234.7</v>
      </c>
      <c r="R28" s="31" t="inlineStr">
        <is>
          <t>Volume Spike &amp; Near 52W High Breakout</t>
        </is>
      </c>
      <c r="S28" s="31" t="inlineStr">
        <is>
          <t>Nifty Pharma</t>
        </is>
      </c>
      <c r="T28" s="32" t="n">
        <v>20.47</v>
      </c>
      <c r="U28" s="32" t="n">
        <v>69.90000000000001</v>
      </c>
      <c r="V28" s="32" t="n">
        <v>41.03</v>
      </c>
      <c r="W28" s="32" t="n">
        <v>21.77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27</t>
        </is>
      </c>
      <c r="CG28" s="31">
        <f>IF(CF28&gt;20,10,IF(CF28&gt;=10,5,2))</f>
        <v/>
      </c>
    </row>
    <row r="29">
      <c r="A29" s="31">
        <f>IF(B29=0,"",RANK(B29,$B$2:$B$98,0))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VALIANT</t>
        </is>
      </c>
      <c r="D29" s="34" t="inlineStr">
        <is>
          <t>Valiant Communications Ltd</t>
        </is>
      </c>
      <c r="E29" s="31" t="inlineStr">
        <is>
          <t>Technology</t>
        </is>
      </c>
      <c r="F29" s="31" t="inlineStr">
        <is>
          <t>Telecom Services</t>
        </is>
      </c>
      <c r="G29" s="31" t="inlineStr">
        <is>
          <t>smallcap</t>
        </is>
      </c>
      <c r="H29" s="32" t="n">
        <v>1436.84</v>
      </c>
      <c r="I29" s="32" t="n">
        <v>1228.9</v>
      </c>
      <c r="J29" s="32" t="n">
        <v>-3.15</v>
      </c>
      <c r="K29" s="32" t="n">
        <v>0</v>
      </c>
      <c r="L29" s="31" t="n">
        <v>64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62.07</v>
      </c>
      <c r="P29" s="32" t="n">
        <v>24.8</v>
      </c>
      <c r="Q29" s="32" t="n">
        <v>791.3</v>
      </c>
      <c r="R29" s="31" t="inlineStr">
        <is>
          <t>Volume Spike &amp; Near 52W High Breakout</t>
        </is>
      </c>
      <c r="S29" s="31" t="inlineStr">
        <is>
          <t>Nifty 50</t>
        </is>
      </c>
      <c r="T29" s="32" t="n">
        <v>-0.96</v>
      </c>
      <c r="U29" s="32" t="n">
        <v>89.41</v>
      </c>
      <c r="V29" s="32" t="n">
        <v>91.23999999999999</v>
      </c>
      <c r="W29" s="32" t="n">
        <v>15.38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Oligopoly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22</t>
        </is>
      </c>
      <c r="CG29" s="31">
        <f>IF(CF29&gt;20,10,IF(CF29&gt;=10,5,2))</f>
        <v/>
      </c>
    </row>
    <row r="30">
      <c r="A30" s="31">
        <f>IF(B30=0,"",RANK(B30,$B$2:$B$98,0))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VENKEYS</t>
        </is>
      </c>
      <c r="D30" s="34" t="inlineStr">
        <is>
          <t>Venkys (India) Ltd</t>
        </is>
      </c>
      <c r="E30" s="31" t="inlineStr">
        <is>
          <t>Consumer Defensive</t>
        </is>
      </c>
      <c r="F30" s="31" t="inlineStr">
        <is>
          <t>FMCG - Animal/Polutry</t>
        </is>
      </c>
      <c r="G30" s="31" t="inlineStr">
        <is>
          <t>smallcap</t>
        </is>
      </c>
      <c r="H30" s="32" t="n">
        <v>2160.29</v>
      </c>
      <c r="I30" s="32" t="n">
        <v>1533.5</v>
      </c>
      <c r="J30" s="32" t="n">
        <v>1.21</v>
      </c>
      <c r="K30" s="32" t="n">
        <v>0</v>
      </c>
      <c r="L30" s="31" t="n">
        <v>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53.87</v>
      </c>
      <c r="P30" s="32" t="n">
        <v>37.09</v>
      </c>
      <c r="Q30" s="32" t="n">
        <v>1267.86</v>
      </c>
      <c r="R30" s="31" t="inlineStr">
        <is>
          <t>Volume Spike / Accumulation</t>
        </is>
      </c>
      <c r="S30" s="31" t="inlineStr">
        <is>
          <t>Nifty 50</t>
        </is>
      </c>
      <c r="T30" s="32" t="n">
        <v>-0.96</v>
      </c>
      <c r="U30" s="32" t="n">
        <v>8.890000000000001</v>
      </c>
      <c r="V30" s="32" t="n">
        <v>9.94</v>
      </c>
      <c r="W30" s="32" t="n">
        <v>0.76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20</t>
        </is>
      </c>
      <c r="CG30" s="31">
        <f>IF(CF30&gt;20,10,IF(CF30&gt;=10,5,2))</f>
        <v/>
      </c>
    </row>
    <row r="31">
      <c r="A31" s="31">
        <f>IF(B31=0,"",RANK(B31,$B$2:$B$98,0))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JGCHEM</t>
        </is>
      </c>
      <c r="D31" s="31" t="inlineStr">
        <is>
          <t>JGChemicals Ltd</t>
        </is>
      </c>
      <c r="E31" s="31" t="inlineStr">
        <is>
          <t>chemicals</t>
        </is>
      </c>
      <c r="F31" s="31" t="inlineStr">
        <is>
          <t>Chemicals - Inorganic</t>
        </is>
      </c>
      <c r="G31" s="31" t="inlineStr">
        <is>
          <t>smallcap</t>
        </is>
      </c>
      <c r="H31" s="32" t="n">
        <v>2406.02</v>
      </c>
      <c r="I31" s="32" t="n">
        <v>614</v>
      </c>
      <c r="J31" s="32" t="n">
        <v>1.37</v>
      </c>
      <c r="K31" s="32" t="n">
        <v>0</v>
      </c>
      <c r="L31" s="31" t="n">
        <v>70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78.09999999999999</v>
      </c>
      <c r="P31" s="32" t="n">
        <v>31.29</v>
      </c>
      <c r="Q31" s="32" t="n">
        <v>478.04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-0.96</v>
      </c>
      <c r="U31" s="32" t="n">
        <v>20.62</v>
      </c>
      <c r="V31" s="32" t="n">
        <v>21.79</v>
      </c>
      <c r="W31" s="32" t="n">
        <v>17.78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25</t>
        </is>
      </c>
      <c r="CG31" s="31">
        <f>IF(CF31&gt;20,10,IF(CF31&gt;=10,5,2))</f>
        <v/>
      </c>
    </row>
    <row r="32">
      <c r="A32" s="31">
        <f>IF(B32=0,"",RANK(B32,$B$2:$B$98,0))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AVALON</t>
        </is>
      </c>
      <c r="D32" s="31" t="inlineStr">
        <is>
          <t>Avalon Technologies Ltd</t>
        </is>
      </c>
      <c r="E32" s="31" t="inlineStr">
        <is>
          <t>consumer discretionary</t>
        </is>
      </c>
      <c r="F32" s="31" t="inlineStr">
        <is>
          <t>Consumer Electronics - EMS</t>
        </is>
      </c>
      <c r="G32" s="31" t="inlineStr">
        <is>
          <t>midcap</t>
        </is>
      </c>
      <c r="H32" s="32" t="n">
        <v>12981.52</v>
      </c>
      <c r="I32" s="32" t="n">
        <v>1943</v>
      </c>
      <c r="J32" s="32" t="n">
        <v>-1.06</v>
      </c>
      <c r="K32" s="32" t="n">
        <v>0</v>
      </c>
      <c r="L32" s="31" t="n">
        <v>86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76.78</v>
      </c>
      <c r="P32" s="32" t="n">
        <v>57.94</v>
      </c>
      <c r="Q32" s="32" t="n">
        <v>1513.81</v>
      </c>
      <c r="R32" s="31" t="inlineStr">
        <is>
          <t>Near 52W High Breakout</t>
        </is>
      </c>
      <c r="S32" s="31" t="inlineStr">
        <is>
          <t>Nifty 50</t>
        </is>
      </c>
      <c r="T32" s="32" t="n">
        <v>-0.96</v>
      </c>
      <c r="U32" s="32" t="n">
        <v>130.43</v>
      </c>
      <c r="V32" s="32" t="n">
        <v>132.65</v>
      </c>
      <c r="W32" s="32" t="n">
        <v>28.59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24</t>
        </is>
      </c>
      <c r="CG32" s="31">
        <f>IF(CF32&gt;20,10,IF(CF32&gt;=10,5,2))</f>
        <v/>
      </c>
    </row>
    <row r="33">
      <c r="A33" s="31">
        <f>IF(B33=0,"",RANK(B33,$B$2:$B$98,0))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STLTECH</t>
        </is>
      </c>
      <c r="D33" s="34" t="inlineStr">
        <is>
          <t>Sterlite Technologies Ltd</t>
        </is>
      </c>
      <c r="E33" s="31" t="inlineStr">
        <is>
          <t>industrials</t>
        </is>
      </c>
      <c r="F33" s="31" t="inlineStr">
        <is>
          <t>Cables - Telecom</t>
        </is>
      </c>
      <c r="G33" s="31" t="inlineStr">
        <is>
          <t>largecap</t>
        </is>
      </c>
      <c r="H33" s="32" t="n">
        <v>34277.88</v>
      </c>
      <c r="I33" s="32" t="n">
        <v>667</v>
      </c>
      <c r="J33" s="32" t="n">
        <v>2.46</v>
      </c>
      <c r="K33" s="32" t="n">
        <v>0</v>
      </c>
      <c r="L33" s="31" t="n">
        <v>98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74.97</v>
      </c>
      <c r="P33" s="32" t="n">
        <v>80.28</v>
      </c>
      <c r="Q33" s="32" t="n">
        <v>459.37</v>
      </c>
      <c r="R33" s="31" t="inlineStr">
        <is>
          <t>Near 52W High Breakout</t>
        </is>
      </c>
      <c r="S33" s="31" t="inlineStr">
        <is>
          <t>Nifty Infra</t>
        </is>
      </c>
      <c r="T33" s="32" t="n">
        <v>3.6</v>
      </c>
      <c r="U33" s="32" t="n">
        <v>463.39</v>
      </c>
      <c r="V33" s="32" t="n">
        <v>443.8</v>
      </c>
      <c r="W33" s="32" t="n">
        <v>94.69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Oligopoly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Between 0.7 to 1.2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24</t>
        </is>
      </c>
      <c r="CG33" s="31">
        <f>IF(CF33&gt;20,10,IF(CF33&gt;=10,5,2))</f>
        <v/>
      </c>
    </row>
    <row r="34">
      <c r="A34" s="31">
        <f>IF(B34=0,"",RANK(B34,$B$2:$B$98,0))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4" t="inlineStr">
        <is>
          <t>NETWEB</t>
        </is>
      </c>
      <c r="D34" s="34" t="inlineStr">
        <is>
          <t>Netweb Technologies India Ltd</t>
        </is>
      </c>
      <c r="E34" s="31" t="inlineStr">
        <is>
          <t>i.t</t>
        </is>
      </c>
      <c r="F34" s="31" t="inlineStr">
        <is>
          <t>Data Centre</t>
        </is>
      </c>
      <c r="G34" s="31" t="inlineStr">
        <is>
          <t>largecap</t>
        </is>
      </c>
      <c r="H34" s="32" t="n">
        <v>29569.3</v>
      </c>
      <c r="I34" s="32" t="n">
        <v>5193</v>
      </c>
      <c r="J34" s="32" t="n">
        <v>7.35</v>
      </c>
      <c r="K34" s="32" t="n">
        <v>0</v>
      </c>
      <c r="L34" s="31" t="n">
        <v>87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65.72</v>
      </c>
      <c r="P34" s="32" t="n">
        <v>39.48</v>
      </c>
      <c r="Q34" s="32" t="n">
        <v>3838.56</v>
      </c>
      <c r="R34" s="31" t="inlineStr">
        <is>
          <t>Near 52W High Breakout</t>
        </is>
      </c>
      <c r="S34" s="31" t="inlineStr">
        <is>
          <t>Nifty IT</t>
        </is>
      </c>
      <c r="T34" s="32" t="n">
        <v>-9.699999999999999</v>
      </c>
      <c r="U34" s="32" t="n">
        <v>144.26</v>
      </c>
      <c r="V34" s="32" t="n">
        <v>170.5</v>
      </c>
      <c r="W34" s="32" t="n">
        <v>29.21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23</t>
        </is>
      </c>
      <c r="CG34" s="31">
        <f>IF(CF34&gt;20,10,IF(CF34&gt;=10,5,2))</f>
        <v/>
      </c>
    </row>
    <row r="35">
      <c r="A35" s="31">
        <f>IF(B35=0,"",RANK(B35,$B$2:$B$98,0))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GHCLTEXTIL</t>
        </is>
      </c>
      <c r="D35" s="31" t="inlineStr">
        <is>
          <t>GHCL Textiles Ltd</t>
        </is>
      </c>
      <c r="E35" s="31" t="inlineStr">
        <is>
          <t>textiles</t>
        </is>
      </c>
      <c r="F35" s="31" t="inlineStr">
        <is>
          <t>Textiles - General</t>
        </is>
      </c>
      <c r="G35" s="31" t="inlineStr">
        <is>
          <t>smallcap</t>
        </is>
      </c>
      <c r="H35" s="32" t="n">
        <v>1156.97</v>
      </c>
      <c r="I35" s="32" t="n">
        <v>121.04</v>
      </c>
      <c r="J35" s="32" t="n">
        <v>4.41</v>
      </c>
      <c r="K35" s="32" t="n">
        <v>0</v>
      </c>
      <c r="L35" s="31" t="n">
        <v>72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72.77</v>
      </c>
      <c r="P35" s="32" t="n">
        <v>32.93</v>
      </c>
      <c r="Q35" s="32" t="n">
        <v>93.84999999999999</v>
      </c>
      <c r="R35" s="31" t="inlineStr">
        <is>
          <t>Near 52W High Breakout</t>
        </is>
      </c>
      <c r="S35" s="31" t="inlineStr">
        <is>
          <t>Nifty 50</t>
        </is>
      </c>
      <c r="T35" s="32" t="n">
        <v>-0.96</v>
      </c>
      <c r="U35" s="32" t="n">
        <v>57.95</v>
      </c>
      <c r="V35" s="32" t="n">
        <v>59.47</v>
      </c>
      <c r="W35" s="32" t="n">
        <v>18.36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IF(B36=0,"",RANK(B36,$B$2:$B$98,0))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MINDACORP</t>
        </is>
      </c>
      <c r="D36" s="34" t="inlineStr">
        <is>
          <t>Minda Corporation Ltd</t>
        </is>
      </c>
      <c r="E36" s="31" t="inlineStr">
        <is>
          <t>Consumer Cyclical</t>
        </is>
      </c>
      <c r="F36" s="31" t="inlineStr">
        <is>
          <t>Auto Ancillaries - Diversified</t>
        </is>
      </c>
      <c r="G36" s="31" t="inlineStr">
        <is>
          <t>midcap</t>
        </is>
      </c>
      <c r="H36" s="32" t="n">
        <v>17022.46</v>
      </c>
      <c r="I36" s="32" t="n">
        <v>712</v>
      </c>
      <c r="J36" s="32" t="n">
        <v>-3.3</v>
      </c>
      <c r="K36" s="32" t="n">
        <v>0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68.06</v>
      </c>
      <c r="P36" s="32" t="n">
        <v>35.87</v>
      </c>
      <c r="Q36" s="32" t="n">
        <v>595.12</v>
      </c>
      <c r="R36" s="31" t="inlineStr">
        <is>
          <t>Volume Spike &amp; Near 52W High Breakout</t>
        </is>
      </c>
      <c r="S36" s="31" t="inlineStr">
        <is>
          <t>Nifty Auto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B2C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20</t>
        </is>
      </c>
      <c r="CG36" s="31">
        <f>IF(CF36&gt;20,10,IF(CF36&gt;=10,5,2))</f>
        <v/>
      </c>
    </row>
    <row r="37">
      <c r="A37" s="31">
        <f>IF(B37=0,"",RANK(B37,$B$2:$B$98,0))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SOLARINDS</t>
        </is>
      </c>
      <c r="D37" s="34" t="inlineStr">
        <is>
          <t>Solar Industries India Ltd</t>
        </is>
      </c>
      <c r="E37" s="31" t="inlineStr">
        <is>
          <t>aerospace &amp; defence</t>
        </is>
      </c>
      <c r="F37" s="31" t="inlineStr">
        <is>
          <t>Industrial Explosives</t>
        </is>
      </c>
      <c r="G37" s="31" t="inlineStr">
        <is>
          <t>largecap</t>
        </is>
      </c>
      <c r="H37" s="32" t="n">
        <v>183911.99</v>
      </c>
      <c r="I37" s="32" t="n">
        <v>20324</v>
      </c>
      <c r="J37" s="32" t="n">
        <v>8.51</v>
      </c>
      <c r="K37" s="32" t="n">
        <v>0</v>
      </c>
      <c r="L37" s="31" t="n">
        <v>50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72.63</v>
      </c>
      <c r="P37" s="32" t="n">
        <v>40.16</v>
      </c>
      <c r="Q37" s="32" t="n">
        <v>16683.06</v>
      </c>
      <c r="R37" s="31" t="inlineStr">
        <is>
          <t>Near 52W High Breakout</t>
        </is>
      </c>
      <c r="S37" s="31" t="inlineStr">
        <is>
          <t>Nifty 500</t>
        </is>
      </c>
      <c r="T37" s="32" t="n">
        <v>4.31</v>
      </c>
      <c r="U37" s="32" t="n">
        <v>34.68</v>
      </c>
      <c r="V37" s="32" t="n">
        <v>29.11</v>
      </c>
      <c r="W37" s="32" t="n">
        <v>10.71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Between 1.5 to 2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20</t>
        </is>
      </c>
      <c r="CG37" s="31">
        <f>IF(CF37&gt;20,10,IF(CF37&gt;=10,5,2))</f>
        <v/>
      </c>
    </row>
    <row r="38">
      <c r="A38" s="31">
        <f>IF(B38=0,"",RANK(B38,$B$2:$B$98,0))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THELEELA</t>
        </is>
      </c>
      <c r="D38" s="31" t="inlineStr">
        <is>
          <t>Leela Palaces Hotels &amp; Resorts Ltd</t>
        </is>
      </c>
      <c r="E38" s="31" t="inlineStr">
        <is>
          <t>services</t>
        </is>
      </c>
      <c r="F38" s="31" t="inlineStr">
        <is>
          <t>Hotels</t>
        </is>
      </c>
      <c r="G38" s="31" t="inlineStr">
        <is>
          <t>midcap</t>
        </is>
      </c>
      <c r="H38" s="32" t="n">
        <v>16898.27</v>
      </c>
      <c r="I38" s="32" t="n">
        <v>506</v>
      </c>
      <c r="J38" s="32" t="n">
        <v>1.25</v>
      </c>
      <c r="K38" s="32" t="n">
        <v>0</v>
      </c>
      <c r="L38" s="31" t="n">
        <v>40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62.3</v>
      </c>
      <c r="P38" s="32" t="n">
        <v>26.46</v>
      </c>
      <c r="Q38" s="32" t="n">
        <v>420.67</v>
      </c>
      <c r="R38" s="31" t="inlineStr">
        <is>
          <t>Near 52W High Breakout</t>
        </is>
      </c>
      <c r="S38" s="31" t="inlineStr">
        <is>
          <t>Nifty 50</t>
        </is>
      </c>
      <c r="T38" s="32" t="n">
        <v>-0.96</v>
      </c>
      <c r="U38" s="32" t="n">
        <v>15.77</v>
      </c>
      <c r="V38" s="32" t="n">
        <v>16.88</v>
      </c>
      <c r="W38" s="32" t="n">
        <v>8.01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20</t>
        </is>
      </c>
      <c r="CG38" s="31">
        <f>IF(CF38&gt;20,10,IF(CF38&gt;=10,5,2))</f>
        <v/>
      </c>
    </row>
    <row r="39">
      <c r="A39" s="31">
        <f>IF(B39=0,"",RANK(B39,$B$2:$B$98,0))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CYIENTDLM</t>
        </is>
      </c>
      <c r="D39" s="34" t="inlineStr">
        <is>
          <t>Cyient DLM Ltd</t>
        </is>
      </c>
      <c r="E39" s="31" t="inlineStr">
        <is>
          <t>consumer discretionary</t>
        </is>
      </c>
      <c r="F39" s="31" t="inlineStr">
        <is>
          <t>Consumer Electronics - EMS</t>
        </is>
      </c>
      <c r="G39" s="31" t="inlineStr">
        <is>
          <t>midcap</t>
        </is>
      </c>
      <c r="H39" s="32" t="n">
        <v>5755.29</v>
      </c>
      <c r="I39" s="32" t="n">
        <v>725</v>
      </c>
      <c r="J39" s="32" t="n">
        <v>5.23</v>
      </c>
      <c r="K39" s="32" t="n">
        <v>0</v>
      </c>
      <c r="L39" s="31" t="n">
        <v>90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85.69</v>
      </c>
      <c r="P39" s="32" t="n">
        <v>59.68</v>
      </c>
      <c r="Q39" s="32" t="n">
        <v>574.9</v>
      </c>
      <c r="R39" s="31" t="inlineStr">
        <is>
          <t>Near 52W High Breakout</t>
        </is>
      </c>
      <c r="S39" s="31" t="inlineStr">
        <is>
          <t>Nifty Infra</t>
        </is>
      </c>
      <c r="T39" s="32" t="n">
        <v>3.6</v>
      </c>
      <c r="U39" s="32" t="n">
        <v>58.5</v>
      </c>
      <c r="V39" s="32" t="n">
        <v>52.99</v>
      </c>
      <c r="W39" s="32" t="n">
        <v>34.41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19</t>
        </is>
      </c>
      <c r="CG39" s="31">
        <f>IF(CF39&gt;20,10,IF(CF39&gt;=10,5,2))</f>
        <v/>
      </c>
    </row>
    <row r="40">
      <c r="A40" s="31">
        <f>IF(B40=0,"",RANK(B40,$B$2:$B$98,0))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3" t="inlineStr">
        <is>
          <t>ENTERO</t>
        </is>
      </c>
      <c r="D40" s="33" t="inlineStr">
        <is>
          <t>Entero Healthcare Solutions Ltd</t>
        </is>
      </c>
      <c r="E40" s="31" t="inlineStr">
        <is>
          <t>healthcare</t>
        </is>
      </c>
      <c r="F40" s="31" t="inlineStr">
        <is>
          <t>Pharmacy Distribution</t>
        </is>
      </c>
      <c r="G40" s="31" t="inlineStr">
        <is>
          <t>midcap</t>
        </is>
      </c>
      <c r="H40" s="32" t="n">
        <v>6294.74</v>
      </c>
      <c r="I40" s="32" t="n">
        <v>1446.3</v>
      </c>
      <c r="J40" s="32" t="n">
        <v>1.83</v>
      </c>
      <c r="K40" s="32" t="n">
        <v>0</v>
      </c>
      <c r="L40" s="31" t="n">
        <v>41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66.31999999999999</v>
      </c>
      <c r="P40" s="32" t="n">
        <v>22.48</v>
      </c>
      <c r="Q40" s="32" t="n">
        <v>1119.24</v>
      </c>
      <c r="R40" s="31" t="inlineStr">
        <is>
          <t>Volume Spike &amp; Near 52W High Breakout</t>
        </is>
      </c>
      <c r="S40" s="31" t="inlineStr">
        <is>
          <t>Nifty Pharma</t>
        </is>
      </c>
      <c r="T40" s="32" t="n">
        <v>20.47</v>
      </c>
      <c r="U40" s="32" t="n">
        <v>20.03</v>
      </c>
      <c r="V40" s="32" t="n">
        <v>-0.37</v>
      </c>
      <c r="W40" s="32" t="n">
        <v>8.42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27</t>
        </is>
      </c>
      <c r="CG40" s="31">
        <f>IF(CF40&gt;20,10,IF(CF40&gt;=10,5,2))</f>
        <v/>
      </c>
    </row>
    <row r="41">
      <c r="A41" s="31">
        <f>IF(B41=0,"",RANK(B41,$B$2:$B$98,0))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SHILPAMED</t>
        </is>
      </c>
      <c r="D41" s="31" t="inlineStr">
        <is>
          <t>Shilpa Medicare Ltd</t>
        </is>
      </c>
      <c r="E41" s="31" t="inlineStr">
        <is>
          <t>healthcare</t>
        </is>
      </c>
      <c r="F41" s="31" t="inlineStr">
        <is>
          <t>Pharma - API &amp; CRAMS</t>
        </is>
      </c>
      <c r="G41" s="31" t="inlineStr">
        <is>
          <t>midcap</t>
        </is>
      </c>
      <c r="H41" s="32" t="n">
        <v>15793.23</v>
      </c>
      <c r="I41" s="32" t="n">
        <v>807.5</v>
      </c>
      <c r="J41" s="32" t="n">
        <v>0.29</v>
      </c>
      <c r="K41" s="32" t="n">
        <v>0</v>
      </c>
      <c r="L41" s="31" t="n">
        <v>88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88.98</v>
      </c>
      <c r="P41" s="32" t="n">
        <v>73.13</v>
      </c>
      <c r="Q41" s="32" t="n">
        <v>647.8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20.47</v>
      </c>
      <c r="U41" s="32" t="n">
        <v>77.84999999999999</v>
      </c>
      <c r="V41" s="32" t="n">
        <v>47.63</v>
      </c>
      <c r="W41" s="32" t="n">
        <v>30.71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26</t>
        </is>
      </c>
      <c r="CG41" s="31">
        <f>IF(CF41&gt;20,10,IF(CF41&gt;=10,5,2))</f>
        <v/>
      </c>
    </row>
    <row r="42">
      <c r="A42" s="31">
        <f>IF(B42=0,"",RANK(B42,$B$2:$B$98,0))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LAURUSLABS</t>
        </is>
      </c>
      <c r="D42" s="31" t="inlineStr">
        <is>
          <t>Laurus Labs Ltd</t>
        </is>
      </c>
      <c r="E42" s="31" t="inlineStr">
        <is>
          <t>healthcare</t>
        </is>
      </c>
      <c r="F42" s="31" t="inlineStr">
        <is>
          <t>Pharma - API &amp; CRAMS</t>
        </is>
      </c>
      <c r="G42" s="31" t="inlineStr">
        <is>
          <t>largecap</t>
        </is>
      </c>
      <c r="H42" s="32" t="n">
        <v>100049.61</v>
      </c>
      <c r="I42" s="32" t="n">
        <v>1851.7</v>
      </c>
      <c r="J42" s="32" t="n">
        <v>0.09</v>
      </c>
      <c r="K42" s="32" t="n">
        <v>0</v>
      </c>
      <c r="L42" s="31" t="n">
        <v>82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86.47</v>
      </c>
      <c r="P42" s="32" t="n">
        <v>64.89</v>
      </c>
      <c r="Q42" s="32" t="n">
        <v>1597.37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20.47</v>
      </c>
      <c r="U42" s="32" t="n">
        <v>115.78</v>
      </c>
      <c r="V42" s="32" t="n">
        <v>79.11</v>
      </c>
      <c r="W42" s="32" t="n">
        <v>25.67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21</t>
        </is>
      </c>
      <c r="CG42" s="31">
        <f>IF(CF42&gt;20,10,IF(CF42&gt;=10,5,2))</f>
        <v/>
      </c>
    </row>
    <row r="43">
      <c r="A43" s="31">
        <f>IF(B43=0,"",RANK(B43,$B$2:$B$98,0))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GLAND</t>
        </is>
      </c>
      <c r="D43" s="34" t="inlineStr">
        <is>
          <t>Gland Pharma Ltd</t>
        </is>
      </c>
      <c r="E43" s="31" t="inlineStr">
        <is>
          <t>healthcare</t>
        </is>
      </c>
      <c r="F43" s="31" t="inlineStr">
        <is>
          <t>Pharma - API &amp; CRAMS</t>
        </is>
      </c>
      <c r="G43" s="31" t="inlineStr">
        <is>
          <t>largecap</t>
        </is>
      </c>
      <c r="H43" s="32" t="n">
        <v>48929.11</v>
      </c>
      <c r="I43" s="32" t="n">
        <v>2966</v>
      </c>
      <c r="J43" s="32" t="n">
        <v>2.59</v>
      </c>
      <c r="K43" s="32" t="n">
        <v>0</v>
      </c>
      <c r="L43" s="31" t="n">
        <v>79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79.86</v>
      </c>
      <c r="P43" s="32" t="n">
        <v>58.86</v>
      </c>
      <c r="Q43" s="32" t="n">
        <v>2437.57</v>
      </c>
      <c r="R43" s="31" t="inlineStr">
        <is>
          <t>Volume Spike &amp; Near 52W High Breakout</t>
        </is>
      </c>
      <c r="S43" s="31" t="inlineStr">
        <is>
          <t>Nifty Pharma</t>
        </is>
      </c>
      <c r="T43" s="32" t="n">
        <v>20.47</v>
      </c>
      <c r="U43" s="32" t="n">
        <v>51.33</v>
      </c>
      <c r="V43" s="32" t="n">
        <v>25.62</v>
      </c>
      <c r="W43" s="32" t="n">
        <v>22.98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Between 50% to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21</t>
        </is>
      </c>
      <c r="CG43" s="31">
        <f>IF(CF43&gt;20,10,IF(CF43&gt;=10,5,2))</f>
        <v/>
      </c>
    </row>
    <row r="44">
      <c r="A44" s="31">
        <f>IF(B44=0,"",RANK(B44,$B$2:$B$98,0))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INNOVACAP</t>
        </is>
      </c>
      <c r="D44" s="34" t="inlineStr">
        <is>
          <t>Innova Captab Ltd</t>
        </is>
      </c>
      <c r="E44" s="31" t="inlineStr">
        <is>
          <t>healthcare</t>
        </is>
      </c>
      <c r="F44" s="31" t="inlineStr">
        <is>
          <t>Pharma - API</t>
        </is>
      </c>
      <c r="G44" s="31" t="inlineStr">
        <is>
          <t>midcap</t>
        </is>
      </c>
      <c r="H44" s="32" t="n">
        <v>6008.62</v>
      </c>
      <c r="I44" s="32" t="n">
        <v>1050</v>
      </c>
      <c r="J44" s="32" t="n">
        <v>3.73</v>
      </c>
      <c r="K44" s="32" t="n">
        <v>0</v>
      </c>
      <c r="L44" s="31" t="n">
        <v>43</v>
      </c>
      <c r="M44" s="31" t="inlineStr">
        <is>
          <t>Underperforming</t>
        </is>
      </c>
      <c r="N44" s="32">
        <f>IF(M44="Underperforming",-5,IF(L44&gt;=95,15,IF(L44&gt;=90,10,IF(L44&gt;=80,5,0))))</f>
        <v/>
      </c>
      <c r="O44" s="32" t="n">
        <v>72.22</v>
      </c>
      <c r="P44" s="32" t="n">
        <v>58.98</v>
      </c>
      <c r="Q44" s="32" t="n">
        <v>823.33</v>
      </c>
      <c r="R44" s="31" t="inlineStr">
        <is>
          <t>Volume Spike &amp; Near 52W High Breakout</t>
        </is>
      </c>
      <c r="S44" s="31" t="inlineStr">
        <is>
          <t>Nifty Pharma</t>
        </is>
      </c>
      <c r="T44" s="32" t="n">
        <v>20.47</v>
      </c>
      <c r="U44" s="32" t="n">
        <v>16.01</v>
      </c>
      <c r="V44" s="32" t="n">
        <v>-3.71</v>
      </c>
      <c r="W44" s="32" t="n">
        <v>8.82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Between 50% to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20</t>
        </is>
      </c>
      <c r="CG44" s="31">
        <f>IF(CF44&gt;20,10,IF(CF44&gt;=10,5,2))</f>
        <v/>
      </c>
    </row>
    <row r="45">
      <c r="A45" s="31">
        <f>IF(B45=0,"",RANK(B45,$B$2:$B$98,0))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UNIVCABLES</t>
        </is>
      </c>
      <c r="D45" s="31" t="inlineStr">
        <is>
          <t>Universal Cables Ltd</t>
        </is>
      </c>
      <c r="E45" s="31" t="inlineStr">
        <is>
          <t>industrials</t>
        </is>
      </c>
      <c r="F45" s="31" t="inlineStr">
        <is>
          <t>Cables - Power</t>
        </is>
      </c>
      <c r="G45" s="31" t="inlineStr">
        <is>
          <t>midcap</t>
        </is>
      </c>
      <c r="H45" s="32" t="n">
        <v>5912.09</v>
      </c>
      <c r="I45" s="32" t="n">
        <v>1704</v>
      </c>
      <c r="J45" s="32" t="n">
        <v>-0.29</v>
      </c>
      <c r="K45" s="32" t="n">
        <v>0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77.93000000000001</v>
      </c>
      <c r="P45" s="32" t="n">
        <v>58.32</v>
      </c>
      <c r="Q45" s="32" t="n">
        <v>1230.51</v>
      </c>
      <c r="R45" s="31" t="inlineStr">
        <is>
          <t>Volume Spike &amp; Near 52W High Breakout</t>
        </is>
      </c>
      <c r="S45" s="31" t="inlineStr">
        <is>
          <t>Nifty Energy</t>
        </is>
      </c>
      <c r="T45" s="32" t="inlineStr"/>
      <c r="U45" s="32" t="inlineStr"/>
      <c r="V45" s="32" t="inlineStr"/>
      <c r="W45" s="32" t="inlineStr"/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27</t>
        </is>
      </c>
      <c r="CG45" s="31">
        <f>IF(CF45&gt;20,10,IF(CF45&gt;=10,5,2))</f>
        <v/>
      </c>
    </row>
    <row r="46">
      <c r="A46" s="31">
        <f>IF(B46=0,"",RANK(B46,$B$2:$B$98,0))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4" t="inlineStr">
        <is>
          <t>DIVGIITTS</t>
        </is>
      </c>
      <c r="D46" s="34" t="inlineStr">
        <is>
          <t>Divgi Torqtransfer Systems Ltd</t>
        </is>
      </c>
      <c r="E46" s="31" t="inlineStr">
        <is>
          <t>auto</t>
        </is>
      </c>
      <c r="F46" s="31" t="inlineStr">
        <is>
          <t>Auto Ancillaries - Transmission</t>
        </is>
      </c>
      <c r="G46" s="31" t="inlineStr">
        <is>
          <t>smallcap</t>
        </is>
      </c>
      <c r="H46" s="32" t="n">
        <v>3725</v>
      </c>
      <c r="I46" s="32" t="n">
        <v>1218</v>
      </c>
      <c r="J46" s="32" t="n">
        <v>-1.13</v>
      </c>
      <c r="K46" s="32" t="n">
        <v>0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75.78</v>
      </c>
      <c r="P46" s="32" t="n">
        <v>45.23</v>
      </c>
      <c r="Q46" s="32" t="n">
        <v>927.77</v>
      </c>
      <c r="R46" s="31" t="inlineStr">
        <is>
          <t>Volume Spike &amp; Near 52W High Breakout</t>
        </is>
      </c>
      <c r="S46" s="31" t="inlineStr">
        <is>
          <t>Nifty Auto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25</t>
        </is>
      </c>
      <c r="CG46" s="31">
        <f>IF(CF46&gt;20,10,IF(CF46&gt;=10,5,2))</f>
        <v/>
      </c>
    </row>
    <row r="47">
      <c r="A47" s="31">
        <f>IF(B47=0,"",RANK(B47,$B$2:$B$98,0))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ARVSMART</t>
        </is>
      </c>
      <c r="D47" s="31" t="inlineStr">
        <is>
          <t>Arvind SmartSpaces Ltd</t>
        </is>
      </c>
      <c r="E47" s="31" t="inlineStr">
        <is>
          <t>realty</t>
        </is>
      </c>
      <c r="F47" s="31" t="inlineStr">
        <is>
          <t>Realty - Construction &amp; Contracting</t>
        </is>
      </c>
      <c r="G47" s="31" t="inlineStr">
        <is>
          <t>smallcap</t>
        </is>
      </c>
      <c r="H47" s="32" t="n">
        <v>3054.74</v>
      </c>
      <c r="I47" s="32" t="n">
        <v>666</v>
      </c>
      <c r="J47" s="32" t="n">
        <v>0.07000000000000001</v>
      </c>
      <c r="K47" s="32" t="n">
        <v>0</v>
      </c>
      <c r="L47" s="31" t="n">
        <v>19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61.75</v>
      </c>
      <c r="P47" s="32" t="n">
        <v>25.99</v>
      </c>
      <c r="Q47" s="32" t="n">
        <v>523.8</v>
      </c>
      <c r="R47" s="31" t="inlineStr">
        <is>
          <t>Near 52W High Breakout</t>
        </is>
      </c>
      <c r="S47" s="31" t="inlineStr">
        <is>
          <t>Nifty Realty</t>
        </is>
      </c>
      <c r="T47" s="32" t="n">
        <v>-5.49</v>
      </c>
      <c r="U47" s="32" t="n">
        <v>6.11</v>
      </c>
      <c r="V47" s="32" t="n">
        <v>12.28</v>
      </c>
      <c r="W47" s="32" t="n">
        <v>3.85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25</t>
        </is>
      </c>
      <c r="CG47" s="31">
        <f>IF(CF47&gt;20,10,IF(CF47&gt;=10,5,2))</f>
        <v/>
      </c>
    </row>
    <row r="48">
      <c r="A48" s="31">
        <f>IF(B48=0,"",RANK(B48,$B$2:$B$98,0))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FINCABLES</t>
        </is>
      </c>
      <c r="D48" s="34" t="inlineStr">
        <is>
          <t>Finolex Cables Ltd</t>
        </is>
      </c>
      <c r="E48" s="31" t="inlineStr">
        <is>
          <t>industrials</t>
        </is>
      </c>
      <c r="F48" s="31" t="inlineStr">
        <is>
          <t>Cables - Telecom</t>
        </is>
      </c>
      <c r="G48" s="31" t="inlineStr">
        <is>
          <t>midcap</t>
        </is>
      </c>
      <c r="H48" s="32" t="n">
        <v>19141.12</v>
      </c>
      <c r="I48" s="32" t="n">
        <v>1251.55</v>
      </c>
      <c r="J48" s="32" t="n">
        <v>-2.23</v>
      </c>
      <c r="K48" s="32" t="n">
        <v>0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66.05</v>
      </c>
      <c r="P48" s="32" t="n">
        <v>35.43</v>
      </c>
      <c r="Q48" s="32" t="n">
        <v>925.52</v>
      </c>
      <c r="R48" s="31" t="inlineStr">
        <is>
          <t>Volume Spike &amp; Near 52W High Breakout</t>
        </is>
      </c>
      <c r="S48" s="31" t="inlineStr">
        <is>
          <t>Nifty Energy</t>
        </is>
      </c>
      <c r="T48" s="32" t="inlineStr"/>
      <c r="U48" s="32" t="inlineStr"/>
      <c r="V48" s="32" t="inlineStr"/>
      <c r="W48" s="32" t="inlineStr"/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Oligopoly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22</t>
        </is>
      </c>
      <c r="CG48" s="31">
        <f>IF(CF48&gt;20,10,IF(CF48&gt;=10,5,2))</f>
        <v/>
      </c>
    </row>
    <row r="49">
      <c r="A49" s="31">
        <f>IF(B49=0,"",RANK(B49,$B$2:$B$98,0))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IRISDOREME</t>
        </is>
      </c>
      <c r="D49" s="31" t="inlineStr">
        <is>
          <t>Iris Clothings Ltd</t>
        </is>
      </c>
      <c r="E49" s="31" t="inlineStr">
        <is>
          <t>consumer discretionary</t>
        </is>
      </c>
      <c r="F49" s="31" t="inlineStr">
        <is>
          <t>Textiles - Readymade Apparel</t>
        </is>
      </c>
      <c r="G49" s="31" t="inlineStr">
        <is>
          <t>smallcap</t>
        </is>
      </c>
      <c r="H49" s="32" t="n">
        <v>1098.97</v>
      </c>
      <c r="I49" s="32" t="n">
        <v>57.74</v>
      </c>
      <c r="J49" s="32" t="n">
        <v>1.6</v>
      </c>
      <c r="K49" s="32" t="n">
        <v>0</v>
      </c>
      <c r="L49" s="31" t="n">
        <v>82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84.43000000000001</v>
      </c>
      <c r="P49" s="32" t="n">
        <v>39.43</v>
      </c>
      <c r="Q49" s="32" t="n">
        <v>44.99</v>
      </c>
      <c r="R49" s="31" t="inlineStr">
        <is>
          <t>Volume Spike &amp; Near 52W High Breakout</t>
        </is>
      </c>
      <c r="S49" s="31" t="inlineStr">
        <is>
          <t>Nifty 50</t>
        </is>
      </c>
      <c r="T49" s="32" t="n">
        <v>-0.96</v>
      </c>
      <c r="U49" s="32" t="n">
        <v>71.16</v>
      </c>
      <c r="V49" s="32" t="n">
        <v>72.81</v>
      </c>
      <c r="W49" s="32" t="n">
        <v>25.79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22</t>
        </is>
      </c>
      <c r="CG49" s="31">
        <f>IF(CF49&gt;20,10,IF(CF49&gt;=10,5,2))</f>
        <v/>
      </c>
    </row>
    <row r="50">
      <c r="A50" s="31">
        <f>IF(B50=0,"",RANK(B50,$B$2:$B$98,0))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NEULANDLAB</t>
        </is>
      </c>
      <c r="D50" s="31" t="inlineStr">
        <is>
          <t>Neuland Laboratories Ltd</t>
        </is>
      </c>
      <c r="E50" s="31" t="inlineStr">
        <is>
          <t>healthcare</t>
        </is>
      </c>
      <c r="F50" s="31" t="inlineStr">
        <is>
          <t>Pharma - API &amp; CRAMS</t>
        </is>
      </c>
      <c r="G50" s="31" t="inlineStr">
        <is>
          <t>largecap</t>
        </is>
      </c>
      <c r="H50" s="32" t="n">
        <v>29637.04</v>
      </c>
      <c r="I50" s="32" t="n">
        <v>23100</v>
      </c>
      <c r="J50" s="32" t="n">
        <v>2.62</v>
      </c>
      <c r="K50" s="32" t="n">
        <v>0</v>
      </c>
      <c r="L50" s="31" t="n">
        <v>79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77.34</v>
      </c>
      <c r="P50" s="32" t="n">
        <v>52.39</v>
      </c>
      <c r="Q50" s="32" t="n">
        <v>18701.39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20.47</v>
      </c>
      <c r="U50" s="32" t="n">
        <v>75.09999999999999</v>
      </c>
      <c r="V50" s="32" t="n">
        <v>45.35</v>
      </c>
      <c r="W50" s="32" t="n">
        <v>22.73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26</t>
        </is>
      </c>
      <c r="CG50" s="31">
        <f>IF(CF50&gt;20,10,IF(CF50&gt;=10,5,2))</f>
        <v/>
      </c>
    </row>
    <row r="51">
      <c r="A51" s="31">
        <f>IF(B51=0,"",RANK(B51,$B$2:$B$98,0))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MOREPENLAB</t>
        </is>
      </c>
      <c r="D51" s="31" t="inlineStr">
        <is>
          <t>Morepen Laboratories Ltd</t>
        </is>
      </c>
      <c r="E51" s="31" t="inlineStr">
        <is>
          <t>healthcare</t>
        </is>
      </c>
      <c r="F51" s="31" t="inlineStr">
        <is>
          <t>Pharma - API &amp; CRAMS</t>
        </is>
      </c>
      <c r="G51" s="31" t="inlineStr">
        <is>
          <t>smallcap</t>
        </is>
      </c>
      <c r="H51" s="32" t="n">
        <v>4471.3</v>
      </c>
      <c r="I51" s="32" t="n">
        <v>81.59999999999999</v>
      </c>
      <c r="J51" s="32" t="n">
        <v>11.08</v>
      </c>
      <c r="K51" s="32" t="n">
        <v>0</v>
      </c>
      <c r="L51" s="31" t="n">
        <v>91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78.51000000000001</v>
      </c>
      <c r="P51" s="32" t="n">
        <v>34.43</v>
      </c>
      <c r="Q51" s="32" t="n">
        <v>59.38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20.47</v>
      </c>
      <c r="U51" s="32" t="n">
        <v>75.12</v>
      </c>
      <c r="V51" s="32" t="n">
        <v>45.36</v>
      </c>
      <c r="W51" s="32" t="n">
        <v>35.6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26</t>
        </is>
      </c>
      <c r="CG51" s="31">
        <f>IF(CF51&gt;20,10,IF(CF51&gt;=10,5,2))</f>
        <v/>
      </c>
    </row>
    <row r="52">
      <c r="A52" s="31">
        <f>IF(B52=0,"",RANK(B52,$B$2:$B$98,0))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TCPLPACK</t>
        </is>
      </c>
      <c r="D52" s="34" t="inlineStr">
        <is>
          <t>TCPL Packaging Ltd</t>
        </is>
      </c>
      <c r="E52" s="31" t="inlineStr">
        <is>
          <t>industrials</t>
        </is>
      </c>
      <c r="F52" s="31" t="inlineStr">
        <is>
          <t>Packaging - FMCG/Consumers</t>
        </is>
      </c>
      <c r="G52" s="31" t="inlineStr">
        <is>
          <t>smallcap</t>
        </is>
      </c>
      <c r="H52" s="32" t="n">
        <v>3867.5</v>
      </c>
      <c r="I52" s="32" t="n">
        <v>4250</v>
      </c>
      <c r="J52" s="32" t="n">
        <v>-3.3</v>
      </c>
      <c r="K52" s="32" t="n">
        <v>0</v>
      </c>
      <c r="L52" s="31" t="n">
        <v>75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78.63</v>
      </c>
      <c r="P52" s="32" t="n">
        <v>25.55</v>
      </c>
      <c r="Q52" s="32" t="n">
        <v>3287.05</v>
      </c>
      <c r="R52" s="31" t="inlineStr">
        <is>
          <t>Volume Spike &amp; Near 52W High Breakout</t>
        </is>
      </c>
      <c r="S52" s="31" t="inlineStr">
        <is>
          <t>Nifty 50</t>
        </is>
      </c>
      <c r="T52" s="32" t="n">
        <v>-0.96</v>
      </c>
      <c r="U52" s="32" t="n">
        <v>27.91</v>
      </c>
      <c r="V52" s="32" t="n">
        <v>29.14</v>
      </c>
      <c r="W52" s="32" t="n">
        <v>20.12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22</t>
        </is>
      </c>
      <c r="CG52" s="31">
        <f>IF(CF52&gt;20,10,IF(CF52&gt;=10,5,2))</f>
        <v/>
      </c>
    </row>
    <row r="53">
      <c r="A53" s="31">
        <f>IF(B53=0,"",RANK(B53,$B$2:$B$98,0))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4" t="inlineStr">
        <is>
          <t>AKUMS</t>
        </is>
      </c>
      <c r="D53" s="34" t="inlineStr">
        <is>
          <t>Akums Drugs &amp; Pharmaceuticals Ltd</t>
        </is>
      </c>
      <c r="E53" s="31" t="inlineStr">
        <is>
          <t>healthcare</t>
        </is>
      </c>
      <c r="F53" s="31" t="inlineStr">
        <is>
          <t>Pharma - Formulators</t>
        </is>
      </c>
      <c r="G53" s="31" t="inlineStr">
        <is>
          <t>midcap</t>
        </is>
      </c>
      <c r="H53" s="32" t="n">
        <v>11839.18</v>
      </c>
      <c r="I53" s="32" t="n">
        <v>752.2</v>
      </c>
      <c r="J53" s="32" t="n">
        <v>0.3</v>
      </c>
      <c r="K53" s="32" t="n">
        <v>0</v>
      </c>
      <c r="L53" s="31" t="n">
        <v>76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72.98999999999999</v>
      </c>
      <c r="P53" s="32" t="n">
        <v>50.75</v>
      </c>
      <c r="Q53" s="32" t="n">
        <v>606.9400000000001</v>
      </c>
      <c r="R53" s="31" t="inlineStr">
        <is>
          <t>Volume Spike &amp; Near 52W High Breakout</t>
        </is>
      </c>
      <c r="S53" s="31" t="inlineStr">
        <is>
          <t>Nifty Pharma</t>
        </is>
      </c>
      <c r="T53" s="32" t="n">
        <v>20.47</v>
      </c>
      <c r="U53" s="32" t="n">
        <v>60.5</v>
      </c>
      <c r="V53" s="32" t="n">
        <v>33.23</v>
      </c>
      <c r="W53" s="32" t="n">
        <v>20.66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Less than 12%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20</t>
        </is>
      </c>
      <c r="CG53" s="31">
        <f>IF(CF53&gt;20,10,IF(CF53&gt;=10,5,2))</f>
        <v/>
      </c>
    </row>
    <row r="54">
      <c r="A54" s="31">
        <f>IF(B54=0,"",RANK(B54,$B$2:$B$98,0))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NGLFINE</t>
        </is>
      </c>
      <c r="D54" s="34" t="inlineStr">
        <is>
          <t>NGL Fine Chem Ltd</t>
        </is>
      </c>
      <c r="E54" s="31" t="inlineStr">
        <is>
          <t>healthcare</t>
        </is>
      </c>
      <c r="F54" s="31" t="inlineStr">
        <is>
          <t>Pharma - Animal</t>
        </is>
      </c>
      <c r="G54" s="31" t="inlineStr">
        <is>
          <t>smallcap</t>
        </is>
      </c>
      <c r="H54" s="32" t="n">
        <v>2117.21</v>
      </c>
      <c r="I54" s="32" t="n">
        <v>3427</v>
      </c>
      <c r="J54" s="32" t="n">
        <v>0.53</v>
      </c>
      <c r="K54" s="32" t="n">
        <v>0</v>
      </c>
      <c r="L54" s="31" t="n">
        <v>89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80.31</v>
      </c>
      <c r="P54" s="32" t="n">
        <v>68.16</v>
      </c>
      <c r="Q54" s="32" t="n">
        <v>2490.3</v>
      </c>
      <c r="R54" s="31" t="inlineStr">
        <is>
          <t>Near 52W High Breakout</t>
        </is>
      </c>
      <c r="S54" s="31" t="inlineStr">
        <is>
          <t>Nifty Pharma</t>
        </is>
      </c>
      <c r="T54" s="32" t="n">
        <v>20.47</v>
      </c>
      <c r="U54" s="32" t="n">
        <v>150.18</v>
      </c>
      <c r="V54" s="32" t="n">
        <v>107.67</v>
      </c>
      <c r="W54" s="32" t="n">
        <v>32.12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Between 50% to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20</t>
        </is>
      </c>
      <c r="CG54" s="31">
        <f>IF(CF54&gt;20,10,IF(CF54&gt;=10,5,2))</f>
        <v/>
      </c>
    </row>
    <row r="55">
      <c r="A55" s="31">
        <f>IF(B55=0,"",RANK(B55,$B$2:$B$98,0))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PRECWIRE</t>
        </is>
      </c>
      <c r="D55" s="34" t="inlineStr">
        <is>
          <t>Precision Wires India Ltd</t>
        </is>
      </c>
      <c r="E55" s="31" t="inlineStr">
        <is>
          <t>metals &amp; mining</t>
        </is>
      </c>
      <c r="F55" s="31" t="inlineStr">
        <is>
          <t>Copper Wires</t>
        </is>
      </c>
      <c r="G55" s="31" t="inlineStr">
        <is>
          <t>midcap</t>
        </is>
      </c>
      <c r="H55" s="32" t="n">
        <v>8520.68</v>
      </c>
      <c r="I55" s="32" t="n">
        <v>466.1</v>
      </c>
      <c r="J55" s="32" t="n">
        <v>10.37</v>
      </c>
      <c r="K55" s="32" t="n">
        <v>0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67.39</v>
      </c>
      <c r="P55" s="32" t="n">
        <v>43.67</v>
      </c>
      <c r="Q55" s="32" t="n">
        <v>343.95</v>
      </c>
      <c r="R55" s="31" t="inlineStr">
        <is>
          <t>Volume Spike &amp; Near 52W High Breakout</t>
        </is>
      </c>
      <c r="S55" s="31" t="inlineStr">
        <is>
          <t>Nifty Metal</t>
        </is>
      </c>
      <c r="T55" s="32" t="inlineStr"/>
      <c r="U55" s="32" t="inlineStr"/>
      <c r="V55" s="32" t="inlineStr"/>
      <c r="W55" s="32" t="inlineStr"/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Cyclical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Volatile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26</t>
        </is>
      </c>
      <c r="CG55" s="31">
        <f>IF(CF55&gt;20,10,IF(CF55&gt;=10,5,2))</f>
        <v/>
      </c>
    </row>
    <row r="56">
      <c r="A56" s="31">
        <f>IF(B56=0,"",RANK(B56,$B$2:$B$98,0))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CHENNPETRO</t>
        </is>
      </c>
      <c r="D56" s="31" t="inlineStr">
        <is>
          <t>Chennai Petroleum Corporation Ltd</t>
        </is>
      </c>
      <c r="E56" s="31" t="inlineStr">
        <is>
          <t>energy</t>
        </is>
      </c>
      <c r="F56" s="31" t="inlineStr">
        <is>
          <t>Refineries</t>
        </is>
      </c>
      <c r="G56" s="31" t="inlineStr">
        <is>
          <t>midcap</t>
        </is>
      </c>
      <c r="H56" s="32" t="n">
        <v>19997.31</v>
      </c>
      <c r="I56" s="32" t="n">
        <v>1342.9</v>
      </c>
      <c r="J56" s="32" t="n">
        <v>-2.65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73.29000000000001</v>
      </c>
      <c r="P56" s="32" t="n">
        <v>49.4</v>
      </c>
      <c r="Q56" s="32" t="n">
        <v>988.51</v>
      </c>
      <c r="R56" s="31" t="inlineStr">
        <is>
          <t>Volume Spike &amp; Near 52W High Breakout</t>
        </is>
      </c>
      <c r="S56" s="31" t="inlineStr">
        <is>
          <t>Nifty Energy</t>
        </is>
      </c>
      <c r="T56" s="32" t="inlineStr"/>
      <c r="U56" s="32" t="inlineStr"/>
      <c r="V56" s="32" t="inlineStr"/>
      <c r="W56" s="32" t="inlineStr"/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Oligopoly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Cyclical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Volatile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26</t>
        </is>
      </c>
      <c r="CG56" s="31">
        <f>IF(CF56&gt;20,10,IF(CF56&gt;=10,5,2))</f>
        <v/>
      </c>
    </row>
    <row r="57">
      <c r="A57" s="31">
        <f>IF(B57=0,"",RANK(B57,$B$2:$B$98,0))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YASHO</t>
        </is>
      </c>
      <c r="D57" s="31" t="inlineStr">
        <is>
          <t>Yasho Industries Ltd</t>
        </is>
      </c>
      <c r="E57" s="31" t="inlineStr">
        <is>
          <t>chemicals</t>
        </is>
      </c>
      <c r="F57" s="31" t="inlineStr">
        <is>
          <t>Speciality Chemicals</t>
        </is>
      </c>
      <c r="G57" s="31" t="inlineStr">
        <is>
          <t>midcap</t>
        </is>
      </c>
      <c r="H57" s="32" t="n">
        <v>5171.29</v>
      </c>
      <c r="I57" s="32" t="n">
        <v>4289</v>
      </c>
      <c r="J57" s="32" t="n">
        <v>1.8</v>
      </c>
      <c r="K57" s="32" t="n">
        <v>0</v>
      </c>
      <c r="L57" s="31" t="n">
        <v>98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91.84999999999999</v>
      </c>
      <c r="P57" s="32" t="n">
        <v>65.54000000000001</v>
      </c>
      <c r="Q57" s="32" t="n">
        <v>3293.33</v>
      </c>
      <c r="R57" s="31" t="inlineStr">
        <is>
          <t>Near 52W High Breakout</t>
        </is>
      </c>
      <c r="S57" s="31" t="inlineStr">
        <is>
          <t>Nifty IT</t>
        </is>
      </c>
      <c r="T57" s="32" t="n">
        <v>-9.699999999999999</v>
      </c>
      <c r="U57" s="32" t="n">
        <v>145.38</v>
      </c>
      <c r="V57" s="32" t="n">
        <v>171.74</v>
      </c>
      <c r="W57" s="32" t="n">
        <v>61.34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More than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25</t>
        </is>
      </c>
      <c r="CG57" s="31">
        <f>IF(CF57&gt;20,10,IF(CF57&gt;=10,5,2))</f>
        <v/>
      </c>
    </row>
    <row r="58">
      <c r="A58" s="31">
        <f>IF(B58=0,"",RANK(B58,$B$2:$B$98,0))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KRISHANA</t>
        </is>
      </c>
      <c r="D58" s="31" t="inlineStr">
        <is>
          <t>Krishana Phoschem Ltd</t>
        </is>
      </c>
      <c r="E58" s="31" t="inlineStr">
        <is>
          <t>chemicals</t>
        </is>
      </c>
      <c r="F58" s="31" t="inlineStr">
        <is>
          <t>Fertilisers</t>
        </is>
      </c>
      <c r="G58" s="31" t="inlineStr">
        <is>
          <t>midcap</t>
        </is>
      </c>
      <c r="H58" s="32" t="n">
        <v>5842.4</v>
      </c>
      <c r="I58" s="32" t="n">
        <v>188.99</v>
      </c>
      <c r="J58" s="32" t="n">
        <v>1.36</v>
      </c>
      <c r="K58" s="32" t="n">
        <v>0</v>
      </c>
      <c r="L58" s="31" t="n">
        <v>77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79.05</v>
      </c>
      <c r="P58" s="32" t="n">
        <v>46.29</v>
      </c>
      <c r="Q58" s="32" t="n">
        <v>148.69</v>
      </c>
      <c r="R58" s="31" t="inlineStr">
        <is>
          <t>Near 52W High Breakout</t>
        </is>
      </c>
      <c r="S58" s="31" t="inlineStr">
        <is>
          <t>Nifty 50</t>
        </is>
      </c>
      <c r="T58" s="32" t="n">
        <v>-0.96</v>
      </c>
      <c r="U58" s="32" t="n">
        <v>73.79000000000001</v>
      </c>
      <c r="V58" s="32" t="n">
        <v>75.47</v>
      </c>
      <c r="W58" s="32" t="n">
        <v>21.44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More than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22</t>
        </is>
      </c>
      <c r="CG58" s="31">
        <f>IF(CF58&gt;20,10,IF(CF58&gt;=10,5,2))</f>
        <v/>
      </c>
    </row>
    <row r="59">
      <c r="A59" s="31">
        <f>IF(B59=0,"",RANK(B59,$B$2:$B$98,0))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KALYANKJIL</t>
        </is>
      </c>
      <c r="D59" s="31" t="inlineStr">
        <is>
          <t>Kalyan Jewellers India Ltd</t>
        </is>
      </c>
      <c r="E59" s="31" t="inlineStr">
        <is>
          <t>consumer discretionary</t>
        </is>
      </c>
      <c r="F59" s="31" t="inlineStr">
        <is>
          <t>Diamond, Gems &amp; Jewellery</t>
        </is>
      </c>
      <c r="G59" s="31" t="inlineStr">
        <is>
          <t>largecap</t>
        </is>
      </c>
      <c r="H59" s="32" t="n">
        <v>63348.94</v>
      </c>
      <c r="I59" s="32" t="n">
        <v>613.4</v>
      </c>
      <c r="J59" s="32" t="n">
        <v>2.8</v>
      </c>
      <c r="K59" s="32" t="n">
        <v>0</v>
      </c>
      <c r="L59" s="31" t="n">
        <v>78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72.25</v>
      </c>
      <c r="P59" s="32" t="n">
        <v>33.13</v>
      </c>
      <c r="Q59" s="32" t="n">
        <v>465.23</v>
      </c>
      <c r="R59" s="31" t="inlineStr">
        <is>
          <t>Near 52W High Breakout</t>
        </is>
      </c>
      <c r="S59" s="31" t="inlineStr">
        <is>
          <t>Nifty 500</t>
        </is>
      </c>
      <c r="T59" s="32" t="n">
        <v>4.31</v>
      </c>
      <c r="U59" s="32" t="n">
        <v>15.31</v>
      </c>
      <c r="V59" s="32" t="n">
        <v>10.55</v>
      </c>
      <c r="W59" s="32" t="n">
        <v>21.89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21</t>
        </is>
      </c>
      <c r="CG59" s="31">
        <f>IF(CF59&gt;20,10,IF(CF59&gt;=10,5,2))</f>
        <v/>
      </c>
    </row>
    <row r="60">
      <c r="A60" s="31">
        <f>IF(B60=0,"",RANK(B60,$B$2:$B$98,0))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SIGMAADV</t>
        </is>
      </c>
      <c r="D60" s="31" t="inlineStr">
        <is>
          <t>Sigma Advanced System Ltd</t>
        </is>
      </c>
      <c r="E60" s="31" t="inlineStr">
        <is>
          <t>aerospace &amp; defence</t>
        </is>
      </c>
      <c r="F60" s="31" t="inlineStr">
        <is>
          <t>Aerospace &amp; Defence - Equipments</t>
        </is>
      </c>
      <c r="G60" s="31" t="inlineStr">
        <is>
          <t>midcap</t>
        </is>
      </c>
      <c r="H60" s="32" t="n">
        <v>13143.08</v>
      </c>
      <c r="I60" s="32" t="n">
        <v>692</v>
      </c>
      <c r="J60" s="32" t="n">
        <v>1.17</v>
      </c>
      <c r="K60" s="32" t="n">
        <v>0</v>
      </c>
      <c r="L60" s="31" t="n">
        <v>98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76.28</v>
      </c>
      <c r="P60" s="32" t="n">
        <v>67.42</v>
      </c>
      <c r="Q60" s="32" t="n">
        <v>518.55</v>
      </c>
      <c r="R60" s="31" t="inlineStr">
        <is>
          <t>Near 52W High Breakout</t>
        </is>
      </c>
      <c r="S60" s="31" t="inlineStr">
        <is>
          <t>Nifty 50</t>
        </is>
      </c>
      <c r="T60" s="32" t="n">
        <v>-0.96</v>
      </c>
      <c r="U60" s="32" t="n">
        <v>508.47</v>
      </c>
      <c r="V60" s="32" t="n">
        <v>514.35</v>
      </c>
      <c r="W60" s="32" t="n">
        <v>74.41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Negative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21</t>
        </is>
      </c>
      <c r="CG60" s="31">
        <f>IF(CF60&gt;20,10,IF(CF60&gt;=10,5,2))</f>
        <v/>
      </c>
    </row>
    <row r="61">
      <c r="A61" s="31">
        <f>IF(B61=0,"",RANK(B61,$B$2:$B$98,0))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MMFL</t>
        </is>
      </c>
      <c r="D61" s="31" t="inlineStr">
        <is>
          <t>M M Forgings Ltd</t>
        </is>
      </c>
      <c r="E61" s="31" t="inlineStr">
        <is>
          <t>industrials</t>
        </is>
      </c>
      <c r="F61" s="31" t="inlineStr">
        <is>
          <t>Castings, Forgings &amp; Fastners</t>
        </is>
      </c>
      <c r="G61" s="31" t="inlineStr">
        <is>
          <t>smallcap</t>
        </is>
      </c>
      <c r="H61" s="32" t="n">
        <v>2959.66</v>
      </c>
      <c r="I61" s="32" t="n">
        <v>613</v>
      </c>
      <c r="J61" s="32" t="n">
        <v>-3.74</v>
      </c>
      <c r="K61" s="32" t="n">
        <v>0</v>
      </c>
      <c r="L61" s="31" t="n">
        <v>83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74.7</v>
      </c>
      <c r="P61" s="32" t="n">
        <v>21.15</v>
      </c>
      <c r="Q61" s="32" t="n">
        <v>490.92</v>
      </c>
      <c r="R61" s="31" t="inlineStr">
        <is>
          <t>Near 52W High Breakout</t>
        </is>
      </c>
      <c r="S61" s="31" t="inlineStr">
        <is>
          <t>Nifty 50</t>
        </is>
      </c>
      <c r="T61" s="32" t="n">
        <v>-0.96</v>
      </c>
      <c r="U61" s="32" t="n">
        <v>110.3</v>
      </c>
      <c r="V61" s="32" t="n">
        <v>112.33</v>
      </c>
      <c r="W61" s="32" t="n">
        <v>26.49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More than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20</t>
        </is>
      </c>
      <c r="CG61" s="31">
        <f>IF(CF61&gt;20,10,IF(CF61&gt;=10,5,2))</f>
        <v/>
      </c>
    </row>
    <row r="62">
      <c r="A62" s="31">
        <f>IF(B62=0,"",RANK(B62,$B$2:$B$98,0))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LMW</t>
        </is>
      </c>
      <c r="D62" s="34" t="inlineStr">
        <is>
          <t>LMW Ltd</t>
        </is>
      </c>
      <c r="E62" s="31" t="inlineStr">
        <is>
          <t>industrials</t>
        </is>
      </c>
      <c r="F62" s="31" t="inlineStr">
        <is>
          <t>Textile machinery</t>
        </is>
      </c>
      <c r="G62" s="31" t="inlineStr">
        <is>
          <t>largecap</t>
        </is>
      </c>
      <c r="H62" s="32" t="n">
        <v>20003.92</v>
      </c>
      <c r="I62" s="32" t="n">
        <v>18725</v>
      </c>
      <c r="J62" s="32" t="n">
        <v>6.7</v>
      </c>
      <c r="K62" s="32" t="n">
        <v>0</v>
      </c>
      <c r="L62" s="31" t="n">
        <v>52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71.62</v>
      </c>
      <c r="P62" s="32" t="n">
        <v>34.16</v>
      </c>
      <c r="Q62" s="32" t="n">
        <v>15333.99</v>
      </c>
      <c r="R62" s="31" t="inlineStr">
        <is>
          <t>Volume Spike &amp; Near 52W High Breakout</t>
        </is>
      </c>
      <c r="S62" s="31" t="inlineStr">
        <is>
          <t>Nifty 50</t>
        </is>
      </c>
      <c r="T62" s="32" t="n">
        <v>-0.96</v>
      </c>
      <c r="U62" s="32" t="n">
        <v>26.42</v>
      </c>
      <c r="V62" s="32" t="n">
        <v>27.64</v>
      </c>
      <c r="W62" s="32" t="n">
        <v>11.25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20</t>
        </is>
      </c>
      <c r="CG62" s="31">
        <f>IF(CF62&gt;20,10,IF(CF62&gt;=10,5,2))</f>
        <v/>
      </c>
    </row>
    <row r="63">
      <c r="A63" s="31">
        <f>IF(B63=0,"",RANK(B63,$B$2:$B$98,0))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ATUL</t>
        </is>
      </c>
      <c r="D63" s="34" t="inlineStr">
        <is>
          <t>Atul Ltd</t>
        </is>
      </c>
      <c r="E63" s="31" t="inlineStr">
        <is>
          <t>chemicals</t>
        </is>
      </c>
      <c r="F63" s="31" t="inlineStr">
        <is>
          <t>Dyes &amp; Pigments</t>
        </is>
      </c>
      <c r="G63" s="31" t="inlineStr">
        <is>
          <t>largecap</t>
        </is>
      </c>
      <c r="H63" s="32" t="n">
        <v>20317.76</v>
      </c>
      <c r="I63" s="32" t="n">
        <v>6901</v>
      </c>
      <c r="J63" s="32" t="n">
        <v>0.07000000000000001</v>
      </c>
      <c r="K63" s="32" t="n">
        <v>0</v>
      </c>
      <c r="L63" s="31" t="n">
        <v>11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59.51</v>
      </c>
      <c r="P63" s="32" t="n">
        <v>12.41</v>
      </c>
      <c r="Q63" s="32" t="n">
        <v>5963.56</v>
      </c>
      <c r="R63" s="31" t="inlineStr">
        <is>
          <t>Near 52W High Breakout</t>
        </is>
      </c>
      <c r="S63" s="31" t="inlineStr">
        <is>
          <t>Nifty 50</t>
        </is>
      </c>
      <c r="T63" s="32" t="n">
        <v>-0.96</v>
      </c>
      <c r="U63" s="32" t="n">
        <v>9.26</v>
      </c>
      <c r="V63" s="32" t="n">
        <v>10.32</v>
      </c>
      <c r="W63" s="32" t="n">
        <v>1.55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0 to 20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19</t>
        </is>
      </c>
      <c r="CG63" s="31">
        <f>IF(CF63&gt;20,10,IF(CF63&gt;=10,5,2))</f>
        <v/>
      </c>
    </row>
    <row r="64">
      <c r="A64" s="31">
        <f>IF(B64=0,"",RANK(B64,$B$2:$B$98,0))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KINGFA</t>
        </is>
      </c>
      <c r="D64" s="34" t="inlineStr">
        <is>
          <t>Kingfa Science &amp; Technology (India) Ltd</t>
        </is>
      </c>
      <c r="E64" s="31" t="inlineStr">
        <is>
          <t>plastic products</t>
        </is>
      </c>
      <c r="F64" s="31" t="inlineStr">
        <is>
          <t>Plastics - Plastic &amp; Plastic Products</t>
        </is>
      </c>
      <c r="G64" s="31" t="inlineStr">
        <is>
          <t>midcap</t>
        </is>
      </c>
      <c r="H64" s="32" t="n">
        <v>8171.48</v>
      </c>
      <c r="I64" s="32" t="n">
        <v>6030</v>
      </c>
      <c r="J64" s="32" t="n">
        <v>1.35</v>
      </c>
      <c r="K64" s="32" t="n">
        <v>0</v>
      </c>
      <c r="L64" s="31" t="n">
        <v>59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71.41</v>
      </c>
      <c r="P64" s="32" t="n">
        <v>31.4</v>
      </c>
      <c r="Q64" s="32" t="n">
        <v>4803.64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-0.96</v>
      </c>
      <c r="U64" s="32" t="n">
        <v>57.91</v>
      </c>
      <c r="V64" s="32" t="n">
        <v>59.43</v>
      </c>
      <c r="W64" s="32" t="n">
        <v>13.16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Between 1.5 to 2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IF(B65=0,"",RANK(B65,$B$2:$B$98,0))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KERNEX</t>
        </is>
      </c>
      <c r="D65" s="34" t="inlineStr">
        <is>
          <t>Kernex Microsystems (India) Ltd</t>
        </is>
      </c>
      <c r="E65" s="31" t="inlineStr">
        <is>
          <t>Technology</t>
        </is>
      </c>
      <c r="F65" s="31" t="inlineStr">
        <is>
          <t>Railways - Kavach/Springs</t>
        </is>
      </c>
      <c r="G65" s="31" t="inlineStr">
        <is>
          <t>smallcap</t>
        </is>
      </c>
      <c r="H65" s="32" t="n">
        <v>3780.98</v>
      </c>
      <c r="I65" s="32" t="n">
        <v>2250.1</v>
      </c>
      <c r="J65" s="32" t="n">
        <v>3.67</v>
      </c>
      <c r="K65" s="32" t="n">
        <v>0</v>
      </c>
      <c r="L65" s="31" t="n">
        <v>87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64.12</v>
      </c>
      <c r="P65" s="32" t="n">
        <v>61.74</v>
      </c>
      <c r="Q65" s="32" t="n">
        <v>1755.91</v>
      </c>
      <c r="R65" s="31" t="inlineStr">
        <is>
          <t>Volume Spike / Accumulation</t>
        </is>
      </c>
      <c r="S65" s="31" t="inlineStr">
        <is>
          <t>Nifty IT</t>
        </is>
      </c>
      <c r="T65" s="32" t="n">
        <v>-9.699999999999999</v>
      </c>
      <c r="U65" s="32" t="n">
        <v>102.59</v>
      </c>
      <c r="V65" s="32" t="n">
        <v>124.36</v>
      </c>
      <c r="W65" s="32" t="n">
        <v>29.25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Negative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28</t>
        </is>
      </c>
      <c r="CG65" s="31">
        <f>IF(CF65&gt;20,10,IF(CF65&gt;=10,5,2))</f>
        <v/>
      </c>
    </row>
    <row r="66">
      <c r="A66" s="31">
        <f>IF(B66=0,"",RANK(B66,$B$2:$B$98,0))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MACPOWER</t>
        </is>
      </c>
      <c r="D66" s="31" t="inlineStr">
        <is>
          <t>Macpower CNC Machines Ltd</t>
        </is>
      </c>
      <c r="E66" s="31" t="inlineStr">
        <is>
          <t>industrials</t>
        </is>
      </c>
      <c r="F66" s="31" t="inlineStr">
        <is>
          <t>CNC - Machines</t>
        </is>
      </c>
      <c r="G66" s="31" t="inlineStr">
        <is>
          <t>smallcap</t>
        </is>
      </c>
      <c r="H66" s="32" t="n">
        <v>1752.83</v>
      </c>
      <c r="I66" s="32" t="n">
        <v>1752.1</v>
      </c>
      <c r="J66" s="32" t="n">
        <v>1.49</v>
      </c>
      <c r="K66" s="32" t="n">
        <v>0</v>
      </c>
      <c r="L66" s="31" t="n">
        <v>87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75</v>
      </c>
      <c r="P66" s="32" t="n">
        <v>31.31</v>
      </c>
      <c r="Q66" s="32" t="n">
        <v>1253.05</v>
      </c>
      <c r="R66" s="31" t="inlineStr">
        <is>
          <t>Near 52W High Breakout</t>
        </is>
      </c>
      <c r="S66" s="31" t="inlineStr">
        <is>
          <t>Nifty 50</t>
        </is>
      </c>
      <c r="T66" s="32" t="n">
        <v>-0.96</v>
      </c>
      <c r="U66" s="32" t="n">
        <v>105.09</v>
      </c>
      <c r="V66" s="32" t="n">
        <v>107.07</v>
      </c>
      <c r="W66" s="32" t="n">
        <v>29.51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25</t>
        </is>
      </c>
      <c r="CG66" s="31">
        <f>IF(CF66&gt;20,10,IF(CF66&gt;=10,5,2))</f>
        <v/>
      </c>
    </row>
    <row r="67">
      <c r="A67" s="31">
        <f>IF(B67=0,"",RANK(B67,$B$2:$B$98,0))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MUNJALAU</t>
        </is>
      </c>
      <c r="D67" s="34" t="inlineStr">
        <is>
          <t>Munjal Auto Industries Ltd</t>
        </is>
      </c>
      <c r="E67" s="31" t="inlineStr">
        <is>
          <t>auto</t>
        </is>
      </c>
      <c r="F67" s="31" t="inlineStr">
        <is>
          <t>Auto Ancillaries - Diversified</t>
        </is>
      </c>
      <c r="G67" s="31" t="inlineStr">
        <is>
          <t>smallcap</t>
        </is>
      </c>
      <c r="H67" s="32" t="n">
        <v>1197.9</v>
      </c>
      <c r="I67" s="32" t="n">
        <v>119.79</v>
      </c>
      <c r="J67" s="32" t="n">
        <v>19.99</v>
      </c>
      <c r="K67" s="32" t="n">
        <v>0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76.01000000000001</v>
      </c>
      <c r="P67" s="32" t="n">
        <v>46.03</v>
      </c>
      <c r="Q67" s="32" t="n">
        <v>90.65000000000001</v>
      </c>
      <c r="R67" s="31" t="inlineStr">
        <is>
          <t>Volume Spike &amp; Near 52W High Breakout</t>
        </is>
      </c>
      <c r="S67" s="31" t="inlineStr">
        <is>
          <t>Nifty Auto</t>
        </is>
      </c>
      <c r="T67" s="32" t="inlineStr"/>
      <c r="U67" s="32" t="inlineStr"/>
      <c r="V67" s="32" t="inlineStr"/>
      <c r="W67" s="32" t="inlineStr"/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21</t>
        </is>
      </c>
      <c r="CG67" s="31">
        <f>IF(CF67&gt;20,10,IF(CF67&gt;=10,5,2))</f>
        <v/>
      </c>
    </row>
    <row r="68">
      <c r="A68" s="31">
        <f>IF(B68=0,"",RANK(B68,$B$2:$B$98,0))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AARTIIND</t>
        </is>
      </c>
      <c r="D68" s="34" t="inlineStr">
        <is>
          <t>Aarti Industries Ltd</t>
        </is>
      </c>
      <c r="E68" s="31" t="inlineStr">
        <is>
          <t>chemicals</t>
        </is>
      </c>
      <c r="F68" s="31" t="inlineStr">
        <is>
          <t>Speciality Chemicals</t>
        </is>
      </c>
      <c r="G68" s="31" t="inlineStr">
        <is>
          <t>midcap</t>
        </is>
      </c>
      <c r="H68" s="32" t="n">
        <v>19427.64</v>
      </c>
      <c r="I68" s="32" t="n">
        <v>535.6</v>
      </c>
      <c r="J68" s="32" t="n">
        <v>0.89</v>
      </c>
      <c r="K68" s="32" t="n">
        <v>0</v>
      </c>
      <c r="L68" s="31" t="n">
        <v>50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66.81</v>
      </c>
      <c r="P68" s="32" t="n">
        <v>22.96</v>
      </c>
      <c r="Q68" s="32" t="n">
        <v>428.91</v>
      </c>
      <c r="R68" s="31" t="inlineStr">
        <is>
          <t>Near 52W High Breakout</t>
        </is>
      </c>
      <c r="S68" s="31" t="inlineStr">
        <is>
          <t>Nifty 50</t>
        </is>
      </c>
      <c r="T68" s="32" t="n">
        <v>-0.96</v>
      </c>
      <c r="U68" s="32" t="n">
        <v>43.48</v>
      </c>
      <c r="V68" s="32" t="n">
        <v>44.87</v>
      </c>
      <c r="W68" s="32" t="n">
        <v>10.73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21</t>
        </is>
      </c>
      <c r="CG68" s="31">
        <f>IF(CF68&gt;20,10,IF(CF68&gt;=10,5,2))</f>
        <v/>
      </c>
    </row>
    <row r="69">
      <c r="A69" s="31">
        <f>IF(B69=0,"",RANK(B69,$B$2:$B$98,0))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KABRAEXTRU</t>
        </is>
      </c>
      <c r="D69" s="31" t="inlineStr">
        <is>
          <t>Kabra Extrusion Technik Ltd</t>
        </is>
      </c>
      <c r="E69" s="31" t="inlineStr">
        <is>
          <t>industrials</t>
        </is>
      </c>
      <c r="F69" s="31" t="inlineStr">
        <is>
          <t>Capital Goods - Engineering Heavy</t>
        </is>
      </c>
      <c r="G69" s="31" t="inlineStr">
        <is>
          <t>smallcap</t>
        </is>
      </c>
      <c r="H69" s="32" t="n">
        <v>1710</v>
      </c>
      <c r="I69" s="32" t="n">
        <v>488.95</v>
      </c>
      <c r="J69" s="32" t="n">
        <v>-1.2</v>
      </c>
      <c r="K69" s="32" t="n">
        <v>0</v>
      </c>
      <c r="L69" s="31" t="n">
        <v>92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83.13</v>
      </c>
      <c r="P69" s="32" t="n">
        <v>33.69</v>
      </c>
      <c r="Q69" s="32" t="n">
        <v>357.69</v>
      </c>
      <c r="R69" s="31" t="inlineStr">
        <is>
          <t>Volume Spike &amp; Near 52W High Breakout</t>
        </is>
      </c>
      <c r="S69" s="31" t="inlineStr">
        <is>
          <t>Nifty Infra</t>
        </is>
      </c>
      <c r="T69" s="32" t="n">
        <v>3.6</v>
      </c>
      <c r="U69" s="32" t="n">
        <v>66.54000000000001</v>
      </c>
      <c r="V69" s="32" t="n">
        <v>60.75</v>
      </c>
      <c r="W69" s="32" t="n">
        <v>37.4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20</t>
        </is>
      </c>
      <c r="CG69" s="31">
        <f>IF(CF69&gt;20,10,IF(CF69&gt;=10,5,2))</f>
        <v/>
      </c>
    </row>
    <row r="70">
      <c r="A70" s="31">
        <f>IF(B70=0,"",RANK(B70,$B$2:$B$98,0))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VRLLOG</t>
        </is>
      </c>
      <c r="D70" s="34" t="inlineStr">
        <is>
          <t>VRL Logistics Ltd</t>
        </is>
      </c>
      <c r="E70" s="31" t="inlineStr">
        <is>
          <t>transportation</t>
        </is>
      </c>
      <c r="F70" s="31" t="inlineStr">
        <is>
          <t>Logistics - Warehousing/Supply Chain</t>
        </is>
      </c>
      <c r="G70" s="31" t="inlineStr">
        <is>
          <t>midcap</t>
        </is>
      </c>
      <c r="H70" s="32" t="n">
        <v>5278.72</v>
      </c>
      <c r="I70" s="32" t="n">
        <v>301.75</v>
      </c>
      <c r="J70" s="32" t="n">
        <v>0.28</v>
      </c>
      <c r="K70" s="32" t="n">
        <v>0</v>
      </c>
      <c r="L70" s="31" t="n">
        <v>33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67.98</v>
      </c>
      <c r="P70" s="32" t="n">
        <v>13.18</v>
      </c>
      <c r="Q70" s="32" t="n">
        <v>246.18</v>
      </c>
      <c r="R70" s="31" t="inlineStr">
        <is>
          <t>Near 52W High Breakout</t>
        </is>
      </c>
      <c r="S70" s="31" t="inlineStr">
        <is>
          <t>Nifty 50</t>
        </is>
      </c>
      <c r="T70" s="32" t="n">
        <v>-0.96</v>
      </c>
      <c r="U70" s="32" t="n">
        <v>9.449999999999999</v>
      </c>
      <c r="V70" s="32" t="n">
        <v>10.51</v>
      </c>
      <c r="W70" s="32" t="n">
        <v>6.82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0 to 20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20</t>
        </is>
      </c>
      <c r="CG70" s="31">
        <f>IF(CF70&gt;20,10,IF(CF70&gt;=10,5,2))</f>
        <v/>
      </c>
    </row>
    <row r="71">
      <c r="A71" s="31">
        <f>IF(B71=0,"",RANK(B71,$B$2:$B$98,0))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BLUESTONE</t>
        </is>
      </c>
      <c r="D71" s="31" t="inlineStr">
        <is>
          <t>Bluestone Jewellery &amp; Lifestyle Ltd</t>
        </is>
      </c>
      <c r="E71" s="31" t="inlineStr">
        <is>
          <t>Consumer Cyclical</t>
        </is>
      </c>
      <c r="F71" s="31" t="inlineStr">
        <is>
          <t>Diamond, Gems &amp; Jewellery</t>
        </is>
      </c>
      <c r="G71" s="31" t="inlineStr">
        <is>
          <t>midcap</t>
        </is>
      </c>
      <c r="H71" s="32" t="n">
        <v>13328.91</v>
      </c>
      <c r="I71" s="32" t="n">
        <v>872.6</v>
      </c>
      <c r="J71" s="32" t="n">
        <v>-2.45</v>
      </c>
      <c r="K71" s="32" t="n">
        <v>0</v>
      </c>
      <c r="L71" s="31" t="n">
        <v>89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78.94</v>
      </c>
      <c r="P71" s="32" t="n">
        <v>33.29</v>
      </c>
      <c r="Q71" s="32" t="n">
        <v>640.17</v>
      </c>
      <c r="R71" s="31" t="inlineStr">
        <is>
          <t>Near 52W High Breakout</t>
        </is>
      </c>
      <c r="S71" s="31" t="inlineStr">
        <is>
          <t>Nifty 50</t>
        </is>
      </c>
      <c r="T71" s="32" t="n">
        <v>-1.91</v>
      </c>
      <c r="U71" s="32" t="n">
        <v>60.03</v>
      </c>
      <c r="V71" s="32" t="n">
        <v>63.14</v>
      </c>
      <c r="W71" s="32" t="n">
        <v>32.1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19</t>
        </is>
      </c>
      <c r="CG71" s="31">
        <f>IF(CF71&gt;20,10,IF(CF71&gt;=10,5,2))</f>
        <v/>
      </c>
    </row>
    <row r="72">
      <c r="A72" s="31">
        <f>IF(B72=0,"",RANK(B72,$B$2:$B$98,0))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KSHINTL</t>
        </is>
      </c>
      <c r="D72" s="34" t="inlineStr">
        <is>
          <t>KSH International Ltd</t>
        </is>
      </c>
      <c r="E72" s="31" t="inlineStr">
        <is>
          <t>Industrials</t>
        </is>
      </c>
      <c r="F72" s="31" t="inlineStr">
        <is>
          <t>Electrical Equipments/HVDC</t>
        </is>
      </c>
      <c r="G72" s="31" t="inlineStr">
        <is>
          <t>midcap</t>
        </is>
      </c>
      <c r="H72" s="32" t="n">
        <v>6772.18</v>
      </c>
      <c r="I72" s="32" t="n">
        <v>999.5</v>
      </c>
      <c r="J72" s="32" t="n">
        <v>0.19</v>
      </c>
      <c r="K72" s="32" t="n">
        <v>0</v>
      </c>
      <c r="L72" s="31" t="n">
        <v>88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83.11</v>
      </c>
      <c r="P72" s="32" t="n">
        <v>46.75</v>
      </c>
      <c r="Q72" s="32" t="n">
        <v>743.48</v>
      </c>
      <c r="R72" s="31" t="inlineStr">
        <is>
          <t>Volume Spike &amp; Near 52W High Breakout</t>
        </is>
      </c>
      <c r="S72" s="31" t="inlineStr">
        <is>
          <t>Nifty 50</t>
        </is>
      </c>
      <c r="T72" s="32" t="n">
        <v>-6.32</v>
      </c>
      <c r="U72" s="32" t="n">
        <v>191.63</v>
      </c>
      <c r="V72" s="32" t="n">
        <v>211.31</v>
      </c>
      <c r="W72" s="32" t="n">
        <v>30.24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Negative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19</t>
        </is>
      </c>
      <c r="CG72" s="31">
        <f>IF(CF72&gt;20,10,IF(CF72&gt;=10,5,2))</f>
        <v/>
      </c>
    </row>
    <row r="73">
      <c r="A73" s="31">
        <f>IF(B73=0,"",RANK(B73,$B$2:$B$98,0))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AARTIPHARM</t>
        </is>
      </c>
      <c r="D73" s="34" t="inlineStr">
        <is>
          <t>Aarti Pharmalabs Ltd</t>
        </is>
      </c>
      <c r="E73" s="31" t="inlineStr">
        <is>
          <t>healthcare</t>
        </is>
      </c>
      <c r="F73" s="31" t="inlineStr">
        <is>
          <t>Pharma - API</t>
        </is>
      </c>
      <c r="G73" s="31" t="inlineStr">
        <is>
          <t>midcap</t>
        </is>
      </c>
      <c r="H73" s="32" t="n">
        <v>7943.55</v>
      </c>
      <c r="I73" s="32" t="n">
        <v>876</v>
      </c>
      <c r="J73" s="32" t="n">
        <v>-1.43</v>
      </c>
      <c r="K73" s="32" t="n">
        <v>0</v>
      </c>
      <c r="L73" s="31" t="n">
        <v>39</v>
      </c>
      <c r="M73" s="31" t="inlineStr">
        <is>
          <t>Underperforming</t>
        </is>
      </c>
      <c r="N73" s="32">
        <f>IF(M73="Underperforming",-5,IF(L73&gt;=95,15,IF(L73&gt;=90,10,IF(L73&gt;=80,5,0))))</f>
        <v/>
      </c>
      <c r="O73" s="32" t="n">
        <v>67.87</v>
      </c>
      <c r="P73" s="32" t="n">
        <v>10.33</v>
      </c>
      <c r="Q73" s="32" t="n">
        <v>668.28</v>
      </c>
      <c r="R73" s="31" t="inlineStr">
        <is>
          <t>Volume Spike / Accumulation</t>
        </is>
      </c>
      <c r="S73" s="31" t="inlineStr">
        <is>
          <t>Nifty Pharma</t>
        </is>
      </c>
      <c r="T73" s="32" t="n">
        <v>20.47</v>
      </c>
      <c r="U73" s="32" t="n">
        <v>15.88</v>
      </c>
      <c r="V73" s="32" t="n">
        <v>-3.81</v>
      </c>
      <c r="W73" s="32" t="n">
        <v>7.98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23</t>
        </is>
      </c>
      <c r="CG73" s="31">
        <f>IF(CF73&gt;20,10,IF(CF73&gt;=10,5,2))</f>
        <v/>
      </c>
    </row>
    <row r="74">
      <c r="A74" s="31">
        <f>IF(B74=0,"",RANK(B74,$B$2:$B$98,0))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SBCL</t>
        </is>
      </c>
      <c r="D74" s="31" t="inlineStr">
        <is>
          <t>Shivalik Bimetal Controls Ltd</t>
        </is>
      </c>
      <c r="E74" s="31" t="inlineStr">
        <is>
          <t>metals &amp; mining</t>
        </is>
      </c>
      <c r="F74" s="31" t="inlineStr">
        <is>
          <t>Shunt Resistors</t>
        </is>
      </c>
      <c r="G74" s="31" t="inlineStr">
        <is>
          <t>midcap</t>
        </is>
      </c>
      <c r="H74" s="32" t="n">
        <v>5821.19</v>
      </c>
      <c r="I74" s="32" t="n">
        <v>1010.55</v>
      </c>
      <c r="J74" s="32" t="n">
        <v>-1.57</v>
      </c>
      <c r="K74" s="32" t="n">
        <v>0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79.68000000000001</v>
      </c>
      <c r="P74" s="32" t="n">
        <v>46.52</v>
      </c>
      <c r="Q74" s="32" t="n">
        <v>765.87</v>
      </c>
      <c r="R74" s="31" t="inlineStr">
        <is>
          <t>Volume Spike &amp; Near 52W High Breakout</t>
        </is>
      </c>
      <c r="S74" s="31" t="inlineStr">
        <is>
          <t>Nifty Metal</t>
        </is>
      </c>
      <c r="T74" s="32" t="inlineStr"/>
      <c r="U74" s="32" t="inlineStr"/>
      <c r="V74" s="32" t="inlineStr"/>
      <c r="W74" s="32" t="inlineStr"/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Monopoly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Shallow Cyclical (2 to 3 Years Growth)</t>
        </is>
      </c>
      <c r="AG74" s="31">
        <f>IF(AF74="Structural (10 Years Consistency)",10,IF(AF74="Shallow Cyclical (2 to 3 years growth)",5,0))</f>
        <v/>
      </c>
      <c r="AH74" s="31" t="inlineStr">
        <is>
          <t>Yes due to Product Mix change or Operating Leverage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Fully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Yes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Between 1.5 to 2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20</t>
        </is>
      </c>
      <c r="CG74" s="31">
        <f>IF(CF74&gt;20,10,IF(CF74&gt;=10,5,2))</f>
        <v/>
      </c>
    </row>
    <row r="75">
      <c r="A75" s="31">
        <f>IF(B75=0,"",RANK(B75,$B$2:$B$98,0))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COFORGE</t>
        </is>
      </c>
      <c r="D75" s="31" t="inlineStr">
        <is>
          <t>Coforge Ltd</t>
        </is>
      </c>
      <c r="E75" s="31" t="inlineStr">
        <is>
          <t>i.t</t>
        </is>
      </c>
      <c r="F75" s="31" t="inlineStr">
        <is>
          <t>IT - Software</t>
        </is>
      </c>
      <c r="G75" s="31" t="inlineStr">
        <is>
          <t>largecap</t>
        </is>
      </c>
      <c r="H75" s="32" t="n">
        <v>81010.16</v>
      </c>
      <c r="I75" s="32" t="n">
        <v>1829</v>
      </c>
      <c r="J75" s="32" t="n">
        <v>1.53</v>
      </c>
      <c r="K75" s="32" t="n">
        <v>0</v>
      </c>
      <c r="L75" s="31" t="n">
        <v>60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68.53</v>
      </c>
      <c r="P75" s="32" t="n">
        <v>11.26</v>
      </c>
      <c r="Q75" s="32" t="n">
        <v>1452.91</v>
      </c>
      <c r="R75" s="31" t="inlineStr">
        <is>
          <t>Earnings / Momentum Support</t>
        </is>
      </c>
      <c r="S75" s="31" t="inlineStr">
        <is>
          <t>Nifty IT</t>
        </is>
      </c>
      <c r="T75" s="32" t="n">
        <v>-9.699999999999999</v>
      </c>
      <c r="U75" s="32" t="n">
        <v>12.42</v>
      </c>
      <c r="V75" s="32" t="n">
        <v>24.5</v>
      </c>
      <c r="W75" s="32" t="n">
        <v>13.3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20</t>
        </is>
      </c>
      <c r="CG75" s="31">
        <f>IF(CF75&gt;20,10,IF(CF75&gt;=10,5,2))</f>
        <v/>
      </c>
    </row>
    <row r="76">
      <c r="A76" s="31">
        <f>IF(B76=0,"",RANK(B76,$B$2:$B$98,0))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SKYGOLD</t>
        </is>
      </c>
      <c r="D76" s="31" t="inlineStr">
        <is>
          <t>Sky Gold &amp; Diamonds Ltd</t>
        </is>
      </c>
      <c r="E76" s="31" t="inlineStr">
        <is>
          <t>consumer discretionary</t>
        </is>
      </c>
      <c r="F76" s="31" t="inlineStr">
        <is>
          <t>Diamond, Gems &amp; Jewellery</t>
        </is>
      </c>
      <c r="G76" s="31" t="inlineStr">
        <is>
          <t>midcap</t>
        </is>
      </c>
      <c r="H76" s="32" t="n">
        <v>11956.26</v>
      </c>
      <c r="I76" s="32" t="n">
        <v>772</v>
      </c>
      <c r="J76" s="32" t="n">
        <v>-7.33</v>
      </c>
      <c r="K76" s="32" t="n">
        <v>0</v>
      </c>
      <c r="L76" s="31" t="n">
        <v>93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80.16</v>
      </c>
      <c r="P76" s="32" t="n">
        <v>61.14</v>
      </c>
      <c r="Q76" s="32" t="n">
        <v>584.28</v>
      </c>
      <c r="R76" s="31" t="inlineStr">
        <is>
          <t>Volume Spike &amp; Near 52W High Breakout</t>
        </is>
      </c>
      <c r="S76" s="31" t="inlineStr">
        <is>
          <t>Nifty 50</t>
        </is>
      </c>
      <c r="T76" s="32" t="n">
        <v>-0.96</v>
      </c>
      <c r="U76" s="32" t="n">
        <v>183.34</v>
      </c>
      <c r="V76" s="32" t="n">
        <v>186.08</v>
      </c>
      <c r="W76" s="32" t="n">
        <v>40.21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Negative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31</t>
        </is>
      </c>
      <c r="CG76" s="31">
        <f>IF(CF76&gt;20,10,IF(CF76&gt;=10,5,2))</f>
        <v/>
      </c>
    </row>
    <row r="77">
      <c r="A77" s="31">
        <f>IF(B77=0,"",RANK(B77,$B$2:$B$98,0))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LUMAXTECH</t>
        </is>
      </c>
      <c r="D77" s="34" t="inlineStr">
        <is>
          <t>Lumax Auto Technologies Ltd</t>
        </is>
      </c>
      <c r="E77" s="31" t="inlineStr">
        <is>
          <t>auto</t>
        </is>
      </c>
      <c r="F77" s="31" t="inlineStr">
        <is>
          <t>Auto Ancillaries - Diversified</t>
        </is>
      </c>
      <c r="G77" s="31" t="inlineStr">
        <is>
          <t>midcap</t>
        </is>
      </c>
      <c r="H77" s="32" t="n">
        <v>13570.2</v>
      </c>
      <c r="I77" s="32" t="n">
        <v>1991</v>
      </c>
      <c r="J77" s="32" t="n">
        <v>-2.37</v>
      </c>
      <c r="K77" s="32" t="n">
        <v>0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66.69</v>
      </c>
      <c r="P77" s="32" t="n">
        <v>14.45</v>
      </c>
      <c r="Q77" s="32" t="n">
        <v>1477.88</v>
      </c>
      <c r="R77" s="31" t="inlineStr">
        <is>
          <t>Volume Spike &amp; Near 52W High Breakout</t>
        </is>
      </c>
      <c r="S77" s="31" t="inlineStr">
        <is>
          <t>Nifty Auto</t>
        </is>
      </c>
      <c r="T77" s="32" t="inlineStr"/>
      <c r="U77" s="32" t="inlineStr"/>
      <c r="V77" s="32" t="inlineStr"/>
      <c r="W77" s="32" t="inlineStr"/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25</t>
        </is>
      </c>
      <c r="CG77" s="31">
        <f>IF(CF77&gt;20,10,IF(CF77&gt;=10,5,2))</f>
        <v/>
      </c>
    </row>
    <row r="78">
      <c r="A78" s="31">
        <f>IF(B78=0,"",RANK(B78,$B$2:$B$98,0))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COMSYN</t>
        </is>
      </c>
      <c r="D78" s="31" t="inlineStr">
        <is>
          <t>Commercial Syn Bags Ltd</t>
        </is>
      </c>
      <c r="E78" s="31" t="inlineStr">
        <is>
          <t>industrials</t>
        </is>
      </c>
      <c r="F78" s="31" t="inlineStr">
        <is>
          <t>Packaging - Polysacks</t>
        </is>
      </c>
      <c r="G78" s="31" t="inlineStr">
        <is>
          <t>smallcap</t>
        </is>
      </c>
      <c r="H78" s="32" t="n">
        <v>1141.6</v>
      </c>
      <c r="I78" s="32" t="n">
        <v>283</v>
      </c>
      <c r="J78" s="32" t="n">
        <v>5.11</v>
      </c>
      <c r="K78" s="32" t="n">
        <v>0</v>
      </c>
      <c r="L78" s="31" t="n">
        <v>91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81.06</v>
      </c>
      <c r="P78" s="32" t="n">
        <v>59.58</v>
      </c>
      <c r="Q78" s="32" t="n">
        <v>211.86</v>
      </c>
      <c r="R78" s="31" t="inlineStr">
        <is>
          <t>Volume Spike &amp; Near 52W High Breakout</t>
        </is>
      </c>
      <c r="S78" s="31" t="inlineStr">
        <is>
          <t>Nifty 50</t>
        </is>
      </c>
      <c r="T78" s="32" t="n">
        <v>-0.96</v>
      </c>
      <c r="U78" s="32" t="n">
        <v>100.25</v>
      </c>
      <c r="V78" s="32" t="n">
        <v>102.18</v>
      </c>
      <c r="W78" s="32" t="n">
        <v>36.57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Between 0.7 to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22</t>
        </is>
      </c>
      <c r="CG78" s="31">
        <f>IF(CF78&gt;20,10,IF(CF78&gt;=10,5,2))</f>
        <v/>
      </c>
    </row>
    <row r="79">
      <c r="A79" s="31">
        <f>IF(B79=0,"",RANK(B79,$B$2:$B$98,0))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ASKAUTOLTD</t>
        </is>
      </c>
      <c r="D79" s="31" t="inlineStr">
        <is>
          <t>ASK Automotive Ltd</t>
        </is>
      </c>
      <c r="E79" s="31" t="inlineStr">
        <is>
          <t>auto</t>
        </is>
      </c>
      <c r="F79" s="31" t="inlineStr">
        <is>
          <t>Auto Ancillaries - 2 Wheelers</t>
        </is>
      </c>
      <c r="G79" s="31" t="inlineStr">
        <is>
          <t>midcap</t>
        </is>
      </c>
      <c r="H79" s="32" t="n">
        <v>12713.73</v>
      </c>
      <c r="I79" s="32" t="n">
        <v>644.9</v>
      </c>
      <c r="J79" s="32" t="n">
        <v>-0.97</v>
      </c>
      <c r="K79" s="32" t="n">
        <v>0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80.54000000000001</v>
      </c>
      <c r="P79" s="32" t="n">
        <v>19.56</v>
      </c>
      <c r="Q79" s="32" t="n">
        <v>527.3200000000001</v>
      </c>
      <c r="R79" s="31" t="inlineStr">
        <is>
          <t>Near 52W High Breakout</t>
        </is>
      </c>
      <c r="S79" s="31" t="inlineStr">
        <is>
          <t>Nifty Auto</t>
        </is>
      </c>
      <c r="T79" s="32" t="inlineStr"/>
      <c r="U79" s="32" t="inlineStr"/>
      <c r="V79" s="32" t="inlineStr"/>
      <c r="W79" s="32" t="inlineStr"/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21</t>
        </is>
      </c>
      <c r="CG79" s="31">
        <f>IF(CF79&gt;20,10,IF(CF79&gt;=10,5,2))</f>
        <v/>
      </c>
    </row>
    <row r="80">
      <c r="A80" s="31">
        <f>IF(B80=0,"",RANK(B80,$B$2:$B$98,0))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MAHLIFE</t>
        </is>
      </c>
      <c r="D80" s="31" t="inlineStr">
        <is>
          <t>Mahindra Lifespace Developers Ltd</t>
        </is>
      </c>
      <c r="E80" s="31" t="inlineStr">
        <is>
          <t>Real Estate</t>
        </is>
      </c>
      <c r="F80" s="31" t="inlineStr">
        <is>
          <t>Construction &amp; Contracting</t>
        </is>
      </c>
      <c r="G80" s="31" t="inlineStr">
        <is>
          <t>midcap</t>
        </is>
      </c>
      <c r="H80" s="32" t="n">
        <v>8214.889999999999</v>
      </c>
      <c r="I80" s="32" t="n">
        <v>385</v>
      </c>
      <c r="J80" s="32" t="n">
        <v>0.5600000000000001</v>
      </c>
      <c r="K80" s="32" t="n">
        <v>0</v>
      </c>
      <c r="L80" s="31" t="n">
        <v>30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59.24</v>
      </c>
      <c r="P80" s="32" t="n">
        <v>15.52</v>
      </c>
      <c r="Q80" s="32" t="n">
        <v>320.96</v>
      </c>
      <c r="R80" s="31" t="inlineStr">
        <is>
          <t>Earnings / Momentum Support</t>
        </is>
      </c>
      <c r="S80" s="31" t="inlineStr">
        <is>
          <t>Nifty Realty</t>
        </is>
      </c>
      <c r="T80" s="32" t="n">
        <v>-5.49</v>
      </c>
      <c r="U80" s="32" t="n">
        <v>4.7</v>
      </c>
      <c r="V80" s="32" t="n">
        <v>10.78</v>
      </c>
      <c r="W80" s="32" t="n">
        <v>5.9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20</t>
        </is>
      </c>
      <c r="CG80" s="31">
        <f>IF(CF80&gt;20,10,IF(CF80&gt;=10,5,2))</f>
        <v/>
      </c>
    </row>
    <row r="81">
      <c r="A81" s="31">
        <f>IF(B81=0,"",RANK(B81,$B$2:$B$98,0))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KAPSTON</t>
        </is>
      </c>
      <c r="D81" s="31" t="inlineStr">
        <is>
          <t>Kapston Services Ltd</t>
        </is>
      </c>
      <c r="E81" s="31" t="inlineStr">
        <is>
          <t>miscellaneous</t>
        </is>
      </c>
      <c r="F81" s="31" t="inlineStr">
        <is>
          <t>Services - Others</t>
        </is>
      </c>
      <c r="G81" s="31" t="inlineStr">
        <is>
          <t>smallcap</t>
        </is>
      </c>
      <c r="H81" s="32" t="n">
        <v>1783.02</v>
      </c>
      <c r="I81" s="32" t="n">
        <v>585.9</v>
      </c>
      <c r="J81" s="32" t="n">
        <v>1.33</v>
      </c>
      <c r="K81" s="32" t="n">
        <v>0</v>
      </c>
      <c r="L81" s="31" t="n">
        <v>93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84.17</v>
      </c>
      <c r="P81" s="32" t="n">
        <v>30.19</v>
      </c>
      <c r="Q81" s="32" t="n">
        <v>460.64</v>
      </c>
      <c r="R81" s="31" t="inlineStr">
        <is>
          <t>Volume Spike &amp; Near 52W High Breakout</t>
        </is>
      </c>
      <c r="S81" s="31" t="inlineStr">
        <is>
          <t>Nifty 50</t>
        </is>
      </c>
      <c r="T81" s="32" t="n">
        <v>-0.96</v>
      </c>
      <c r="U81" s="32" t="n">
        <v>138.94</v>
      </c>
      <c r="V81" s="32" t="n">
        <v>141.25</v>
      </c>
      <c r="W81" s="32" t="n">
        <v>38.83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Between 1.5 to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IF(B82=0,"",RANK(B82,$B$2:$B$98,0))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BHEL</t>
        </is>
      </c>
      <c r="D82" s="31" t="inlineStr">
        <is>
          <t>Bharat Heavy Electricals Ltd</t>
        </is>
      </c>
      <c r="E82" s="31" t="inlineStr">
        <is>
          <t>industrials</t>
        </is>
      </c>
      <c r="F82" s="31" t="inlineStr">
        <is>
          <t>Capital Goods - Engineering Heavy</t>
        </is>
      </c>
      <c r="G82" s="31" t="inlineStr">
        <is>
          <t>largecap</t>
        </is>
      </c>
      <c r="H82" s="32" t="n">
        <v>146246.66</v>
      </c>
      <c r="I82" s="32" t="n">
        <v>420</v>
      </c>
      <c r="J82" s="32" t="n">
        <v>0</v>
      </c>
      <c r="K82" s="32" t="n">
        <v>0</v>
      </c>
      <c r="L82" s="31" t="n">
        <v>68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65.37</v>
      </c>
      <c r="P82" s="32" t="n">
        <v>41.88</v>
      </c>
      <c r="Q82" s="32" t="n">
        <v>339.17</v>
      </c>
      <c r="R82" s="31" t="inlineStr">
        <is>
          <t>Near 52W High Breakout</t>
        </is>
      </c>
      <c r="S82" s="31" t="inlineStr">
        <is>
          <t>Nifty 50</t>
        </is>
      </c>
      <c r="T82" s="32" t="n">
        <v>-0.96</v>
      </c>
      <c r="U82" s="32" t="n">
        <v>90.37</v>
      </c>
      <c r="V82" s="32" t="n">
        <v>92.20999999999999</v>
      </c>
      <c r="W82" s="32" t="n">
        <v>17.07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IF(B83=0,"",RANK(B83,$B$2:$B$98,0))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EMIL</t>
        </is>
      </c>
      <c r="D83" s="31" t="inlineStr">
        <is>
          <t>Electronics Mart India Ltd</t>
        </is>
      </c>
      <c r="E83" s="31" t="inlineStr">
        <is>
          <t>consumer discretionary</t>
        </is>
      </c>
      <c r="F83" s="31" t="inlineStr">
        <is>
          <t>Retail - Electronics</t>
        </is>
      </c>
      <c r="G83" s="31" t="inlineStr">
        <is>
          <t>midcap</t>
        </is>
      </c>
      <c r="H83" s="32" t="n">
        <v>7398.72</v>
      </c>
      <c r="I83" s="32" t="n">
        <v>192.3</v>
      </c>
      <c r="J83" s="32" t="n">
        <v>-0.68</v>
      </c>
      <c r="K83" s="32" t="n">
        <v>0</v>
      </c>
      <c r="L83" s="31" t="n">
        <v>81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77.86</v>
      </c>
      <c r="P83" s="32" t="n">
        <v>26.86</v>
      </c>
      <c r="Q83" s="32" t="n">
        <v>146.51</v>
      </c>
      <c r="R83" s="31" t="inlineStr">
        <is>
          <t>Volume Spike &amp; Near 52W High Breakout</t>
        </is>
      </c>
      <c r="S83" s="31" t="inlineStr">
        <is>
          <t>Nifty 50</t>
        </is>
      </c>
      <c r="T83" s="32" t="n">
        <v>-0.96</v>
      </c>
      <c r="U83" s="32" t="n">
        <v>60.86</v>
      </c>
      <c r="V83" s="32" t="n">
        <v>62.41</v>
      </c>
      <c r="W83" s="32" t="n">
        <v>25.1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B2C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31</t>
        </is>
      </c>
      <c r="CG83" s="31">
        <f>IF(CF83&gt;20,10,IF(CF83&gt;=10,5,2))</f>
        <v/>
      </c>
    </row>
    <row r="84">
      <c r="A84" s="31">
        <f>IF(B84=0,"",RANK(B84,$B$2:$B$98,0))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PAYTM</t>
        </is>
      </c>
      <c r="D84" s="31" t="inlineStr">
        <is>
          <t>One 97 Communications Ltd</t>
        </is>
      </c>
      <c r="E84" s="31" t="inlineStr">
        <is>
          <t>i.t</t>
        </is>
      </c>
      <c r="F84" s="31" t="inlineStr">
        <is>
          <t>E-Commerce - Platform - Utility</t>
        </is>
      </c>
      <c r="G84" s="31" t="inlineStr">
        <is>
          <t>largecap</t>
        </is>
      </c>
      <c r="H84" s="32" t="n">
        <v>105754.91</v>
      </c>
      <c r="I84" s="32" t="n">
        <v>1649.5</v>
      </c>
      <c r="J84" s="32" t="n">
        <v>2.45</v>
      </c>
      <c r="K84" s="32" t="n">
        <v>0</v>
      </c>
      <c r="L84" s="31" t="n">
        <v>71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74.86</v>
      </c>
      <c r="P84" s="32" t="n">
        <v>18.56</v>
      </c>
      <c r="Q84" s="32" t="n">
        <v>1325.11</v>
      </c>
      <c r="R84" s="31" t="inlineStr">
        <is>
          <t>Volume Spike &amp; Near 52W High Breakout</t>
        </is>
      </c>
      <c r="S84" s="31" t="inlineStr">
        <is>
          <t>Nifty IT</t>
        </is>
      </c>
      <c r="T84" s="32" t="n">
        <v>-9.699999999999999</v>
      </c>
      <c r="U84" s="32" t="n">
        <v>43.27</v>
      </c>
      <c r="V84" s="32" t="n">
        <v>58.67</v>
      </c>
      <c r="W84" s="32" t="n">
        <v>18.32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22</t>
        </is>
      </c>
      <c r="CG84" s="31">
        <f>IF(CF84&gt;20,10,IF(CF84&gt;=10,5,2))</f>
        <v/>
      </c>
    </row>
    <row r="85">
      <c r="A85" s="31">
        <f>IF(B85=0,"",RANK(B85,$B$2:$B$98,0))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AURUM</t>
        </is>
      </c>
      <c r="D85" s="31" t="inlineStr">
        <is>
          <t>Aurum Proptech Ltd</t>
        </is>
      </c>
      <c r="E85" s="31" t="inlineStr">
        <is>
          <t>Real Estate</t>
        </is>
      </c>
      <c r="F85" s="31" t="inlineStr">
        <is>
          <t>IT Enabled Services</t>
        </is>
      </c>
      <c r="G85" s="31" t="inlineStr">
        <is>
          <t>smallcap</t>
        </is>
      </c>
      <c r="H85" s="32" t="n">
        <v>1628.87</v>
      </c>
      <c r="I85" s="32" t="n">
        <v>226</v>
      </c>
      <c r="J85" s="32" t="n">
        <v>-0.02</v>
      </c>
      <c r="K85" s="32" t="n">
        <v>0</v>
      </c>
      <c r="L85" s="31" t="n">
        <v>41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62.43</v>
      </c>
      <c r="P85" s="32" t="n">
        <v>46.1</v>
      </c>
      <c r="Q85" s="32" t="n">
        <v>183.43</v>
      </c>
      <c r="R85" s="31" t="inlineStr">
        <is>
          <t>Earnings / Momentum Support</t>
        </is>
      </c>
      <c r="S85" s="31" t="inlineStr">
        <is>
          <t>Nifty Realty</t>
        </is>
      </c>
      <c r="T85" s="32" t="n">
        <v>-5.49</v>
      </c>
      <c r="U85" s="32" t="n">
        <v>14.99</v>
      </c>
      <c r="V85" s="32" t="n">
        <v>21.68</v>
      </c>
      <c r="W85" s="32" t="n">
        <v>8.4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19</t>
        </is>
      </c>
      <c r="CG85" s="31">
        <f>IF(CF85&gt;20,10,IF(CF85&gt;=10,5,2))</f>
        <v/>
      </c>
    </row>
    <row r="86">
      <c r="A86" s="31">
        <f>IF(B86=0,"",RANK(B86,$B$2:$B$98,0))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KOLTEPATIL</t>
        </is>
      </c>
      <c r="D86" s="31" t="inlineStr">
        <is>
          <t>Kolte Patil Developers Ltd</t>
        </is>
      </c>
      <c r="E86" s="31" t="inlineStr">
        <is>
          <t>realty</t>
        </is>
      </c>
      <c r="F86" s="31" t="inlineStr">
        <is>
          <t>Realty - Construction &amp; Contracting</t>
        </is>
      </c>
      <c r="G86" s="31" t="inlineStr">
        <is>
          <t>smallcap</t>
        </is>
      </c>
      <c r="H86" s="32" t="n">
        <v>4336.46</v>
      </c>
      <c r="I86" s="32" t="n">
        <v>489</v>
      </c>
      <c r="J86" s="32" t="n">
        <v>-0.75</v>
      </c>
      <c r="K86" s="32" t="n">
        <v>0</v>
      </c>
      <c r="L86" s="31" t="n">
        <v>45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73.87</v>
      </c>
      <c r="P86" s="32" t="n">
        <v>16.25</v>
      </c>
      <c r="Q86" s="32" t="n">
        <v>382.01</v>
      </c>
      <c r="R86" s="31" t="inlineStr">
        <is>
          <t>Volume Spike &amp; Near 52W High Breakout</t>
        </is>
      </c>
      <c r="S86" s="31" t="inlineStr">
        <is>
          <t>Nifty Realty</t>
        </is>
      </c>
      <c r="T86" s="32" t="n">
        <v>-5.49</v>
      </c>
      <c r="U86" s="32" t="n">
        <v>10.51</v>
      </c>
      <c r="V86" s="32" t="n">
        <v>16.94</v>
      </c>
      <c r="W86" s="32" t="n">
        <v>9.25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0 to 20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26</t>
        </is>
      </c>
      <c r="CG86" s="31">
        <f>IF(CF86&gt;20,10,IF(CF86&gt;=10,5,2))</f>
        <v/>
      </c>
    </row>
    <row r="87">
      <c r="A87" s="31">
        <f>IF(B87=0,"",RANK(B87,$B$2:$B$98,0))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NAVINFLUOR</t>
        </is>
      </c>
      <c r="D87" s="31" t="inlineStr">
        <is>
          <t>Navin Fluorine International Ltd</t>
        </is>
      </c>
      <c r="E87" s="31" t="inlineStr">
        <is>
          <t>chemicals</t>
        </is>
      </c>
      <c r="F87" s="31" t="inlineStr">
        <is>
          <t>Chemicals - Flourine</t>
        </is>
      </c>
      <c r="G87" s="31" t="inlineStr">
        <is>
          <t>largecap</t>
        </is>
      </c>
      <c r="H87" s="32" t="n">
        <v>42553.62</v>
      </c>
      <c r="I87" s="32" t="n">
        <v>8294</v>
      </c>
      <c r="J87" s="32" t="n">
        <v>-0.75</v>
      </c>
      <c r="K87" s="32" t="n">
        <v>0</v>
      </c>
      <c r="L87" s="31" t="n">
        <v>63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76.72</v>
      </c>
      <c r="P87" s="32" t="n">
        <v>55.5</v>
      </c>
      <c r="Q87" s="32" t="n">
        <v>6855.01</v>
      </c>
      <c r="R87" s="31" t="inlineStr">
        <is>
          <t>Near 52W High Breakout</t>
        </is>
      </c>
      <c r="S87" s="31" t="inlineStr">
        <is>
          <t>Nifty 50</t>
        </is>
      </c>
      <c r="T87" s="32" t="n">
        <v>-0.96</v>
      </c>
      <c r="U87" s="32" t="n">
        <v>66.31999999999999</v>
      </c>
      <c r="V87" s="32" t="n">
        <v>67.93000000000001</v>
      </c>
      <c r="W87" s="32" t="n">
        <v>14.72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Shallow Cyclical (2 to 3 Years Growth)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Between 50% to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20</t>
        </is>
      </c>
      <c r="CG87" s="31">
        <f>IF(CF87&gt;20,10,IF(CF87&gt;=10,5,2))</f>
        <v/>
      </c>
    </row>
    <row r="88">
      <c r="A88" s="31">
        <f>IF(B88=0,"",RANK(B88,$B$2:$B$98,0))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RBA</t>
        </is>
      </c>
      <c r="D88" s="31" t="inlineStr">
        <is>
          <t>Restaurant Brands Asia Ltd</t>
        </is>
      </c>
      <c r="E88" s="31" t="inlineStr">
        <is>
          <t>consumer discretionary</t>
        </is>
      </c>
      <c r="F88" s="31" t="inlineStr">
        <is>
          <t>Quick Service Restaurant - QSR</t>
        </is>
      </c>
      <c r="G88" s="31" t="inlineStr">
        <is>
          <t>midcap</t>
        </is>
      </c>
      <c r="H88" s="32" t="n">
        <v>6984.1</v>
      </c>
      <c r="I88" s="32" t="n">
        <v>98.13</v>
      </c>
      <c r="J88" s="32" t="n">
        <v>4.59</v>
      </c>
      <c r="K88" s="32" t="n">
        <v>0</v>
      </c>
      <c r="L88" s="31" t="n">
        <v>65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75.03</v>
      </c>
      <c r="P88" s="32" t="n">
        <v>28.38</v>
      </c>
      <c r="Q88" s="32" t="n">
        <v>77.92</v>
      </c>
      <c r="R88" s="31" t="inlineStr">
        <is>
          <t>Near 52W High Breakout</t>
        </is>
      </c>
      <c r="S88" s="31" t="inlineStr">
        <is>
          <t>Nifty 50</t>
        </is>
      </c>
      <c r="T88" s="32" t="n">
        <v>-0.96</v>
      </c>
      <c r="U88" s="32" t="n">
        <v>24.83</v>
      </c>
      <c r="V88" s="32" t="n">
        <v>26.03</v>
      </c>
      <c r="W88" s="32" t="n">
        <v>15.55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More than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19</t>
        </is>
      </c>
      <c r="CG88" s="31">
        <f>IF(CF88&gt;20,10,IF(CF88&gt;=10,5,2))</f>
        <v/>
      </c>
    </row>
    <row r="89">
      <c r="A89" s="31">
        <f>IF(B89=0,"",RANK(B89,$B$2:$B$98,0))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SOTL</t>
        </is>
      </c>
      <c r="D89" s="31" t="inlineStr">
        <is>
          <t>Savita Oil Technologies Ltd</t>
        </is>
      </c>
      <c r="E89" s="31" t="inlineStr">
        <is>
          <t>energy</t>
        </is>
      </c>
      <c r="F89" s="31" t="inlineStr">
        <is>
          <t>Petrochem - Others</t>
        </is>
      </c>
      <c r="G89" s="31" t="inlineStr">
        <is>
          <t>smallcap</t>
        </is>
      </c>
      <c r="H89" s="32" t="n">
        <v>4668.96</v>
      </c>
      <c r="I89" s="32" t="n">
        <v>681</v>
      </c>
      <c r="J89" s="32" t="n">
        <v>-2.14</v>
      </c>
      <c r="K89" s="32" t="n">
        <v>0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64.08</v>
      </c>
      <c r="P89" s="32" t="n">
        <v>50.07</v>
      </c>
      <c r="Q89" s="32" t="n">
        <v>546.38</v>
      </c>
      <c r="R89" s="31" t="inlineStr">
        <is>
          <t>Earnings / Momentum Support</t>
        </is>
      </c>
      <c r="S89" s="31" t="inlineStr">
        <is>
          <t>Nifty Energy</t>
        </is>
      </c>
      <c r="T89" s="32" t="inlineStr"/>
      <c r="U89" s="32" t="inlineStr"/>
      <c r="V89" s="32" t="inlineStr"/>
      <c r="W89" s="32" t="inlineStr"/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19</t>
        </is>
      </c>
      <c r="CG89" s="31">
        <f>IF(CF89&gt;20,10,IF(CF89&gt;=10,5,2))</f>
        <v/>
      </c>
    </row>
    <row r="90">
      <c r="A90" s="31">
        <f>IF(B90=0,"",RANK(B90,$B$2:$B$98,0))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LLOYDSME</t>
        </is>
      </c>
      <c r="D90" s="31" t="inlineStr">
        <is>
          <t>Lloyds Metals &amp; Energy Ltd</t>
        </is>
      </c>
      <c r="E90" s="31" t="inlineStr">
        <is>
          <t>Basic Materials</t>
        </is>
      </c>
      <c r="F90" s="31" t="inlineStr">
        <is>
          <t>Mining/Minerals - Iron Ore</t>
        </is>
      </c>
      <c r="G90" s="31" t="inlineStr">
        <is>
          <t>largecap</t>
        </is>
      </c>
      <c r="H90" s="32" t="n">
        <v>106952.32</v>
      </c>
      <c r="I90" s="32" t="n">
        <v>1900</v>
      </c>
      <c r="J90" s="32" t="n">
        <v>0.34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62</v>
      </c>
      <c r="P90" s="32" t="n">
        <v>42.68</v>
      </c>
      <c r="Q90" s="32" t="n">
        <v>1730.5</v>
      </c>
      <c r="R90" s="31" t="inlineStr">
        <is>
          <t>Volume Spike / Accumulation</t>
        </is>
      </c>
      <c r="S90" s="31" t="inlineStr">
        <is>
          <t>Nifty Metal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More than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19</t>
        </is>
      </c>
      <c r="CG90" s="31">
        <f>IF(CF90&gt;20,10,IF(CF90&gt;=10,5,2))</f>
        <v/>
      </c>
    </row>
    <row r="91">
      <c r="A91" s="31">
        <f>IF(B91=0,"",RANK(B91,$B$2:$B$98,0))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PRICOLLTD</t>
        </is>
      </c>
      <c r="D91" s="31" t="inlineStr">
        <is>
          <t>Pricol Ltd</t>
        </is>
      </c>
      <c r="E91" s="31" t="inlineStr">
        <is>
          <t>auto</t>
        </is>
      </c>
      <c r="F91" s="31" t="inlineStr">
        <is>
          <t>Auto Ancillaries - 2 Wheelers</t>
        </is>
      </c>
      <c r="G91" s="31" t="inlineStr">
        <is>
          <t>midcap</t>
        </is>
      </c>
      <c r="H91" s="32" t="n">
        <v>9311.75</v>
      </c>
      <c r="I91" s="32" t="n">
        <v>764</v>
      </c>
      <c r="J91" s="32" t="n">
        <v>-2.46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73.38</v>
      </c>
      <c r="P91" s="32" t="n">
        <v>25.97</v>
      </c>
      <c r="Q91" s="32" t="n">
        <v>612.65</v>
      </c>
      <c r="R91" s="31" t="inlineStr">
        <is>
          <t>Near 52W High Breakout</t>
        </is>
      </c>
      <c r="S91" s="31" t="inlineStr">
        <is>
          <t>Nifty Auto</t>
        </is>
      </c>
      <c r="T91" s="32" t="inlineStr"/>
      <c r="U91" s="32" t="inlineStr"/>
      <c r="V91" s="32" t="inlineStr"/>
      <c r="W91" s="32" t="inlineStr"/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Shallow Cyclical (2 to 3 Years Growth)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Fully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Allocated capital in Non-core Areas</t>
        </is>
      </c>
      <c r="AU91" s="31">
        <f>IF(AT91="Good",10,0)</f>
        <v/>
      </c>
      <c r="AV91" s="31" t="inlineStr">
        <is>
          <t>Yes only for next 1 to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Between 12 to 20%</t>
        </is>
      </c>
      <c r="BO91" s="31">
        <f>IF(BN91="More than 20%",10,IF(BN91="Between 12 to 20%",5,IF(BN91="Less than 12%",0,0)))</f>
        <v/>
      </c>
      <c r="BP91" s="31" t="inlineStr">
        <is>
          <t>Yes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Between 50% to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22</t>
        </is>
      </c>
      <c r="CG91" s="31">
        <f>IF(CF91&gt;20,10,IF(CF91&gt;=10,5,2))</f>
        <v/>
      </c>
    </row>
    <row r="92">
      <c r="A92" s="31">
        <f>IF(B92=0,"",RANK(B92,$B$2:$B$98,0))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3" t="inlineStr">
        <is>
          <t>VMARCIND</t>
        </is>
      </c>
      <c r="D92" s="33" t="inlineStr">
        <is>
          <t>V-Marc India Ltd</t>
        </is>
      </c>
      <c r="E92" s="31" t="inlineStr">
        <is>
          <t>unknown</t>
        </is>
      </c>
      <c r="F92" s="31" t="inlineStr">
        <is>
          <t>Cables - Power</t>
        </is>
      </c>
      <c r="G92" s="31" t="inlineStr">
        <is>
          <t>midcap</t>
        </is>
      </c>
      <c r="H92" s="32" t="n">
        <v>5055.82</v>
      </c>
      <c r="I92" s="32" t="n">
        <v>345.05</v>
      </c>
      <c r="J92" s="32" t="n">
        <v>-6.41</v>
      </c>
      <c r="K92" s="32" t="n">
        <v>0</v>
      </c>
      <c r="L92" s="31" t="n">
        <v>1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38.42</v>
      </c>
      <c r="P92" s="32" t="n">
        <v>44.5</v>
      </c>
      <c r="Q92" s="32" t="n">
        <v>1116.04</v>
      </c>
      <c r="R92" s="31" t="inlineStr">
        <is>
          <t>Volume Spike / Accumulation</t>
        </is>
      </c>
      <c r="S92" s="31" t="inlineStr">
        <is>
          <t>Nifty 50</t>
        </is>
      </c>
      <c r="T92" s="32" t="n">
        <v>-0.96</v>
      </c>
      <c r="U92" s="32" t="n">
        <v>-23.91</v>
      </c>
      <c r="V92" s="32" t="n">
        <v>-23.17</v>
      </c>
      <c r="W92" s="32" t="n">
        <v>-3.2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Below 45</t>
        </is>
      </c>
      <c r="BA92" s="31">
        <f>IF(AZ92="Between 50 to 75",10,IF(AZ92="Above 75",0,0))</f>
        <v/>
      </c>
      <c r="BB92" s="31" t="inlineStr">
        <is>
          <t>Stage 4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No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21</t>
        </is>
      </c>
      <c r="CG92" s="31">
        <f>IF(CF92&gt;20,10,IF(CF92&gt;=10,5,2))</f>
        <v/>
      </c>
    </row>
    <row r="93">
      <c r="A93" s="31">
        <f>IF(B93=0,"",RANK(B93,$B$2:$B$98,0))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DEEPINDS</t>
        </is>
      </c>
      <c r="D93" s="31" t="inlineStr">
        <is>
          <t>Deep Industries Ltd</t>
        </is>
      </c>
      <c r="E93" s="31" t="inlineStr">
        <is>
          <t>energy</t>
        </is>
      </c>
      <c r="F93" s="31" t="inlineStr">
        <is>
          <t>Oil Drilling &amp; Exploration</t>
        </is>
      </c>
      <c r="G93" s="31" t="inlineStr">
        <is>
          <t>smallcap</t>
        </is>
      </c>
      <c r="H93" s="32" t="n">
        <v>4249.6</v>
      </c>
      <c r="I93" s="32" t="n">
        <v>664</v>
      </c>
      <c r="J93" s="32" t="n">
        <v>-4.61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75.14</v>
      </c>
      <c r="P93" s="32" t="n">
        <v>19.5</v>
      </c>
      <c r="Q93" s="32" t="n">
        <v>516.4299999999999</v>
      </c>
      <c r="R93" s="31" t="inlineStr">
        <is>
          <t>Near 52W High Breakout</t>
        </is>
      </c>
      <c r="S93" s="31" t="inlineStr">
        <is>
          <t>Nifty Energy</t>
        </is>
      </c>
      <c r="T93" s="32" t="inlineStr"/>
      <c r="U93" s="32" t="inlineStr"/>
      <c r="V93" s="32" t="inlineStr"/>
      <c r="W93" s="32" t="inlineStr"/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20</t>
        </is>
      </c>
      <c r="CG93" s="31">
        <f>IF(CF93&gt;20,10,IF(CF93&gt;=10,5,2))</f>
        <v/>
      </c>
    </row>
    <row r="94">
      <c r="A94" s="31">
        <f>IF(B94=0,"",RANK(B94,$B$2:$B$98,0))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3" t="inlineStr">
        <is>
          <t>SILVERTUC</t>
        </is>
      </c>
      <c r="D94" s="33" t="inlineStr">
        <is>
          <t>Silver Touch Technologies Ltd</t>
        </is>
      </c>
      <c r="E94" s="31" t="inlineStr">
        <is>
          <t>i.t</t>
        </is>
      </c>
      <c r="F94" s="31" t="inlineStr">
        <is>
          <t>IT - Software</t>
        </is>
      </c>
      <c r="G94" s="31" t="inlineStr">
        <is>
          <t>smallcap</t>
        </is>
      </c>
      <c r="H94" s="32" t="n">
        <v>2650.33</v>
      </c>
      <c r="I94" s="32" t="n">
        <v>209</v>
      </c>
      <c r="J94" s="32" t="n">
        <v>1.52</v>
      </c>
      <c r="K94" s="32" t="n">
        <v>0</v>
      </c>
      <c r="L94" s="31" t="n">
        <v>22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45.61</v>
      </c>
      <c r="P94" s="32" t="n">
        <v>17.99</v>
      </c>
      <c r="Q94" s="32" t="n">
        <v>115.48</v>
      </c>
      <c r="R94" s="31" t="inlineStr">
        <is>
          <t>Earnings / Momentum Support</t>
        </is>
      </c>
      <c r="S94" s="31" t="inlineStr">
        <is>
          <t>Nifty IT</t>
        </is>
      </c>
      <c r="T94" s="32" t="n">
        <v>-9.699999999999999</v>
      </c>
      <c r="U94" s="32" t="n">
        <v>-71.55</v>
      </c>
      <c r="V94" s="32" t="n">
        <v>-68.48999999999999</v>
      </c>
      <c r="W94" s="32" t="n">
        <v>4.42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Below 45</t>
        </is>
      </c>
      <c r="BA94" s="31">
        <f>IF(AZ94="Between 50 to 75",10,IF(AZ94="Above 75",0,0))</f>
        <v/>
      </c>
      <c r="BB94" s="31" t="inlineStr">
        <is>
          <t>Stage 4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24</t>
        </is>
      </c>
      <c r="CG94" s="31">
        <f>IF(CF94&gt;20,10,IF(CF94&gt;=10,5,2))</f>
        <v/>
      </c>
    </row>
    <row r="95">
      <c r="A95" s="31">
        <f>IF(B95=0,"",RANK(B95,$B$2:$B$98,0))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GAEL</t>
        </is>
      </c>
      <c r="D95" s="31" t="inlineStr">
        <is>
          <t>Gujarat Ambuja Exports Ltd</t>
        </is>
      </c>
      <c r="E95" s="31" t="inlineStr">
        <is>
          <t>fmcg</t>
        </is>
      </c>
      <c r="F95" s="31" t="inlineStr">
        <is>
          <t>Agricultural Processing - Maize</t>
        </is>
      </c>
      <c r="G95" s="31" t="inlineStr">
        <is>
          <t>midcap</t>
        </is>
      </c>
      <c r="H95" s="32" t="n">
        <v>7820.33</v>
      </c>
      <c r="I95" s="32" t="n">
        <v>170.5</v>
      </c>
      <c r="J95" s="32" t="n">
        <v>3.11</v>
      </c>
      <c r="K95" s="32" t="n">
        <v>0</v>
      </c>
      <c r="L95" s="31" t="n">
        <v>59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62.14</v>
      </c>
      <c r="P95" s="32" t="n">
        <v>36.54</v>
      </c>
      <c r="Q95" s="32" t="n">
        <v>135.62</v>
      </c>
      <c r="R95" s="31" t="inlineStr">
        <is>
          <t>Near 52W High Breakout</t>
        </is>
      </c>
      <c r="S95" s="31" t="inlineStr">
        <is>
          <t>Nifty FMCG</t>
        </is>
      </c>
      <c r="T95" s="32" t="n">
        <v>-10.52</v>
      </c>
      <c r="U95" s="32" t="n">
        <v>61.71</v>
      </c>
      <c r="V95" s="32" t="n">
        <v>80.72</v>
      </c>
      <c r="W95" s="32" t="n">
        <v>13.11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Shallow Cyclical (2 to 3 Years Growth)</t>
        </is>
      </c>
      <c r="AG95" s="31">
        <f>IF(AF95="Structural (10 Years Consistency)",10,IF(AF95="Shallow Cyclical (2 to 3 years growth)",5,0))</f>
        <v/>
      </c>
      <c r="AH95" s="31" t="inlineStr">
        <is>
          <t>Yes due to Product Mix change or Operating Leverage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Allocated capital in Non-core Areas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Sideways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Overhead supply in last 2 years in last 2 years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More than 15%</t>
        </is>
      </c>
      <c r="CC95" s="31">
        <f>IF(CB95="More than 15%",-10,IF(CB95="Less than 15%",10,0))</f>
        <v/>
      </c>
      <c r="CD95" s="31" t="inlineStr">
        <is>
          <t>Yes Upto 10%</t>
        </is>
      </c>
      <c r="CE95" s="31">
        <f>IF(CD95="Yes, more than 10%",-10,IF(CD95="No",10,0))</f>
        <v/>
      </c>
      <c r="CF95" s="31" t="inlineStr">
        <is>
          <t>22</t>
        </is>
      </c>
      <c r="CG95" s="31">
        <f>IF(CF95&gt;20,10,IF(CF95&gt;=10,5,2))</f>
        <v/>
      </c>
    </row>
    <row r="96">
      <c r="A96" s="31">
        <f>IF(B96=0,"",RANK(B96,$B$2:$B$98,0))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4" t="inlineStr">
        <is>
          <t>GIPCL</t>
        </is>
      </c>
      <c r="D96" s="34" t="inlineStr">
        <is>
          <t>Gujarat Industries Power Co Ltd</t>
        </is>
      </c>
      <c r="E96" s="31" t="inlineStr">
        <is>
          <t>power &amp; utilities</t>
        </is>
      </c>
      <c r="F96" s="31" t="inlineStr">
        <is>
          <t>Power - Generation/Distribution</t>
        </is>
      </c>
      <c r="G96" s="31" t="inlineStr">
        <is>
          <t>smallcap</t>
        </is>
      </c>
      <c r="H96" s="32" t="n">
        <v>2725.59</v>
      </c>
      <c r="I96" s="32" t="n">
        <v>175.6</v>
      </c>
      <c r="J96" s="32" t="n">
        <v>0.89</v>
      </c>
      <c r="K96" s="32" t="n">
        <v>0</v>
      </c>
      <c r="L96" s="31" t="n">
        <v>21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62.1</v>
      </c>
      <c r="P96" s="32" t="n">
        <v>11.82</v>
      </c>
      <c r="Q96" s="32" t="n">
        <v>141.23</v>
      </c>
      <c r="R96" s="31" t="inlineStr">
        <is>
          <t>Volume Spike / Accumulation</t>
        </is>
      </c>
      <c r="S96" s="31" t="inlineStr">
        <is>
          <t>Nifty IT</t>
        </is>
      </c>
      <c r="T96" s="32" t="n">
        <v>-9.699999999999999</v>
      </c>
      <c r="U96" s="32" t="n">
        <v>-2.89</v>
      </c>
      <c r="V96" s="32" t="n">
        <v>7.54</v>
      </c>
      <c r="W96" s="32" t="n">
        <v>4.16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Oligopoly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Shallow Cyclical (2 to 3 Years Growth)</t>
        </is>
      </c>
      <c r="AG96" s="31">
        <f>IF(AF96="Structural (10 Years Consistency)",10,IF(AF96="Shallow Cyclical (2 to 3 years growth)",5,0))</f>
        <v/>
      </c>
      <c r="AH96" s="31" t="inlineStr">
        <is>
          <t>Yes due to Product Mix change or Operating Leverage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Volatile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Allocated capital in Non-core Areas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Sideways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Overhead supply in last 2 years in last 2 years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More than 15%</t>
        </is>
      </c>
      <c r="CC96" s="31">
        <f>IF(CB96="More than 15%",-10,IF(CB96="Less than 15%",10,0))</f>
        <v/>
      </c>
      <c r="CD96" s="31" t="inlineStr">
        <is>
          <t>Yes Upto 10%</t>
        </is>
      </c>
      <c r="CE96" s="31">
        <f>IF(CD96="Yes, more than 10%",-10,IF(CD96="No",10,0))</f>
        <v/>
      </c>
      <c r="CF96" s="31" t="inlineStr">
        <is>
          <t>19</t>
        </is>
      </c>
      <c r="CG96" s="31">
        <f>IF(CF96&gt;20,10,IF(CF96&gt;=10,5,2))</f>
        <v/>
      </c>
    </row>
    <row r="97">
      <c r="A97" s="31">
        <f>IF(B97=0,"",RANK(B97,$B$2:$B$98,0))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4" t="inlineStr">
        <is>
          <t>OBSCP</t>
        </is>
      </c>
      <c r="D97" s="34" t="inlineStr">
        <is>
          <t>OBSC Perfection Ltd</t>
        </is>
      </c>
      <c r="E97" s="31" t="inlineStr">
        <is>
          <t>unknown</t>
        </is>
      </c>
      <c r="F97" s="31" t="inlineStr">
        <is>
          <t>Auto Ancillaries - Diversified</t>
        </is>
      </c>
      <c r="G97" s="31" t="inlineStr">
        <is>
          <t>smallcap</t>
        </is>
      </c>
      <c r="H97" s="32" t="n">
        <v>2119.34</v>
      </c>
      <c r="I97" s="32" t="n">
        <v>820</v>
      </c>
      <c r="J97" s="32" t="n">
        <v>3.8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98">
      <c r="A98" s="31">
        <f>IF(B98=0,"",RANK(B98,$B$2:$B$98,0))</f>
        <v/>
      </c>
      <c r="B98" s="32">
        <f>SUM(N98,Y98,AA98,AC98,AE98,AG98,AI98,AK98,AM98,AO98,AQ98,AS98,AU98,AW98,AY98,BA98,BC98,BE98,BG98,BI98,BK98,BM98,BO98,BQ98,BS98,BU98,BW98,BY98,CA98,CC98,CE98,CG98)</f>
        <v/>
      </c>
      <c r="C98" s="34" t="inlineStr">
        <is>
          <t>MONOLITH</t>
        </is>
      </c>
      <c r="D98" s="34" t="inlineStr">
        <is>
          <t>Monolithisch India Ltd</t>
        </is>
      </c>
      <c r="E98" s="31" t="inlineStr">
        <is>
          <t>unknown</t>
        </is>
      </c>
      <c r="F98" s="31" t="inlineStr">
        <is>
          <t>Refractories</t>
        </is>
      </c>
      <c r="G98" s="31" t="inlineStr">
        <is>
          <t>smallcap</t>
        </is>
      </c>
      <c r="H98" s="32" t="n">
        <v>2099.7</v>
      </c>
      <c r="I98" s="32" t="n">
        <v>966</v>
      </c>
      <c r="J98" s="32" t="n">
        <v>3.23</v>
      </c>
      <c r="K98" s="32" t="n">
        <v>0</v>
      </c>
      <c r="L98" s="31" t="inlineStr"/>
      <c r="M98" s="31" t="inlineStr"/>
      <c r="N98" s="32">
        <f>IF(M98="Underperforming",-5,IF(L98&gt;=95,15,IF(L98&gt;=90,10,IF(L98&gt;=80,5,0))))</f>
        <v/>
      </c>
      <c r="O98" s="32" t="inlineStr"/>
      <c r="P98" s="32" t="inlineStr"/>
      <c r="Q98" s="32" t="inlineStr"/>
      <c r="R98" s="31" t="inlineStr"/>
      <c r="S98" s="31" t="inlineStr"/>
      <c r="T98" s="32" t="inlineStr"/>
      <c r="U98" s="32" t="inlineStr"/>
      <c r="V98" s="32" t="inlineStr"/>
      <c r="W98" s="32" t="inlineStr"/>
      <c r="X98" s="31" t="n"/>
      <c r="Y98" s="31">
        <f>IF(X98="Growing Industry",10,IF(X98="Cyclical in an Upturn",5,0))</f>
        <v/>
      </c>
      <c r="Z98" s="31" t="n"/>
      <c r="AA98" s="31">
        <f>IF(Z98="Monopoly",10,IF(Z98="Oligopoly",5,IF(Z98="Duopoly that cooperate",10,IF(Z98="Duopoly that compete",5,IF(Z98="Too many players with High ROCE",5,0)))))</f>
        <v/>
      </c>
      <c r="AB98" s="31" t="n"/>
      <c r="AC98" s="31">
        <f>IF(AB98="No",5,0)</f>
        <v/>
      </c>
      <c r="AD98" s="31" t="n"/>
      <c r="AE98" s="31">
        <f>IF(AD98="Tailwind",10,0)</f>
        <v/>
      </c>
      <c r="AF98" s="31" t="n"/>
      <c r="AG98" s="31">
        <f>IF(AF98="Structural (10 Years Consistency)",10,IF(AF98="Shallow Cyclical (2 to 3 years growth)",5,0))</f>
        <v/>
      </c>
      <c r="AH98" s="31" t="n"/>
      <c r="AI98" s="31">
        <f>IF(AH98="Yes due to Product Mix change or Operating Leverage",10,IF(AH98="Yes, these are peak margins",-5,IF(AH98="No",5,0)))</f>
        <v/>
      </c>
      <c r="AJ98" s="31" t="n"/>
      <c r="AK98" s="31">
        <f>IF(AJ98="Stable",10,0)</f>
        <v/>
      </c>
      <c r="AL98" s="31" t="n"/>
      <c r="AM98" s="31">
        <f>IF(AL98="Yes",10,0)</f>
        <v/>
      </c>
      <c r="AN98" s="31" t="n"/>
      <c r="AO98" s="31">
        <f>IF(AN98="B2C",10,IF(AN98="B2B",5,0))</f>
        <v/>
      </c>
      <c r="AP98" s="31" t="n"/>
      <c r="AQ98" s="31">
        <f>IF(AP98="Yes",10,0)</f>
        <v/>
      </c>
      <c r="AR98" s="31" t="n"/>
      <c r="AS98" s="31">
        <f>IF(AR98="Fully Annuity",10,IF(AR98="Higher Annuity, Lower One Time",5,IF(AR98="Higher One Time, Lower Annuity",3,0)))</f>
        <v/>
      </c>
      <c r="AT98" s="31" t="n"/>
      <c r="AU98" s="31">
        <f>IF(AT98="Good",10,0)</f>
        <v/>
      </c>
      <c r="AV98" s="31" t="n"/>
      <c r="AW98" s="31">
        <f>IF(AV98="Yes for more than 2 years",10,IF(AV98="Yes only for next 1 to 2 years",5,0))</f>
        <v/>
      </c>
      <c r="AX98" s="31" t="n"/>
      <c r="AY98" s="31">
        <f>IF(AX98="Above 40",20,IF(AX98="20 to 40",10,IF(AX98="0 to 20",-5,0)))</f>
        <v/>
      </c>
      <c r="AZ98" s="31" t="n"/>
      <c r="BA98" s="31">
        <f>IF(AZ98="Between 50 to 75",10,IF(AZ98="Above 75",0,0))</f>
        <v/>
      </c>
      <c r="BB98" s="31" t="n"/>
      <c r="BC98" s="31">
        <f>IF(BB98="Stage 2",20,IF(BB98="Stage 1",0,IF(BB98="Stage 3",5,IF(BB98="Stage 4",-5,0))))</f>
        <v/>
      </c>
      <c r="BD98" s="31" t="n"/>
      <c r="BE98" s="31">
        <f>IF(BD98="Positive Trend",20,IF(BD98="Negative Trend",-10,0))</f>
        <v/>
      </c>
      <c r="BF98" s="31" t="n"/>
      <c r="BG98" s="31">
        <f>IF(BF98="Uptrend",10,IF(BF98="Sideways",5,0))</f>
        <v/>
      </c>
      <c r="BH98" s="31" t="n"/>
      <c r="BI98" s="31">
        <f>IF(BH98="Uptrend",10,IF(BH98="Sideways",5,0))</f>
        <v/>
      </c>
      <c r="BJ98" s="31" t="n"/>
      <c r="BK98" s="31">
        <f>IF(BJ98="Overhead supply in last 2 years in last 2 years",-5,IF(BJ98="Close to 52 week high or retracement",5,IF(BJ98="Blue sky scenario",10,IF(BJ98="Long term Downtrend",-10,0))))</f>
        <v/>
      </c>
      <c r="BL98" s="31" t="n"/>
      <c r="BM98" s="31">
        <f>IF(BL98="Yes",10,0)</f>
        <v/>
      </c>
      <c r="BN98" s="31" t="n"/>
      <c r="BO98" s="31">
        <f>IF(BN98="More than 20%",10,IF(BN98="Between 12 to 20%",5,IF(BN98="Less than 12%",0,0)))</f>
        <v/>
      </c>
      <c r="BP98" s="31" t="n"/>
      <c r="BQ98" s="31">
        <f>IF(BP98="No",10,0)</f>
        <v/>
      </c>
      <c r="BR98" s="31" t="n"/>
      <c r="BS98" s="31">
        <f>IF(BR98="NO",5,0)</f>
        <v/>
      </c>
      <c r="BT98" s="31" t="n"/>
      <c r="BU98" s="31">
        <f>IF(BT98="Above 2",0,IF(BT98="Between 1.5 to 2",5,IF(BT98="Less than 1.5",10,0)))</f>
        <v/>
      </c>
      <c r="BV98" s="31" t="n"/>
      <c r="BW98" s="31">
        <f>IF(BV98="Above 70%",10,IF(BV98="Between 50% to 70%",5,IF(BV98="Less than 50%",0,IF(BV98="Negative",-10,IF(BV98="Less than 50% and Borrowings are increasing",-5,0)))))</f>
        <v/>
      </c>
      <c r="BX98" s="31" t="n"/>
      <c r="BY98" s="31">
        <f>IF(BX98="More than 1.2",-10,IF(BX98="Between 0.7 to 1.2",0,IF(BX98="Less than 0.7",10,0)))</f>
        <v/>
      </c>
      <c r="BZ98" s="31" t="n"/>
      <c r="CA98" s="31">
        <f>IF(BZ98="Yes",-10,0)</f>
        <v/>
      </c>
      <c r="CB98" s="31" t="n"/>
      <c r="CC98" s="31">
        <f>IF(CB98="More than 15%",-10,IF(CB98="Less than 15%",10,0))</f>
        <v/>
      </c>
      <c r="CD98" s="31" t="n"/>
      <c r="CE98" s="31">
        <f>IF(CD98="Yes, more than 10%",-10,IF(CD98="No",10,0))</f>
        <v/>
      </c>
      <c r="CF98" s="31" t="n"/>
      <c r="CG98" s="31">
        <f>IF(CF98&gt;20,10,IF(CF98&gt;=10,5,2))</f>
        <v/>
      </c>
    </row>
    <row r="102">
      <c r="A102" s="25" t="inlineStr">
        <is>
          <t>❌ REMOVED SCAN MATCH STOCKS (THIS WEEK)</t>
        </is>
      </c>
    </row>
    <row r="103">
      <c r="A103" s="35" t="inlineStr">
        <is>
          <t>Symbol</t>
        </is>
      </c>
      <c r="B103" s="35" t="inlineStr">
        <is>
          <t>Company Name</t>
        </is>
      </c>
      <c r="C103" s="35" t="inlineStr">
        <is>
          <t>Sector</t>
        </is>
      </c>
      <c r="D103" s="35" t="inlineStr">
        <is>
          <t>Date of Removal</t>
        </is>
      </c>
    </row>
    <row r="104">
      <c r="A104" s="36" t="inlineStr">
        <is>
          <t>ACCENTMIC</t>
        </is>
      </c>
      <c r="B104" s="37" t="inlineStr">
        <is>
          <t>ACCENTMIC</t>
        </is>
      </c>
      <c r="C104" s="37" t="inlineStr">
        <is>
          <t>unknown</t>
        </is>
      </c>
      <c r="D104" s="38" t="inlineStr">
        <is>
          <t>2026-08-13</t>
        </is>
      </c>
    </row>
    <row r="105">
      <c r="A105" s="36" t="inlineStr">
        <is>
          <t>AEGISLOG</t>
        </is>
      </c>
      <c r="B105" s="37" t="inlineStr">
        <is>
          <t>AEGISLOG</t>
        </is>
      </c>
      <c r="C105" s="37" t="inlineStr">
        <is>
          <t>unknown</t>
        </is>
      </c>
      <c r="D105" s="38" t="inlineStr">
        <is>
          <t>2026-08-12</t>
        </is>
      </c>
    </row>
    <row r="106">
      <c r="A106" s="36" t="inlineStr">
        <is>
          <t>AIMTRON</t>
        </is>
      </c>
      <c r="B106" s="37" t="inlineStr">
        <is>
          <t>AIMTRON</t>
        </is>
      </c>
      <c r="C106" s="37" t="inlineStr">
        <is>
          <t>unknown</t>
        </is>
      </c>
      <c r="D106" s="38" t="inlineStr">
        <is>
          <t>2026-08-11</t>
        </is>
      </c>
    </row>
    <row r="107">
      <c r="A107" s="36" t="inlineStr">
        <is>
          <t>APCOTEXIND</t>
        </is>
      </c>
      <c r="B107" s="37" t="inlineStr">
        <is>
          <t>APCOTEXIND</t>
        </is>
      </c>
      <c r="C107" s="37" t="inlineStr">
        <is>
          <t>unknown</t>
        </is>
      </c>
      <c r="D107" s="38" t="inlineStr">
        <is>
          <t>2026-08-12</t>
        </is>
      </c>
    </row>
    <row r="108">
      <c r="A108" s="36" t="inlineStr">
        <is>
          <t>ASMTEC</t>
        </is>
      </c>
      <c r="B108" s="37" t="inlineStr">
        <is>
          <t>ASMTEC</t>
        </is>
      </c>
      <c r="C108" s="37" t="inlineStr">
        <is>
          <t>unknown</t>
        </is>
      </c>
      <c r="D108" s="38" t="inlineStr">
        <is>
          <t>2026-08-13</t>
        </is>
      </c>
    </row>
    <row r="109">
      <c r="A109" s="36" t="inlineStr">
        <is>
          <t>ATHERENERG</t>
        </is>
      </c>
      <c r="B109" s="37" t="inlineStr">
        <is>
          <t>Ather Energy Limited</t>
        </is>
      </c>
      <c r="C109" s="37" t="inlineStr">
        <is>
          <t>Consumer Cyclical</t>
        </is>
      </c>
      <c r="D109" s="38" t="inlineStr">
        <is>
          <t>2026-08-11</t>
        </is>
      </c>
    </row>
    <row r="110">
      <c r="A110" s="36" t="inlineStr">
        <is>
          <t>ATULAUTO</t>
        </is>
      </c>
      <c r="B110" s="37" t="inlineStr">
        <is>
          <t>ATULAUTO</t>
        </is>
      </c>
      <c r="C110" s="37" t="inlineStr">
        <is>
          <t>unknown</t>
        </is>
      </c>
      <c r="D110" s="38" t="inlineStr">
        <is>
          <t>2026-08-11</t>
        </is>
      </c>
    </row>
    <row r="111">
      <c r="A111" s="36" t="inlineStr">
        <is>
          <t>BOSCH-HCIL</t>
        </is>
      </c>
      <c r="B111" s="37" t="inlineStr">
        <is>
          <t>Bosch Home Comfort India Limited</t>
        </is>
      </c>
      <c r="C111" s="37" t="inlineStr">
        <is>
          <t>Consumer Cyclical</t>
        </is>
      </c>
      <c r="D111" s="38" t="inlineStr">
        <is>
          <t>2026-08-13</t>
        </is>
      </c>
    </row>
    <row r="112">
      <c r="A112" s="36" t="inlineStr">
        <is>
          <t>CGCL</t>
        </is>
      </c>
      <c r="B112" s="37" t="inlineStr">
        <is>
          <t>CGCL</t>
        </is>
      </c>
      <c r="C112" s="37" t="inlineStr">
        <is>
          <t>unknown</t>
        </is>
      </c>
      <c r="D112" s="38" t="inlineStr">
        <is>
          <t>2026-08-11</t>
        </is>
      </c>
    </row>
    <row r="113">
      <c r="A113" s="36" t="inlineStr">
        <is>
          <t>CRAFTSMAN</t>
        </is>
      </c>
      <c r="B113" s="37" t="inlineStr">
        <is>
          <t>Craftsman Automation Limited</t>
        </is>
      </c>
      <c r="C113" s="37" t="inlineStr">
        <is>
          <t>Consumer Cyclical</t>
        </is>
      </c>
      <c r="D113" s="38" t="inlineStr">
        <is>
          <t>2026-08-12</t>
        </is>
      </c>
    </row>
    <row r="114">
      <c r="A114" s="36" t="inlineStr">
        <is>
          <t>DOLPHIN</t>
        </is>
      </c>
      <c r="B114" s="37" t="inlineStr">
        <is>
          <t>Dolphin Offshore Enterprises (India) Limited</t>
        </is>
      </c>
      <c r="C114" s="37" t="inlineStr">
        <is>
          <t>Energy</t>
        </is>
      </c>
      <c r="D114" s="38" t="inlineStr">
        <is>
          <t>2026-08-13</t>
        </is>
      </c>
    </row>
    <row r="115">
      <c r="A115" s="36" t="inlineStr">
        <is>
          <t>DPABHUSHAN</t>
        </is>
      </c>
      <c r="B115" s="37" t="inlineStr">
        <is>
          <t>DPABHUSHAN</t>
        </is>
      </c>
      <c r="C115" s="37" t="inlineStr">
        <is>
          <t>unknown</t>
        </is>
      </c>
      <c r="D115" s="38" t="inlineStr">
        <is>
          <t>2026-08-12</t>
        </is>
      </c>
    </row>
    <row r="116">
      <c r="A116" s="36" t="inlineStr">
        <is>
          <t>ETHOSLTD</t>
        </is>
      </c>
      <c r="B116" s="37" t="inlineStr">
        <is>
          <t>Ethos Limited</t>
        </is>
      </c>
      <c r="C116" s="37" t="inlineStr">
        <is>
          <t>Consumer Cyclical</t>
        </is>
      </c>
      <c r="D116" s="38" t="inlineStr">
        <is>
          <t>2026-08-11</t>
        </is>
      </c>
    </row>
    <row r="117">
      <c r="A117" s="36" t="inlineStr">
        <is>
          <t>FCL</t>
        </is>
      </c>
      <c r="B117" s="37" t="inlineStr">
        <is>
          <t>Fineotex Chemical Limited</t>
        </is>
      </c>
      <c r="C117" s="37" t="inlineStr">
        <is>
          <t>Basic Materials</t>
        </is>
      </c>
      <c r="D117" s="38" t="inlineStr">
        <is>
          <t>2026-08-12</t>
        </is>
      </c>
    </row>
    <row r="118">
      <c r="A118" s="36" t="inlineStr">
        <is>
          <t>FIEMIND</t>
        </is>
      </c>
      <c r="B118" s="37" t="inlineStr">
        <is>
          <t>FIEMIND</t>
        </is>
      </c>
      <c r="C118" s="37" t="inlineStr">
        <is>
          <t>unknown</t>
        </is>
      </c>
      <c r="D118" s="38" t="inlineStr">
        <is>
          <t>2026-08-12</t>
        </is>
      </c>
    </row>
    <row r="119">
      <c r="A119" s="36" t="inlineStr">
        <is>
          <t>GCSL</t>
        </is>
      </c>
      <c r="B119" s="37" t="inlineStr">
        <is>
          <t>GCSL</t>
        </is>
      </c>
      <c r="C119" s="37" t="inlineStr">
        <is>
          <t>unknown</t>
        </is>
      </c>
      <c r="D119" s="38" t="inlineStr">
        <is>
          <t>2026-08-11</t>
        </is>
      </c>
    </row>
    <row r="120">
      <c r="A120" s="36" t="inlineStr">
        <is>
          <t>IBULLSLTD</t>
        </is>
      </c>
      <c r="B120" s="37" t="inlineStr">
        <is>
          <t>IBULLSLTD</t>
        </is>
      </c>
      <c r="C120" s="37" t="inlineStr">
        <is>
          <t>unknown</t>
        </is>
      </c>
      <c r="D120" s="38" t="inlineStr">
        <is>
          <t>2026-08-12</t>
        </is>
      </c>
    </row>
    <row r="121">
      <c r="A121" s="36" t="inlineStr">
        <is>
          <t>IMFA</t>
        </is>
      </c>
      <c r="B121" s="37" t="inlineStr">
        <is>
          <t>Indian Metals and Ferro Alloys Limited</t>
        </is>
      </c>
      <c r="C121" s="37" t="inlineStr">
        <is>
          <t>Basic Materials</t>
        </is>
      </c>
      <c r="D121" s="38" t="inlineStr">
        <is>
          <t>2026-08-13</t>
        </is>
      </c>
    </row>
    <row r="122">
      <c r="A122" s="36" t="inlineStr">
        <is>
          <t>INDOTECH</t>
        </is>
      </c>
      <c r="B122" s="37" t="inlineStr">
        <is>
          <t>INDOTECH</t>
        </is>
      </c>
      <c r="C122" s="37" t="inlineStr">
        <is>
          <t>unknown</t>
        </is>
      </c>
      <c r="D122" s="38" t="inlineStr">
        <is>
          <t>2026-08-13</t>
        </is>
      </c>
    </row>
    <row r="123">
      <c r="A123" s="36" t="inlineStr">
        <is>
          <t>IOLCP</t>
        </is>
      </c>
      <c r="B123" s="37" t="inlineStr">
        <is>
          <t>IOL Chemicals and Pharmaceuticals Limited</t>
        </is>
      </c>
      <c r="C123" s="37" t="inlineStr">
        <is>
          <t>Healthcare</t>
        </is>
      </c>
      <c r="D123" s="38" t="inlineStr">
        <is>
          <t>2026-08-11</t>
        </is>
      </c>
    </row>
    <row r="124">
      <c r="A124" s="36" t="inlineStr">
        <is>
          <t>KESAR</t>
        </is>
      </c>
      <c r="B124" s="37" t="inlineStr">
        <is>
          <t>KESAR</t>
        </is>
      </c>
      <c r="C124" s="37" t="inlineStr">
        <is>
          <t>unknown</t>
        </is>
      </c>
      <c r="D124" s="38" t="inlineStr">
        <is>
          <t>2026-08-12</t>
        </is>
      </c>
    </row>
    <row r="125">
      <c r="A125" s="36" t="inlineStr">
        <is>
          <t>KMEW</t>
        </is>
      </c>
      <c r="B125" s="37" t="inlineStr">
        <is>
          <t>Knowledge Marine &amp; Engineering Works Limited</t>
        </is>
      </c>
      <c r="C125" s="37" t="inlineStr">
        <is>
          <t>Industrials</t>
        </is>
      </c>
      <c r="D125" s="38" t="inlineStr">
        <is>
          <t>2026-08-12</t>
        </is>
      </c>
    </row>
    <row r="126">
      <c r="A126" s="36" t="inlineStr">
        <is>
          <t>KRN</t>
        </is>
      </c>
      <c r="B126" s="37" t="inlineStr">
        <is>
          <t>KRN</t>
        </is>
      </c>
      <c r="C126" s="37" t="inlineStr">
        <is>
          <t>Technology</t>
        </is>
      </c>
      <c r="D126" s="38" t="inlineStr">
        <is>
          <t>2026-08-13</t>
        </is>
      </c>
    </row>
    <row r="127">
      <c r="A127" s="36" t="inlineStr">
        <is>
          <t>LLOYDSENT</t>
        </is>
      </c>
      <c r="B127" s="37" t="inlineStr">
        <is>
          <t>LLOYDSENT</t>
        </is>
      </c>
      <c r="C127" s="37" t="inlineStr">
        <is>
          <t>unknown</t>
        </is>
      </c>
      <c r="D127" s="38" t="inlineStr">
        <is>
          <t>2026-08-11</t>
        </is>
      </c>
    </row>
    <row r="128">
      <c r="A128" s="36" t="inlineStr">
        <is>
          <t>MANINDS</t>
        </is>
      </c>
      <c r="B128" s="37" t="inlineStr">
        <is>
          <t>Man Industries (India) Limited</t>
        </is>
      </c>
      <c r="C128" s="37" t="inlineStr">
        <is>
          <t>Basic Materials</t>
        </is>
      </c>
      <c r="D128" s="38" t="inlineStr">
        <is>
          <t>2026-08-12</t>
        </is>
      </c>
    </row>
    <row r="129">
      <c r="A129" s="36" t="inlineStr">
        <is>
          <t>MENONBE</t>
        </is>
      </c>
      <c r="B129" s="37" t="inlineStr">
        <is>
          <t>Menon Bearings Limited</t>
        </is>
      </c>
      <c r="C129" s="37" t="inlineStr">
        <is>
          <t>Consumer Cyclical</t>
        </is>
      </c>
      <c r="D129" s="38" t="inlineStr">
        <is>
          <t>2026-08-12</t>
        </is>
      </c>
    </row>
    <row r="130">
      <c r="A130" s="36" t="inlineStr">
        <is>
          <t>MPSLTD</t>
        </is>
      </c>
      <c r="B130" s="37" t="inlineStr">
        <is>
          <t>MPS Limited</t>
        </is>
      </c>
      <c r="C130" s="37" t="inlineStr">
        <is>
          <t>Communication Services</t>
        </is>
      </c>
      <c r="D130" s="38" t="inlineStr">
        <is>
          <t>2026-08-13</t>
        </is>
      </c>
    </row>
    <row r="131">
      <c r="A131" s="36" t="inlineStr">
        <is>
          <t>NATIONALUM</t>
        </is>
      </c>
      <c r="B131" s="37" t="inlineStr">
        <is>
          <t>National Aluminium Company Limited</t>
        </is>
      </c>
      <c r="C131" s="37" t="inlineStr">
        <is>
          <t>Basic Materials</t>
        </is>
      </c>
      <c r="D131" s="38" t="inlineStr">
        <is>
          <t>2026-08-13</t>
        </is>
      </c>
    </row>
    <row r="132">
      <c r="A132" s="36" t="inlineStr">
        <is>
          <t>NHIT</t>
        </is>
      </c>
      <c r="B132" s="37" t="inlineStr">
        <is>
          <t>NHIT</t>
        </is>
      </c>
      <c r="C132" s="37" t="inlineStr">
        <is>
          <t>unknown</t>
        </is>
      </c>
      <c r="D132" s="38" t="inlineStr">
        <is>
          <t>2026-08-12</t>
        </is>
      </c>
    </row>
    <row r="133">
      <c r="A133" s="36" t="inlineStr">
        <is>
          <t>PANAMAPET</t>
        </is>
      </c>
      <c r="B133" s="37" t="inlineStr">
        <is>
          <t>Panama Petrochem Limited</t>
        </is>
      </c>
      <c r="C133" s="37" t="inlineStr">
        <is>
          <t>Energy</t>
        </is>
      </c>
      <c r="D133" s="38" t="inlineStr">
        <is>
          <t>2026-08-13</t>
        </is>
      </c>
    </row>
    <row r="134">
      <c r="A134" s="36" t="inlineStr">
        <is>
          <t>PNGJL</t>
        </is>
      </c>
      <c r="B134" s="37" t="inlineStr">
        <is>
          <t>PNGJL</t>
        </is>
      </c>
      <c r="C134" s="37" t="inlineStr">
        <is>
          <t>unknown</t>
        </is>
      </c>
      <c r="D134" s="38" t="inlineStr">
        <is>
          <t>2026-08-12</t>
        </is>
      </c>
    </row>
    <row r="135">
      <c r="A135" s="36" t="inlineStr">
        <is>
          <t>QUESS</t>
        </is>
      </c>
      <c r="B135" s="37" t="inlineStr">
        <is>
          <t>Quess Corp Limited</t>
        </is>
      </c>
      <c r="C135" s="37" t="inlineStr">
        <is>
          <t>Industrials</t>
        </is>
      </c>
      <c r="D135" s="38" t="inlineStr">
        <is>
          <t>2026-08-13</t>
        </is>
      </c>
    </row>
    <row r="136">
      <c r="A136" s="36" t="inlineStr">
        <is>
          <t>RAMCOIND</t>
        </is>
      </c>
      <c r="B136" s="37" t="inlineStr">
        <is>
          <t>Ramco Industries Limited</t>
        </is>
      </c>
      <c r="C136" s="37" t="inlineStr">
        <is>
          <t>Industrials</t>
        </is>
      </c>
      <c r="D136" s="38" t="inlineStr">
        <is>
          <t>2026-08-11</t>
        </is>
      </c>
    </row>
    <row r="137">
      <c r="A137" s="36" t="inlineStr">
        <is>
          <t>RAMRAT</t>
        </is>
      </c>
      <c r="B137" s="37" t="inlineStr">
        <is>
          <t>Ram Ratna Wires Limited</t>
        </is>
      </c>
      <c r="C137" s="37" t="inlineStr">
        <is>
          <t>Industrials</t>
        </is>
      </c>
      <c r="D137" s="38" t="inlineStr">
        <is>
          <t>2026-08-13</t>
        </is>
      </c>
    </row>
    <row r="138">
      <c r="A138" s="36" t="inlineStr">
        <is>
          <t>RATEGAIN</t>
        </is>
      </c>
      <c r="B138" s="37" t="inlineStr">
        <is>
          <t>RATEGAIN</t>
        </is>
      </c>
      <c r="C138" s="37" t="inlineStr">
        <is>
          <t>unknown</t>
        </is>
      </c>
      <c r="D138" s="38" t="inlineStr">
        <is>
          <t>2026-08-13</t>
        </is>
      </c>
    </row>
    <row r="139">
      <c r="A139" s="36" t="inlineStr">
        <is>
          <t>ROSSTECH</t>
        </is>
      </c>
      <c r="B139" s="37" t="inlineStr">
        <is>
          <t>Rossell Techsys Limited</t>
        </is>
      </c>
      <c r="C139" s="37" t="inlineStr">
        <is>
          <t>Industrials</t>
        </is>
      </c>
      <c r="D139" s="38" t="inlineStr">
        <is>
          <t>2026-08-13</t>
        </is>
      </c>
    </row>
    <row r="140">
      <c r="A140" s="36" t="inlineStr">
        <is>
          <t>RRKABEL</t>
        </is>
      </c>
      <c r="B140" s="37" t="inlineStr">
        <is>
          <t>R R Kabel Limited</t>
        </is>
      </c>
      <c r="C140" s="37" t="inlineStr">
        <is>
          <t>Industrials</t>
        </is>
      </c>
      <c r="D140" s="38" t="inlineStr">
        <is>
          <t>2026-08-13</t>
        </is>
      </c>
    </row>
    <row r="141">
      <c r="A141" s="36" t="inlineStr">
        <is>
          <t>SAPL</t>
        </is>
      </c>
      <c r="B141" s="37" t="inlineStr">
        <is>
          <t>SAPL</t>
        </is>
      </c>
      <c r="C141" s="37" t="inlineStr">
        <is>
          <t>unknown</t>
        </is>
      </c>
      <c r="D141" s="38" t="inlineStr">
        <is>
          <t>2026-08-13</t>
        </is>
      </c>
    </row>
    <row r="142">
      <c r="A142" s="36" t="inlineStr">
        <is>
          <t>SGFIN</t>
        </is>
      </c>
      <c r="B142" s="37" t="inlineStr">
        <is>
          <t>SGFIN</t>
        </is>
      </c>
      <c r="C142" s="37" t="inlineStr">
        <is>
          <t>unknown</t>
        </is>
      </c>
      <c r="D142" s="38" t="inlineStr">
        <is>
          <t>2026-08-12</t>
        </is>
      </c>
    </row>
    <row r="143">
      <c r="A143" s="36" t="inlineStr">
        <is>
          <t>SPORTKING</t>
        </is>
      </c>
      <c r="B143" s="37" t="inlineStr">
        <is>
          <t>SPORTKING</t>
        </is>
      </c>
      <c r="C143" s="37" t="inlineStr">
        <is>
          <t>unknown</t>
        </is>
      </c>
      <c r="D143" s="38" t="inlineStr">
        <is>
          <t>2026-08-12</t>
        </is>
      </c>
    </row>
    <row r="144">
      <c r="A144" s="36" t="inlineStr">
        <is>
          <t>STOVEKRAFT</t>
        </is>
      </c>
      <c r="B144" s="37" t="inlineStr">
        <is>
          <t>STOVEKRAFT</t>
        </is>
      </c>
      <c r="C144" s="37" t="inlineStr">
        <is>
          <t>unknown</t>
        </is>
      </c>
      <c r="D144" s="38" t="inlineStr">
        <is>
          <t>2026-08-11</t>
        </is>
      </c>
    </row>
    <row r="145">
      <c r="A145" s="36" t="inlineStr">
        <is>
          <t>SVRL</t>
        </is>
      </c>
      <c r="B145" s="37" t="inlineStr">
        <is>
          <t>SVRL</t>
        </is>
      </c>
      <c r="C145" s="37" t="inlineStr">
        <is>
          <t>unknown</t>
        </is>
      </c>
      <c r="D145" s="38" t="inlineStr">
        <is>
          <t>2026-08-12</t>
        </is>
      </c>
    </row>
    <row r="146">
      <c r="A146" s="36" t="inlineStr">
        <is>
          <t>TATVA</t>
        </is>
      </c>
      <c r="B146" s="37" t="inlineStr">
        <is>
          <t>Tatva Chintan Pharma Chem Limited</t>
        </is>
      </c>
      <c r="C146" s="37" t="inlineStr">
        <is>
          <t>Basic Materials</t>
        </is>
      </c>
      <c r="D146" s="38" t="inlineStr">
        <is>
          <t>2026-08-11</t>
        </is>
      </c>
    </row>
    <row r="147">
      <c r="A147" s="36" t="inlineStr">
        <is>
          <t>THEJO</t>
        </is>
      </c>
      <c r="B147" s="37" t="inlineStr">
        <is>
          <t>Thejo Engineering Limited</t>
        </is>
      </c>
      <c r="C147" s="37" t="inlineStr">
        <is>
          <t>Industrials</t>
        </is>
      </c>
      <c r="D147" s="38" t="inlineStr">
        <is>
          <t>2026-08-12</t>
        </is>
      </c>
    </row>
    <row r="148">
      <c r="A148" s="36" t="inlineStr">
        <is>
          <t>UEL</t>
        </is>
      </c>
      <c r="B148" s="37" t="inlineStr">
        <is>
          <t>Ujaas Energy Limited</t>
        </is>
      </c>
      <c r="C148" s="37" t="inlineStr">
        <is>
          <t>Technology</t>
        </is>
      </c>
      <c r="D148" s="38" t="inlineStr">
        <is>
          <t>2026-08-11</t>
        </is>
      </c>
    </row>
    <row r="149">
      <c r="A149" s="36" t="inlineStr">
        <is>
          <t>UFBL</t>
        </is>
      </c>
      <c r="B149" s="37" t="inlineStr">
        <is>
          <t>UFBL</t>
        </is>
      </c>
      <c r="C149" s="37" t="inlineStr">
        <is>
          <t>Consumer Cyclical</t>
        </is>
      </c>
      <c r="D149" s="38" t="inlineStr">
        <is>
          <t>2026-08-12</t>
        </is>
      </c>
    </row>
    <row r="150">
      <c r="A150" s="36" t="inlineStr">
        <is>
          <t>UNIMECH</t>
        </is>
      </c>
      <c r="B150" s="37" t="inlineStr">
        <is>
          <t>UNIMECH</t>
        </is>
      </c>
      <c r="C150" s="37" t="inlineStr">
        <is>
          <t>Industrials</t>
        </is>
      </c>
      <c r="D150" s="38" t="inlineStr">
        <is>
          <t>2026-08-12</t>
        </is>
      </c>
    </row>
  </sheetData>
  <autoFilter ref="A1:CG98"/>
  <conditionalFormatting sqref="B2:B9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8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8">
    <cfRule type="cellIs" priority="37" operator="equal" dxfId="3" stopIfTrue="1">
      <formula>"Underperforming"</formula>
    </cfRule>
  </conditionalFormatting>
  <conditionalFormatting sqref="N2:N98">
    <cfRule type="cellIs" priority="38" operator="equal" dxfId="3" stopIfTrue="1">
      <formula>-5</formula>
    </cfRule>
  </conditionalFormatting>
  <conditionalFormatting sqref="Q2:Q98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8" showDropDown="0" showInputMessage="0" showErrorMessage="0" allowBlank="1" type="list">
      <formula1>"Growing Industry,Stagnant Industry,Cyclical in an Upturn"</formula1>
    </dataValidation>
    <dataValidation sqref="Z2:Z9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8" showDropDown="0" showInputMessage="0" showErrorMessage="0" allowBlank="1" type="list">
      <formula1>"Yes,No"</formula1>
    </dataValidation>
    <dataValidation sqref="AD2:AD98" showDropDown="0" showInputMessage="0" showErrorMessage="0" allowBlank="1" type="list">
      <formula1>"Tailwind,Headwind"</formula1>
    </dataValidation>
    <dataValidation sqref="AF2:AF98" showDropDown="0" showInputMessage="0" showErrorMessage="0" allowBlank="1" type="list">
      <formula1>"Structural (10 Years Consistency),Shallow Cyclical (2 to 3 Years Growth),Cyclical"</formula1>
    </dataValidation>
    <dataValidation sqref="AH2:AH98" showDropDown="0" showInputMessage="0" showErrorMessage="0" allowBlank="1" type="list">
      <formula1>"Yes due to Product Mix change or Operating Leverage,Yes, these are peak margins,No"</formula1>
    </dataValidation>
    <dataValidation sqref="AJ2:AJ98" showDropDown="0" showInputMessage="0" showErrorMessage="0" allowBlank="1" type="list">
      <formula1>"Stable,Volatile"</formula1>
    </dataValidation>
    <dataValidation sqref="AL2:AL98" showDropDown="0" showInputMessage="0" showErrorMessage="0" allowBlank="1" type="list">
      <formula1>"Yes,No"</formula1>
    </dataValidation>
    <dataValidation sqref="AN2:AN98" showDropDown="0" showInputMessage="0" showErrorMessage="0" allowBlank="1" type="list">
      <formula1>"B2C,B2B,B2G"</formula1>
    </dataValidation>
    <dataValidation sqref="AP2:AP98" showDropDown="0" showInputMessage="0" showErrorMessage="0" allowBlank="1" type="list">
      <formula1>"Yes,No"</formula1>
    </dataValidation>
    <dataValidation sqref="AR2:AR98" showDropDown="0" showInputMessage="0" showErrorMessage="0" allowBlank="1" type="list">
      <formula1>"Fully Annuity,Higher Annuity, Lower One time,Higher One Time, Lower Annuity,Fully One Time"</formula1>
    </dataValidation>
    <dataValidation sqref="AT2:AT98" showDropDown="0" showInputMessage="0" showErrorMessage="0" allowBlank="1" type="list">
      <formula1>"Good,Allocated capital in Non-core Areas"</formula1>
    </dataValidation>
    <dataValidation sqref="AV2:AV98" showDropDown="0" showInputMessage="0" showErrorMessage="0" allowBlank="1" type="list">
      <formula1>"Yes for more than 2 years,Yes only for next 1 to 2 years,No"</formula1>
    </dataValidation>
    <dataValidation sqref="AX2:AX98" showDropDown="0" showInputMessage="0" showErrorMessage="0" allowBlank="1" type="list">
      <formula1>"Above 40,20 to 40,0 to 20"</formula1>
    </dataValidation>
    <dataValidation sqref="AZ2:AZ98" showDropDown="0" showInputMessage="0" showErrorMessage="0" allowBlank="1" type="list">
      <formula1>"Between 50 to 75,Above 75,Below 45"</formula1>
    </dataValidation>
    <dataValidation sqref="BB2:BB98" showDropDown="0" showInputMessage="0" showErrorMessage="0" allowBlank="1" type="list">
      <formula1>"Stage 1,Stage 2,Stage 3,Stage 4"</formula1>
    </dataValidation>
    <dataValidation sqref="BD2:BD98" showDropDown="0" showInputMessage="0" showErrorMessage="0" allowBlank="1" type="list">
      <formula1>"Positive Trend,Negative Trend"</formula1>
    </dataValidation>
    <dataValidation sqref="BF2:BF98" showDropDown="0" showInputMessage="0" showErrorMessage="0" allowBlank="1" type="list">
      <formula1>"Uptrend,Sideways,Downtrend"</formula1>
    </dataValidation>
    <dataValidation sqref="BH2:BH98" showDropDown="0" showInputMessage="0" showErrorMessage="0" allowBlank="1" type="list">
      <formula1>"Uptrend,Sideways,Downtrend"</formula1>
    </dataValidation>
    <dataValidation sqref="BJ2:BJ9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8" showDropDown="0" showInputMessage="0" showErrorMessage="0" allowBlank="1" type="list">
      <formula1>"Yes,No"</formula1>
    </dataValidation>
    <dataValidation sqref="BN2:BN98" showDropDown="0" showInputMessage="0" showErrorMessage="0" allowBlank="1" type="list">
      <formula1>"More than 20%,Between 12 to 20%,Less than 12%"</formula1>
    </dataValidation>
    <dataValidation sqref="BP2:BP98" showDropDown="0" showInputMessage="0" showErrorMessage="0" allowBlank="1" type="list">
      <formula1>"Yes,No"</formula1>
    </dataValidation>
    <dataValidation sqref="BR2:BR98" showDropDown="0" showInputMessage="0" showErrorMessage="0" allowBlank="1" type="list">
      <formula1>"Yes,No"</formula1>
    </dataValidation>
    <dataValidation sqref="BT2:BT98" showDropDown="0" showInputMessage="0" showErrorMessage="0" allowBlank="1" type="list">
      <formula1>"Above 2,Between 1.5 to 2,Less than 1.5"</formula1>
    </dataValidation>
    <dataValidation sqref="BV2:BV98" showDropDown="0" showInputMessage="0" showErrorMessage="0" allowBlank="1" type="list">
      <formula1>"Above 70%,Between 50% to 70%,Less than 50%,Less than 50% and Borrowings are increasing,Negative"</formula1>
    </dataValidation>
    <dataValidation sqref="BX2:BX98" showDropDown="0" showInputMessage="0" showErrorMessage="0" allowBlank="1" type="list">
      <formula1>"More than 1.2,Between 0.7 to 1.2,Less than 0.7"</formula1>
    </dataValidation>
    <dataValidation sqref="BZ2:BZ98" showDropDown="0" showInputMessage="0" showErrorMessage="0" allowBlank="1" type="list">
      <formula1>"Yes,No"</formula1>
    </dataValidation>
    <dataValidation sqref="CB2:CB98" showDropDown="0" showInputMessage="0" showErrorMessage="0" allowBlank="1" type="list">
      <formula1>"More than 15%,Less than 15%"</formula1>
    </dataValidation>
    <dataValidation sqref="CD2:CD9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IF(B2=0,"",RANK(B2,$B$2:$B$4,0))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UJJIVANSFB</t>
        </is>
      </c>
      <c r="D2" s="31" t="inlineStr">
        <is>
          <t>Ujjivan Small Finance Bank Ltd</t>
        </is>
      </c>
      <c r="E2" s="31" t="inlineStr">
        <is>
          <t>bank</t>
        </is>
      </c>
      <c r="F2" s="31" t="inlineStr">
        <is>
          <t>Banks - Small Finance</t>
        </is>
      </c>
      <c r="G2" s="31" t="inlineStr">
        <is>
          <t>midcap</t>
        </is>
      </c>
      <c r="H2" s="32" t="n">
        <v>13854.12</v>
      </c>
      <c r="I2" s="32" t="n">
        <v>71.09999999999999</v>
      </c>
      <c r="J2" s="32" t="n">
        <v>-1.77</v>
      </c>
      <c r="K2" s="32" t="n">
        <v>0</v>
      </c>
      <c r="L2" s="31" t="n">
        <v>70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67.03</v>
      </c>
      <c r="P2" s="32" t="n">
        <v>35.92</v>
      </c>
      <c r="Q2" s="32" t="n">
        <v>57.06</v>
      </c>
      <c r="R2" s="31" t="inlineStr">
        <is>
          <t>Near 52W High Breakout</t>
        </is>
      </c>
      <c r="S2" s="31" t="inlineStr">
        <is>
          <t>Nifty Bank</t>
        </is>
      </c>
      <c r="T2" s="32" t="n">
        <v>4.14</v>
      </c>
      <c r="U2" s="32" t="n">
        <v>70.84</v>
      </c>
      <c r="V2" s="32" t="n">
        <v>64.04000000000001</v>
      </c>
      <c r="W2" s="32" t="n">
        <v>17.75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20</t>
        </is>
      </c>
      <c r="CC2" s="31">
        <f>IF(CB2&gt;20,10,IF(CB2&gt;=10,5,2))</f>
        <v/>
      </c>
    </row>
    <row r="3">
      <c r="A3" s="31">
        <f>IF(B3=0,"",RANK(B3,$B$2:$B$4,0))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TFCILTD</t>
        </is>
      </c>
      <c r="D3" s="31" t="inlineStr">
        <is>
          <t>Tourism Finance Corporation of India Ltd</t>
        </is>
      </c>
      <c r="E3" s="31" t="inlineStr">
        <is>
          <t>financials</t>
        </is>
      </c>
      <c r="F3" s="31" t="inlineStr">
        <is>
          <t>Finance - PSU Lending</t>
        </is>
      </c>
      <c r="G3" s="31" t="inlineStr">
        <is>
          <t>midcap</t>
        </is>
      </c>
      <c r="H3" s="32" t="n">
        <v>5342.76</v>
      </c>
      <c r="I3" s="32" t="n">
        <v>115.4</v>
      </c>
      <c r="J3" s="32" t="n">
        <v>0.23</v>
      </c>
      <c r="K3" s="32" t="n">
        <v>0</v>
      </c>
      <c r="L3" s="31" t="n">
        <v>81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77.14</v>
      </c>
      <c r="P3" s="32" t="n">
        <v>51.34</v>
      </c>
      <c r="Q3" s="32" t="n">
        <v>93.06</v>
      </c>
      <c r="R3" s="31" t="inlineStr">
        <is>
          <t>Near 52W High Breakout</t>
        </is>
      </c>
      <c r="S3" s="31" t="inlineStr">
        <is>
          <t>Nifty Bank</t>
        </is>
      </c>
      <c r="T3" s="32" t="n">
        <v>4.14</v>
      </c>
      <c r="U3" s="32" t="n">
        <v>86.53</v>
      </c>
      <c r="V3" s="32" t="n">
        <v>79.09999999999999</v>
      </c>
      <c r="W3" s="32" t="n">
        <v>25.17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24</t>
        </is>
      </c>
      <c r="CC3" s="31">
        <f>IF(CB3&gt;20,10,IF(CB3&gt;=10,5,2))</f>
        <v/>
      </c>
    </row>
    <row r="4">
      <c r="A4" s="31">
        <f>IF(B4=0,"",RANK(B4,$B$2:$B$4,0))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OFSS</t>
        </is>
      </c>
      <c r="D4" s="31" t="inlineStr">
        <is>
          <t>Oracle Financial Services Software Ltd</t>
        </is>
      </c>
      <c r="E4" s="31" t="inlineStr">
        <is>
          <t>Technology</t>
        </is>
      </c>
      <c r="F4" s="31" t="inlineStr">
        <is>
          <t>IT Product Companies</t>
        </is>
      </c>
      <c r="G4" s="31" t="inlineStr">
        <is>
          <t>largecap</t>
        </is>
      </c>
      <c r="H4" s="32" t="n">
        <v>99440.23</v>
      </c>
      <c r="I4" s="32" t="n">
        <v>11420</v>
      </c>
      <c r="J4" s="32" t="n">
        <v>-2.22</v>
      </c>
      <c r="K4" s="32" t="n">
        <v>0</v>
      </c>
      <c r="L4" s="31" t="n">
        <v>61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64.81999999999999</v>
      </c>
      <c r="P4" s="32" t="n">
        <v>30.81</v>
      </c>
      <c r="Q4" s="32" t="n">
        <v>9359.860000000001</v>
      </c>
      <c r="R4" s="31" t="inlineStr">
        <is>
          <t>Near 52W High Breakout</t>
        </is>
      </c>
      <c r="S4" s="31" t="inlineStr">
        <is>
          <t>Nifty IT</t>
        </is>
      </c>
      <c r="T4" s="32" t="n">
        <v>-9.699999999999999</v>
      </c>
      <c r="U4" s="32" t="n">
        <v>38.93</v>
      </c>
      <c r="V4" s="32" t="n">
        <v>53.86</v>
      </c>
      <c r="W4" s="32" t="n">
        <v>14.2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8">
      <c r="A8" s="25" t="inlineStr">
        <is>
          <t>❌ REMOVED SCAN MATCH STOCKS (THIS WEEK)</t>
        </is>
      </c>
    </row>
    <row r="9">
      <c r="A9" s="35" t="inlineStr">
        <is>
          <t>Symbol</t>
        </is>
      </c>
      <c r="B9" s="35" t="inlineStr">
        <is>
          <t>Company Name</t>
        </is>
      </c>
      <c r="C9" s="35" t="inlineStr">
        <is>
          <t>Sector</t>
        </is>
      </c>
      <c r="D9" s="35" t="inlineStr">
        <is>
          <t>Date of Removal</t>
        </is>
      </c>
    </row>
    <row r="10">
      <c r="A10" s="36" t="inlineStr">
        <is>
          <t>ESAFSFB</t>
        </is>
      </c>
      <c r="B10" s="37" t="inlineStr">
        <is>
          <t>ESAF Small Finance Bank</t>
        </is>
      </c>
      <c r="C10" s="37" t="inlineStr">
        <is>
          <t>Financial Services</t>
        </is>
      </c>
      <c r="D10" s="38" t="inlineStr">
        <is>
          <t>2026-08-11</t>
        </is>
      </c>
    </row>
    <row r="11">
      <c r="A11" s="36" t="inlineStr">
        <is>
          <t>SHRIRAMFIN</t>
        </is>
      </c>
      <c r="B11" s="37" t="inlineStr">
        <is>
          <t>Shriram Finance Limited</t>
        </is>
      </c>
      <c r="C11" s="37" t="inlineStr">
        <is>
          <t>Financial Services</t>
        </is>
      </c>
      <c r="D11" s="38" t="inlineStr">
        <is>
          <t>2026-08-13</t>
        </is>
      </c>
    </row>
  </sheetData>
  <autoFilter ref="A1:CC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4">
    <cfRule type="cellIs" priority="35" operator="equal" dxfId="3" stopIfTrue="1">
      <formula>"Underperforming"</formula>
    </cfRule>
  </conditionalFormatting>
  <conditionalFormatting sqref="N2:N4">
    <cfRule type="cellIs" priority="36" operator="equal" dxfId="3" stopIfTrue="1">
      <formula>-5</formula>
    </cfRule>
  </conditionalFormatting>
  <conditionalFormatting sqref="Q2:Q4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4" showDropDown="0" showInputMessage="0" showErrorMessage="0" allowBlank="1" type="list">
      <formula1>"Growing Industry,Stagnant Industry,Cyclical in an Upturn"</formula1>
    </dataValidation>
    <dataValidation sqref="Z2:Z4" showDropDown="0" showInputMessage="0" showErrorMessage="0" allowBlank="1" type="list">
      <formula1>"Fragmented with Low ROE,Fragmented with High ROE,Highly Cyclical"</formula1>
    </dataValidation>
    <dataValidation sqref="AB2:AB4" showDropDown="0" showInputMessage="0" showErrorMessage="0" allowBlank="1" type="list">
      <formula1>"Yes,No"</formula1>
    </dataValidation>
    <dataValidation sqref="AD2:AD4" showDropDown="0" showInputMessage="0" showErrorMessage="0" allowBlank="1" type="list">
      <formula1>"Tailwind,Headwind"</formula1>
    </dataValidation>
    <dataValidation sqref="AF2:AF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" showDropDown="0" showInputMessage="0" showErrorMessage="0" allowBlank="1" type="list">
      <formula1>"Yes,No"</formula1>
    </dataValidation>
    <dataValidation sqref="AJ2:AJ4" showDropDown="0" showInputMessage="0" showErrorMessage="0" allowBlank="1" type="list">
      <formula1>"Yes,No,Not Applicable"</formula1>
    </dataValidation>
    <dataValidation sqref="AL2:AL4" showDropDown="0" showInputMessage="0" showErrorMessage="0" allowBlank="1" type="list">
      <formula1>"Yes,No"</formula1>
    </dataValidation>
    <dataValidation sqref="AN2:AN4" showDropDown="0" showInputMessage="0" showErrorMessage="0" allowBlank="1" type="list">
      <formula1>"Yes,No"</formula1>
    </dataValidation>
    <dataValidation sqref="AP2:AP4" showDropDown="0" showInputMessage="0" showErrorMessage="0" allowBlank="1" type="list">
      <formula1>"Yes,No"</formula1>
    </dataValidation>
    <dataValidation sqref="AR2:AR4" showDropDown="0" showInputMessage="0" showErrorMessage="0" allowBlank="1" type="list">
      <formula1>"Yes,No"</formula1>
    </dataValidation>
    <dataValidation sqref="AT2:AT4" showDropDown="0" showInputMessage="0" showErrorMessage="0" allowBlank="1" type="list">
      <formula1>"No,Yes"</formula1>
    </dataValidation>
    <dataValidation sqref="AV2:AV4" showDropDown="0" showInputMessage="0" showErrorMessage="0" allowBlank="1" type="list">
      <formula1>"No,Yes"</formula1>
    </dataValidation>
    <dataValidation sqref="AX2:AX4" showDropDown="0" showInputMessage="0" showErrorMessage="0" allowBlank="1" type="list">
      <formula1>"No,Yes CEO Resignation,Yes CEO Retirement"</formula1>
    </dataValidation>
    <dataValidation sqref="AZ2:AZ4" showDropDown="0" showInputMessage="0" showErrorMessage="0" allowBlank="1" type="list">
      <formula1>"No,Yes"</formula1>
    </dataValidation>
    <dataValidation sqref="BB2:BB4" showDropDown="0" showInputMessage="0" showErrorMessage="0" allowBlank="1" type="list">
      <formula1>"No,Yes"</formula1>
    </dataValidation>
    <dataValidation sqref="BD2:BD4" showDropDown="0" showInputMessage="0" showErrorMessage="0" allowBlank="1" type="list">
      <formula1>"Yes,No"</formula1>
    </dataValidation>
    <dataValidation sqref="BF2:BF4" showDropDown="0" showInputMessage="0" showErrorMessage="0" allowBlank="1" type="list">
      <formula1>"Yes,No"</formula1>
    </dataValidation>
    <dataValidation sqref="BH2:BH4" showDropDown="0" showInputMessage="0" showErrorMessage="0" allowBlank="1" type="list">
      <formula1>"Yes,No"</formula1>
    </dataValidation>
    <dataValidation sqref="BJ2:BJ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" showDropDown="0" showInputMessage="0" showErrorMessage="0" allowBlank="1" type="list">
      <formula1>"Above 40,20 to 40,0 to 20"</formula1>
    </dataValidation>
    <dataValidation sqref="BN2:BN4" showDropDown="0" showInputMessage="0" showErrorMessage="0" allowBlank="1" type="list">
      <formula1>"Between 50 to 75,Above 75,Below 45"</formula1>
    </dataValidation>
    <dataValidation sqref="BP2:BP4" showDropDown="0" showInputMessage="0" showErrorMessage="0" allowBlank="1" type="list">
      <formula1>"Stage 1,Stage 2,Stage 3,Stage 4"</formula1>
    </dataValidation>
    <dataValidation sqref="BR2:BR4" showDropDown="0" showInputMessage="0" showErrorMessage="0" allowBlank="1" type="list">
      <formula1>"Positive Trend,Negative Trend"</formula1>
    </dataValidation>
    <dataValidation sqref="BT2:BT4" showDropDown="0" showInputMessage="0" showErrorMessage="0" allowBlank="1" type="list">
      <formula1>"Uptrend,Sideways,Downtrend"</formula1>
    </dataValidation>
    <dataValidation sqref="BV2:BV4" showDropDown="0" showInputMessage="0" showErrorMessage="0" allowBlank="1" type="list">
      <formula1>"Uptrend,Sideways,Downtrend"</formula1>
    </dataValidation>
    <dataValidation sqref="BX2:BX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2026-08-13T11:14:30Z</dcterms:created>
  <dcterms:modified xmlns:dcterms="http://purl.org/dc/terms/" xmlns:xsi="http://www.w3.org/2001/XMLSchema-instance" xsi:type="dcterms:W3CDTF">2026-08-13T11:16:09Z</dcterms:modified>
</cp:coreProperties>
</file>